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EDMP\EDMP Analysis\C-4 Analysis Complete-Benard\STN134-KATUNA B.P\MCC\"/>
    </mc:Choice>
  </mc:AlternateContent>
  <xr:revisionPtr revIDLastSave="0" documentId="13_ncr:1_{36A9C370-F259-4E28-ADF3-8564DDB5F5ED}" xr6:coauthVersionLast="45" xr6:coauthVersionMax="45" xr10:uidLastSave="{00000000-0000-0000-0000-000000000000}"/>
  <bookViews>
    <workbookView xWindow="-120" yWindow="-120" windowWidth="20730" windowHeight="11160" tabRatio="940" firstSheet="1" activeTab="6" xr2:uid="{00000000-000D-0000-FFFF-FFFF00000000}"/>
  </bookViews>
  <sheets>
    <sheet name="25.10 Katuna-Kabale 24hr" sheetId="101" r:id="rId1"/>
    <sheet name="25.10 Kabale-Katuna 24hr" sheetId="109" r:id="rId2"/>
    <sheet name="26.10 Katuna-Kabale" sheetId="93" r:id="rId3"/>
    <sheet name="26.10  Kabale-Katuna" sheetId="94" r:id="rId4"/>
    <sheet name="Avg Week Katuna-Kabale" sheetId="107" r:id="rId5"/>
    <sheet name="Avg Week Kabale-Katuna" sheetId="108" r:id="rId6"/>
    <sheet name="Avg Week Kabale-Katuna-2Dir" sheetId="111" r:id="rId7"/>
  </sheets>
  <definedNames>
    <definedName name="_xlnm.Print_Area" localSheetId="1">'25.10 Kabale-Katuna 24hr'!$A$1:$AF$108</definedName>
    <definedName name="_xlnm.Print_Area" localSheetId="0">'25.10 Katuna-Kabale 24hr'!$A$1:$AF$108</definedName>
    <definedName name="_xlnm.Print_Area" localSheetId="3">'26.10  Kabale-Katuna'!$A$1:$AF$60</definedName>
    <definedName name="_xlnm.Print_Area" localSheetId="2">'26.10 Katuna-Kabale'!$A$1:$AF$60</definedName>
    <definedName name="_xlnm.Print_Area" localSheetId="5">'Avg Week Kabale-Katuna'!$A$1:$AF$108</definedName>
    <definedName name="_xlnm.Print_Area" localSheetId="6">'Avg Week Kabale-Katuna-2Dir'!$A$1:$AF$108</definedName>
    <definedName name="_xlnm.Print_Area" localSheetId="4">'Avg Week Katuna-Kabale'!$A$1:$AF$108</definedName>
    <definedName name="_xlnm.Print_Titles" localSheetId="1">'25.10 Kabale-Katuna 24hr'!$1:$8</definedName>
    <definedName name="_xlnm.Print_Titles" localSheetId="0">'25.10 Katuna-Kabale 24hr'!$1:$8</definedName>
    <definedName name="_xlnm.Print_Titles" localSheetId="3">'26.10  Kabale-Katuna'!$1:$8</definedName>
    <definedName name="_xlnm.Print_Titles" localSheetId="2">'26.10 Katuna-Kabale'!$1:$8</definedName>
    <definedName name="_xlnm.Print_Titles" localSheetId="5">'Avg Week Kabale-Katuna'!$1:$8</definedName>
    <definedName name="_xlnm.Print_Titles" localSheetId="6">'Avg Week Kabale-Katuna-2Dir'!$1:$8</definedName>
    <definedName name="_xlnm.Print_Titles" localSheetId="4">'Avg Week Katuna-Kabale'!$1:$8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8" i="108" l="1"/>
  <c r="P59" i="108"/>
  <c r="P60" i="108"/>
  <c r="P61" i="108"/>
  <c r="P62" i="108"/>
  <c r="P63" i="108"/>
  <c r="P64" i="108"/>
  <c r="P65" i="108"/>
  <c r="P106" i="108" s="1"/>
  <c r="P66" i="108"/>
  <c r="P67" i="108"/>
  <c r="P68" i="108"/>
  <c r="P69" i="108"/>
  <c r="P70" i="108"/>
  <c r="P71" i="108"/>
  <c r="P72" i="108"/>
  <c r="P73" i="108"/>
  <c r="AF25" i="108" s="1"/>
  <c r="P74" i="108"/>
  <c r="P75" i="108"/>
  <c r="P76" i="108"/>
  <c r="P77" i="108"/>
  <c r="P78" i="108"/>
  <c r="P79" i="108"/>
  <c r="P80" i="108"/>
  <c r="P81" i="108"/>
  <c r="AF27" i="108" s="1"/>
  <c r="P82" i="108"/>
  <c r="P83" i="108"/>
  <c r="P84" i="108"/>
  <c r="P85" i="108"/>
  <c r="P86" i="108"/>
  <c r="P87" i="108"/>
  <c r="P88" i="108"/>
  <c r="P89" i="108"/>
  <c r="AF29" i="108" s="1"/>
  <c r="P90" i="108"/>
  <c r="P91" i="108"/>
  <c r="P92" i="108"/>
  <c r="P93" i="108"/>
  <c r="P94" i="108"/>
  <c r="P95" i="108"/>
  <c r="P96" i="108"/>
  <c r="P97" i="108"/>
  <c r="AF31" i="108" s="1"/>
  <c r="P98" i="108"/>
  <c r="P99" i="108"/>
  <c r="P100" i="108"/>
  <c r="P101" i="108"/>
  <c r="P102" i="108"/>
  <c r="P103" i="108"/>
  <c r="P104" i="108"/>
  <c r="P105" i="108"/>
  <c r="AF33" i="108" s="1"/>
  <c r="O58" i="108"/>
  <c r="O59" i="108"/>
  <c r="O60" i="108"/>
  <c r="O61" i="108"/>
  <c r="O62" i="108"/>
  <c r="O63" i="108"/>
  <c r="O64" i="108"/>
  <c r="O65" i="108"/>
  <c r="O106" i="108" s="1"/>
  <c r="O66" i="108"/>
  <c r="O67" i="108"/>
  <c r="O68" i="108"/>
  <c r="O69" i="108"/>
  <c r="O70" i="108"/>
  <c r="O71" i="108"/>
  <c r="O72" i="108"/>
  <c r="O73" i="108"/>
  <c r="AE25" i="108" s="1"/>
  <c r="O74" i="108"/>
  <c r="O75" i="108"/>
  <c r="O76" i="108"/>
  <c r="O77" i="108"/>
  <c r="O78" i="108"/>
  <c r="O79" i="108"/>
  <c r="O80" i="108"/>
  <c r="O81" i="108"/>
  <c r="AE27" i="108" s="1"/>
  <c r="O82" i="108"/>
  <c r="O83" i="108"/>
  <c r="O84" i="108"/>
  <c r="O85" i="108"/>
  <c r="O86" i="108"/>
  <c r="O87" i="108"/>
  <c r="O88" i="108"/>
  <c r="O89" i="108"/>
  <c r="AE29" i="108" s="1"/>
  <c r="O90" i="108"/>
  <c r="O91" i="108"/>
  <c r="O92" i="108"/>
  <c r="O93" i="108"/>
  <c r="O94" i="108"/>
  <c r="O95" i="108"/>
  <c r="O96" i="108"/>
  <c r="O97" i="108"/>
  <c r="AE31" i="108" s="1"/>
  <c r="O98" i="108"/>
  <c r="O99" i="108"/>
  <c r="O100" i="108"/>
  <c r="O101" i="108"/>
  <c r="O102" i="108"/>
  <c r="O103" i="108"/>
  <c r="O104" i="108"/>
  <c r="O105" i="108"/>
  <c r="AE33" i="108" s="1"/>
  <c r="D58" i="108"/>
  <c r="E58" i="108"/>
  <c r="E106" i="108" s="1"/>
  <c r="F58" i="108"/>
  <c r="G58" i="108"/>
  <c r="H58" i="108"/>
  <c r="I58" i="108"/>
  <c r="J58" i="108"/>
  <c r="K58" i="108"/>
  <c r="K106" i="108" s="1"/>
  <c r="L58" i="108"/>
  <c r="M58" i="108"/>
  <c r="M106" i="108" s="1"/>
  <c r="N58" i="108"/>
  <c r="D59" i="108"/>
  <c r="E59" i="108"/>
  <c r="F59" i="108"/>
  <c r="G59" i="108"/>
  <c r="H59" i="108"/>
  <c r="H106" i="108" s="1"/>
  <c r="I59" i="108"/>
  <c r="J59" i="108"/>
  <c r="Z22" i="108" s="1"/>
  <c r="K59" i="108"/>
  <c r="L59" i="108"/>
  <c r="M59" i="108"/>
  <c r="N59" i="108"/>
  <c r="D60" i="108"/>
  <c r="E60" i="108"/>
  <c r="F60" i="108"/>
  <c r="G60" i="108"/>
  <c r="G60" i="111" s="1"/>
  <c r="H60" i="108"/>
  <c r="I60" i="108"/>
  <c r="J60" i="108"/>
  <c r="K60" i="108"/>
  <c r="L60" i="108"/>
  <c r="M60" i="108"/>
  <c r="N60" i="108"/>
  <c r="D61" i="108"/>
  <c r="D106" i="108" s="1"/>
  <c r="E61" i="108"/>
  <c r="F61" i="108"/>
  <c r="G61" i="108"/>
  <c r="H61" i="108"/>
  <c r="I61" i="108"/>
  <c r="J61" i="108"/>
  <c r="K61" i="108"/>
  <c r="L61" i="108"/>
  <c r="L106" i="108" s="1"/>
  <c r="M61" i="108"/>
  <c r="N61" i="108"/>
  <c r="D62" i="108"/>
  <c r="E62" i="108"/>
  <c r="F62" i="108"/>
  <c r="G62" i="108"/>
  <c r="W23" i="108" s="1"/>
  <c r="H62" i="108"/>
  <c r="I62" i="108"/>
  <c r="I62" i="111" s="1"/>
  <c r="J62" i="108"/>
  <c r="K62" i="108"/>
  <c r="L62" i="108"/>
  <c r="M62" i="108"/>
  <c r="N62" i="108"/>
  <c r="D63" i="108"/>
  <c r="T23" i="108" s="1"/>
  <c r="E63" i="108"/>
  <c r="F63" i="108"/>
  <c r="F63" i="111" s="1"/>
  <c r="G63" i="108"/>
  <c r="H63" i="108"/>
  <c r="I63" i="108"/>
  <c r="J63" i="108"/>
  <c r="K63" i="108"/>
  <c r="L63" i="108"/>
  <c r="AB23" i="108" s="1"/>
  <c r="M63" i="108"/>
  <c r="N63" i="108"/>
  <c r="N106" i="108" s="1"/>
  <c r="D64" i="108"/>
  <c r="E64" i="108"/>
  <c r="F64" i="108"/>
  <c r="G64" i="108"/>
  <c r="H64" i="108"/>
  <c r="I64" i="108"/>
  <c r="J64" i="108"/>
  <c r="K64" i="108"/>
  <c r="K64" i="111" s="1"/>
  <c r="AA23" i="111" s="1"/>
  <c r="L64" i="108"/>
  <c r="M64" i="108"/>
  <c r="N64" i="108"/>
  <c r="D65" i="108"/>
  <c r="E65" i="108"/>
  <c r="F65" i="108"/>
  <c r="G65" i="108"/>
  <c r="H65" i="108"/>
  <c r="H65" i="111" s="1"/>
  <c r="I65" i="108"/>
  <c r="J65" i="108"/>
  <c r="K65" i="108"/>
  <c r="L65" i="108"/>
  <c r="M65" i="108"/>
  <c r="N65" i="108"/>
  <c r="D66" i="108"/>
  <c r="E66" i="108"/>
  <c r="E66" i="111" s="1"/>
  <c r="F66" i="108"/>
  <c r="G66" i="108"/>
  <c r="H66" i="108"/>
  <c r="I66" i="108"/>
  <c r="J66" i="108"/>
  <c r="K66" i="108"/>
  <c r="AA24" i="108" s="1"/>
  <c r="L66" i="108"/>
  <c r="M66" i="108"/>
  <c r="AC24" i="108" s="1"/>
  <c r="N66" i="108"/>
  <c r="D67" i="108"/>
  <c r="E67" i="108"/>
  <c r="F67" i="108"/>
  <c r="G67" i="108"/>
  <c r="H67" i="108"/>
  <c r="I67" i="108"/>
  <c r="J67" i="108"/>
  <c r="J67" i="111" s="1"/>
  <c r="K67" i="108"/>
  <c r="L67" i="108"/>
  <c r="M67" i="108"/>
  <c r="N67" i="108"/>
  <c r="D68" i="108"/>
  <c r="E68" i="108"/>
  <c r="F68" i="108"/>
  <c r="G68" i="108"/>
  <c r="W24" i="108" s="1"/>
  <c r="H68" i="108"/>
  <c r="I68" i="108"/>
  <c r="J68" i="108"/>
  <c r="K68" i="108"/>
  <c r="L68" i="108"/>
  <c r="M68" i="108"/>
  <c r="N68" i="108"/>
  <c r="D69" i="108"/>
  <c r="D69" i="111" s="1"/>
  <c r="E69" i="108"/>
  <c r="F69" i="108"/>
  <c r="G69" i="108"/>
  <c r="H69" i="108"/>
  <c r="I69" i="108"/>
  <c r="J69" i="108"/>
  <c r="K69" i="108"/>
  <c r="L69" i="108"/>
  <c r="AB24" i="108" s="1"/>
  <c r="M69" i="108"/>
  <c r="N69" i="108"/>
  <c r="D70" i="108"/>
  <c r="E70" i="108"/>
  <c r="F70" i="108"/>
  <c r="G70" i="108"/>
  <c r="W25" i="108" s="1"/>
  <c r="H70" i="108"/>
  <c r="I70" i="108"/>
  <c r="Y25" i="108" s="1"/>
  <c r="J70" i="108"/>
  <c r="K70" i="108"/>
  <c r="L70" i="108"/>
  <c r="M70" i="108"/>
  <c r="N70" i="108"/>
  <c r="D71" i="108"/>
  <c r="T25" i="108" s="1"/>
  <c r="E71" i="108"/>
  <c r="F71" i="108"/>
  <c r="F71" i="111" s="1"/>
  <c r="G71" i="108"/>
  <c r="H71" i="108"/>
  <c r="I71" i="108"/>
  <c r="J71" i="108"/>
  <c r="K71" i="108"/>
  <c r="L71" i="108"/>
  <c r="AB25" i="108" s="1"/>
  <c r="M71" i="108"/>
  <c r="N71" i="108"/>
  <c r="N71" i="111" s="1"/>
  <c r="D72" i="108"/>
  <c r="E72" i="108"/>
  <c r="F72" i="108"/>
  <c r="G72" i="108"/>
  <c r="H72" i="108"/>
  <c r="I72" i="108"/>
  <c r="J72" i="108"/>
  <c r="K72" i="108"/>
  <c r="K72" i="111" s="1"/>
  <c r="AA25" i="111" s="1"/>
  <c r="L72" i="108"/>
  <c r="M72" i="108"/>
  <c r="N72" i="108"/>
  <c r="D73" i="108"/>
  <c r="E73" i="108"/>
  <c r="F73" i="108"/>
  <c r="G73" i="108"/>
  <c r="H73" i="108"/>
  <c r="H73" i="111" s="1"/>
  <c r="X25" i="111" s="1"/>
  <c r="I73" i="108"/>
  <c r="J73" i="108"/>
  <c r="K73" i="108"/>
  <c r="L73" i="108"/>
  <c r="M73" i="108"/>
  <c r="N73" i="108"/>
  <c r="D74" i="108"/>
  <c r="E74" i="108"/>
  <c r="E74" i="111" s="1"/>
  <c r="F74" i="108"/>
  <c r="G74" i="108"/>
  <c r="H74" i="108"/>
  <c r="I74" i="108"/>
  <c r="J74" i="108"/>
  <c r="K74" i="108"/>
  <c r="L74" i="108"/>
  <c r="M74" i="108"/>
  <c r="M74" i="111" s="1"/>
  <c r="N74" i="108"/>
  <c r="D75" i="108"/>
  <c r="E75" i="108"/>
  <c r="F75" i="108"/>
  <c r="G75" i="108"/>
  <c r="H75" i="108"/>
  <c r="X26" i="108" s="1"/>
  <c r="I75" i="108"/>
  <c r="J75" i="108"/>
  <c r="Z26" i="108" s="1"/>
  <c r="K75" i="108"/>
  <c r="L75" i="108"/>
  <c r="M75" i="108"/>
  <c r="N75" i="108"/>
  <c r="D76" i="108"/>
  <c r="E76" i="108"/>
  <c r="F76" i="108"/>
  <c r="G76" i="108"/>
  <c r="G76" i="111" s="1"/>
  <c r="W26" i="111" s="1"/>
  <c r="H76" i="108"/>
  <c r="I76" i="108"/>
  <c r="J76" i="108"/>
  <c r="K76" i="108"/>
  <c r="L76" i="108"/>
  <c r="M76" i="108"/>
  <c r="N76" i="108"/>
  <c r="D77" i="108"/>
  <c r="T26" i="108" s="1"/>
  <c r="E77" i="108"/>
  <c r="F77" i="108"/>
  <c r="G77" i="108"/>
  <c r="H77" i="108"/>
  <c r="I77" i="108"/>
  <c r="J77" i="108"/>
  <c r="K77" i="108"/>
  <c r="L77" i="108"/>
  <c r="L77" i="111" s="1"/>
  <c r="M77" i="108"/>
  <c r="N77" i="108"/>
  <c r="D78" i="108"/>
  <c r="E78" i="108"/>
  <c r="F78" i="108"/>
  <c r="G78" i="108"/>
  <c r="H78" i="108"/>
  <c r="I78" i="108"/>
  <c r="Y27" i="108" s="1"/>
  <c r="J78" i="108"/>
  <c r="K78" i="108"/>
  <c r="L78" i="108"/>
  <c r="M78" i="108"/>
  <c r="N78" i="108"/>
  <c r="D79" i="108"/>
  <c r="T27" i="108" s="1"/>
  <c r="E79" i="108"/>
  <c r="F79" i="108"/>
  <c r="V27" i="108" s="1"/>
  <c r="G79" i="108"/>
  <c r="H79" i="108"/>
  <c r="I79" i="108"/>
  <c r="J79" i="108"/>
  <c r="K79" i="108"/>
  <c r="L79" i="108"/>
  <c r="AB27" i="108" s="1"/>
  <c r="M79" i="108"/>
  <c r="N79" i="108"/>
  <c r="AD27" i="108" s="1"/>
  <c r="D80" i="108"/>
  <c r="E80" i="108"/>
  <c r="F80" i="108"/>
  <c r="G80" i="108"/>
  <c r="H80" i="108"/>
  <c r="I80" i="108"/>
  <c r="J80" i="108"/>
  <c r="K80" i="108"/>
  <c r="K80" i="111" s="1"/>
  <c r="L80" i="108"/>
  <c r="M80" i="108"/>
  <c r="N80" i="108"/>
  <c r="D81" i="108"/>
  <c r="E81" i="108"/>
  <c r="F81" i="108"/>
  <c r="G81" i="108"/>
  <c r="H81" i="108"/>
  <c r="H81" i="111" s="1"/>
  <c r="X27" i="111" s="1"/>
  <c r="I81" i="108"/>
  <c r="J81" i="108"/>
  <c r="K81" i="108"/>
  <c r="L81" i="108"/>
  <c r="M81" i="108"/>
  <c r="N81" i="108"/>
  <c r="D82" i="108"/>
  <c r="E82" i="108"/>
  <c r="E82" i="111" s="1"/>
  <c r="F82" i="108"/>
  <c r="G82" i="108"/>
  <c r="H82" i="108"/>
  <c r="I82" i="108"/>
  <c r="J82" i="108"/>
  <c r="K82" i="108"/>
  <c r="AA28" i="108" s="1"/>
  <c r="L82" i="108"/>
  <c r="M82" i="108"/>
  <c r="M82" i="111" s="1"/>
  <c r="N82" i="108"/>
  <c r="D83" i="108"/>
  <c r="E83" i="108"/>
  <c r="F83" i="108"/>
  <c r="G83" i="108"/>
  <c r="H83" i="108"/>
  <c r="I83" i="108"/>
  <c r="J83" i="108"/>
  <c r="J83" i="111" s="1"/>
  <c r="K83" i="108"/>
  <c r="L83" i="108"/>
  <c r="M83" i="108"/>
  <c r="N83" i="108"/>
  <c r="D84" i="108"/>
  <c r="E84" i="108"/>
  <c r="F84" i="108"/>
  <c r="G84" i="108"/>
  <c r="W28" i="108" s="1"/>
  <c r="H84" i="108"/>
  <c r="I84" i="108"/>
  <c r="J84" i="108"/>
  <c r="K84" i="108"/>
  <c r="L84" i="108"/>
  <c r="M84" i="108"/>
  <c r="N84" i="108"/>
  <c r="D85" i="108"/>
  <c r="D85" i="111" s="1"/>
  <c r="T28" i="111" s="1"/>
  <c r="E85" i="108"/>
  <c r="F85" i="108"/>
  <c r="G85" i="108"/>
  <c r="H85" i="108"/>
  <c r="I85" i="108"/>
  <c r="J85" i="108"/>
  <c r="K85" i="108"/>
  <c r="L85" i="108"/>
  <c r="L85" i="111" s="1"/>
  <c r="M85" i="108"/>
  <c r="N85" i="108"/>
  <c r="D86" i="108"/>
  <c r="E86" i="108"/>
  <c r="F86" i="108"/>
  <c r="G86" i="108"/>
  <c r="W29" i="108" s="1"/>
  <c r="H86" i="108"/>
  <c r="I86" i="108"/>
  <c r="I86" i="111" s="1"/>
  <c r="J86" i="108"/>
  <c r="K86" i="108"/>
  <c r="L86" i="108"/>
  <c r="M86" i="108"/>
  <c r="N86" i="108"/>
  <c r="D87" i="108"/>
  <c r="E87" i="108"/>
  <c r="F87" i="108"/>
  <c r="V29" i="108" s="1"/>
  <c r="G87" i="108"/>
  <c r="H87" i="108"/>
  <c r="I87" i="108"/>
  <c r="J87" i="108"/>
  <c r="K87" i="108"/>
  <c r="L87" i="108"/>
  <c r="M87" i="108"/>
  <c r="N87" i="108"/>
  <c r="N87" i="111" s="1"/>
  <c r="D88" i="108"/>
  <c r="E88" i="108"/>
  <c r="F88" i="108"/>
  <c r="G88" i="108"/>
  <c r="H88" i="108"/>
  <c r="I88" i="108"/>
  <c r="J88" i="108"/>
  <c r="K88" i="108"/>
  <c r="AA29" i="108" s="1"/>
  <c r="L88" i="108"/>
  <c r="M88" i="108"/>
  <c r="N88" i="108"/>
  <c r="D89" i="108"/>
  <c r="E89" i="108"/>
  <c r="F89" i="108"/>
  <c r="G89" i="108"/>
  <c r="H89" i="108"/>
  <c r="H89" i="111" s="1"/>
  <c r="I89" i="108"/>
  <c r="J89" i="108"/>
  <c r="K89" i="108"/>
  <c r="L89" i="108"/>
  <c r="M89" i="108"/>
  <c r="N89" i="108"/>
  <c r="D90" i="108"/>
  <c r="E90" i="108"/>
  <c r="E90" i="111" s="1"/>
  <c r="F90" i="108"/>
  <c r="G90" i="108"/>
  <c r="H90" i="108"/>
  <c r="I90" i="108"/>
  <c r="J90" i="108"/>
  <c r="K90" i="108"/>
  <c r="AA30" i="108" s="1"/>
  <c r="L90" i="108"/>
  <c r="M90" i="108"/>
  <c r="M90" i="111" s="1"/>
  <c r="N90" i="108"/>
  <c r="D91" i="108"/>
  <c r="E91" i="108"/>
  <c r="F91" i="108"/>
  <c r="G91" i="108"/>
  <c r="H91" i="108"/>
  <c r="X30" i="108" s="1"/>
  <c r="I91" i="108"/>
  <c r="J91" i="108"/>
  <c r="J91" i="111" s="1"/>
  <c r="K91" i="108"/>
  <c r="L91" i="108"/>
  <c r="M91" i="108"/>
  <c r="N91" i="108"/>
  <c r="D92" i="108"/>
  <c r="E92" i="108"/>
  <c r="F92" i="108"/>
  <c r="G92" i="108"/>
  <c r="G92" i="111" s="1"/>
  <c r="H92" i="108"/>
  <c r="I92" i="108"/>
  <c r="J92" i="108"/>
  <c r="K92" i="108"/>
  <c r="L92" i="108"/>
  <c r="M92" i="108"/>
  <c r="N92" i="108"/>
  <c r="D93" i="108"/>
  <c r="T30" i="108" s="1"/>
  <c r="E93" i="108"/>
  <c r="F93" i="108"/>
  <c r="G93" i="108"/>
  <c r="H93" i="108"/>
  <c r="I93" i="108"/>
  <c r="J93" i="108"/>
  <c r="K93" i="108"/>
  <c r="L93" i="108"/>
  <c r="AB30" i="108" s="1"/>
  <c r="M93" i="108"/>
  <c r="N93" i="108"/>
  <c r="D94" i="108"/>
  <c r="E94" i="108"/>
  <c r="F94" i="108"/>
  <c r="G94" i="108"/>
  <c r="H94" i="108"/>
  <c r="I94" i="108"/>
  <c r="I94" i="111" s="1"/>
  <c r="J94" i="108"/>
  <c r="K94" i="108"/>
  <c r="L94" i="108"/>
  <c r="M94" i="108"/>
  <c r="N94" i="108"/>
  <c r="D95" i="108"/>
  <c r="T31" i="108" s="1"/>
  <c r="E95" i="108"/>
  <c r="F95" i="108"/>
  <c r="F95" i="111" s="1"/>
  <c r="G95" i="108"/>
  <c r="H95" i="108"/>
  <c r="I95" i="108"/>
  <c r="J95" i="108"/>
  <c r="K95" i="108"/>
  <c r="L95" i="108"/>
  <c r="AB31" i="108" s="1"/>
  <c r="M95" i="108"/>
  <c r="N95" i="108"/>
  <c r="AD31" i="108" s="1"/>
  <c r="D96" i="108"/>
  <c r="E96" i="108"/>
  <c r="F96" i="108"/>
  <c r="G96" i="108"/>
  <c r="H96" i="108"/>
  <c r="I96" i="108"/>
  <c r="J96" i="108"/>
  <c r="K96" i="108"/>
  <c r="K96" i="111" s="1"/>
  <c r="AA31" i="111" s="1"/>
  <c r="L96" i="108"/>
  <c r="M96" i="108"/>
  <c r="N96" i="108"/>
  <c r="D97" i="108"/>
  <c r="E97" i="108"/>
  <c r="F97" i="108"/>
  <c r="G97" i="108"/>
  <c r="H97" i="108"/>
  <c r="X31" i="108" s="1"/>
  <c r="I97" i="108"/>
  <c r="J97" i="108"/>
  <c r="K97" i="108"/>
  <c r="L97" i="108"/>
  <c r="M97" i="108"/>
  <c r="N97" i="108"/>
  <c r="D98" i="108"/>
  <c r="E98" i="108"/>
  <c r="E98" i="111" s="1"/>
  <c r="F98" i="108"/>
  <c r="G98" i="108"/>
  <c r="H98" i="108"/>
  <c r="I98" i="108"/>
  <c r="J98" i="108"/>
  <c r="K98" i="108"/>
  <c r="AA32" i="108" s="1"/>
  <c r="L98" i="108"/>
  <c r="M98" i="108"/>
  <c r="M98" i="111" s="1"/>
  <c r="N98" i="108"/>
  <c r="D99" i="108"/>
  <c r="E99" i="108"/>
  <c r="F99" i="108"/>
  <c r="G99" i="108"/>
  <c r="H99" i="108"/>
  <c r="X32" i="108" s="1"/>
  <c r="I99" i="108"/>
  <c r="J99" i="108"/>
  <c r="J99" i="111" s="1"/>
  <c r="K99" i="108"/>
  <c r="L99" i="108"/>
  <c r="M99" i="108"/>
  <c r="N99" i="108"/>
  <c r="D100" i="108"/>
  <c r="E100" i="108"/>
  <c r="F100" i="108"/>
  <c r="G100" i="108"/>
  <c r="G100" i="111" s="1"/>
  <c r="H100" i="108"/>
  <c r="I100" i="108"/>
  <c r="J100" i="108"/>
  <c r="K100" i="108"/>
  <c r="L100" i="108"/>
  <c r="M100" i="108"/>
  <c r="N100" i="108"/>
  <c r="D101" i="108"/>
  <c r="D101" i="111" s="1"/>
  <c r="E101" i="108"/>
  <c r="F101" i="108"/>
  <c r="G101" i="108"/>
  <c r="H101" i="108"/>
  <c r="I101" i="108"/>
  <c r="J101" i="108"/>
  <c r="K101" i="108"/>
  <c r="L101" i="108"/>
  <c r="L101" i="111" s="1"/>
  <c r="M101" i="108"/>
  <c r="N101" i="108"/>
  <c r="D102" i="108"/>
  <c r="E102" i="108"/>
  <c r="F102" i="108"/>
  <c r="G102" i="108"/>
  <c r="W33" i="108" s="1"/>
  <c r="H102" i="108"/>
  <c r="I102" i="108"/>
  <c r="I102" i="111" s="1"/>
  <c r="J102" i="108"/>
  <c r="K102" i="108"/>
  <c r="L102" i="108"/>
  <c r="M102" i="108"/>
  <c r="N102" i="108"/>
  <c r="D103" i="108"/>
  <c r="E103" i="108"/>
  <c r="F103" i="108"/>
  <c r="F103" i="111" s="1"/>
  <c r="G103" i="108"/>
  <c r="H103" i="108"/>
  <c r="I103" i="108"/>
  <c r="J103" i="108"/>
  <c r="K103" i="108"/>
  <c r="L103" i="108"/>
  <c r="M103" i="108"/>
  <c r="N103" i="108"/>
  <c r="N103" i="111" s="1"/>
  <c r="D104" i="108"/>
  <c r="E104" i="108"/>
  <c r="F104" i="108"/>
  <c r="G104" i="108"/>
  <c r="H104" i="108"/>
  <c r="I104" i="108"/>
  <c r="J104" i="108"/>
  <c r="K104" i="108"/>
  <c r="AA33" i="108" s="1"/>
  <c r="L104" i="108"/>
  <c r="M104" i="108"/>
  <c r="N104" i="108"/>
  <c r="D105" i="108"/>
  <c r="E105" i="108"/>
  <c r="F105" i="108"/>
  <c r="G105" i="108"/>
  <c r="H105" i="108"/>
  <c r="H105" i="111" s="1"/>
  <c r="X33" i="111" s="1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S24" i="108" s="1"/>
  <c r="C67" i="108"/>
  <c r="C68" i="108"/>
  <c r="C69" i="108"/>
  <c r="C70" i="108"/>
  <c r="C71" i="108"/>
  <c r="C72" i="108"/>
  <c r="C73" i="108"/>
  <c r="C74" i="108"/>
  <c r="S26" i="108" s="1"/>
  <c r="C75" i="108"/>
  <c r="C76" i="108"/>
  <c r="C77" i="108"/>
  <c r="C78" i="108"/>
  <c r="C79" i="108"/>
  <c r="C80" i="108"/>
  <c r="C81" i="108"/>
  <c r="C82" i="108"/>
  <c r="S28" i="108" s="1"/>
  <c r="C83" i="108"/>
  <c r="C84" i="108"/>
  <c r="C85" i="108"/>
  <c r="C86" i="108"/>
  <c r="C87" i="108"/>
  <c r="C88" i="108"/>
  <c r="C89" i="108"/>
  <c r="C90" i="108"/>
  <c r="S30" i="108" s="1"/>
  <c r="C91" i="108"/>
  <c r="C92" i="108"/>
  <c r="C93" i="108"/>
  <c r="C94" i="108"/>
  <c r="C95" i="108"/>
  <c r="C96" i="108"/>
  <c r="C97" i="108"/>
  <c r="C98" i="108"/>
  <c r="S32" i="108" s="1"/>
  <c r="C99" i="108"/>
  <c r="C100" i="108"/>
  <c r="C101" i="108"/>
  <c r="C102" i="108"/>
  <c r="C103" i="108"/>
  <c r="C104" i="108"/>
  <c r="C105" i="108"/>
  <c r="C58" i="108"/>
  <c r="C106" i="108" s="1"/>
  <c r="P58" i="107"/>
  <c r="P59" i="107"/>
  <c r="P60" i="107"/>
  <c r="P106" i="107" s="1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AF25" i="107" s="1"/>
  <c r="P73" i="107"/>
  <c r="P74" i="107"/>
  <c r="P75" i="107"/>
  <c r="P76" i="107"/>
  <c r="AF26" i="107" s="1"/>
  <c r="P77" i="107"/>
  <c r="P78" i="107"/>
  <c r="P79" i="107"/>
  <c r="P80" i="107"/>
  <c r="P81" i="107"/>
  <c r="AF27" i="107" s="1"/>
  <c r="P82" i="107"/>
  <c r="P83" i="107"/>
  <c r="P84" i="107"/>
  <c r="AF28" i="107" s="1"/>
  <c r="P85" i="107"/>
  <c r="P86" i="107"/>
  <c r="P87" i="107"/>
  <c r="P88" i="107"/>
  <c r="AF29" i="107" s="1"/>
  <c r="P89" i="107"/>
  <c r="P90" i="107"/>
  <c r="P91" i="107"/>
  <c r="P92" i="107"/>
  <c r="P93" i="107"/>
  <c r="P94" i="107"/>
  <c r="P95" i="107"/>
  <c r="P96" i="107"/>
  <c r="AF31" i="107" s="1"/>
  <c r="P97" i="107"/>
  <c r="P98" i="107"/>
  <c r="P99" i="107"/>
  <c r="P100" i="107"/>
  <c r="AF32" i="107" s="1"/>
  <c r="P101" i="107"/>
  <c r="P102" i="107"/>
  <c r="P103" i="107"/>
  <c r="P104" i="107"/>
  <c r="AF33" i="107" s="1"/>
  <c r="P105" i="107"/>
  <c r="O58" i="107"/>
  <c r="O59" i="107"/>
  <c r="O60" i="107"/>
  <c r="O61" i="107"/>
  <c r="O62" i="107"/>
  <c r="O63" i="107"/>
  <c r="O106" i="107" s="1"/>
  <c r="O64" i="107"/>
  <c r="O65" i="107"/>
  <c r="O66" i="107"/>
  <c r="O67" i="107"/>
  <c r="O68" i="107"/>
  <c r="O69" i="107"/>
  <c r="O70" i="107"/>
  <c r="O71" i="107"/>
  <c r="AE25" i="107" s="1"/>
  <c r="O72" i="107"/>
  <c r="O73" i="107"/>
  <c r="O74" i="107"/>
  <c r="O75" i="107"/>
  <c r="O76" i="107"/>
  <c r="O77" i="107"/>
  <c r="O78" i="107"/>
  <c r="O79" i="107"/>
  <c r="AE27" i="107" s="1"/>
  <c r="O80" i="107"/>
  <c r="O81" i="107"/>
  <c r="O82" i="107"/>
  <c r="O83" i="107"/>
  <c r="O84" i="107"/>
  <c r="O85" i="107"/>
  <c r="O86" i="107"/>
  <c r="O87" i="107"/>
  <c r="AE29" i="107" s="1"/>
  <c r="O88" i="107"/>
  <c r="O89" i="107"/>
  <c r="O90" i="107"/>
  <c r="O91" i="107"/>
  <c r="O92" i="107"/>
  <c r="O93" i="107"/>
  <c r="O94" i="107"/>
  <c r="O95" i="107"/>
  <c r="AE31" i="107" s="1"/>
  <c r="O96" i="107"/>
  <c r="O97" i="107"/>
  <c r="O98" i="107"/>
  <c r="O99" i="107"/>
  <c r="O100" i="107"/>
  <c r="O101" i="107"/>
  <c r="O102" i="107"/>
  <c r="O103" i="107"/>
  <c r="AE33" i="107" s="1"/>
  <c r="O104" i="107"/>
  <c r="O105" i="107"/>
  <c r="D58" i="107"/>
  <c r="E58" i="107"/>
  <c r="F58" i="107"/>
  <c r="G58" i="107"/>
  <c r="H58" i="107"/>
  <c r="I58" i="107"/>
  <c r="I58" i="111" s="1"/>
  <c r="J58" i="107"/>
  <c r="K58" i="107"/>
  <c r="K58" i="111" s="1"/>
  <c r="L58" i="107"/>
  <c r="M58" i="107"/>
  <c r="N58" i="107"/>
  <c r="D59" i="107"/>
  <c r="E59" i="107"/>
  <c r="F59" i="107"/>
  <c r="G59" i="107"/>
  <c r="H59" i="107"/>
  <c r="I59" i="107"/>
  <c r="J59" i="107"/>
  <c r="K59" i="107"/>
  <c r="L59" i="107"/>
  <c r="M59" i="107"/>
  <c r="N59" i="107"/>
  <c r="D60" i="107"/>
  <c r="E60" i="107"/>
  <c r="F60" i="107"/>
  <c r="G60" i="107"/>
  <c r="H60" i="107"/>
  <c r="I60" i="107"/>
  <c r="J60" i="107"/>
  <c r="K60" i="107"/>
  <c r="K60" i="111" s="1"/>
  <c r="L60" i="107"/>
  <c r="M60" i="107"/>
  <c r="AC22" i="107" s="1"/>
  <c r="N60" i="107"/>
  <c r="D61" i="107"/>
  <c r="E61" i="107"/>
  <c r="F61" i="107"/>
  <c r="G61" i="107"/>
  <c r="H61" i="107"/>
  <c r="H61" i="111" s="1"/>
  <c r="I61" i="107"/>
  <c r="J61" i="107"/>
  <c r="K61" i="107"/>
  <c r="L61" i="107"/>
  <c r="M61" i="107"/>
  <c r="N61" i="107"/>
  <c r="D62" i="107"/>
  <c r="E62" i="107"/>
  <c r="E62" i="111" s="1"/>
  <c r="F62" i="107"/>
  <c r="G62" i="107"/>
  <c r="H62" i="107"/>
  <c r="I62" i="107"/>
  <c r="J62" i="107"/>
  <c r="K62" i="107"/>
  <c r="L62" i="107"/>
  <c r="M62" i="107"/>
  <c r="M62" i="111" s="1"/>
  <c r="N62" i="107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E64" i="107"/>
  <c r="F64" i="107"/>
  <c r="G64" i="107"/>
  <c r="G64" i="111" s="1"/>
  <c r="H64" i="107"/>
  <c r="I64" i="107"/>
  <c r="I106" i="107" s="1"/>
  <c r="J64" i="107"/>
  <c r="K64" i="107"/>
  <c r="L64" i="107"/>
  <c r="M64" i="107"/>
  <c r="N64" i="107"/>
  <c r="D65" i="107"/>
  <c r="D65" i="111" s="1"/>
  <c r="E65" i="107"/>
  <c r="F65" i="107"/>
  <c r="F65" i="111" s="1"/>
  <c r="G65" i="107"/>
  <c r="H65" i="107"/>
  <c r="I65" i="107"/>
  <c r="J65" i="107"/>
  <c r="K65" i="107"/>
  <c r="L65" i="107"/>
  <c r="L65" i="111" s="1"/>
  <c r="M65" i="107"/>
  <c r="N65" i="107"/>
  <c r="N65" i="111" s="1"/>
  <c r="D66" i="107"/>
  <c r="E66" i="107"/>
  <c r="F66" i="107"/>
  <c r="G66" i="107"/>
  <c r="H66" i="107"/>
  <c r="I66" i="107"/>
  <c r="I66" i="111" s="1"/>
  <c r="J66" i="107"/>
  <c r="K66" i="107"/>
  <c r="K66" i="111" s="1"/>
  <c r="AA24" i="111" s="1"/>
  <c r="L66" i="107"/>
  <c r="M66" i="107"/>
  <c r="N66" i="107"/>
  <c r="D67" i="107"/>
  <c r="E67" i="107"/>
  <c r="F67" i="107"/>
  <c r="F67" i="111" s="1"/>
  <c r="G67" i="107"/>
  <c r="H67" i="107"/>
  <c r="H67" i="111" s="1"/>
  <c r="X24" i="111" s="1"/>
  <c r="I67" i="107"/>
  <c r="J67" i="107"/>
  <c r="K67" i="107"/>
  <c r="L67" i="107"/>
  <c r="M67" i="107"/>
  <c r="N67" i="107"/>
  <c r="N67" i="111" s="1"/>
  <c r="D68" i="107"/>
  <c r="E68" i="107"/>
  <c r="F68" i="107"/>
  <c r="G68" i="107"/>
  <c r="H68" i="107"/>
  <c r="I68" i="107"/>
  <c r="J68" i="107"/>
  <c r="K68" i="107"/>
  <c r="K68" i="111" s="1"/>
  <c r="L68" i="107"/>
  <c r="M68" i="107"/>
  <c r="N68" i="107"/>
  <c r="D69" i="107"/>
  <c r="E69" i="107"/>
  <c r="F69" i="107"/>
  <c r="G69" i="107"/>
  <c r="H69" i="107"/>
  <c r="H69" i="111" s="1"/>
  <c r="I69" i="107"/>
  <c r="J69" i="107"/>
  <c r="K69" i="107"/>
  <c r="L69" i="107"/>
  <c r="M69" i="107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D71" i="111" s="1"/>
  <c r="E71" i="107"/>
  <c r="F71" i="107"/>
  <c r="G71" i="107"/>
  <c r="H71" i="107"/>
  <c r="I71" i="107"/>
  <c r="J71" i="107"/>
  <c r="J71" i="111" s="1"/>
  <c r="K71" i="107"/>
  <c r="L71" i="107"/>
  <c r="L71" i="111" s="1"/>
  <c r="M71" i="107"/>
  <c r="N71" i="107"/>
  <c r="D72" i="107"/>
  <c r="E72" i="107"/>
  <c r="F72" i="107"/>
  <c r="G72" i="107"/>
  <c r="G72" i="111" s="1"/>
  <c r="H72" i="107"/>
  <c r="I72" i="107"/>
  <c r="I72" i="111" s="1"/>
  <c r="J72" i="107"/>
  <c r="K72" i="107"/>
  <c r="L72" i="107"/>
  <c r="M72" i="107"/>
  <c r="N72" i="107"/>
  <c r="D73" i="107"/>
  <c r="D73" i="111" s="1"/>
  <c r="E73" i="107"/>
  <c r="F73" i="107"/>
  <c r="F73" i="111" s="1"/>
  <c r="G73" i="107"/>
  <c r="H73" i="107"/>
  <c r="I73" i="107"/>
  <c r="J73" i="107"/>
  <c r="K73" i="107"/>
  <c r="L73" i="107"/>
  <c r="L73" i="111" s="1"/>
  <c r="M73" i="107"/>
  <c r="N73" i="107"/>
  <c r="N73" i="111" s="1"/>
  <c r="D74" i="107"/>
  <c r="E74" i="107"/>
  <c r="F74" i="107"/>
  <c r="G74" i="107"/>
  <c r="H74" i="107"/>
  <c r="I74" i="107"/>
  <c r="I74" i="111" s="1"/>
  <c r="J74" i="107"/>
  <c r="K74" i="107"/>
  <c r="L74" i="107"/>
  <c r="M74" i="107"/>
  <c r="N74" i="107"/>
  <c r="D75" i="107"/>
  <c r="E75" i="107"/>
  <c r="F75" i="107"/>
  <c r="F75" i="111" s="1"/>
  <c r="G75" i="107"/>
  <c r="H75" i="107"/>
  <c r="I75" i="107"/>
  <c r="J75" i="107"/>
  <c r="K75" i="107"/>
  <c r="L75" i="107"/>
  <c r="M75" i="107"/>
  <c r="N75" i="107"/>
  <c r="N75" i="111" s="1"/>
  <c r="D76" i="107"/>
  <c r="E76" i="107"/>
  <c r="E76" i="111" s="1"/>
  <c r="F76" i="107"/>
  <c r="G76" i="107"/>
  <c r="H76" i="107"/>
  <c r="I76" i="107"/>
  <c r="J76" i="107"/>
  <c r="K76" i="107"/>
  <c r="K76" i="111" s="1"/>
  <c r="L76" i="107"/>
  <c r="M76" i="107"/>
  <c r="M76" i="111" s="1"/>
  <c r="N76" i="107"/>
  <c r="D77" i="107"/>
  <c r="E77" i="107"/>
  <c r="F77" i="107"/>
  <c r="G77" i="107"/>
  <c r="H77" i="107"/>
  <c r="H77" i="111" s="1"/>
  <c r="I77" i="107"/>
  <c r="J77" i="107"/>
  <c r="K77" i="107"/>
  <c r="L77" i="107"/>
  <c r="M77" i="107"/>
  <c r="N77" i="107"/>
  <c r="D78" i="107"/>
  <c r="E78" i="107"/>
  <c r="F78" i="107"/>
  <c r="G78" i="107"/>
  <c r="G78" i="111" s="1"/>
  <c r="W27" i="111" s="1"/>
  <c r="H78" i="107"/>
  <c r="I78" i="107"/>
  <c r="J78" i="107"/>
  <c r="K78" i="107"/>
  <c r="L78" i="107"/>
  <c r="M78" i="107"/>
  <c r="N78" i="107"/>
  <c r="D79" i="107"/>
  <c r="D79" i="111" s="1"/>
  <c r="T27" i="111" s="1"/>
  <c r="E79" i="107"/>
  <c r="F79" i="107"/>
  <c r="G79" i="107"/>
  <c r="H79" i="107"/>
  <c r="I79" i="107"/>
  <c r="J79" i="107"/>
  <c r="J79" i="111" s="1"/>
  <c r="K79" i="107"/>
  <c r="L79" i="107"/>
  <c r="M79" i="107"/>
  <c r="N79" i="107"/>
  <c r="D80" i="107"/>
  <c r="E80" i="107"/>
  <c r="F80" i="107"/>
  <c r="G80" i="107"/>
  <c r="G80" i="111" s="1"/>
  <c r="H80" i="107"/>
  <c r="I80" i="107"/>
  <c r="I80" i="111" s="1"/>
  <c r="J80" i="107"/>
  <c r="K80" i="107"/>
  <c r="L80" i="107"/>
  <c r="M80" i="107"/>
  <c r="N80" i="107"/>
  <c r="D81" i="107"/>
  <c r="D81" i="111" s="1"/>
  <c r="E81" i="107"/>
  <c r="F81" i="107"/>
  <c r="G81" i="107"/>
  <c r="H81" i="107"/>
  <c r="I81" i="107"/>
  <c r="J81" i="107"/>
  <c r="K81" i="107"/>
  <c r="L81" i="107"/>
  <c r="L81" i="111" s="1"/>
  <c r="M81" i="107"/>
  <c r="N81" i="107"/>
  <c r="D82" i="107"/>
  <c r="E82" i="107"/>
  <c r="F82" i="107"/>
  <c r="G82" i="107"/>
  <c r="H82" i="107"/>
  <c r="I82" i="107"/>
  <c r="J82" i="107"/>
  <c r="K82" i="107"/>
  <c r="K82" i="111" s="1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K84" i="111" s="1"/>
  <c r="L84" i="107"/>
  <c r="M84" i="107"/>
  <c r="N84" i="107"/>
  <c r="D85" i="107"/>
  <c r="E85" i="107"/>
  <c r="F85" i="107"/>
  <c r="G85" i="107"/>
  <c r="H85" i="107"/>
  <c r="H85" i="111" s="1"/>
  <c r="I85" i="107"/>
  <c r="J85" i="107"/>
  <c r="J85" i="111" s="1"/>
  <c r="K85" i="107"/>
  <c r="L85" i="107"/>
  <c r="M85" i="107"/>
  <c r="N85" i="107"/>
  <c r="D86" i="107"/>
  <c r="E86" i="107"/>
  <c r="E86" i="111" s="1"/>
  <c r="F86" i="107"/>
  <c r="G86" i="107"/>
  <c r="G86" i="111" s="1"/>
  <c r="H86" i="107"/>
  <c r="I86" i="107"/>
  <c r="J86" i="107"/>
  <c r="K86" i="107"/>
  <c r="L86" i="107"/>
  <c r="M86" i="107"/>
  <c r="M86" i="111" s="1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G88" i="111" s="1"/>
  <c r="H88" i="107"/>
  <c r="I88" i="107"/>
  <c r="J88" i="107"/>
  <c r="K88" i="107"/>
  <c r="L88" i="107"/>
  <c r="M88" i="107"/>
  <c r="N88" i="107"/>
  <c r="D89" i="107"/>
  <c r="D89" i="111" s="1"/>
  <c r="E89" i="107"/>
  <c r="F89" i="107"/>
  <c r="F89" i="111" s="1"/>
  <c r="G89" i="107"/>
  <c r="H89" i="107"/>
  <c r="I89" i="107"/>
  <c r="J89" i="107"/>
  <c r="K89" i="107"/>
  <c r="L89" i="107"/>
  <c r="L89" i="111" s="1"/>
  <c r="M89" i="107"/>
  <c r="N89" i="107"/>
  <c r="N89" i="111" s="1"/>
  <c r="D90" i="107"/>
  <c r="E90" i="107"/>
  <c r="F90" i="107"/>
  <c r="G90" i="107"/>
  <c r="H90" i="107"/>
  <c r="I90" i="107"/>
  <c r="I90" i="111" s="1"/>
  <c r="J90" i="107"/>
  <c r="K90" i="107"/>
  <c r="L90" i="107"/>
  <c r="M90" i="107"/>
  <c r="N90" i="107"/>
  <c r="D91" i="107"/>
  <c r="E91" i="107"/>
  <c r="F91" i="107"/>
  <c r="G91" i="107"/>
  <c r="H91" i="107"/>
  <c r="H91" i="111" s="1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K92" i="111" s="1"/>
  <c r="L92" i="107"/>
  <c r="M92" i="107"/>
  <c r="N92" i="107"/>
  <c r="D93" i="107"/>
  <c r="E93" i="107"/>
  <c r="F93" i="107"/>
  <c r="G93" i="107"/>
  <c r="H93" i="107"/>
  <c r="H93" i="111" s="1"/>
  <c r="I93" i="107"/>
  <c r="J93" i="107"/>
  <c r="J93" i="111" s="1"/>
  <c r="K93" i="107"/>
  <c r="L93" i="107"/>
  <c r="M93" i="107"/>
  <c r="N93" i="107"/>
  <c r="D94" i="107"/>
  <c r="E94" i="107"/>
  <c r="E94" i="111" s="1"/>
  <c r="F94" i="107"/>
  <c r="G94" i="107"/>
  <c r="H94" i="107"/>
  <c r="I94" i="107"/>
  <c r="J94" i="107"/>
  <c r="K94" i="107"/>
  <c r="L94" i="107"/>
  <c r="M94" i="107"/>
  <c r="M94" i="111" s="1"/>
  <c r="N94" i="107"/>
  <c r="D95" i="107"/>
  <c r="D95" i="111" s="1"/>
  <c r="E95" i="107"/>
  <c r="F95" i="107"/>
  <c r="G95" i="107"/>
  <c r="H95" i="107"/>
  <c r="I95" i="107"/>
  <c r="J95" i="107"/>
  <c r="K95" i="107"/>
  <c r="L95" i="107"/>
  <c r="L95" i="111" s="1"/>
  <c r="AB31" i="111" s="1"/>
  <c r="M95" i="107"/>
  <c r="N95" i="107"/>
  <c r="D96" i="107"/>
  <c r="E96" i="107"/>
  <c r="F96" i="107"/>
  <c r="G96" i="107"/>
  <c r="G96" i="111" s="1"/>
  <c r="H96" i="107"/>
  <c r="I96" i="107"/>
  <c r="J96" i="107"/>
  <c r="K96" i="107"/>
  <c r="L96" i="107"/>
  <c r="M96" i="107"/>
  <c r="N96" i="107"/>
  <c r="D97" i="107"/>
  <c r="D97" i="111" s="1"/>
  <c r="E97" i="107"/>
  <c r="F97" i="107"/>
  <c r="G97" i="107"/>
  <c r="H97" i="107"/>
  <c r="I97" i="107"/>
  <c r="J97" i="107"/>
  <c r="K97" i="107"/>
  <c r="L97" i="107"/>
  <c r="L97" i="111" s="1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F99" i="111" s="1"/>
  <c r="G99" i="107"/>
  <c r="H99" i="107"/>
  <c r="H99" i="111" s="1"/>
  <c r="X32" i="111" s="1"/>
  <c r="I99" i="107"/>
  <c r="J99" i="107"/>
  <c r="K99" i="107"/>
  <c r="L99" i="107"/>
  <c r="M99" i="107"/>
  <c r="N99" i="107"/>
  <c r="N99" i="111" s="1"/>
  <c r="D100" i="107"/>
  <c r="E100" i="107"/>
  <c r="F100" i="107"/>
  <c r="G100" i="107"/>
  <c r="H100" i="107"/>
  <c r="I100" i="107"/>
  <c r="J100" i="107"/>
  <c r="K100" i="107"/>
  <c r="K100" i="111" s="1"/>
  <c r="L100" i="107"/>
  <c r="M100" i="107"/>
  <c r="N100" i="107"/>
  <c r="D101" i="107"/>
  <c r="E101" i="107"/>
  <c r="F101" i="107"/>
  <c r="G101" i="107"/>
  <c r="H101" i="107"/>
  <c r="H101" i="111" s="1"/>
  <c r="I101" i="107"/>
  <c r="J101" i="107"/>
  <c r="K101" i="107"/>
  <c r="L101" i="107"/>
  <c r="M101" i="107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G103" i="107"/>
  <c r="H103" i="107"/>
  <c r="I103" i="107"/>
  <c r="J103" i="107"/>
  <c r="J103" i="111" s="1"/>
  <c r="K103" i="107"/>
  <c r="L103" i="107"/>
  <c r="M103" i="107"/>
  <c r="N103" i="107"/>
  <c r="D104" i="107"/>
  <c r="E104" i="107"/>
  <c r="F104" i="107"/>
  <c r="G104" i="107"/>
  <c r="G104" i="111" s="1"/>
  <c r="H104" i="107"/>
  <c r="I104" i="107"/>
  <c r="I104" i="111" s="1"/>
  <c r="J104" i="107"/>
  <c r="K104" i="107"/>
  <c r="L104" i="107"/>
  <c r="M104" i="107"/>
  <c r="N104" i="107"/>
  <c r="D105" i="107"/>
  <c r="D105" i="111" s="1"/>
  <c r="E105" i="107"/>
  <c r="F105" i="107"/>
  <c r="G105" i="107"/>
  <c r="H105" i="107"/>
  <c r="I105" i="107"/>
  <c r="J105" i="107"/>
  <c r="K105" i="107"/>
  <c r="L105" i="107"/>
  <c r="L105" i="111" s="1"/>
  <c r="M105" i="107"/>
  <c r="N105" i="107"/>
  <c r="C59" i="107"/>
  <c r="C60" i="107"/>
  <c r="C61" i="107"/>
  <c r="C62" i="107"/>
  <c r="C63" i="107"/>
  <c r="C64" i="107"/>
  <c r="C64" i="111" s="1"/>
  <c r="C65" i="107"/>
  <c r="C66" i="107"/>
  <c r="S24" i="107" s="1"/>
  <c r="C67" i="107"/>
  <c r="C68" i="107"/>
  <c r="C69" i="107"/>
  <c r="C70" i="107"/>
  <c r="C71" i="107"/>
  <c r="C72" i="107"/>
  <c r="C72" i="111" s="1"/>
  <c r="C73" i="107"/>
  <c r="C74" i="107"/>
  <c r="C74" i="111" s="1"/>
  <c r="C75" i="107"/>
  <c r="C76" i="107"/>
  <c r="C77" i="107"/>
  <c r="C78" i="107"/>
  <c r="C79" i="107"/>
  <c r="C80" i="107"/>
  <c r="C80" i="111" s="1"/>
  <c r="C81" i="107"/>
  <c r="C82" i="107"/>
  <c r="S28" i="107" s="1"/>
  <c r="C83" i="107"/>
  <c r="C84" i="107"/>
  <c r="C85" i="107"/>
  <c r="C86" i="107"/>
  <c r="C87" i="107"/>
  <c r="C88" i="107"/>
  <c r="C88" i="111" s="1"/>
  <c r="C89" i="107"/>
  <c r="C90" i="107"/>
  <c r="C90" i="111" s="1"/>
  <c r="C91" i="107"/>
  <c r="C92" i="107"/>
  <c r="C93" i="107"/>
  <c r="C94" i="107"/>
  <c r="C95" i="107"/>
  <c r="C96" i="107"/>
  <c r="C96" i="111" s="1"/>
  <c r="C97" i="107"/>
  <c r="C98" i="107"/>
  <c r="S32" i="107" s="1"/>
  <c r="C99" i="107"/>
  <c r="C100" i="107"/>
  <c r="C101" i="107"/>
  <c r="C102" i="107"/>
  <c r="C103" i="107"/>
  <c r="C104" i="107"/>
  <c r="C104" i="111" s="1"/>
  <c r="C105" i="107"/>
  <c r="C58" i="107"/>
  <c r="C106" i="107" s="1"/>
  <c r="G106" i="108"/>
  <c r="D58" i="111"/>
  <c r="F58" i="111"/>
  <c r="G58" i="111"/>
  <c r="H58" i="111"/>
  <c r="J58" i="111"/>
  <c r="L58" i="111"/>
  <c r="N58" i="111"/>
  <c r="D59" i="111"/>
  <c r="E59" i="111"/>
  <c r="G59" i="111"/>
  <c r="I59" i="111"/>
  <c r="K59" i="111"/>
  <c r="L59" i="111"/>
  <c r="M59" i="111"/>
  <c r="D60" i="111"/>
  <c r="F60" i="111"/>
  <c r="H60" i="111"/>
  <c r="I60" i="111"/>
  <c r="J60" i="111"/>
  <c r="L60" i="111"/>
  <c r="N60" i="111"/>
  <c r="E61" i="111"/>
  <c r="F61" i="111"/>
  <c r="G61" i="111"/>
  <c r="I61" i="111"/>
  <c r="K61" i="111"/>
  <c r="M61" i="111"/>
  <c r="N61" i="111"/>
  <c r="D62" i="111"/>
  <c r="F62" i="111"/>
  <c r="H62" i="111"/>
  <c r="X23" i="111" s="1"/>
  <c r="J62" i="111"/>
  <c r="K62" i="111"/>
  <c r="L62" i="111"/>
  <c r="N62" i="111"/>
  <c r="E63" i="111"/>
  <c r="G63" i="111"/>
  <c r="H63" i="111"/>
  <c r="I63" i="111"/>
  <c r="K63" i="111"/>
  <c r="M63" i="111"/>
  <c r="D64" i="111"/>
  <c r="E64" i="111"/>
  <c r="F64" i="111"/>
  <c r="H64" i="111"/>
  <c r="J64" i="111"/>
  <c r="L64" i="111"/>
  <c r="M64" i="111"/>
  <c r="N64" i="111"/>
  <c r="E65" i="111"/>
  <c r="G65" i="111"/>
  <c r="I65" i="111"/>
  <c r="J65" i="111"/>
  <c r="K65" i="111"/>
  <c r="M65" i="111"/>
  <c r="D66" i="111"/>
  <c r="F66" i="111"/>
  <c r="V24" i="111" s="1"/>
  <c r="G66" i="111"/>
  <c r="H66" i="111"/>
  <c r="J66" i="111"/>
  <c r="L66" i="111"/>
  <c r="N66" i="111"/>
  <c r="D67" i="111"/>
  <c r="E67" i="111"/>
  <c r="G67" i="111"/>
  <c r="I67" i="111"/>
  <c r="K67" i="111"/>
  <c r="L67" i="111"/>
  <c r="M67" i="111"/>
  <c r="D68" i="111"/>
  <c r="F68" i="111"/>
  <c r="H68" i="111"/>
  <c r="I68" i="111"/>
  <c r="J68" i="111"/>
  <c r="L68" i="111"/>
  <c r="N68" i="111"/>
  <c r="E69" i="111"/>
  <c r="F69" i="111"/>
  <c r="G69" i="111"/>
  <c r="I69" i="111"/>
  <c r="K69" i="111"/>
  <c r="M69" i="111"/>
  <c r="N69" i="111"/>
  <c r="D70" i="111"/>
  <c r="F70" i="111"/>
  <c r="H70" i="111"/>
  <c r="J70" i="111"/>
  <c r="K70" i="111"/>
  <c r="L70" i="111"/>
  <c r="N70" i="111"/>
  <c r="E71" i="111"/>
  <c r="G71" i="111"/>
  <c r="H71" i="111"/>
  <c r="I71" i="111"/>
  <c r="K71" i="111"/>
  <c r="M71" i="111"/>
  <c r="D72" i="111"/>
  <c r="E72" i="111"/>
  <c r="F72" i="111"/>
  <c r="H72" i="111"/>
  <c r="J72" i="111"/>
  <c r="L72" i="111"/>
  <c r="M72" i="111"/>
  <c r="N72" i="111"/>
  <c r="E73" i="111"/>
  <c r="G73" i="111"/>
  <c r="I73" i="111"/>
  <c r="J73" i="111"/>
  <c r="K73" i="111"/>
  <c r="M73" i="111"/>
  <c r="D74" i="111"/>
  <c r="F74" i="111"/>
  <c r="G74" i="111"/>
  <c r="H74" i="111"/>
  <c r="J74" i="111"/>
  <c r="L74" i="111"/>
  <c r="N74" i="111"/>
  <c r="D75" i="111"/>
  <c r="E75" i="111"/>
  <c r="G75" i="111"/>
  <c r="I75" i="111"/>
  <c r="K75" i="111"/>
  <c r="L75" i="111"/>
  <c r="M75" i="111"/>
  <c r="D76" i="111"/>
  <c r="F76" i="111"/>
  <c r="H76" i="111"/>
  <c r="I76" i="111"/>
  <c r="J76" i="111"/>
  <c r="L76" i="111"/>
  <c r="N76" i="111"/>
  <c r="E77" i="111"/>
  <c r="F77" i="111"/>
  <c r="G77" i="111"/>
  <c r="I77" i="111"/>
  <c r="K77" i="111"/>
  <c r="M77" i="111"/>
  <c r="N77" i="111"/>
  <c r="D78" i="111"/>
  <c r="F78" i="111"/>
  <c r="H78" i="111"/>
  <c r="J78" i="111"/>
  <c r="K78" i="111"/>
  <c r="L78" i="111"/>
  <c r="N78" i="111"/>
  <c r="E79" i="111"/>
  <c r="G79" i="111"/>
  <c r="H79" i="111"/>
  <c r="I79" i="111"/>
  <c r="K79" i="111"/>
  <c r="M79" i="111"/>
  <c r="D80" i="111"/>
  <c r="E80" i="111"/>
  <c r="F80" i="111"/>
  <c r="H80" i="111"/>
  <c r="J80" i="111"/>
  <c r="L80" i="111"/>
  <c r="M80" i="111"/>
  <c r="N80" i="111"/>
  <c r="E81" i="111"/>
  <c r="G81" i="111"/>
  <c r="I81" i="111"/>
  <c r="J81" i="111"/>
  <c r="K81" i="111"/>
  <c r="M81" i="111"/>
  <c r="D82" i="111"/>
  <c r="F82" i="111"/>
  <c r="G82" i="111"/>
  <c r="H82" i="111"/>
  <c r="J82" i="111"/>
  <c r="L82" i="111"/>
  <c r="N82" i="111"/>
  <c r="D83" i="111"/>
  <c r="E83" i="111"/>
  <c r="G83" i="111"/>
  <c r="I83" i="111"/>
  <c r="K83" i="111"/>
  <c r="L83" i="111"/>
  <c r="M83" i="111"/>
  <c r="D84" i="111"/>
  <c r="F84" i="111"/>
  <c r="H84" i="111"/>
  <c r="I84" i="111"/>
  <c r="J84" i="111"/>
  <c r="L84" i="111"/>
  <c r="N84" i="111"/>
  <c r="E85" i="111"/>
  <c r="F85" i="111"/>
  <c r="G85" i="111"/>
  <c r="I85" i="111"/>
  <c r="K85" i="111"/>
  <c r="M85" i="111"/>
  <c r="N85" i="111"/>
  <c r="D86" i="111"/>
  <c r="F86" i="111"/>
  <c r="H86" i="111"/>
  <c r="J86" i="111"/>
  <c r="K86" i="111"/>
  <c r="L86" i="111"/>
  <c r="N86" i="111"/>
  <c r="E87" i="111"/>
  <c r="G87" i="111"/>
  <c r="H87" i="111"/>
  <c r="I87" i="111"/>
  <c r="K87" i="111"/>
  <c r="M87" i="111"/>
  <c r="D88" i="111"/>
  <c r="E88" i="111"/>
  <c r="F88" i="111"/>
  <c r="H88" i="111"/>
  <c r="J88" i="111"/>
  <c r="L88" i="111"/>
  <c r="M88" i="111"/>
  <c r="N88" i="111"/>
  <c r="E89" i="111"/>
  <c r="G89" i="111"/>
  <c r="I89" i="111"/>
  <c r="J89" i="111"/>
  <c r="K89" i="111"/>
  <c r="M89" i="111"/>
  <c r="D90" i="111"/>
  <c r="F90" i="111"/>
  <c r="G90" i="111"/>
  <c r="H90" i="111"/>
  <c r="J90" i="111"/>
  <c r="L90" i="111"/>
  <c r="N90" i="111"/>
  <c r="D91" i="111"/>
  <c r="E91" i="111"/>
  <c r="G91" i="111"/>
  <c r="I91" i="111"/>
  <c r="K91" i="111"/>
  <c r="L91" i="111"/>
  <c r="M91" i="111"/>
  <c r="D92" i="111"/>
  <c r="F92" i="111"/>
  <c r="H92" i="111"/>
  <c r="I92" i="111"/>
  <c r="J92" i="111"/>
  <c r="L92" i="111"/>
  <c r="N92" i="111"/>
  <c r="E93" i="111"/>
  <c r="F93" i="111"/>
  <c r="G93" i="111"/>
  <c r="I93" i="111"/>
  <c r="K93" i="111"/>
  <c r="M93" i="111"/>
  <c r="N93" i="111"/>
  <c r="D94" i="111"/>
  <c r="F94" i="111"/>
  <c r="H94" i="111"/>
  <c r="J94" i="111"/>
  <c r="K94" i="111"/>
  <c r="L94" i="111"/>
  <c r="N94" i="111"/>
  <c r="E95" i="111"/>
  <c r="G95" i="111"/>
  <c r="H95" i="111"/>
  <c r="I95" i="111"/>
  <c r="K95" i="111"/>
  <c r="M95" i="111"/>
  <c r="D96" i="111"/>
  <c r="E96" i="111"/>
  <c r="F96" i="111"/>
  <c r="H96" i="111"/>
  <c r="J96" i="111"/>
  <c r="L96" i="111"/>
  <c r="M96" i="111"/>
  <c r="N96" i="111"/>
  <c r="E97" i="111"/>
  <c r="G97" i="111"/>
  <c r="I97" i="111"/>
  <c r="J97" i="111"/>
  <c r="K97" i="111"/>
  <c r="M97" i="111"/>
  <c r="D98" i="111"/>
  <c r="F98" i="111"/>
  <c r="G98" i="111"/>
  <c r="H98" i="111"/>
  <c r="J98" i="111"/>
  <c r="L98" i="111"/>
  <c r="N98" i="111"/>
  <c r="D99" i="111"/>
  <c r="E99" i="111"/>
  <c r="G99" i="111"/>
  <c r="I99" i="111"/>
  <c r="K99" i="111"/>
  <c r="L99" i="111"/>
  <c r="M99" i="111"/>
  <c r="D100" i="111"/>
  <c r="F100" i="111"/>
  <c r="H100" i="111"/>
  <c r="I100" i="111"/>
  <c r="J100" i="111"/>
  <c r="L100" i="111"/>
  <c r="N100" i="111"/>
  <c r="E101" i="111"/>
  <c r="F101" i="111"/>
  <c r="G101" i="111"/>
  <c r="I101" i="111"/>
  <c r="K101" i="111"/>
  <c r="M101" i="111"/>
  <c r="N101" i="111"/>
  <c r="D102" i="111"/>
  <c r="F102" i="111"/>
  <c r="H102" i="111"/>
  <c r="J102" i="111"/>
  <c r="K102" i="111"/>
  <c r="L102" i="111"/>
  <c r="N102" i="111"/>
  <c r="E103" i="111"/>
  <c r="G103" i="111"/>
  <c r="H103" i="111"/>
  <c r="I103" i="111"/>
  <c r="K103" i="111"/>
  <c r="M103" i="111"/>
  <c r="D104" i="111"/>
  <c r="E104" i="111"/>
  <c r="F104" i="111"/>
  <c r="H104" i="111"/>
  <c r="J104" i="111"/>
  <c r="L104" i="111"/>
  <c r="M104" i="111"/>
  <c r="N104" i="111"/>
  <c r="E105" i="111"/>
  <c r="G105" i="111"/>
  <c r="I105" i="111"/>
  <c r="J105" i="111"/>
  <c r="K105" i="111"/>
  <c r="M105" i="111"/>
  <c r="C59" i="111"/>
  <c r="C60" i="111"/>
  <c r="C61" i="111"/>
  <c r="C62" i="111"/>
  <c r="C63" i="111"/>
  <c r="C65" i="111"/>
  <c r="C67" i="111"/>
  <c r="C68" i="111"/>
  <c r="C69" i="111"/>
  <c r="C70" i="111"/>
  <c r="C71" i="111"/>
  <c r="C73" i="111"/>
  <c r="C75" i="111"/>
  <c r="C76" i="111"/>
  <c r="C77" i="111"/>
  <c r="C78" i="111"/>
  <c r="C79" i="111"/>
  <c r="C81" i="111"/>
  <c r="C83" i="111"/>
  <c r="C84" i="111"/>
  <c r="C85" i="111"/>
  <c r="C86" i="111"/>
  <c r="C87" i="111"/>
  <c r="C89" i="111"/>
  <c r="C91" i="111"/>
  <c r="C92" i="111"/>
  <c r="C93" i="111"/>
  <c r="C94" i="111"/>
  <c r="C95" i="111"/>
  <c r="C97" i="111"/>
  <c r="C99" i="111"/>
  <c r="C100" i="111"/>
  <c r="C101" i="111"/>
  <c r="C102" i="111"/>
  <c r="C103" i="111"/>
  <c r="C105" i="111"/>
  <c r="C58" i="111"/>
  <c r="AA33" i="107"/>
  <c r="Z33" i="107"/>
  <c r="Y33" i="107"/>
  <c r="X33" i="107"/>
  <c r="AE32" i="107"/>
  <c r="AB32" i="107"/>
  <c r="W32" i="107"/>
  <c r="V32" i="107"/>
  <c r="T32" i="107"/>
  <c r="AA31" i="107"/>
  <c r="X31" i="107"/>
  <c r="U31" i="107"/>
  <c r="AF30" i="107"/>
  <c r="AE30" i="107"/>
  <c r="AB30" i="107"/>
  <c r="Y30" i="107"/>
  <c r="W30" i="107"/>
  <c r="T30" i="107"/>
  <c r="AA29" i="107"/>
  <c r="X29" i="107"/>
  <c r="W29" i="107"/>
  <c r="AE28" i="107"/>
  <c r="AB28" i="107"/>
  <c r="W28" i="107"/>
  <c r="T28" i="107"/>
  <c r="AA27" i="107"/>
  <c r="Z27" i="107"/>
  <c r="X27" i="107"/>
  <c r="W27" i="107"/>
  <c r="AE26" i="107"/>
  <c r="AD26" i="107"/>
  <c r="AB26" i="107"/>
  <c r="Y26" i="107"/>
  <c r="W26" i="107"/>
  <c r="V26" i="107"/>
  <c r="T26" i="107"/>
  <c r="AA25" i="107"/>
  <c r="Z25" i="107"/>
  <c r="X25" i="107"/>
  <c r="AF24" i="107"/>
  <c r="AE24" i="107"/>
  <c r="AD24" i="107"/>
  <c r="AB24" i="107"/>
  <c r="Y24" i="107"/>
  <c r="W24" i="107"/>
  <c r="V24" i="107"/>
  <c r="T24" i="107"/>
  <c r="AF23" i="107"/>
  <c r="AC23" i="107"/>
  <c r="AA23" i="107"/>
  <c r="X23" i="107"/>
  <c r="U23" i="107"/>
  <c r="AE22" i="107"/>
  <c r="AB22" i="107"/>
  <c r="Y22" i="107"/>
  <c r="W22" i="107"/>
  <c r="V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E36" i="107" s="1"/>
  <c r="AD20" i="107"/>
  <c r="AC20" i="107"/>
  <c r="AB20" i="107"/>
  <c r="AB36" i="107" s="1"/>
  <c r="AA20" i="107"/>
  <c r="Z20" i="107"/>
  <c r="Y20" i="107"/>
  <c r="X20" i="107"/>
  <c r="W20" i="107"/>
  <c r="W36" i="107" s="1"/>
  <c r="V20" i="107"/>
  <c r="U20" i="107"/>
  <c r="T20" i="107"/>
  <c r="T36" i="107" s="1"/>
  <c r="S20" i="107"/>
  <c r="AF19" i="107"/>
  <c r="AF39" i="107" s="1"/>
  <c r="AE19" i="107"/>
  <c r="AE39" i="107" s="1"/>
  <c r="AD19" i="107"/>
  <c r="AD39" i="107" s="1"/>
  <c r="AC19" i="107"/>
  <c r="AC39" i="107" s="1"/>
  <c r="AB19" i="107"/>
  <c r="AB39" i="107" s="1"/>
  <c r="AA19" i="107"/>
  <c r="AA36" i="107" s="1"/>
  <c r="Z19" i="107"/>
  <c r="Z39" i="107" s="1"/>
  <c r="Y19" i="107"/>
  <c r="Y39" i="107" s="1"/>
  <c r="X19" i="107"/>
  <c r="X39" i="107" s="1"/>
  <c r="W19" i="107"/>
  <c r="W39" i="107" s="1"/>
  <c r="V19" i="107"/>
  <c r="V39" i="107" s="1"/>
  <c r="U19" i="107"/>
  <c r="U39" i="107" s="1"/>
  <c r="T19" i="107"/>
  <c r="T39" i="107" s="1"/>
  <c r="S19" i="107"/>
  <c r="S36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C35" i="107" s="1"/>
  <c r="AB15" i="107"/>
  <c r="AA15" i="107"/>
  <c r="Z15" i="107"/>
  <c r="Y15" i="107"/>
  <c r="X15" i="107"/>
  <c r="W15" i="107"/>
  <c r="V15" i="107"/>
  <c r="U15" i="107"/>
  <c r="U35" i="107" s="1"/>
  <c r="T15" i="107"/>
  <c r="S15" i="107"/>
  <c r="AF14" i="107"/>
  <c r="AE14" i="107"/>
  <c r="AD14" i="107"/>
  <c r="AC14" i="107"/>
  <c r="AB14" i="107"/>
  <c r="AA14" i="107"/>
  <c r="AA38" i="107" s="1"/>
  <c r="Z14" i="107"/>
  <c r="Y14" i="107"/>
  <c r="X14" i="107"/>
  <c r="W14" i="107"/>
  <c r="V14" i="107"/>
  <c r="U14" i="107"/>
  <c r="T14" i="107"/>
  <c r="S14" i="107"/>
  <c r="S38" i="107" s="1"/>
  <c r="AF13" i="107"/>
  <c r="AF38" i="107" s="1"/>
  <c r="AE13" i="107"/>
  <c r="AE38" i="107" s="1"/>
  <c r="AD13" i="107"/>
  <c r="AD38" i="107" s="1"/>
  <c r="AC13" i="107"/>
  <c r="AC38" i="107" s="1"/>
  <c r="AB13" i="107"/>
  <c r="AB38" i="107" s="1"/>
  <c r="AA13" i="107"/>
  <c r="Z13" i="107"/>
  <c r="Z35" i="107" s="1"/>
  <c r="Y13" i="107"/>
  <c r="Y35" i="107" s="1"/>
  <c r="X13" i="107"/>
  <c r="X38" i="107" s="1"/>
  <c r="W13" i="107"/>
  <c r="W38" i="107" s="1"/>
  <c r="V13" i="107"/>
  <c r="V38" i="107" s="1"/>
  <c r="U13" i="107"/>
  <c r="U38" i="107" s="1"/>
  <c r="T13" i="107"/>
  <c r="T38" i="107" s="1"/>
  <c r="S13" i="107"/>
  <c r="AF12" i="107"/>
  <c r="AE12" i="107"/>
  <c r="AE40" i="107" s="1"/>
  <c r="AD12" i="107"/>
  <c r="AC12" i="107"/>
  <c r="AB12" i="107"/>
  <c r="AA12" i="107"/>
  <c r="Z12" i="107"/>
  <c r="Y12" i="107"/>
  <c r="X12" i="107"/>
  <c r="W12" i="107"/>
  <c r="W40" i="107" s="1"/>
  <c r="V12" i="107"/>
  <c r="U12" i="107"/>
  <c r="T12" i="107"/>
  <c r="S12" i="107"/>
  <c r="AF11" i="107"/>
  <c r="AE11" i="107"/>
  <c r="AD11" i="107"/>
  <c r="AC11" i="107"/>
  <c r="AC40" i="107" s="1"/>
  <c r="AB11" i="107"/>
  <c r="AA11" i="107"/>
  <c r="Z11" i="107"/>
  <c r="Y11" i="107"/>
  <c r="X11" i="107"/>
  <c r="W11" i="107"/>
  <c r="V11" i="107"/>
  <c r="U11" i="107"/>
  <c r="U40" i="107" s="1"/>
  <c r="T11" i="107"/>
  <c r="S11" i="107"/>
  <c r="AF10" i="107"/>
  <c r="AF34" i="107" s="1"/>
  <c r="AE10" i="107"/>
  <c r="AE34" i="107" s="1"/>
  <c r="AD10" i="107"/>
  <c r="AC10" i="107"/>
  <c r="AB10" i="107"/>
  <c r="AB40" i="107" s="1"/>
  <c r="AA10" i="107"/>
  <c r="AA40" i="107" s="1"/>
  <c r="Z10" i="107"/>
  <c r="Z40" i="107" s="1"/>
  <c r="Y10" i="107"/>
  <c r="Y37" i="107" s="1"/>
  <c r="X10" i="107"/>
  <c r="X34" i="107" s="1"/>
  <c r="W10" i="107"/>
  <c r="W34" i="107" s="1"/>
  <c r="V10" i="107"/>
  <c r="U10" i="107"/>
  <c r="T10" i="107"/>
  <c r="T40" i="107" s="1"/>
  <c r="S10" i="107"/>
  <c r="S40" i="107" s="1"/>
  <c r="AF37" i="108"/>
  <c r="AE37" i="108"/>
  <c r="X37" i="108"/>
  <c r="W37" i="108"/>
  <c r="AD33" i="108"/>
  <c r="AC33" i="108"/>
  <c r="AB33" i="108"/>
  <c r="Z33" i="108"/>
  <c r="V33" i="108"/>
  <c r="U33" i="108"/>
  <c r="T33" i="108"/>
  <c r="S33" i="108"/>
  <c r="AF32" i="108"/>
  <c r="AE32" i="108"/>
  <c r="AD32" i="108"/>
  <c r="AB32" i="108"/>
  <c r="Z32" i="108"/>
  <c r="Y32" i="108"/>
  <c r="V32" i="108"/>
  <c r="T32" i="108"/>
  <c r="AC31" i="108"/>
  <c r="Z31" i="108"/>
  <c r="Y31" i="108"/>
  <c r="W31" i="108"/>
  <c r="U31" i="108"/>
  <c r="S31" i="108"/>
  <c r="AF30" i="108"/>
  <c r="AE30" i="108"/>
  <c r="AD30" i="108"/>
  <c r="AC30" i="108"/>
  <c r="Y30" i="108"/>
  <c r="W30" i="108"/>
  <c r="V30" i="108"/>
  <c r="U30" i="108"/>
  <c r="AC29" i="108"/>
  <c r="AB29" i="108"/>
  <c r="Z29" i="108"/>
  <c r="U29" i="108"/>
  <c r="T29" i="108"/>
  <c r="S29" i="108"/>
  <c r="AF28" i="108"/>
  <c r="AE28" i="108"/>
  <c r="AD28" i="108"/>
  <c r="Z28" i="108"/>
  <c r="Y28" i="108"/>
  <c r="X28" i="108"/>
  <c r="V28" i="108"/>
  <c r="AC27" i="108"/>
  <c r="Z27" i="108"/>
  <c r="W27" i="108"/>
  <c r="U27" i="108"/>
  <c r="S27" i="108"/>
  <c r="AF26" i="108"/>
  <c r="AE26" i="108"/>
  <c r="AD26" i="108"/>
  <c r="AC26" i="108"/>
  <c r="AA26" i="108"/>
  <c r="Y26" i="108"/>
  <c r="V26" i="108"/>
  <c r="U26" i="108"/>
  <c r="AC25" i="108"/>
  <c r="Z25" i="108"/>
  <c r="X25" i="108"/>
  <c r="U25" i="108"/>
  <c r="S25" i="108"/>
  <c r="AF24" i="108"/>
  <c r="AE24" i="108"/>
  <c r="AD24" i="108"/>
  <c r="Y24" i="108"/>
  <c r="X24" i="108"/>
  <c r="V24" i="108"/>
  <c r="AE23" i="108"/>
  <c r="AC23" i="108"/>
  <c r="AA23" i="108"/>
  <c r="Z23" i="108"/>
  <c r="U23" i="108"/>
  <c r="S23" i="108"/>
  <c r="AF22" i="108"/>
  <c r="AE22" i="108"/>
  <c r="AD22" i="108"/>
  <c r="AA22" i="108"/>
  <c r="Y22" i="108"/>
  <c r="V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D36" i="108" s="1"/>
  <c r="AC20" i="108"/>
  <c r="AC36" i="108" s="1"/>
  <c r="AB20" i="108"/>
  <c r="AA20" i="108"/>
  <c r="Z20" i="108"/>
  <c r="Y20" i="108"/>
  <c r="X20" i="108"/>
  <c r="W20" i="108"/>
  <c r="V20" i="108"/>
  <c r="V36" i="108" s="1"/>
  <c r="U20" i="108"/>
  <c r="U36" i="108" s="1"/>
  <c r="T20" i="108"/>
  <c r="S20" i="108"/>
  <c r="AF19" i="108"/>
  <c r="AF39" i="108" s="1"/>
  <c r="AE19" i="108"/>
  <c r="AE39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6" i="108" s="1"/>
  <c r="S19" i="108"/>
  <c r="S36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B35" i="108" s="1"/>
  <c r="AA15" i="108"/>
  <c r="AA35" i="108" s="1"/>
  <c r="Z15" i="108"/>
  <c r="Y15" i="108"/>
  <c r="X15" i="108"/>
  <c r="W15" i="108"/>
  <c r="V15" i="108"/>
  <c r="U15" i="108"/>
  <c r="T15" i="108"/>
  <c r="T35" i="108" s="1"/>
  <c r="S15" i="108"/>
  <c r="S35" i="108" s="1"/>
  <c r="AF14" i="108"/>
  <c r="AE14" i="108"/>
  <c r="AD14" i="108"/>
  <c r="AC14" i="108"/>
  <c r="AB14" i="108"/>
  <c r="AA14" i="108"/>
  <c r="Z14" i="108"/>
  <c r="Z38" i="108" s="1"/>
  <c r="Y14" i="108"/>
  <c r="Y38" i="108" s="1"/>
  <c r="X14" i="108"/>
  <c r="W14" i="108"/>
  <c r="V14" i="108"/>
  <c r="U14" i="108"/>
  <c r="T14" i="108"/>
  <c r="S14" i="108"/>
  <c r="AF13" i="108"/>
  <c r="AF38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5" i="108" s="1"/>
  <c r="Y13" i="108"/>
  <c r="Y35" i="108" s="1"/>
  <c r="X13" i="108"/>
  <c r="X38" i="108" s="1"/>
  <c r="W13" i="108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D40" i="108" s="1"/>
  <c r="AC12" i="108"/>
  <c r="AC40" i="108" s="1"/>
  <c r="AB12" i="108"/>
  <c r="AA12" i="108"/>
  <c r="Z12" i="108"/>
  <c r="Y12" i="108"/>
  <c r="X12" i="108"/>
  <c r="W12" i="108"/>
  <c r="V12" i="108"/>
  <c r="V40" i="108" s="1"/>
  <c r="U12" i="108"/>
  <c r="U40" i="108" s="1"/>
  <c r="T12" i="108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34" i="108" s="1"/>
  <c r="AE10" i="108"/>
  <c r="AE34" i="108" s="1"/>
  <c r="AD10" i="108"/>
  <c r="AC10" i="108"/>
  <c r="AB10" i="108"/>
  <c r="AB40" i="108" s="1"/>
  <c r="AA10" i="108"/>
  <c r="AA40" i="108" s="1"/>
  <c r="Z10" i="108"/>
  <c r="Z40" i="108" s="1"/>
  <c r="Y10" i="108"/>
  <c r="Y34" i="108" s="1"/>
  <c r="X10" i="108"/>
  <c r="X34" i="108" s="1"/>
  <c r="W10" i="108"/>
  <c r="W34" i="108" s="1"/>
  <c r="V10" i="108"/>
  <c r="U10" i="108"/>
  <c r="T10" i="108"/>
  <c r="T40" i="108" s="1"/>
  <c r="S10" i="108"/>
  <c r="S40" i="108" s="1"/>
  <c r="AE37" i="111"/>
  <c r="W37" i="111"/>
  <c r="AD24" i="111"/>
  <c r="AC23" i="11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E20" i="111"/>
  <c r="AD20" i="111"/>
  <c r="AC20" i="111"/>
  <c r="AC36" i="111" s="1"/>
  <c r="AB20" i="111"/>
  <c r="AA20" i="111"/>
  <c r="Z20" i="111"/>
  <c r="Y20" i="111"/>
  <c r="X20" i="111"/>
  <c r="W20" i="111"/>
  <c r="V20" i="111"/>
  <c r="U20" i="111"/>
  <c r="U36" i="111" s="1"/>
  <c r="T20" i="111"/>
  <c r="S20" i="111"/>
  <c r="AF19" i="111"/>
  <c r="AF39" i="111" s="1"/>
  <c r="AE19" i="111"/>
  <c r="AE39" i="111" s="1"/>
  <c r="AD19" i="111"/>
  <c r="AD39" i="111" s="1"/>
  <c r="AC19" i="111"/>
  <c r="AC39" i="111" s="1"/>
  <c r="AB19" i="111"/>
  <c r="AB36" i="111" s="1"/>
  <c r="AA19" i="111"/>
  <c r="AA39" i="111" s="1"/>
  <c r="Z19" i="111"/>
  <c r="Z39" i="111" s="1"/>
  <c r="Y19" i="111"/>
  <c r="Y39" i="111" s="1"/>
  <c r="X19" i="111"/>
  <c r="X39" i="111" s="1"/>
  <c r="W19" i="111"/>
  <c r="W39" i="111" s="1"/>
  <c r="V19" i="111"/>
  <c r="V39" i="111" s="1"/>
  <c r="U19" i="111"/>
  <c r="U39" i="111" s="1"/>
  <c r="T19" i="111"/>
  <c r="T36" i="111" s="1"/>
  <c r="S19" i="111"/>
  <c r="S36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E15" i="111"/>
  <c r="AD15" i="111"/>
  <c r="AC15" i="111"/>
  <c r="AB15" i="111"/>
  <c r="AA15" i="111"/>
  <c r="AA35" i="111" s="1"/>
  <c r="Z15" i="111"/>
  <c r="Y15" i="111"/>
  <c r="X15" i="111"/>
  <c r="W15" i="111"/>
  <c r="V15" i="111"/>
  <c r="U15" i="111"/>
  <c r="T15" i="111"/>
  <c r="S15" i="111"/>
  <c r="S35" i="111" s="1"/>
  <c r="AF14" i="111"/>
  <c r="AE14" i="111"/>
  <c r="AD14" i="111"/>
  <c r="AC14" i="111"/>
  <c r="AB14" i="111"/>
  <c r="AA14" i="111"/>
  <c r="Z14" i="111"/>
  <c r="Y14" i="111"/>
  <c r="Y38" i="111" s="1"/>
  <c r="X14" i="111"/>
  <c r="W14" i="111"/>
  <c r="V14" i="111"/>
  <c r="U14" i="111"/>
  <c r="T14" i="111"/>
  <c r="S14" i="111"/>
  <c r="AF13" i="111"/>
  <c r="AF38" i="111" s="1"/>
  <c r="AE13" i="111"/>
  <c r="AE38" i="111" s="1"/>
  <c r="AD13" i="111"/>
  <c r="AD38" i="111" s="1"/>
  <c r="AC13" i="111"/>
  <c r="AC38" i="111" s="1"/>
  <c r="AB13" i="111"/>
  <c r="AB38" i="111" s="1"/>
  <c r="AA13" i="111"/>
  <c r="AA38" i="111" s="1"/>
  <c r="Z13" i="111"/>
  <c r="Z35" i="111" s="1"/>
  <c r="Y13" i="111"/>
  <c r="Y35" i="111" s="1"/>
  <c r="X13" i="111"/>
  <c r="X38" i="111" s="1"/>
  <c r="W13" i="111"/>
  <c r="W38" i="111" s="1"/>
  <c r="V13" i="111"/>
  <c r="V38" i="111" s="1"/>
  <c r="U13" i="111"/>
  <c r="U38" i="111" s="1"/>
  <c r="T13" i="111"/>
  <c r="T38" i="111" s="1"/>
  <c r="S13" i="111"/>
  <c r="S38" i="111" s="1"/>
  <c r="AF12" i="111"/>
  <c r="AE12" i="111"/>
  <c r="AD12" i="111"/>
  <c r="AC12" i="111"/>
  <c r="AC40" i="111" s="1"/>
  <c r="AB12" i="111"/>
  <c r="AA12" i="111"/>
  <c r="Z12" i="111"/>
  <c r="Y12" i="111"/>
  <c r="X12" i="111"/>
  <c r="W12" i="111"/>
  <c r="V12" i="111"/>
  <c r="U12" i="111"/>
  <c r="U40" i="111" s="1"/>
  <c r="T12" i="111"/>
  <c r="S12" i="111"/>
  <c r="AF11" i="111"/>
  <c r="AE11" i="111"/>
  <c r="AD11" i="111"/>
  <c r="AC11" i="111"/>
  <c r="AB11" i="111"/>
  <c r="AA11" i="111"/>
  <c r="Z11" i="111"/>
  <c r="Y11" i="111"/>
  <c r="X11" i="111"/>
  <c r="W11" i="111"/>
  <c r="V11" i="111"/>
  <c r="U11" i="111"/>
  <c r="T11" i="111"/>
  <c r="S11" i="111"/>
  <c r="AF10" i="111"/>
  <c r="AF34" i="111" s="1"/>
  <c r="AE10" i="111"/>
  <c r="AE34" i="111" s="1"/>
  <c r="AD10" i="111"/>
  <c r="AC10" i="111"/>
  <c r="AB10" i="111"/>
  <c r="AB40" i="111" s="1"/>
  <c r="AA10" i="111"/>
  <c r="AA40" i="111" s="1"/>
  <c r="Z10" i="111"/>
  <c r="Z40" i="111" s="1"/>
  <c r="Y10" i="111"/>
  <c r="Y34" i="111" s="1"/>
  <c r="X10" i="111"/>
  <c r="X34" i="111" s="1"/>
  <c r="W10" i="111"/>
  <c r="W34" i="111" s="1"/>
  <c r="V10" i="111"/>
  <c r="U10" i="111"/>
  <c r="T10" i="111"/>
  <c r="T40" i="111" s="1"/>
  <c r="S10" i="111"/>
  <c r="S40" i="111" s="1"/>
  <c r="AF23" i="108" l="1"/>
  <c r="AF41" i="108" s="1"/>
  <c r="AF42" i="108" s="1"/>
  <c r="AB26" i="111"/>
  <c r="X30" i="111"/>
  <c r="I106" i="108"/>
  <c r="Z30" i="111"/>
  <c r="V29" i="111"/>
  <c r="AA28" i="111"/>
  <c r="AA41" i="111" s="1"/>
  <c r="Y25" i="111"/>
  <c r="V23" i="111"/>
  <c r="T22" i="108"/>
  <c r="AB22" i="108"/>
  <c r="V23" i="108"/>
  <c r="AD23" i="108"/>
  <c r="AA25" i="108"/>
  <c r="AA41" i="108" s="1"/>
  <c r="X27" i="108"/>
  <c r="U32" i="108"/>
  <c r="AC32" i="108"/>
  <c r="K104" i="111"/>
  <c r="AA33" i="111" s="1"/>
  <c r="AB32" i="111"/>
  <c r="N95" i="111"/>
  <c r="D93" i="111"/>
  <c r="T30" i="111" s="1"/>
  <c r="F87" i="111"/>
  <c r="G84" i="111"/>
  <c r="W28" i="111" s="1"/>
  <c r="I78" i="111"/>
  <c r="Y27" i="111" s="1"/>
  <c r="J75" i="111"/>
  <c r="L69" i="111"/>
  <c r="AB24" i="111" s="1"/>
  <c r="M66" i="111"/>
  <c r="N63" i="111"/>
  <c r="AD23" i="111" s="1"/>
  <c r="D61" i="111"/>
  <c r="T22" i="111" s="1"/>
  <c r="E58" i="111"/>
  <c r="O58" i="111" s="1"/>
  <c r="J106" i="108"/>
  <c r="W29" i="111"/>
  <c r="O76" i="111"/>
  <c r="AB25" i="111"/>
  <c r="U22" i="108"/>
  <c r="W26" i="108"/>
  <c r="T28" i="108"/>
  <c r="AB28" i="108"/>
  <c r="AD29" i="108"/>
  <c r="AD41" i="108" s="1"/>
  <c r="AA31" i="108"/>
  <c r="X33" i="108"/>
  <c r="Z33" i="111"/>
  <c r="AD32" i="111"/>
  <c r="AC31" i="111"/>
  <c r="AC29" i="111"/>
  <c r="U29" i="111"/>
  <c r="V26" i="111"/>
  <c r="Y26" i="111"/>
  <c r="Y24" i="111"/>
  <c r="AD29" i="111"/>
  <c r="Z24" i="108"/>
  <c r="X23" i="108"/>
  <c r="X41" i="108" s="1"/>
  <c r="U28" i="108"/>
  <c r="AC28" i="108"/>
  <c r="Z30" i="108"/>
  <c r="W32" i="108"/>
  <c r="Y33" i="108"/>
  <c r="L93" i="111"/>
  <c r="AB30" i="111" s="1"/>
  <c r="F79" i="111"/>
  <c r="P79" i="111" s="1"/>
  <c r="I70" i="111"/>
  <c r="I106" i="111" s="1"/>
  <c r="L61" i="111"/>
  <c r="AB22" i="111" s="1"/>
  <c r="M58" i="111"/>
  <c r="V32" i="111"/>
  <c r="Y33" i="111"/>
  <c r="T31" i="111"/>
  <c r="Z28" i="111"/>
  <c r="AD25" i="111"/>
  <c r="T25" i="111"/>
  <c r="AC22" i="108"/>
  <c r="AC41" i="108" s="1"/>
  <c r="AC42" i="108" s="1"/>
  <c r="W22" i="108"/>
  <c r="W41" i="108" s="1"/>
  <c r="Y23" i="108"/>
  <c r="Y41" i="108" s="1"/>
  <c r="T24" i="108"/>
  <c r="T41" i="108" s="1"/>
  <c r="T42" i="108" s="1"/>
  <c r="V25" i="108"/>
  <c r="V41" i="108" s="1"/>
  <c r="V42" i="108" s="1"/>
  <c r="AD25" i="108"/>
  <c r="AA27" i="108"/>
  <c r="X29" i="108"/>
  <c r="V25" i="111"/>
  <c r="X22" i="108"/>
  <c r="U24" i="108"/>
  <c r="U41" i="108" s="1"/>
  <c r="U42" i="108" s="1"/>
  <c r="Y29" i="108"/>
  <c r="V31" i="108"/>
  <c r="W32" i="111"/>
  <c r="H97" i="111"/>
  <c r="X31" i="111" s="1"/>
  <c r="K88" i="111"/>
  <c r="AA29" i="111"/>
  <c r="AB28" i="111"/>
  <c r="N79" i="111"/>
  <c r="D77" i="111"/>
  <c r="O77" i="111" s="1"/>
  <c r="T26" i="111"/>
  <c r="G68" i="111"/>
  <c r="W24" i="111"/>
  <c r="J59" i="111"/>
  <c r="F106" i="108"/>
  <c r="AC26" i="111"/>
  <c r="AB26" i="108"/>
  <c r="AB41" i="108" s="1"/>
  <c r="T32" i="111"/>
  <c r="W30" i="111"/>
  <c r="X29" i="111"/>
  <c r="AA27" i="111"/>
  <c r="T24" i="111"/>
  <c r="U23" i="111"/>
  <c r="W22" i="111"/>
  <c r="P76" i="111"/>
  <c r="AF22" i="107"/>
  <c r="AE23" i="107"/>
  <c r="AE41" i="107" s="1"/>
  <c r="AE42" i="107" s="1"/>
  <c r="F97" i="111"/>
  <c r="V31" i="111" s="1"/>
  <c r="V31" i="107"/>
  <c r="M102" i="111"/>
  <c r="AC33" i="111" s="1"/>
  <c r="AC33" i="107"/>
  <c r="I98" i="111"/>
  <c r="Y32" i="111" s="1"/>
  <c r="Y32" i="107"/>
  <c r="Y41" i="107" s="1"/>
  <c r="J95" i="111"/>
  <c r="Z31" i="111" s="1"/>
  <c r="Z31" i="107"/>
  <c r="U31" i="111"/>
  <c r="J87" i="111"/>
  <c r="Z29" i="111" s="1"/>
  <c r="Z29" i="107"/>
  <c r="N83" i="111"/>
  <c r="AD28" i="111" s="1"/>
  <c r="AD28" i="107"/>
  <c r="AD41" i="107" s="1"/>
  <c r="F83" i="111"/>
  <c r="V28" i="111" s="1"/>
  <c r="V28" i="107"/>
  <c r="I82" i="111"/>
  <c r="Y28" i="111" s="1"/>
  <c r="Y28" i="107"/>
  <c r="Z27" i="111"/>
  <c r="M78" i="111"/>
  <c r="AC27" i="111" s="1"/>
  <c r="AC27" i="107"/>
  <c r="E78" i="111"/>
  <c r="U27" i="111" s="1"/>
  <c r="U27" i="107"/>
  <c r="AD26" i="111"/>
  <c r="Z25" i="111"/>
  <c r="M70" i="111"/>
  <c r="AC25" i="111" s="1"/>
  <c r="AC25" i="107"/>
  <c r="E70" i="111"/>
  <c r="U25" i="111" s="1"/>
  <c r="U25" i="107"/>
  <c r="J63" i="111"/>
  <c r="Z23" i="111" s="1"/>
  <c r="Z23" i="107"/>
  <c r="N59" i="111"/>
  <c r="P59" i="111" s="1"/>
  <c r="AD22" i="107"/>
  <c r="N106" i="107"/>
  <c r="F59" i="111"/>
  <c r="V22" i="111" s="1"/>
  <c r="F106" i="107"/>
  <c r="Y22" i="111"/>
  <c r="F105" i="111"/>
  <c r="V33" i="111" s="1"/>
  <c r="V33" i="107"/>
  <c r="W33" i="107"/>
  <c r="G102" i="111"/>
  <c r="W33" i="111" s="1"/>
  <c r="K98" i="111"/>
  <c r="AA32" i="111" s="1"/>
  <c r="AA32" i="107"/>
  <c r="Y31" i="107"/>
  <c r="I96" i="111"/>
  <c r="Y31" i="111" s="1"/>
  <c r="M84" i="111"/>
  <c r="AC28" i="111" s="1"/>
  <c r="AC28" i="107"/>
  <c r="AD27" i="107"/>
  <c r="N81" i="111"/>
  <c r="L79" i="111"/>
  <c r="AB27" i="111" s="1"/>
  <c r="AB27" i="107"/>
  <c r="AA26" i="107"/>
  <c r="K74" i="111"/>
  <c r="AA26" i="111" s="1"/>
  <c r="W25" i="107"/>
  <c r="W41" i="107" s="1"/>
  <c r="W42" i="107" s="1"/>
  <c r="G70" i="111"/>
  <c r="W25" i="111" s="1"/>
  <c r="L63" i="111"/>
  <c r="AB23" i="111" s="1"/>
  <c r="L106" i="107"/>
  <c r="E60" i="111"/>
  <c r="E106" i="107"/>
  <c r="AB25" i="107"/>
  <c r="X30" i="107"/>
  <c r="X41" i="107" s="1"/>
  <c r="AA22" i="107"/>
  <c r="Y27" i="107"/>
  <c r="F91" i="111"/>
  <c r="V30" i="111" s="1"/>
  <c r="V30" i="107"/>
  <c r="T25" i="107"/>
  <c r="AC26" i="107"/>
  <c r="AC29" i="107"/>
  <c r="Z30" i="107"/>
  <c r="AB31" i="107"/>
  <c r="L103" i="111"/>
  <c r="AB33" i="111" s="1"/>
  <c r="AB33" i="107"/>
  <c r="J101" i="111"/>
  <c r="Z32" i="111" s="1"/>
  <c r="Z32" i="107"/>
  <c r="N97" i="111"/>
  <c r="AD31" i="111" s="1"/>
  <c r="AD31" i="107"/>
  <c r="G94" i="111"/>
  <c r="W31" i="111" s="1"/>
  <c r="W31" i="107"/>
  <c r="I88" i="111"/>
  <c r="Y29" i="111" s="1"/>
  <c r="Y29" i="107"/>
  <c r="J61" i="111"/>
  <c r="Z22" i="111" s="1"/>
  <c r="J106" i="107"/>
  <c r="AD25" i="107"/>
  <c r="Y30" i="111"/>
  <c r="U22" i="107"/>
  <c r="U41" i="107" s="1"/>
  <c r="U42" i="107" s="1"/>
  <c r="V25" i="107"/>
  <c r="AC31" i="107"/>
  <c r="AD32" i="107"/>
  <c r="D103" i="111"/>
  <c r="T33" i="111" s="1"/>
  <c r="T33" i="107"/>
  <c r="AC32" i="107"/>
  <c r="M100" i="111"/>
  <c r="AC32" i="111" s="1"/>
  <c r="E92" i="111"/>
  <c r="U30" i="111" s="1"/>
  <c r="U30" i="107"/>
  <c r="K90" i="111"/>
  <c r="AA30" i="111" s="1"/>
  <c r="AA30" i="107"/>
  <c r="AB29" i="107"/>
  <c r="AB41" i="107" s="1"/>
  <c r="L87" i="111"/>
  <c r="AB29" i="111" s="1"/>
  <c r="H75" i="111"/>
  <c r="X26" i="111" s="1"/>
  <c r="X26" i="107"/>
  <c r="AC24" i="107"/>
  <c r="AC41" i="107" s="1"/>
  <c r="AC42" i="107" s="1"/>
  <c r="M68" i="111"/>
  <c r="AC24" i="111" s="1"/>
  <c r="D63" i="111"/>
  <c r="T23" i="111" s="1"/>
  <c r="T41" i="111" s="1"/>
  <c r="T42" i="111" s="1"/>
  <c r="D106" i="107"/>
  <c r="AA22" i="111"/>
  <c r="V23" i="107"/>
  <c r="Z28" i="107"/>
  <c r="E102" i="111"/>
  <c r="U33" i="111" s="1"/>
  <c r="U33" i="107"/>
  <c r="X24" i="107"/>
  <c r="AD29" i="107"/>
  <c r="V41" i="107"/>
  <c r="P85" i="111"/>
  <c r="P75" i="111"/>
  <c r="K106" i="107"/>
  <c r="N105" i="111"/>
  <c r="AD33" i="111" s="1"/>
  <c r="AD33" i="107"/>
  <c r="M92" i="111"/>
  <c r="AC30" i="111" s="1"/>
  <c r="AC30" i="107"/>
  <c r="X28" i="107"/>
  <c r="H83" i="111"/>
  <c r="X28" i="111" s="1"/>
  <c r="Z26" i="107"/>
  <c r="J77" i="111"/>
  <c r="Z26" i="111" s="1"/>
  <c r="U24" i="107"/>
  <c r="E68" i="111"/>
  <c r="G106" i="107"/>
  <c r="G62" i="111"/>
  <c r="W23" i="111" s="1"/>
  <c r="W23" i="107"/>
  <c r="H106" i="107"/>
  <c r="H59" i="111"/>
  <c r="X22" i="111" s="1"/>
  <c r="Z22" i="107"/>
  <c r="Z41" i="107" s="1"/>
  <c r="Z42" i="107" s="1"/>
  <c r="AB23" i="107"/>
  <c r="U26" i="111"/>
  <c r="AD23" i="107"/>
  <c r="AA24" i="107"/>
  <c r="Y25" i="107"/>
  <c r="U26" i="107"/>
  <c r="U29" i="107"/>
  <c r="P73" i="111"/>
  <c r="U32" i="107"/>
  <c r="E100" i="111"/>
  <c r="U32" i="111" s="1"/>
  <c r="T29" i="107"/>
  <c r="D87" i="111"/>
  <c r="T29" i="111" s="1"/>
  <c r="E84" i="111"/>
  <c r="U28" i="111" s="1"/>
  <c r="U28" i="107"/>
  <c r="V27" i="107"/>
  <c r="F81" i="111"/>
  <c r="J69" i="111"/>
  <c r="Z24" i="111" s="1"/>
  <c r="Z24" i="107"/>
  <c r="Y23" i="107"/>
  <c r="I64" i="111"/>
  <c r="Y23" i="111" s="1"/>
  <c r="M60" i="111"/>
  <c r="AC22" i="111" s="1"/>
  <c r="M106" i="107"/>
  <c r="AA28" i="107"/>
  <c r="X32" i="107"/>
  <c r="N91" i="111"/>
  <c r="AD30" i="111" s="1"/>
  <c r="AD30" i="107"/>
  <c r="X22" i="107"/>
  <c r="T23" i="107"/>
  <c r="T27" i="107"/>
  <c r="V29" i="107"/>
  <c r="T31" i="107"/>
  <c r="P93" i="111"/>
  <c r="P71" i="111"/>
  <c r="P61" i="111"/>
  <c r="P101" i="111"/>
  <c r="P89" i="111"/>
  <c r="P78" i="111"/>
  <c r="P99" i="111"/>
  <c r="P67" i="111"/>
  <c r="P97" i="111"/>
  <c r="P86" i="111"/>
  <c r="P65" i="111"/>
  <c r="S30" i="111"/>
  <c r="P90" i="111"/>
  <c r="S26" i="111"/>
  <c r="P72" i="111"/>
  <c r="O72" i="111"/>
  <c r="P104" i="111"/>
  <c r="O104" i="111"/>
  <c r="S31" i="111"/>
  <c r="P88" i="111"/>
  <c r="S27" i="111"/>
  <c r="P80" i="111"/>
  <c r="O80" i="111"/>
  <c r="S23" i="111"/>
  <c r="P64" i="111"/>
  <c r="S23" i="107"/>
  <c r="S41" i="107" s="1"/>
  <c r="S42" i="107" s="1"/>
  <c r="S27" i="107"/>
  <c r="S31" i="107"/>
  <c r="O99" i="111"/>
  <c r="O75" i="111"/>
  <c r="O67" i="111"/>
  <c r="S26" i="107"/>
  <c r="S30" i="107"/>
  <c r="C106" i="111"/>
  <c r="C98" i="111"/>
  <c r="C82" i="111"/>
  <c r="C66" i="111"/>
  <c r="O97" i="111"/>
  <c r="O89" i="111"/>
  <c r="O81" i="111"/>
  <c r="O73" i="111"/>
  <c r="O65" i="111"/>
  <c r="S22" i="111"/>
  <c r="S25" i="107"/>
  <c r="S29" i="107"/>
  <c r="S33" i="107"/>
  <c r="O87" i="111"/>
  <c r="O79" i="111"/>
  <c r="O71" i="111"/>
  <c r="S33" i="111"/>
  <c r="S29" i="111"/>
  <c r="S25" i="111"/>
  <c r="O102" i="111"/>
  <c r="O94" i="111"/>
  <c r="O86" i="111"/>
  <c r="O70" i="111"/>
  <c r="O101" i="111"/>
  <c r="O93" i="111"/>
  <c r="O85" i="111"/>
  <c r="P58" i="111"/>
  <c r="Y34" i="107"/>
  <c r="S35" i="107"/>
  <c r="AA35" i="107"/>
  <c r="U36" i="107"/>
  <c r="AC36" i="107"/>
  <c r="W37" i="107"/>
  <c r="AE37" i="107"/>
  <c r="Y38" i="107"/>
  <c r="S39" i="107"/>
  <c r="AA39" i="107"/>
  <c r="Z34" i="107"/>
  <c r="T35" i="107"/>
  <c r="AB35" i="107"/>
  <c r="V36" i="107"/>
  <c r="AD36" i="107"/>
  <c r="X37" i="107"/>
  <c r="AF37" i="107"/>
  <c r="Z38" i="107"/>
  <c r="V40" i="107"/>
  <c r="AD40" i="107"/>
  <c r="AF41" i="107"/>
  <c r="S34" i="107"/>
  <c r="T34" i="107"/>
  <c r="AB34" i="107"/>
  <c r="V35" i="107"/>
  <c r="AD35" i="107"/>
  <c r="X36" i="107"/>
  <c r="AF36" i="107"/>
  <c r="Z37" i="107"/>
  <c r="X40" i="107"/>
  <c r="AF40" i="107"/>
  <c r="AA34" i="107"/>
  <c r="U34" i="107"/>
  <c r="AC34" i="107"/>
  <c r="W35" i="107"/>
  <c r="AE35" i="107"/>
  <c r="Y36" i="107"/>
  <c r="S37" i="107"/>
  <c r="AA37" i="107"/>
  <c r="Y40" i="107"/>
  <c r="AA41" i="107"/>
  <c r="V34" i="107"/>
  <c r="AD34" i="107"/>
  <c r="X35" i="107"/>
  <c r="AF35" i="107"/>
  <c r="Z36" i="107"/>
  <c r="T37" i="107"/>
  <c r="AB37" i="107"/>
  <c r="T41" i="107"/>
  <c r="T42" i="107" s="1"/>
  <c r="U37" i="107"/>
  <c r="AC37" i="107"/>
  <c r="V37" i="107"/>
  <c r="AD37" i="107"/>
  <c r="Z34" i="108"/>
  <c r="AB39" i="108"/>
  <c r="S34" i="108"/>
  <c r="AA34" i="108"/>
  <c r="U35" i="108"/>
  <c r="AC35" i="108"/>
  <c r="W36" i="108"/>
  <c r="AE36" i="108"/>
  <c r="Y37" i="108"/>
  <c r="W40" i="108"/>
  <c r="AE40" i="108"/>
  <c r="S39" i="108"/>
  <c r="T34" i="108"/>
  <c r="AB34" i="108"/>
  <c r="V35" i="108"/>
  <c r="AD35" i="108"/>
  <c r="X36" i="108"/>
  <c r="AF36" i="108"/>
  <c r="Z37" i="108"/>
  <c r="X40" i="108"/>
  <c r="AF40" i="108"/>
  <c r="Z41" i="108"/>
  <c r="Z42" i="108" s="1"/>
  <c r="AE41" i="108"/>
  <c r="U34" i="108"/>
  <c r="AC34" i="108"/>
  <c r="W35" i="108"/>
  <c r="AE35" i="108"/>
  <c r="Y36" i="108"/>
  <c r="S37" i="108"/>
  <c r="AA37" i="108"/>
  <c r="Y40" i="108"/>
  <c r="S41" i="108"/>
  <c r="S42" i="108" s="1"/>
  <c r="V34" i="108"/>
  <c r="AD34" i="108"/>
  <c r="X35" i="108"/>
  <c r="AF35" i="108"/>
  <c r="Z36" i="108"/>
  <c r="T37" i="108"/>
  <c r="AB37" i="108"/>
  <c r="AA39" i="108"/>
  <c r="T39" i="108"/>
  <c r="U37" i="108"/>
  <c r="AC37" i="108"/>
  <c r="W38" i="108"/>
  <c r="V37" i="108"/>
  <c r="AD37" i="108"/>
  <c r="Z34" i="111"/>
  <c r="T35" i="111"/>
  <c r="AB35" i="111"/>
  <c r="V36" i="111"/>
  <c r="AD36" i="111"/>
  <c r="X37" i="111"/>
  <c r="AF37" i="111"/>
  <c r="Z38" i="111"/>
  <c r="T39" i="111"/>
  <c r="AB39" i="111"/>
  <c r="V40" i="111"/>
  <c r="AD40" i="111"/>
  <c r="S34" i="111"/>
  <c r="AA34" i="111"/>
  <c r="U35" i="111"/>
  <c r="AC35" i="111"/>
  <c r="W36" i="111"/>
  <c r="AE36" i="111"/>
  <c r="Y37" i="111"/>
  <c r="W40" i="111"/>
  <c r="AE40" i="111"/>
  <c r="T34" i="111"/>
  <c r="AB34" i="111"/>
  <c r="V35" i="111"/>
  <c r="AD35" i="111"/>
  <c r="X36" i="111"/>
  <c r="AF36" i="111"/>
  <c r="Z37" i="111"/>
  <c r="X40" i="111"/>
  <c r="AF40" i="111"/>
  <c r="U34" i="111"/>
  <c r="AC34" i="111"/>
  <c r="W35" i="111"/>
  <c r="AE35" i="111"/>
  <c r="Y36" i="111"/>
  <c r="S37" i="111"/>
  <c r="AA37" i="111"/>
  <c r="Y40" i="111"/>
  <c r="S39" i="111"/>
  <c r="V34" i="111"/>
  <c r="AD34" i="111"/>
  <c r="X35" i="111"/>
  <c r="AF35" i="111"/>
  <c r="Z36" i="111"/>
  <c r="T37" i="111"/>
  <c r="AB37" i="111"/>
  <c r="AA36" i="111"/>
  <c r="U37" i="111"/>
  <c r="AC37" i="111"/>
  <c r="V37" i="111"/>
  <c r="AD37" i="111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F10" i="108"/>
  <c r="G10" i="108"/>
  <c r="H10" i="108"/>
  <c r="I10" i="108"/>
  <c r="J10" i="108"/>
  <c r="K10" i="108"/>
  <c r="L10" i="108"/>
  <c r="M10" i="108"/>
  <c r="N10" i="108"/>
  <c r="C10" i="108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O78" i="111" l="1"/>
  <c r="O59" i="111"/>
  <c r="P103" i="111"/>
  <c r="V27" i="111"/>
  <c r="V41" i="111" s="1"/>
  <c r="V42" i="111" s="1"/>
  <c r="O100" i="111"/>
  <c r="W41" i="111"/>
  <c r="W42" i="111" s="1"/>
  <c r="Y41" i="111"/>
  <c r="Z41" i="111"/>
  <c r="Z42" i="111" s="1"/>
  <c r="E106" i="111"/>
  <c r="X41" i="111"/>
  <c r="W42" i="108"/>
  <c r="P70" i="111"/>
  <c r="K106" i="111"/>
  <c r="AB41" i="111"/>
  <c r="O61" i="111"/>
  <c r="AC41" i="111"/>
  <c r="AC42" i="111" s="1"/>
  <c r="O95" i="111"/>
  <c r="O62" i="111"/>
  <c r="O88" i="111"/>
  <c r="O90" i="111"/>
  <c r="P92" i="111"/>
  <c r="P102" i="111"/>
  <c r="AD27" i="111"/>
  <c r="AF25" i="111"/>
  <c r="AF33" i="111"/>
  <c r="V42" i="107"/>
  <c r="O103" i="111"/>
  <c r="P84" i="111"/>
  <c r="P100" i="111"/>
  <c r="P81" i="111"/>
  <c r="AF27" i="111" s="1"/>
  <c r="O84" i="111"/>
  <c r="D106" i="111"/>
  <c r="J106" i="111"/>
  <c r="O74" i="111"/>
  <c r="M106" i="111"/>
  <c r="P62" i="111"/>
  <c r="P63" i="111"/>
  <c r="H106" i="111"/>
  <c r="O105" i="111"/>
  <c r="AE33" i="111" s="1"/>
  <c r="P77" i="111"/>
  <c r="P69" i="111"/>
  <c r="L106" i="111"/>
  <c r="U22" i="111"/>
  <c r="O60" i="111"/>
  <c r="AE22" i="111" s="1"/>
  <c r="P60" i="111"/>
  <c r="O63" i="111"/>
  <c r="P87" i="111"/>
  <c r="AF29" i="111" s="1"/>
  <c r="P94" i="111"/>
  <c r="AF31" i="111" s="1"/>
  <c r="O92" i="111"/>
  <c r="AE30" i="111" s="1"/>
  <c r="O83" i="111"/>
  <c r="O64" i="111"/>
  <c r="O96" i="111"/>
  <c r="AE31" i="111" s="1"/>
  <c r="P91" i="111"/>
  <c r="AF30" i="111" s="1"/>
  <c r="P105" i="111"/>
  <c r="P95" i="111"/>
  <c r="F106" i="111"/>
  <c r="O69" i="111"/>
  <c r="O91" i="111"/>
  <c r="P96" i="111"/>
  <c r="P74" i="111"/>
  <c r="P83" i="111"/>
  <c r="G106" i="111"/>
  <c r="U24" i="111"/>
  <c r="O68" i="111"/>
  <c r="P68" i="111"/>
  <c r="AD22" i="111"/>
  <c r="AD41" i="111" s="1"/>
  <c r="N106" i="111"/>
  <c r="AE27" i="111"/>
  <c r="AE29" i="111"/>
  <c r="S32" i="111"/>
  <c r="O98" i="111"/>
  <c r="AE32" i="111" s="1"/>
  <c r="P98" i="111"/>
  <c r="AE26" i="111"/>
  <c r="AE25" i="111"/>
  <c r="S24" i="111"/>
  <c r="P66" i="111"/>
  <c r="O66" i="111"/>
  <c r="S28" i="111"/>
  <c r="O82" i="111"/>
  <c r="AE28" i="111" s="1"/>
  <c r="P82" i="111"/>
  <c r="AF42" i="107"/>
  <c r="X42" i="107"/>
  <c r="Y42" i="107"/>
  <c r="X42" i="108"/>
  <c r="AE42" i="108"/>
  <c r="Y42" i="108"/>
  <c r="X42" i="111"/>
  <c r="Y42" i="111"/>
  <c r="C3" i="94"/>
  <c r="AF26" i="111" l="1"/>
  <c r="P106" i="111"/>
  <c r="AE23" i="111"/>
  <c r="AF23" i="111"/>
  <c r="S41" i="111"/>
  <c r="S42" i="111" s="1"/>
  <c r="AF32" i="111"/>
  <c r="AE24" i="111"/>
  <c r="AE41" i="111" s="1"/>
  <c r="AE42" i="111" s="1"/>
  <c r="AF24" i="111"/>
  <c r="AF22" i="111"/>
  <c r="U41" i="111"/>
  <c r="U42" i="111" s="1"/>
  <c r="AF28" i="111"/>
  <c r="O106" i="111"/>
  <c r="K6" i="109"/>
  <c r="K6" i="94"/>
  <c r="G5" i="94"/>
  <c r="D5" i="109"/>
  <c r="D5" i="94"/>
  <c r="AF41" i="111" l="1"/>
  <c r="AF42" i="111" s="1"/>
  <c r="K6" i="111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1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39" i="101" l="1"/>
  <c r="Z39" i="101"/>
  <c r="AB39" i="101"/>
  <c r="AD39" i="101"/>
  <c r="C3" i="111"/>
  <c r="X21" i="101"/>
  <c r="X39" i="101" s="1"/>
  <c r="U22" i="109"/>
  <c r="V14" i="101"/>
  <c r="V38" i="101" s="1"/>
  <c r="S17" i="101"/>
  <c r="AC32" i="109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W14" i="94"/>
  <c r="S17" i="94"/>
  <c r="S18" i="94"/>
  <c r="S19" i="94"/>
  <c r="AC19" i="94"/>
  <c r="S21" i="94"/>
  <c r="U21" i="94"/>
  <c r="W21" i="94"/>
  <c r="Y21" i="94"/>
  <c r="AA14" i="94"/>
  <c r="AA15" i="94"/>
  <c r="AA16" i="94"/>
  <c r="AA18" i="94"/>
  <c r="Z13" i="109"/>
  <c r="V12" i="109"/>
  <c r="AD12" i="109"/>
  <c r="S11" i="109"/>
  <c r="AC17" i="109"/>
  <c r="V14" i="109"/>
  <c r="V13" i="109"/>
  <c r="AD13" i="109"/>
  <c r="V15" i="109"/>
  <c r="AD15" i="109"/>
  <c r="AA11" i="109"/>
  <c r="Z12" i="109"/>
  <c r="Z14" i="109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Y14" i="101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Z17" i="10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8" i="94"/>
  <c r="T39" i="101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S22" i="101"/>
  <c r="S23" i="101"/>
  <c r="U15" i="101"/>
  <c r="P105" i="101"/>
  <c r="Y17" i="94"/>
  <c r="P77" i="101"/>
  <c r="P69" i="101"/>
  <c r="P91" i="101"/>
  <c r="U15" i="94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AC14" i="94"/>
  <c r="Y14" i="94"/>
  <c r="Y15" i="101"/>
  <c r="AA17" i="94"/>
  <c r="W16" i="94"/>
  <c r="AC20" i="94"/>
  <c r="U14" i="94"/>
  <c r="AD12" i="101"/>
  <c r="U12" i="101"/>
  <c r="W12" i="101"/>
  <c r="Y12" i="101"/>
  <c r="AA12" i="101"/>
  <c r="AC12" i="101"/>
  <c r="V11" i="101"/>
  <c r="AC36" i="101"/>
  <c r="W18" i="94"/>
  <c r="T12" i="101"/>
  <c r="V12" i="101"/>
  <c r="X12" i="101"/>
  <c r="Z12" i="101"/>
  <c r="AB12" i="101"/>
  <c r="T11" i="101"/>
  <c r="X11" i="101"/>
  <c r="Z11" i="101"/>
  <c r="AB11" i="101"/>
  <c r="AD11" i="101"/>
  <c r="Y39" i="101"/>
  <c r="Y36" i="101"/>
  <c r="Z13" i="101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12" i="94"/>
  <c r="Z11" i="94"/>
  <c r="AD12" i="94"/>
  <c r="T11" i="94"/>
  <c r="V11" i="94"/>
  <c r="X11" i="94"/>
  <c r="AB11" i="94"/>
  <c r="AD11" i="94"/>
  <c r="T12" i="94"/>
  <c r="X12" i="94"/>
  <c r="Z12" i="94"/>
  <c r="AB12" i="94"/>
  <c r="S10" i="94"/>
  <c r="W10" i="94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AF32" i="101" l="1"/>
  <c r="U38" i="109"/>
  <c r="AF33" i="101"/>
  <c r="V35" i="101"/>
  <c r="U27" i="94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AA27" i="94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AC35" i="109"/>
  <c r="K10" i="111"/>
  <c r="G10" i="111"/>
  <c r="T38" i="109"/>
  <c r="AD38" i="109"/>
  <c r="Z38" i="109"/>
  <c r="AA35" i="109"/>
  <c r="V35" i="109"/>
  <c r="S35" i="109"/>
  <c r="AB38" i="109"/>
  <c r="AD36" i="109"/>
  <c r="Z39" i="109"/>
  <c r="AF12" i="109"/>
  <c r="AD39" i="109"/>
  <c r="Z36" i="109"/>
  <c r="V36" i="109"/>
  <c r="AC38" i="109"/>
  <c r="U35" i="109"/>
  <c r="V38" i="109"/>
  <c r="X35" i="109"/>
  <c r="Z35" i="109"/>
  <c r="AD35" i="109"/>
  <c r="X34" i="109"/>
  <c r="Y38" i="109"/>
  <c r="Z38" i="101"/>
  <c r="Y35" i="109"/>
  <c r="AA38" i="109"/>
  <c r="W38" i="109"/>
  <c r="AF30" i="109"/>
  <c r="X39" i="109"/>
  <c r="X37" i="109"/>
  <c r="AF15" i="109"/>
  <c r="AF14" i="109"/>
  <c r="AF13" i="109"/>
  <c r="AF17" i="109"/>
  <c r="AF16" i="109"/>
  <c r="W38" i="101"/>
  <c r="U35" i="101"/>
  <c r="AE33" i="109"/>
  <c r="AE32" i="109"/>
  <c r="AE31" i="109"/>
  <c r="AE30" i="109"/>
  <c r="AE29" i="109"/>
  <c r="AF32" i="109"/>
  <c r="AB35" i="109"/>
  <c r="W35" i="109"/>
  <c r="AF11" i="109"/>
  <c r="S38" i="109"/>
  <c r="AB36" i="109"/>
  <c r="X36" i="109"/>
  <c r="X40" i="109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O57" i="107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P10" i="107"/>
  <c r="O10" i="107"/>
  <c r="O106" i="101"/>
  <c r="C108" i="101" s="1"/>
  <c r="P106" i="101"/>
  <c r="U26" i="94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Y27" i="94"/>
  <c r="Y26" i="94"/>
  <c r="AC23" i="94"/>
  <c r="AC27" i="94"/>
  <c r="AA23" i="94"/>
  <c r="X38" i="101"/>
  <c r="Y23" i="94"/>
  <c r="Y38" i="101"/>
  <c r="W26" i="94"/>
  <c r="X35" i="101"/>
  <c r="AB38" i="101"/>
  <c r="T38" i="101"/>
  <c r="AB35" i="101"/>
  <c r="T35" i="101"/>
  <c r="U23" i="94"/>
  <c r="W23" i="94"/>
  <c r="AA38" i="101"/>
  <c r="AC38" i="101"/>
  <c r="Y35" i="101"/>
  <c r="U38" i="101"/>
  <c r="Z35" i="101"/>
  <c r="AF15" i="101"/>
  <c r="AF14" i="101"/>
  <c r="AF13" i="101"/>
  <c r="AF12" i="101"/>
  <c r="AF11" i="101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T25" i="94"/>
  <c r="X25" i="94"/>
  <c r="S25" i="94"/>
  <c r="AF13" i="94"/>
  <c r="S23" i="94"/>
  <c r="X22" i="94"/>
  <c r="AA25" i="94"/>
  <c r="AB22" i="94"/>
  <c r="T22" i="94"/>
  <c r="W25" i="94"/>
  <c r="AB25" i="94"/>
  <c r="W22" i="94"/>
  <c r="AF11" i="94"/>
  <c r="W28" i="94"/>
  <c r="S28" i="94"/>
  <c r="AA28" i="94"/>
  <c r="AF12" i="94"/>
  <c r="AF20" i="94"/>
  <c r="AF18" i="94"/>
  <c r="AF16" i="94"/>
  <c r="AF14" i="94"/>
  <c r="AA22" i="94"/>
  <c r="S22" i="94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O47" i="111" l="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H107" i="108"/>
  <c r="H108" i="107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H60" i="94"/>
  <c r="AF35" i="101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C107" i="101"/>
  <c r="AE40" i="101"/>
  <c r="AE37" i="101"/>
  <c r="AE34" i="101"/>
  <c r="AF40" i="101"/>
  <c r="AF37" i="101"/>
  <c r="AF34" i="101"/>
  <c r="AE38" i="101"/>
  <c r="AE35" i="101"/>
  <c r="AF23" i="94"/>
  <c r="AF27" i="94"/>
  <c r="AF24" i="94"/>
  <c r="AF26" i="94"/>
  <c r="L60" i="94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K108" i="111" l="1"/>
  <c r="N107" i="111"/>
  <c r="M107" i="107"/>
  <c r="F108" i="107"/>
  <c r="J107" i="108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<sst xmlns="http://schemas.openxmlformats.org/spreadsheetml/2006/main" count="1119" uniqueCount="181">
  <si>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</si>
  <si>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</si>
  <si>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</si>
  <si>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</si>
  <si>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</si>
  <si>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</si>
  <si>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</si>
  <si>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</si>
  <si>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</si>
  <si>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</si>
  <si>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</si>
  <si>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</si>
  <si>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</si>
  <si>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</si>
  <si>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</si>
  <si>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</si>
  <si>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</si>
  <si>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</si>
  <si>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</si>
  <si>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</si>
  <si>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</si>
  <si>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</si>
  <si>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</si>
  <si>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</si>
  <si>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</si>
  <si>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</si>
  <si>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</si>
  <si>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</si>
  <si>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</si>
  <si>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</si>
  <si>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</si>
  <si>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</si>
  <si>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</si>
  <si>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</si>
  <si>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</si>
  <si>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</si>
  <si>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</si>
  <si>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</si>
  <si>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</si>
  <si>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</si>
  <si>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</si>
  <si>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</si>
  <si>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</si>
  <si>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</si>
  <si>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</si>
  <si>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</si>
  <si>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</si>
  <si>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</si>
  <si>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</si>
  <si>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</si>
  <si>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</si>
  <si>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</si>
  <si>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</si>
  <si>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</si>
  <si>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</si>
  <si>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</si>
  <si>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</si>
  <si>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</si>
  <si>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</si>
  <si>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</si>
  <si>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</si>
  <si>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</si>
  <si>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</si>
  <si>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</si>
  <si>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</si>
  <si>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</si>
  <si>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</si>
  <si>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</si>
  <si>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</si>
  <si>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</si>
  <si>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</si>
  <si>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</si>
  <si>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</si>
  <si>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</si>
  <si>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</si>
  <si>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</si>
  <si>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</si>
  <si>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</si>
  <si>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</si>
  <si>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</si>
  <si>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</si>
  <si>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</si>
  <si>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</si>
  <si>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</si>
  <si>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</si>
  <si>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</si>
  <si>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</si>
  <si>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</si>
  <si>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</si>
  <si>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</si>
  <si>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</si>
  <si>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</si>
  <si>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</si>
  <si>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</si>
  <si>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</si>
  <si>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</si>
  <si>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</si>
  <si>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</si>
  <si>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</si>
  <si>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</si>
  <si>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</si>
  <si>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</si>
  <si>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</si>
  <si>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</si>
  <si>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</si>
  <si>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</si>
  <si>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</si>
  <si>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</si>
  <si>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</si>
  <si>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</si>
  <si>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</si>
  <si>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</si>
  <si>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</si>
  <si>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</si>
  <si>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</si>
  <si>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</si>
  <si>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</si>
  <si>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</si>
  <si>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</si>
  <si>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</si>
  <si>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</si>
  <si>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</si>
  <si>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</si>
  <si>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</si>
  <si>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</si>
  <si>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</si>
  <si>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</si>
  <si>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</si>
  <si>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</si>
  <si>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</si>
  <si>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</si>
  <si>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</si>
  <si>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</si>
  <si>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</si>
  <si>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</si>
  <si>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</si>
  <si>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</si>
  <si>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</si>
  <si>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</si>
  <si>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</si>
  <si>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</si>
  <si>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</si>
  <si>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</si>
  <si>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</si>
  <si>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</si>
  <si>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</si>
  <si>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</si>
  <si>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</si>
  <si>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</si>
  <si>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</si>
  <si>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</si>
  <si>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</si>
  <si>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</si>
  <si>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</si>
  <si>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</si>
  <si>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</si>
  <si>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</si>
  <si>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</si>
  <si>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</si>
  <si>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</si>
  <si>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</si>
  <si>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</si>
  <si>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</si>
  <si>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C1 - STN134 - KATUNA-KABALE ROAD</t>
  </si>
  <si>
    <t>26.10.19</t>
  </si>
  <si>
    <t>Katuna</t>
  </si>
  <si>
    <t>Katuba BP</t>
  </si>
  <si>
    <t>Kabale</t>
  </si>
  <si>
    <t>Florence</t>
  </si>
  <si>
    <t>Mbabazi</t>
  </si>
  <si>
    <t>Katuna BP</t>
  </si>
  <si>
    <t>Kato Joseph</t>
  </si>
  <si>
    <t>25.10.19</t>
  </si>
  <si>
    <t>Ainebyona E</t>
  </si>
  <si>
    <t>XXXXXX</t>
  </si>
  <si>
    <t>XXXXXXX</t>
  </si>
  <si>
    <t>XXXXX</t>
  </si>
  <si>
    <t>KATUNA</t>
  </si>
  <si>
    <t>KABALE</t>
  </si>
  <si>
    <t>KATUNA B/P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</si>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</sst>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41" fontId="1" fillId="0" borderId="8" xfId="2" applyFont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Katuna-Kabale 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 Katuna-Kabale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'25.10 Katuna-Kabale 24hr'!$AE$10:$AE$33</c:f>
              <c:numCache>
                <c:formatCode>0</c:formatCode>
                <c:ptCount val="24"/>
                <c:pt idx="0">
                  <c:v>7</c:v>
                </c:pt>
                <c:pt idx="1">
                  <c:v>25</c:v>
                </c:pt>
                <c:pt idx="2">
                  <c:v>29</c:v>
                </c:pt>
                <c:pt idx="3">
                  <c:v>20</c:v>
                </c:pt>
                <c:pt idx="4">
                  <c:v>13</c:v>
                </c:pt>
                <c:pt idx="5">
                  <c:v>33</c:v>
                </c:pt>
                <c:pt idx="6">
                  <c:v>17</c:v>
                </c:pt>
                <c:pt idx="7">
                  <c:v>16</c:v>
                </c:pt>
                <c:pt idx="8">
                  <c:v>23</c:v>
                </c:pt>
                <c:pt idx="9">
                  <c:v>12</c:v>
                </c:pt>
                <c:pt idx="10">
                  <c:v>26</c:v>
                </c:pt>
                <c:pt idx="11">
                  <c:v>41</c:v>
                </c:pt>
                <c:pt idx="12">
                  <c:v>24</c:v>
                </c:pt>
                <c:pt idx="13">
                  <c:v>33</c:v>
                </c:pt>
                <c:pt idx="14">
                  <c:v>14</c:v>
                </c:pt>
                <c:pt idx="15">
                  <c:v>5</c:v>
                </c:pt>
                <c:pt idx="16">
                  <c:v>5</c:v>
                </c:pt>
                <c:pt idx="17">
                  <c:v>8</c:v>
                </c:pt>
                <c:pt idx="18">
                  <c:v>7</c:v>
                </c:pt>
                <c:pt idx="19">
                  <c:v>13</c:v>
                </c:pt>
                <c:pt idx="20">
                  <c:v>13</c:v>
                </c:pt>
                <c:pt idx="21">
                  <c:v>7</c:v>
                </c:pt>
                <c:pt idx="22">
                  <c:v>18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'25.10 Katuna-Kabale 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 Katuna-Kabale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'25.10 Katuna-Kabale 24hr'!$AF$10:$AF$33</c:f>
              <c:numCache>
                <c:formatCode>0</c:formatCode>
                <c:ptCount val="24"/>
                <c:pt idx="0">
                  <c:v>20</c:v>
                </c:pt>
                <c:pt idx="1">
                  <c:v>50</c:v>
                </c:pt>
                <c:pt idx="2">
                  <c:v>62</c:v>
                </c:pt>
                <c:pt idx="3">
                  <c:v>50</c:v>
                </c:pt>
                <c:pt idx="4">
                  <c:v>37</c:v>
                </c:pt>
                <c:pt idx="5">
                  <c:v>65</c:v>
                </c:pt>
                <c:pt idx="6">
                  <c:v>47</c:v>
                </c:pt>
                <c:pt idx="7">
                  <c:v>42</c:v>
                </c:pt>
                <c:pt idx="8">
                  <c:v>43</c:v>
                </c:pt>
                <c:pt idx="9">
                  <c:v>42</c:v>
                </c:pt>
                <c:pt idx="10">
                  <c:v>64</c:v>
                </c:pt>
                <c:pt idx="11">
                  <c:v>63</c:v>
                </c:pt>
                <c:pt idx="12">
                  <c:v>35</c:v>
                </c:pt>
                <c:pt idx="13">
                  <c:v>58</c:v>
                </c:pt>
                <c:pt idx="14">
                  <c:v>24</c:v>
                </c:pt>
                <c:pt idx="15">
                  <c:v>12</c:v>
                </c:pt>
                <c:pt idx="16">
                  <c:v>7</c:v>
                </c:pt>
                <c:pt idx="17">
                  <c:v>9</c:v>
                </c:pt>
                <c:pt idx="18">
                  <c:v>10</c:v>
                </c:pt>
                <c:pt idx="19">
                  <c:v>14</c:v>
                </c:pt>
                <c:pt idx="20">
                  <c:v>14</c:v>
                </c:pt>
                <c:pt idx="21">
                  <c:v>11</c:v>
                </c:pt>
                <c:pt idx="22">
                  <c:v>25</c:v>
                </c:pt>
                <c:pt idx="23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83944"/>
        <c:axId val="207185904"/>
      </c:lineChart>
      <c:catAx>
        <c:axId val="207183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185904"/>
        <c:crosses val="autoZero"/>
        <c:auto val="1"/>
        <c:lblAlgn val="ctr"/>
        <c:lblOffset val="100"/>
        <c:noMultiLvlLbl val="0"/>
      </c:catAx>
      <c:valAx>
        <c:axId val="207185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183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Katuna-Kabale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Katuna-Kabale 24hr'!$C$107:$N$107</c:f>
              <c:numCache>
                <c:formatCode>0.0%</c:formatCode>
                <c:ptCount val="12"/>
                <c:pt idx="0">
                  <c:v>0.28402366863905326</c:v>
                </c:pt>
                <c:pt idx="1">
                  <c:v>7.4556213017751477E-2</c:v>
                </c:pt>
                <c:pt idx="2">
                  <c:v>4.4970414201183431E-2</c:v>
                </c:pt>
                <c:pt idx="3">
                  <c:v>2.1301775147928994E-2</c:v>
                </c:pt>
                <c:pt idx="4">
                  <c:v>9.4674556213017753E-3</c:v>
                </c:pt>
                <c:pt idx="5">
                  <c:v>3.5502958579881655E-3</c:v>
                </c:pt>
                <c:pt idx="6">
                  <c:v>7.1005917159763315E-2</c:v>
                </c:pt>
                <c:pt idx="7">
                  <c:v>4.7337278106508876E-3</c:v>
                </c:pt>
                <c:pt idx="8">
                  <c:v>0</c:v>
                </c:pt>
                <c:pt idx="9">
                  <c:v>0</c:v>
                </c:pt>
                <c:pt idx="10">
                  <c:v>0.4863905325443787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Katuna-Kabale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Katuna-Kabale 24hr'!$C$108:$N$108</c:f>
              <c:numCache>
                <c:formatCode>0.00%</c:formatCode>
                <c:ptCount val="12"/>
                <c:pt idx="0">
                  <c:v>0.55299539170506917</c:v>
                </c:pt>
                <c:pt idx="1">
                  <c:v>0.14516129032258066</c:v>
                </c:pt>
                <c:pt idx="2">
                  <c:v>8.755760368663594E-2</c:v>
                </c:pt>
                <c:pt idx="3">
                  <c:v>4.1474654377880185E-2</c:v>
                </c:pt>
                <c:pt idx="4">
                  <c:v>1.8433179723502304E-2</c:v>
                </c:pt>
                <c:pt idx="5">
                  <c:v>6.9124423963133645E-3</c:v>
                </c:pt>
                <c:pt idx="6">
                  <c:v>0.13824884792626729</c:v>
                </c:pt>
                <c:pt idx="7">
                  <c:v>9.2165898617511521E-3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Kabale-Katuna 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 Kabale-Katuna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'25.10 Kabale-Katuna 24hr'!$AE$10:$AE$33</c:f>
              <c:numCache>
                <c:formatCode>0</c:formatCode>
                <c:ptCount val="24"/>
                <c:pt idx="0">
                  <c:v>15</c:v>
                </c:pt>
                <c:pt idx="1">
                  <c:v>10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20</c:v>
                </c:pt>
                <c:pt idx="6">
                  <c:v>21</c:v>
                </c:pt>
                <c:pt idx="7">
                  <c:v>38</c:v>
                </c:pt>
                <c:pt idx="8">
                  <c:v>32</c:v>
                </c:pt>
                <c:pt idx="9">
                  <c:v>11</c:v>
                </c:pt>
                <c:pt idx="10">
                  <c:v>24</c:v>
                </c:pt>
                <c:pt idx="11">
                  <c:v>23</c:v>
                </c:pt>
                <c:pt idx="12">
                  <c:v>21</c:v>
                </c:pt>
                <c:pt idx="13">
                  <c:v>14</c:v>
                </c:pt>
                <c:pt idx="14">
                  <c:v>9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'25.10 Kabale-Katuna 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 Kabale-Katuna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'25.10 Kabale-Katuna 24hr'!$AF$10:$AF$33</c:f>
              <c:numCache>
                <c:formatCode>0</c:formatCode>
                <c:ptCount val="24"/>
                <c:pt idx="0">
                  <c:v>28</c:v>
                </c:pt>
                <c:pt idx="1">
                  <c:v>44</c:v>
                </c:pt>
                <c:pt idx="2">
                  <c:v>47</c:v>
                </c:pt>
                <c:pt idx="3">
                  <c:v>32</c:v>
                </c:pt>
                <c:pt idx="4">
                  <c:v>45</c:v>
                </c:pt>
                <c:pt idx="5">
                  <c:v>48</c:v>
                </c:pt>
                <c:pt idx="6">
                  <c:v>53</c:v>
                </c:pt>
                <c:pt idx="7">
                  <c:v>54</c:v>
                </c:pt>
                <c:pt idx="8">
                  <c:v>57</c:v>
                </c:pt>
                <c:pt idx="9">
                  <c:v>49</c:v>
                </c:pt>
                <c:pt idx="10">
                  <c:v>66</c:v>
                </c:pt>
                <c:pt idx="11">
                  <c:v>42</c:v>
                </c:pt>
                <c:pt idx="12">
                  <c:v>41</c:v>
                </c:pt>
                <c:pt idx="13">
                  <c:v>29</c:v>
                </c:pt>
                <c:pt idx="14">
                  <c:v>14</c:v>
                </c:pt>
                <c:pt idx="15">
                  <c:v>12</c:v>
                </c:pt>
                <c:pt idx="16">
                  <c:v>11</c:v>
                </c:pt>
                <c:pt idx="17">
                  <c:v>15</c:v>
                </c:pt>
                <c:pt idx="18">
                  <c:v>7</c:v>
                </c:pt>
                <c:pt idx="19">
                  <c:v>3</c:v>
                </c:pt>
                <c:pt idx="20">
                  <c:v>7</c:v>
                </c:pt>
                <c:pt idx="21">
                  <c:v>3</c:v>
                </c:pt>
                <c:pt idx="22">
                  <c:v>3</c:v>
                </c:pt>
                <c:pt idx="2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22272"/>
        <c:axId val="167023056"/>
      </c:lineChart>
      <c:catAx>
        <c:axId val="1670222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023056"/>
        <c:crosses val="autoZero"/>
        <c:auto val="1"/>
        <c:lblAlgn val="ctr"/>
        <c:lblOffset val="100"/>
        <c:noMultiLvlLbl val="0"/>
      </c:catAx>
      <c:valAx>
        <c:axId val="167023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02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Kabale-Katuna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Kabale-Katuna 24hr'!$C$107:$N$107</c:f>
              <c:numCache>
                <c:formatCode>0.0%</c:formatCode>
                <c:ptCount val="12"/>
                <c:pt idx="0">
                  <c:v>0.2988826815642458</c:v>
                </c:pt>
                <c:pt idx="1">
                  <c:v>2.9329608938547486E-2</c:v>
                </c:pt>
                <c:pt idx="2">
                  <c:v>3.2122905027932962E-2</c:v>
                </c:pt>
                <c:pt idx="3">
                  <c:v>1.3966480446927373E-2</c:v>
                </c:pt>
                <c:pt idx="4">
                  <c:v>4.1899441340782122E-3</c:v>
                </c:pt>
                <c:pt idx="5">
                  <c:v>6.9832402234636867E-3</c:v>
                </c:pt>
                <c:pt idx="6">
                  <c:v>6.7039106145251395E-2</c:v>
                </c:pt>
                <c:pt idx="7">
                  <c:v>5.5865921787709499E-3</c:v>
                </c:pt>
                <c:pt idx="8">
                  <c:v>0</c:v>
                </c:pt>
                <c:pt idx="9">
                  <c:v>0</c:v>
                </c:pt>
                <c:pt idx="10">
                  <c:v>0.54189944134078216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Kabale-Katuna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Kabale-Katuna 24hr'!$C$108:$N$108</c:f>
              <c:numCache>
                <c:formatCode>0.00%</c:formatCode>
                <c:ptCount val="12"/>
                <c:pt idx="0">
                  <c:v>0.65243902439024393</c:v>
                </c:pt>
                <c:pt idx="1">
                  <c:v>6.402439024390244E-2</c:v>
                </c:pt>
                <c:pt idx="2">
                  <c:v>7.0121951219512202E-2</c:v>
                </c:pt>
                <c:pt idx="3">
                  <c:v>3.048780487804878E-2</c:v>
                </c:pt>
                <c:pt idx="4">
                  <c:v>9.1463414634146336E-3</c:v>
                </c:pt>
                <c:pt idx="5">
                  <c:v>1.524390243902439E-2</c:v>
                </c:pt>
                <c:pt idx="6">
                  <c:v>0.14634146341463414</c:v>
                </c:pt>
                <c:pt idx="7">
                  <c:v>1.2195121951219513E-2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Katuna-Kabale'!$AE$9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Katuna-Kabale'!$R$10:$R$21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Katuna-Kabale'!$AE$10:$AE$21</c:f>
              <c:numCache>
                <c:formatCode>0</c:formatCode>
                <c:ptCount val="12"/>
                <c:pt idx="0">
                  <c:v>2</c:v>
                </c:pt>
                <c:pt idx="1">
                  <c:v>15</c:v>
                </c:pt>
                <c:pt idx="2">
                  <c:v>13</c:v>
                </c:pt>
                <c:pt idx="3">
                  <c:v>32</c:v>
                </c:pt>
                <c:pt idx="4">
                  <c:v>35</c:v>
                </c:pt>
                <c:pt idx="5">
                  <c:v>12</c:v>
                </c:pt>
                <c:pt idx="6">
                  <c:v>14</c:v>
                </c:pt>
                <c:pt idx="7">
                  <c:v>9</c:v>
                </c:pt>
                <c:pt idx="8">
                  <c:v>17</c:v>
                </c:pt>
                <c:pt idx="9">
                  <c:v>10</c:v>
                </c:pt>
                <c:pt idx="10">
                  <c:v>13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'26.10 Katuna-Kabale'!$AF$9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Katuna-Kabale'!$R$10:$R$21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Katuna-Kabale'!$AF$10:$AF$21</c:f>
              <c:numCache>
                <c:formatCode>0</c:formatCode>
                <c:ptCount val="12"/>
                <c:pt idx="0">
                  <c:v>7</c:v>
                </c:pt>
                <c:pt idx="1">
                  <c:v>25</c:v>
                </c:pt>
                <c:pt idx="2">
                  <c:v>28</c:v>
                </c:pt>
                <c:pt idx="3">
                  <c:v>59</c:v>
                </c:pt>
                <c:pt idx="4">
                  <c:v>52</c:v>
                </c:pt>
                <c:pt idx="5">
                  <c:v>31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28</c:v>
                </c:pt>
                <c:pt idx="10">
                  <c:v>41</c:v>
                </c:pt>
                <c:pt idx="11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37632"/>
        <c:axId val="164634496"/>
      </c:lineChart>
      <c:catAx>
        <c:axId val="164637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4496"/>
        <c:crosses val="autoZero"/>
        <c:auto val="1"/>
        <c:lblAlgn val="ctr"/>
        <c:lblOffset val="100"/>
        <c:noMultiLvlLbl val="0"/>
      </c:catAx>
      <c:valAx>
        <c:axId val="164634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Katuna-Kabale'!$C$9:$N$9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Katuna-Kabale'!$C$59:$N$59</c:f>
              <c:numCache>
                <c:formatCode>0.0%</c:formatCode>
                <c:ptCount val="12"/>
                <c:pt idx="0">
                  <c:v>0.33919597989949751</c:v>
                </c:pt>
                <c:pt idx="1">
                  <c:v>3.7688442211055273E-2</c:v>
                </c:pt>
                <c:pt idx="2">
                  <c:v>2.2613065326633167E-2</c:v>
                </c:pt>
                <c:pt idx="3">
                  <c:v>1.0050251256281407E-2</c:v>
                </c:pt>
                <c:pt idx="4">
                  <c:v>2.5125628140703518E-3</c:v>
                </c:pt>
                <c:pt idx="5">
                  <c:v>7.537688442211055E-3</c:v>
                </c:pt>
                <c:pt idx="6">
                  <c:v>6.2814070351758788E-2</c:v>
                </c:pt>
                <c:pt idx="7">
                  <c:v>2.5125628140703518E-3</c:v>
                </c:pt>
                <c:pt idx="8">
                  <c:v>0</c:v>
                </c:pt>
                <c:pt idx="9">
                  <c:v>0</c:v>
                </c:pt>
                <c:pt idx="10">
                  <c:v>0.51507537688442206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Katuna-Kabale'!$C$9:$N$9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Katuna-Kabale'!$C$60:$N$60</c:f>
              <c:numCache>
                <c:formatCode>0.00%</c:formatCode>
                <c:ptCount val="12"/>
                <c:pt idx="0">
                  <c:v>0.69948186528497414</c:v>
                </c:pt>
                <c:pt idx="1">
                  <c:v>7.7720207253886009E-2</c:v>
                </c:pt>
                <c:pt idx="2">
                  <c:v>4.6632124352331605E-2</c:v>
                </c:pt>
                <c:pt idx="3">
                  <c:v>2.072538860103627E-2</c:v>
                </c:pt>
                <c:pt idx="4">
                  <c:v>5.1813471502590676E-3</c:v>
                </c:pt>
                <c:pt idx="5">
                  <c:v>1.5544041450777202E-2</c:v>
                </c:pt>
                <c:pt idx="6">
                  <c:v>0.12953367875647667</c:v>
                </c:pt>
                <c:pt idx="7">
                  <c:v>5.1813471502590676E-3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 Kabale-Katuna'!$AE$9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 Kabale-Katuna'!$R$10:$R$21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 Kabale-Katuna'!$AE$10:$AE$21</c:f>
              <c:numCache>
                <c:formatCode>0</c:formatCode>
                <c:ptCount val="12"/>
                <c:pt idx="0">
                  <c:v>13</c:v>
                </c:pt>
                <c:pt idx="1">
                  <c:v>10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17</c:v>
                </c:pt>
                <c:pt idx="6">
                  <c:v>14</c:v>
                </c:pt>
                <c:pt idx="7">
                  <c:v>17</c:v>
                </c:pt>
                <c:pt idx="8">
                  <c:v>9</c:v>
                </c:pt>
                <c:pt idx="9">
                  <c:v>20</c:v>
                </c:pt>
                <c:pt idx="10">
                  <c:v>16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'26.10  Kabale-Katuna'!$AF$9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 Kabale-Katuna'!$R$10:$R$21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 Kabale-Katuna'!$AF$10:$AF$21</c:f>
              <c:numCache>
                <c:formatCode>0</c:formatCode>
                <c:ptCount val="12"/>
                <c:pt idx="0">
                  <c:v>21</c:v>
                </c:pt>
                <c:pt idx="1">
                  <c:v>27</c:v>
                </c:pt>
                <c:pt idx="2">
                  <c:v>52</c:v>
                </c:pt>
                <c:pt idx="3">
                  <c:v>56</c:v>
                </c:pt>
                <c:pt idx="4">
                  <c:v>36</c:v>
                </c:pt>
                <c:pt idx="5">
                  <c:v>30</c:v>
                </c:pt>
                <c:pt idx="6">
                  <c:v>37</c:v>
                </c:pt>
                <c:pt idx="7">
                  <c:v>34</c:v>
                </c:pt>
                <c:pt idx="8">
                  <c:v>25</c:v>
                </c:pt>
                <c:pt idx="9">
                  <c:v>40</c:v>
                </c:pt>
                <c:pt idx="10">
                  <c:v>43</c:v>
                </c:pt>
                <c:pt idx="11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21488"/>
        <c:axId val="167019528"/>
      </c:lineChart>
      <c:catAx>
        <c:axId val="1670214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019528"/>
        <c:crosses val="autoZero"/>
        <c:auto val="1"/>
        <c:lblAlgn val="ctr"/>
        <c:lblOffset val="100"/>
        <c:noMultiLvlLbl val="0"/>
      </c:catAx>
      <c:valAx>
        <c:axId val="167019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02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 Kabale-Katuna'!$C$9:$N$9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 Kabale-Katuna'!$C$59:$N$59</c:f>
              <c:numCache>
                <c:formatCode>0.0%</c:formatCode>
                <c:ptCount val="12"/>
                <c:pt idx="0">
                  <c:v>0.28442437923250563</c:v>
                </c:pt>
                <c:pt idx="1">
                  <c:v>3.160270880361174E-2</c:v>
                </c:pt>
                <c:pt idx="2">
                  <c:v>2.2573363431151242E-2</c:v>
                </c:pt>
                <c:pt idx="3">
                  <c:v>2.7088036117381489E-2</c:v>
                </c:pt>
                <c:pt idx="4">
                  <c:v>4.5146726862302479E-3</c:v>
                </c:pt>
                <c:pt idx="5">
                  <c:v>1.1286681715575621E-2</c:v>
                </c:pt>
                <c:pt idx="6">
                  <c:v>5.1918735891647853E-2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0.56659142212189617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 Kabale-Katuna'!$S$9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'26.10  Kabale-Katuna'!$R$10:$R$21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 Kabale-Katuna'!$S$10:$S$21</c:f>
              <c:numCache>
                <c:formatCode>0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13</c:v>
                </c:pt>
                <c:pt idx="3">
                  <c:v>13</c:v>
                </c:pt>
                <c:pt idx="4">
                  <c:v>11</c:v>
                </c:pt>
                <c:pt idx="5">
                  <c:v>13</c:v>
                </c:pt>
                <c:pt idx="6">
                  <c:v>7</c:v>
                </c:pt>
                <c:pt idx="7">
                  <c:v>13</c:v>
                </c:pt>
                <c:pt idx="8">
                  <c:v>3</c:v>
                </c:pt>
                <c:pt idx="9">
                  <c:v>12</c:v>
                </c:pt>
                <c:pt idx="10">
                  <c:v>10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'26.10  Kabale-Katuna'!$T$9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'26.10  Kabale-Katuna'!$R$10:$R$21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 Kabale-Katuna'!$T$10:$T$21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'26.10  Kabale-Katuna'!$U$9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'26.10  Kabale-Katuna'!$U$10:$U$21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'26.10  Kabale-Katuna'!$V$9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'26.10  Kabale-Katuna'!$V$10:$V$21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'26.10  Kabale-Katuna'!$W$9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'26.10  Kabale-Katuna'!$W$10:$W$21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'26.10  Kabale-Katuna'!$X$9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'26.10  Kabale-Katuna'!$X$10:$X$21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'26.10  Kabale-Katuna'!$Y$9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 Kabale-Katuna'!$Y$10:$Y$21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'26.10  Kabale-Katuna'!$Z$9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 Kabale-Katuna'!$Z$10:$Z$21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'26.10  Kabale-Katuna'!$AA$9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 Kabale-Katuna'!$AA$10:$AA$21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'26.10  Kabale-Katuna'!$AB$9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 Kabale-Katuna'!$AB$10:$AB$21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'26.10  Kabale-Katuna'!$AC$9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 Kabale-Katuna'!$AC$10:$AC$21</c:f>
              <c:numCache>
                <c:formatCode>0</c:formatCode>
                <c:ptCount val="12"/>
                <c:pt idx="0">
                  <c:v>8</c:v>
                </c:pt>
                <c:pt idx="1">
                  <c:v>17</c:v>
                </c:pt>
                <c:pt idx="2">
                  <c:v>32</c:v>
                </c:pt>
                <c:pt idx="3">
                  <c:v>36</c:v>
                </c:pt>
                <c:pt idx="4">
                  <c:v>17</c:v>
                </c:pt>
                <c:pt idx="5">
                  <c:v>13</c:v>
                </c:pt>
                <c:pt idx="6">
                  <c:v>23</c:v>
                </c:pt>
                <c:pt idx="7">
                  <c:v>17</c:v>
                </c:pt>
                <c:pt idx="8">
                  <c:v>16</c:v>
                </c:pt>
                <c:pt idx="9">
                  <c:v>20</c:v>
                </c:pt>
                <c:pt idx="10">
                  <c:v>27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'26.10  Kabale-Katuna'!$AD$9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 Kabale-Katuna'!$AD$10:$AD$21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990520"/>
        <c:axId val="415990128"/>
      </c:lineChart>
      <c:catAx>
        <c:axId val="415990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15990128"/>
        <c:crosses val="autoZero"/>
        <c:auto val="1"/>
        <c:lblAlgn val="ctr"/>
        <c:lblOffset val="100"/>
        <c:noMultiLvlLbl val="0"/>
      </c:catAx>
      <c:valAx>
        <c:axId val="41599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15990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 Kabale-Katuna'!$C$9:$N$9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 Kabale-Katuna'!$C$60:$N$60</c:f>
              <c:numCache>
                <c:formatCode>0.00%</c:formatCode>
                <c:ptCount val="12"/>
                <c:pt idx="0">
                  <c:v>0.65625</c:v>
                </c:pt>
                <c:pt idx="1">
                  <c:v>7.2916666666666671E-2</c:v>
                </c:pt>
                <c:pt idx="2">
                  <c:v>5.2083333333333336E-2</c:v>
                </c:pt>
                <c:pt idx="3">
                  <c:v>6.25E-2</c:v>
                </c:pt>
                <c:pt idx="4">
                  <c:v>1.0416666666666666E-2</c:v>
                </c:pt>
                <c:pt idx="5">
                  <c:v>2.6041666666666668E-2</c:v>
                </c:pt>
                <c:pt idx="6">
                  <c:v>0.11979166666666667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Katuna-Kabale'!$AE$9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Katuna-Kabale'!$R$10:$R$33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Katuna-Kabale'!$AE$10:$AE$33</c:f>
              <c:numCache>
                <c:formatCode>0</c:formatCode>
                <c:ptCount val="24"/>
                <c:pt idx="0">
                  <c:v>4.5</c:v>
                </c:pt>
                <c:pt idx="1">
                  <c:v>20</c:v>
                </c:pt>
                <c:pt idx="2">
                  <c:v>21</c:v>
                </c:pt>
                <c:pt idx="3">
                  <c:v>26</c:v>
                </c:pt>
                <c:pt idx="4">
                  <c:v>24</c:v>
                </c:pt>
                <c:pt idx="5">
                  <c:v>22.5</c:v>
                </c:pt>
                <c:pt idx="6">
                  <c:v>15.5</c:v>
                </c:pt>
                <c:pt idx="7">
                  <c:v>12.5</c:v>
                </c:pt>
                <c:pt idx="8">
                  <c:v>20</c:v>
                </c:pt>
                <c:pt idx="9">
                  <c:v>11</c:v>
                </c:pt>
                <c:pt idx="10">
                  <c:v>19.5</c:v>
                </c:pt>
                <c:pt idx="11">
                  <c:v>31</c:v>
                </c:pt>
                <c:pt idx="12">
                  <c:v>24</c:v>
                </c:pt>
                <c:pt idx="13">
                  <c:v>33</c:v>
                </c:pt>
                <c:pt idx="14">
                  <c:v>14</c:v>
                </c:pt>
                <c:pt idx="15">
                  <c:v>5</c:v>
                </c:pt>
                <c:pt idx="16">
                  <c:v>5</c:v>
                </c:pt>
                <c:pt idx="17">
                  <c:v>8</c:v>
                </c:pt>
                <c:pt idx="18">
                  <c:v>7</c:v>
                </c:pt>
                <c:pt idx="19">
                  <c:v>13</c:v>
                </c:pt>
                <c:pt idx="20">
                  <c:v>13</c:v>
                </c:pt>
                <c:pt idx="21">
                  <c:v>7</c:v>
                </c:pt>
                <c:pt idx="22">
                  <c:v>18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Katuna-Kabale'!$AF$9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Katuna-Kabale'!$R$10:$R$33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Katuna-Kabale'!$AF$10:$AF$33</c:f>
              <c:numCache>
                <c:formatCode>0</c:formatCode>
                <c:ptCount val="24"/>
                <c:pt idx="0">
                  <c:v>13.5</c:v>
                </c:pt>
                <c:pt idx="1">
                  <c:v>37.5</c:v>
                </c:pt>
                <c:pt idx="2">
                  <c:v>45</c:v>
                </c:pt>
                <c:pt idx="3">
                  <c:v>54.5</c:v>
                </c:pt>
                <c:pt idx="4">
                  <c:v>44.5</c:v>
                </c:pt>
                <c:pt idx="5">
                  <c:v>48</c:v>
                </c:pt>
                <c:pt idx="6">
                  <c:v>36</c:v>
                </c:pt>
                <c:pt idx="7">
                  <c:v>33.5</c:v>
                </c:pt>
                <c:pt idx="8">
                  <c:v>36</c:v>
                </c:pt>
                <c:pt idx="9">
                  <c:v>35</c:v>
                </c:pt>
                <c:pt idx="10">
                  <c:v>52.5</c:v>
                </c:pt>
                <c:pt idx="11">
                  <c:v>55.5</c:v>
                </c:pt>
                <c:pt idx="12">
                  <c:v>35</c:v>
                </c:pt>
                <c:pt idx="13">
                  <c:v>58</c:v>
                </c:pt>
                <c:pt idx="14">
                  <c:v>24</c:v>
                </c:pt>
                <c:pt idx="15">
                  <c:v>12</c:v>
                </c:pt>
                <c:pt idx="16">
                  <c:v>7</c:v>
                </c:pt>
                <c:pt idx="17">
                  <c:v>9</c:v>
                </c:pt>
                <c:pt idx="18">
                  <c:v>10</c:v>
                </c:pt>
                <c:pt idx="19">
                  <c:v>14</c:v>
                </c:pt>
                <c:pt idx="20">
                  <c:v>14</c:v>
                </c:pt>
                <c:pt idx="21">
                  <c:v>11</c:v>
                </c:pt>
                <c:pt idx="22">
                  <c:v>25</c:v>
                </c:pt>
                <c:pt idx="23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38416"/>
        <c:axId val="164636064"/>
      </c:lineChart>
      <c:catAx>
        <c:axId val="1646384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6064"/>
        <c:crosses val="autoZero"/>
        <c:auto val="1"/>
        <c:lblAlgn val="ctr"/>
        <c:lblOffset val="100"/>
        <c:noMultiLvlLbl val="0"/>
      </c:catAx>
      <c:valAx>
        <c:axId val="1646360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Katuna-Kabale'!$C$9:$N$9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Katuna-Kabale'!$C$107:$N$107</c:f>
              <c:numCache>
                <c:formatCode>0.0%</c:formatCode>
                <c:ptCount val="12"/>
                <c:pt idx="0">
                  <c:v>0.29873586161011312</c:v>
                </c:pt>
                <c:pt idx="1">
                  <c:v>7.318695941450433E-2</c:v>
                </c:pt>
                <c:pt idx="2">
                  <c:v>4.5242847638057221E-2</c:v>
                </c:pt>
                <c:pt idx="3">
                  <c:v>2.262142381902861E-2</c:v>
                </c:pt>
                <c:pt idx="4">
                  <c:v>9.9800399201596807E-3</c:v>
                </c:pt>
                <c:pt idx="5">
                  <c:v>4.6573519627411842E-3</c:v>
                </c:pt>
                <c:pt idx="6">
                  <c:v>7.2521623419827014E-2</c:v>
                </c:pt>
                <c:pt idx="7">
                  <c:v>4.6573519627411842E-3</c:v>
                </c:pt>
                <c:pt idx="8">
                  <c:v>0</c:v>
                </c:pt>
                <c:pt idx="9">
                  <c:v>0</c:v>
                </c:pt>
                <c:pt idx="10">
                  <c:v>0.46839654025282768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Katuna-Kabale'!$C$9:$N$9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Katuna-Kabale'!$C$108:$N$108</c:f>
              <c:numCache>
                <c:formatCode>0.00%</c:formatCode>
                <c:ptCount val="12"/>
                <c:pt idx="0">
                  <c:v>0.56195244055068838</c:v>
                </c:pt>
                <c:pt idx="1">
                  <c:v>0.13767209011264081</c:v>
                </c:pt>
                <c:pt idx="2">
                  <c:v>8.5106382978723402E-2</c:v>
                </c:pt>
                <c:pt idx="3">
                  <c:v>4.2553191489361701E-2</c:v>
                </c:pt>
                <c:pt idx="4">
                  <c:v>1.8773466833541929E-2</c:v>
                </c:pt>
                <c:pt idx="5">
                  <c:v>8.7609511889862324E-3</c:v>
                </c:pt>
                <c:pt idx="6">
                  <c:v>0.13642052565707133</c:v>
                </c:pt>
                <c:pt idx="7">
                  <c:v>8.7609511889862324E-3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Kabale-Katuna'!$AE$9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Kabale-Katuna'!$R$10:$R$33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Kabale-Katuna'!$AE$10:$AE$33</c:f>
              <c:numCache>
                <c:formatCode>0</c:formatCode>
                <c:ptCount val="24"/>
                <c:pt idx="0">
                  <c:v>14</c:v>
                </c:pt>
                <c:pt idx="1">
                  <c:v>10</c:v>
                </c:pt>
                <c:pt idx="2">
                  <c:v>18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17.5</c:v>
                </c:pt>
                <c:pt idx="7">
                  <c:v>27.5</c:v>
                </c:pt>
                <c:pt idx="8">
                  <c:v>20.5</c:v>
                </c:pt>
                <c:pt idx="9">
                  <c:v>15.5</c:v>
                </c:pt>
                <c:pt idx="10">
                  <c:v>20</c:v>
                </c:pt>
                <c:pt idx="11">
                  <c:v>20</c:v>
                </c:pt>
                <c:pt idx="12">
                  <c:v>21</c:v>
                </c:pt>
                <c:pt idx="13">
                  <c:v>14</c:v>
                </c:pt>
                <c:pt idx="14">
                  <c:v>9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Kabale-Katuna'!$AF$9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Kabale-Katuna'!$R$10:$R$33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Kabale-Katuna'!$AF$10:$AF$33</c:f>
              <c:numCache>
                <c:formatCode>0</c:formatCode>
                <c:ptCount val="24"/>
                <c:pt idx="0">
                  <c:v>24.5</c:v>
                </c:pt>
                <c:pt idx="1">
                  <c:v>35.5</c:v>
                </c:pt>
                <c:pt idx="2">
                  <c:v>49.5</c:v>
                </c:pt>
                <c:pt idx="3">
                  <c:v>44</c:v>
                </c:pt>
                <c:pt idx="4">
                  <c:v>40.5</c:v>
                </c:pt>
                <c:pt idx="5">
                  <c:v>39</c:v>
                </c:pt>
                <c:pt idx="6">
                  <c:v>45</c:v>
                </c:pt>
                <c:pt idx="7">
                  <c:v>44</c:v>
                </c:pt>
                <c:pt idx="8">
                  <c:v>41</c:v>
                </c:pt>
                <c:pt idx="9">
                  <c:v>44.5</c:v>
                </c:pt>
                <c:pt idx="10">
                  <c:v>54.5</c:v>
                </c:pt>
                <c:pt idx="11">
                  <c:v>42</c:v>
                </c:pt>
                <c:pt idx="12">
                  <c:v>41</c:v>
                </c:pt>
                <c:pt idx="13">
                  <c:v>29</c:v>
                </c:pt>
                <c:pt idx="14">
                  <c:v>14</c:v>
                </c:pt>
                <c:pt idx="15">
                  <c:v>12</c:v>
                </c:pt>
                <c:pt idx="16">
                  <c:v>11</c:v>
                </c:pt>
                <c:pt idx="17">
                  <c:v>15</c:v>
                </c:pt>
                <c:pt idx="18">
                  <c:v>7</c:v>
                </c:pt>
                <c:pt idx="19">
                  <c:v>3</c:v>
                </c:pt>
                <c:pt idx="20">
                  <c:v>7</c:v>
                </c:pt>
                <c:pt idx="21">
                  <c:v>3</c:v>
                </c:pt>
                <c:pt idx="22">
                  <c:v>3</c:v>
                </c:pt>
                <c:pt idx="2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54632"/>
        <c:axId val="165547576"/>
      </c:lineChart>
      <c:catAx>
        <c:axId val="165554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5547576"/>
        <c:crosses val="autoZero"/>
        <c:auto val="1"/>
        <c:lblAlgn val="ctr"/>
        <c:lblOffset val="100"/>
        <c:noMultiLvlLbl val="0"/>
      </c:catAx>
      <c:valAx>
        <c:axId val="165547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555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Kabale-Katuna'!$C$9:$N$9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Kabale-Katuna'!$C$107:$N$107</c:f>
              <c:numCache>
                <c:formatCode>0.0%</c:formatCode>
                <c:ptCount val="12"/>
                <c:pt idx="0">
                  <c:v>0.30076335877862598</c:v>
                </c:pt>
                <c:pt idx="1">
                  <c:v>3.1297709923664124E-2</c:v>
                </c:pt>
                <c:pt idx="2">
                  <c:v>2.9770992366412213E-2</c:v>
                </c:pt>
                <c:pt idx="3">
                  <c:v>1.9083969465648856E-2</c:v>
                </c:pt>
                <c:pt idx="4">
                  <c:v>3.8167938931297708E-3</c:v>
                </c:pt>
                <c:pt idx="5">
                  <c:v>9.1603053435114507E-3</c:v>
                </c:pt>
                <c:pt idx="6">
                  <c:v>6.3358778625954196E-2</c:v>
                </c:pt>
                <c:pt idx="7">
                  <c:v>3.0534351145038168E-3</c:v>
                </c:pt>
                <c:pt idx="8">
                  <c:v>0</c:v>
                </c:pt>
                <c:pt idx="9">
                  <c:v>0</c:v>
                </c:pt>
                <c:pt idx="10">
                  <c:v>0.53969465648854964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Kabale-Katuna'!$C$9:$N$9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Kabale-Katuna'!$C$108:$N$108</c:f>
              <c:numCache>
                <c:formatCode>0.00%</c:formatCode>
                <c:ptCount val="12"/>
                <c:pt idx="0">
                  <c:v>0.65339966832504148</c:v>
                </c:pt>
                <c:pt idx="1">
                  <c:v>6.7993366500829183E-2</c:v>
                </c:pt>
                <c:pt idx="2">
                  <c:v>6.4676616915422883E-2</c:v>
                </c:pt>
                <c:pt idx="3">
                  <c:v>4.1459369817578771E-2</c:v>
                </c:pt>
                <c:pt idx="4">
                  <c:v>8.291873963515755E-3</c:v>
                </c:pt>
                <c:pt idx="5">
                  <c:v>1.9900497512437811E-2</c:v>
                </c:pt>
                <c:pt idx="6">
                  <c:v>0.13764510779436154</c:v>
                </c:pt>
                <c:pt idx="7">
                  <c:v>6.6334991708126038E-3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Kabale-Katuna-2Dir'!$C$9:$N$9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Kabale-Katuna-2Dir'!$C$107:$N$107</c:f>
              <c:numCache>
                <c:formatCode>0.0%</c:formatCode>
                <c:ptCount val="12"/>
                <c:pt idx="0">
                  <c:v>0.29968005687877708</c:v>
                </c:pt>
                <c:pt idx="1">
                  <c:v>5.3679345894063278E-2</c:v>
                </c:pt>
                <c:pt idx="2">
                  <c:v>3.8037682189832916E-2</c:v>
                </c:pt>
                <c:pt idx="3">
                  <c:v>2.0974049057945254E-2</c:v>
                </c:pt>
                <c:pt idx="4">
                  <c:v>7.1098471382865271E-3</c:v>
                </c:pt>
                <c:pt idx="5">
                  <c:v>6.7543547813722002E-3</c:v>
                </c:pt>
                <c:pt idx="6">
                  <c:v>6.8254532527550663E-2</c:v>
                </c:pt>
                <c:pt idx="7">
                  <c:v>3.9104159260575895E-3</c:v>
                </c:pt>
                <c:pt idx="8">
                  <c:v>0</c:v>
                </c:pt>
                <c:pt idx="9">
                  <c:v>0</c:v>
                </c:pt>
                <c:pt idx="10">
                  <c:v>0.50159971560611449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Kabale-Katuna-2Dir'!$C$9:$N$9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Kabale-Katuna-2Dir'!$C$108:$N$108</c:f>
              <c:numCache>
                <c:formatCode>0.00%</c:formatCode>
                <c:ptCount val="12"/>
                <c:pt idx="0">
                  <c:v>0.60128388017118406</c:v>
                </c:pt>
                <c:pt idx="1">
                  <c:v>0.10770328102710414</c:v>
                </c:pt>
                <c:pt idx="2">
                  <c:v>7.6319543509272461E-2</c:v>
                </c:pt>
                <c:pt idx="3">
                  <c:v>4.2082738944365192E-2</c:v>
                </c:pt>
                <c:pt idx="4">
                  <c:v>1.4265335235378032E-2</c:v>
                </c:pt>
                <c:pt idx="5">
                  <c:v>1.355206847360913E-2</c:v>
                </c:pt>
                <c:pt idx="6">
                  <c:v>0.13694721825962911</c:v>
                </c:pt>
                <c:pt idx="7">
                  <c:v>7.8459343794579171E-3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Kabale-Katuna-2Dir'!$S$9:$AF$9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Kabale-Katuna-2Dir'!$S$41:$AF$41</c:f>
              <c:numCache>
                <c:formatCode>_(* #,##0_);_(* \(#,##0\);_(* "-"_);_(@_)</c:formatCode>
                <c:ptCount val="14"/>
                <c:pt idx="0">
                  <c:v>421.5</c:v>
                </c:pt>
                <c:pt idx="1">
                  <c:v>75.5</c:v>
                </c:pt>
                <c:pt idx="2">
                  <c:v>53.5</c:v>
                </c:pt>
                <c:pt idx="3">
                  <c:v>29.5</c:v>
                </c:pt>
                <c:pt idx="4">
                  <c:v>10</c:v>
                </c:pt>
                <c:pt idx="5">
                  <c:v>9.5</c:v>
                </c:pt>
                <c:pt idx="6">
                  <c:v>96</c:v>
                </c:pt>
                <c:pt idx="7">
                  <c:v>5.5</c:v>
                </c:pt>
                <c:pt idx="8">
                  <c:v>0</c:v>
                </c:pt>
                <c:pt idx="9">
                  <c:v>0</c:v>
                </c:pt>
                <c:pt idx="10">
                  <c:v>705.5</c:v>
                </c:pt>
                <c:pt idx="11">
                  <c:v>0</c:v>
                </c:pt>
                <c:pt idx="12">
                  <c:v>701</c:v>
                </c:pt>
                <c:pt idx="13">
                  <c:v>1406.5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4-43CB-B5FF-B3A76BEA43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Kabale-Katuna-2Dir'!$S$9:$AF$9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Kabale-Katuna-2Dir'!$S$42:$AF$42</c:f>
              <c:numCache>
                <c:formatCode>0.000</c:formatCode>
                <c:ptCount val="14"/>
                <c:pt idx="0">
                  <c:v>1.4361158432708687</c:v>
                </c:pt>
                <c:pt idx="1">
                  <c:v>2.0133333333333332</c:v>
                </c:pt>
                <c:pt idx="2">
                  <c:v>2.0188679245283021</c:v>
                </c:pt>
                <c:pt idx="3">
                  <c:v>2.0344827586206895</c:v>
                </c:pt>
                <c:pt idx="4">
                  <c:v>2.5</c:v>
                </c:pt>
                <c:pt idx="5">
                  <c:v>1.4615384615384615</c:v>
                </c:pt>
                <c:pt idx="6">
                  <c:v>1.6</c:v>
                </c:pt>
                <c:pt idx="7">
                  <c:v>1.5714285714285714</c:v>
                </c:pt>
                <c:pt idx="8">
                  <c:v>0</c:v>
                </c:pt>
                <c:pt idx="9">
                  <c:v>0</c:v>
                </c:pt>
                <c:pt idx="10">
                  <c:v>1.283894449499545</c:v>
                </c:pt>
                <c:pt idx="11">
                  <c:v>0</c:v>
                </c:pt>
                <c:pt idx="12">
                  <c:v>1.5717488789237668</c:v>
                </c:pt>
                <c:pt idx="13">
                  <c:v>1.4128578603716726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A-4B44-94DF-18A50F1BC4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Kabale-Katuna-2Dir'!$AE$9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Kabale-Katuna-2Dir'!$R$10:$R$33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Kabale-Katuna-2Dir'!$AE$10:$AE$33</c:f>
              <c:numCache>
                <c:formatCode>0</c:formatCode>
                <c:ptCount val="24"/>
                <c:pt idx="0">
                  <c:v>18.5</c:v>
                </c:pt>
                <c:pt idx="1">
                  <c:v>30</c:v>
                </c:pt>
                <c:pt idx="2">
                  <c:v>39</c:v>
                </c:pt>
                <c:pt idx="3">
                  <c:v>44.5</c:v>
                </c:pt>
                <c:pt idx="4">
                  <c:v>42.5</c:v>
                </c:pt>
                <c:pt idx="5">
                  <c:v>41</c:v>
                </c:pt>
                <c:pt idx="6">
                  <c:v>33</c:v>
                </c:pt>
                <c:pt idx="7">
                  <c:v>40</c:v>
                </c:pt>
                <c:pt idx="8">
                  <c:v>40.5</c:v>
                </c:pt>
                <c:pt idx="9">
                  <c:v>26.5</c:v>
                </c:pt>
                <c:pt idx="10">
                  <c:v>39.5</c:v>
                </c:pt>
                <c:pt idx="11">
                  <c:v>51</c:v>
                </c:pt>
                <c:pt idx="12">
                  <c:v>45</c:v>
                </c:pt>
                <c:pt idx="13">
                  <c:v>47</c:v>
                </c:pt>
                <c:pt idx="14">
                  <c:v>23</c:v>
                </c:pt>
                <c:pt idx="15">
                  <c:v>11</c:v>
                </c:pt>
                <c:pt idx="16">
                  <c:v>10</c:v>
                </c:pt>
                <c:pt idx="17">
                  <c:v>14</c:v>
                </c:pt>
                <c:pt idx="18">
                  <c:v>11</c:v>
                </c:pt>
                <c:pt idx="19">
                  <c:v>16</c:v>
                </c:pt>
                <c:pt idx="20">
                  <c:v>18</c:v>
                </c:pt>
                <c:pt idx="21">
                  <c:v>9</c:v>
                </c:pt>
                <c:pt idx="22">
                  <c:v>21</c:v>
                </c:pt>
                <c:pt idx="23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5A-49BC-B280-DF3C1152C6A3}"/>
            </c:ext>
          </c:extLst>
        </c:ser>
        <c:ser>
          <c:idx val="1"/>
          <c:order val="1"/>
          <c:tx>
            <c:strRef>
              <c:f>'Avg Week Kabale-Katuna-2Dir'!$AF$9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Kabale-Katuna-2Dir'!$R$10:$R$33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Kabale-Katuna-2Dir'!$AF$10:$AF$33</c:f>
              <c:numCache>
                <c:formatCode>0</c:formatCode>
                <c:ptCount val="24"/>
                <c:pt idx="0">
                  <c:v>38</c:v>
                </c:pt>
                <c:pt idx="1">
                  <c:v>73</c:v>
                </c:pt>
                <c:pt idx="2">
                  <c:v>94.5</c:v>
                </c:pt>
                <c:pt idx="3">
                  <c:v>98.5</c:v>
                </c:pt>
                <c:pt idx="4">
                  <c:v>85</c:v>
                </c:pt>
                <c:pt idx="5">
                  <c:v>87</c:v>
                </c:pt>
                <c:pt idx="6">
                  <c:v>81</c:v>
                </c:pt>
                <c:pt idx="7">
                  <c:v>77.5</c:v>
                </c:pt>
                <c:pt idx="8">
                  <c:v>77</c:v>
                </c:pt>
                <c:pt idx="9">
                  <c:v>79.5</c:v>
                </c:pt>
                <c:pt idx="10">
                  <c:v>107</c:v>
                </c:pt>
                <c:pt idx="11">
                  <c:v>97.5</c:v>
                </c:pt>
                <c:pt idx="12">
                  <c:v>76</c:v>
                </c:pt>
                <c:pt idx="13">
                  <c:v>87</c:v>
                </c:pt>
                <c:pt idx="14">
                  <c:v>38</c:v>
                </c:pt>
                <c:pt idx="15">
                  <c:v>24</c:v>
                </c:pt>
                <c:pt idx="16">
                  <c:v>18</c:v>
                </c:pt>
                <c:pt idx="17">
                  <c:v>24</c:v>
                </c:pt>
                <c:pt idx="18">
                  <c:v>17</c:v>
                </c:pt>
                <c:pt idx="19">
                  <c:v>17</c:v>
                </c:pt>
                <c:pt idx="20">
                  <c:v>21</c:v>
                </c:pt>
                <c:pt idx="21">
                  <c:v>14</c:v>
                </c:pt>
                <c:pt idx="22">
                  <c:v>28</c:v>
                </c:pt>
                <c:pt idx="23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5A-49BC-B280-DF3C1152C6A3}"/>
            </c:ext>
          </c:extLst>
        </c:ser>
        <c:ser>
          <c:idx val="5"/>
          <c:order val="2"/>
          <c:tx>
            <c:strRef>
              <c:f>'Avg Week Kabale-Katuna-2Dir'!$AC$9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Kabale-Katuna-2Dir'!$R$10:$R$33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Kabale-Katuna-2Dir'!$AC$10:$AC$33</c:f>
              <c:numCache>
                <c:formatCode>0</c:formatCode>
                <c:ptCount val="24"/>
                <c:pt idx="0">
                  <c:v>19.5</c:v>
                </c:pt>
                <c:pt idx="1">
                  <c:v>43</c:v>
                </c:pt>
                <c:pt idx="2">
                  <c:v>55.5</c:v>
                </c:pt>
                <c:pt idx="3">
                  <c:v>54</c:v>
                </c:pt>
                <c:pt idx="4">
                  <c:v>42.5</c:v>
                </c:pt>
                <c:pt idx="5">
                  <c:v>46</c:v>
                </c:pt>
                <c:pt idx="6">
                  <c:v>48</c:v>
                </c:pt>
                <c:pt idx="7">
                  <c:v>37.5</c:v>
                </c:pt>
                <c:pt idx="8">
                  <c:v>36.5</c:v>
                </c:pt>
                <c:pt idx="9">
                  <c:v>53</c:v>
                </c:pt>
                <c:pt idx="10">
                  <c:v>67.5</c:v>
                </c:pt>
                <c:pt idx="11">
                  <c:v>46.5</c:v>
                </c:pt>
                <c:pt idx="12">
                  <c:v>31</c:v>
                </c:pt>
                <c:pt idx="13">
                  <c:v>40</c:v>
                </c:pt>
                <c:pt idx="14">
                  <c:v>15</c:v>
                </c:pt>
                <c:pt idx="15">
                  <c:v>13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1</c:v>
                </c:pt>
                <c:pt idx="20">
                  <c:v>3</c:v>
                </c:pt>
                <c:pt idx="21">
                  <c:v>5</c:v>
                </c:pt>
                <c:pt idx="22">
                  <c:v>7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5A-49BC-B280-DF3C1152C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ax val="250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pn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" Type="http://schemas.openxmlformats.org/officeDocument/2006/relationships/chart" Target="../charts/chart7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6" Type="http://schemas.openxmlformats.org/officeDocument/2006/relationships/chart" Target="../charts/chart13.xml"/><Relationship Id="rId1" Type="http://schemas.openxmlformats.org/officeDocument/2006/relationships/chart" Target="../charts/chart10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2.xml"/><Relationship Id="rId10" Type="http://schemas.openxmlformats.org/officeDocument/2006/relationships/image" Target="../media/image18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" Type="http://schemas.openxmlformats.org/officeDocument/2006/relationships/chart" Target="../charts/chart1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1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" Type="http://schemas.openxmlformats.org/officeDocument/2006/relationships/chart" Target="../charts/chart1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1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20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24.xml"/><Relationship Id="rId2" Type="http://schemas.openxmlformats.org/officeDocument/2006/relationships/image" Target="../media/image2.emf"/><Relationship Id="rId16" Type="http://schemas.openxmlformats.org/officeDocument/2006/relationships/chart" Target="../charts/chart23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22.xml"/><Relationship Id="rId10" Type="http://schemas.openxmlformats.org/officeDocument/2006/relationships/image" Target="../media/image19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42</xdr:row>
      <xdr:rowOff>276224</xdr:rowOff>
    </xdr:from>
    <xdr:to>
      <xdr:col>28</xdr:col>
      <xdr:colOff>15875</xdr:colOff>
      <xdr:row>58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15875</xdr:colOff>
      <xdr:row>59</xdr:row>
      <xdr:rowOff>9525</xdr:rowOff>
    </xdr:from>
    <xdr:to>
      <xdr:col>30</xdr:col>
      <xdr:colOff>31750</xdr:colOff>
      <xdr:row>73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59</xdr:row>
      <xdr:rowOff>0</xdr:rowOff>
    </xdr:from>
    <xdr:to>
      <xdr:col>23</xdr:col>
      <xdr:colOff>698501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31750</xdr:colOff>
      <xdr:row>59</xdr:row>
      <xdr:rowOff>9525</xdr:rowOff>
    </xdr:from>
    <xdr:to>
      <xdr:col>30</xdr:col>
      <xdr:colOff>47625</xdr:colOff>
      <xdr:row>74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24</xdr:col>
      <xdr:colOff>15875</xdr:colOff>
      <xdr:row>73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74</xdr:row>
      <xdr:rowOff>9525</xdr:rowOff>
    </xdr:from>
    <xdr:to>
      <xdr:col>24</xdr:col>
      <xdr:colOff>238125</xdr:colOff>
      <xdr:row>88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24</xdr:col>
      <xdr:colOff>254000</xdr:colOff>
      <xdr:row>74</xdr:row>
      <xdr:rowOff>31750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59</xdr:row>
      <xdr:rowOff>1588</xdr:rowOff>
    </xdr:from>
    <xdr:to>
      <xdr:col>31</xdr:col>
      <xdr:colOff>15876</xdr:colOff>
      <xdr:row>74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2612B04-8F95-40D5-BA59-7F4FFE526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254000</xdr:colOff>
      <xdr:row>74</xdr:row>
      <xdr:rowOff>1587</xdr:rowOff>
    </xdr:from>
    <xdr:to>
      <xdr:col>31</xdr:col>
      <xdr:colOff>0</xdr:colOff>
      <xdr:row>88</xdr:row>
      <xdr:rowOff>269875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8700B26-BEB7-4FBF-8803-F47CFE473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30</xdr:col>
      <xdr:colOff>698500</xdr:colOff>
      <xdr:row>58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B1D6D31-E999-41CF-B34F-183C94295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249977111117893"/>
  </sheetPr>
  <dimension ref="B1:AF174"/>
  <sheetViews>
    <sheetView view="pageBreakPreview" topLeftCell="A51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tr">
        <f>'26.10 Katuna-Kabale'!C3:G3</f>
        <v>MCC - C1 - STN134 - KATUNA-KABALE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58" t="s">
        <v>166</v>
      </c>
      <c r="H5" s="59"/>
      <c r="I5" s="14"/>
      <c r="J5" s="2" t="s">
        <v>5</v>
      </c>
      <c r="K5" s="58" t="s">
        <v>173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165</v>
      </c>
      <c r="E6" s="59"/>
      <c r="F6" s="2" t="s">
        <v>2</v>
      </c>
      <c r="G6" s="58" t="s">
        <v>167</v>
      </c>
      <c r="H6" s="59"/>
      <c r="J6" s="2" t="s">
        <v>21</v>
      </c>
      <c r="K6" s="58" t="s">
        <v>169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6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13</v>
      </c>
      <c r="AD10" s="17">
        <f t="shared" si="2"/>
        <v>0</v>
      </c>
      <c r="AE10" s="31">
        <f t="shared" si="2"/>
        <v>7</v>
      </c>
      <c r="AF10" s="31">
        <f t="shared" si="2"/>
        <v>20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2</v>
      </c>
      <c r="P11" s="15">
        <f t="shared" si="1"/>
        <v>2</v>
      </c>
      <c r="R11" s="1" t="s">
        <v>7</v>
      </c>
      <c r="S11" s="17">
        <f t="shared" ref="S11:AF11" si="3">SUM(C14:C17)</f>
        <v>21</v>
      </c>
      <c r="T11" s="17">
        <f t="shared" si="3"/>
        <v>1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25</v>
      </c>
      <c r="AD11" s="17">
        <f t="shared" si="3"/>
        <v>0</v>
      </c>
      <c r="AE11" s="31">
        <f t="shared" si="3"/>
        <v>25</v>
      </c>
      <c r="AF11" s="31">
        <f t="shared" si="3"/>
        <v>50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2</v>
      </c>
      <c r="P12" s="15">
        <f t="shared" si="1"/>
        <v>6</v>
      </c>
      <c r="R12" s="1" t="s">
        <v>8</v>
      </c>
      <c r="S12" s="17">
        <f t="shared" ref="S12:AF12" si="4">SUM(C18:C21)</f>
        <v>17</v>
      </c>
      <c r="T12" s="17">
        <f t="shared" si="4"/>
        <v>1</v>
      </c>
      <c r="U12" s="17">
        <f t="shared" si="4"/>
        <v>2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8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33</v>
      </c>
      <c r="AD12" s="17">
        <f t="shared" si="4"/>
        <v>0</v>
      </c>
      <c r="AE12" s="31">
        <f t="shared" si="4"/>
        <v>29</v>
      </c>
      <c r="AF12" s="31">
        <f t="shared" si="4"/>
        <v>62</v>
      </c>
    </row>
    <row r="13" spans="2:32" ht="23.1" customHeight="1" x14ac:dyDescent="0.25">
      <c r="B13" s="45" t="s">
        <v>40</v>
      </c>
      <c r="C13" s="50">
        <v>1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2</v>
      </c>
      <c r="P13" s="15">
        <f t="shared" si="1"/>
        <v>7</v>
      </c>
      <c r="R13" s="1" t="s">
        <v>9</v>
      </c>
      <c r="S13" s="17">
        <f t="shared" ref="S13:AF13" si="5">SUM(C22:C25)</f>
        <v>15</v>
      </c>
      <c r="T13" s="17">
        <f t="shared" si="5"/>
        <v>0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30</v>
      </c>
      <c r="AD13" s="17">
        <f t="shared" si="5"/>
        <v>0</v>
      </c>
      <c r="AE13" s="31">
        <f t="shared" si="5"/>
        <v>20</v>
      </c>
      <c r="AF13" s="31">
        <f t="shared" si="5"/>
        <v>50</v>
      </c>
    </row>
    <row r="14" spans="2:32" ht="23.1" customHeight="1" x14ac:dyDescent="0.25">
      <c r="B14" s="45" t="s">
        <v>41</v>
      </c>
      <c r="C14" s="50">
        <v>5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6</v>
      </c>
      <c r="P14" s="15">
        <f t="shared" si="1"/>
        <v>11</v>
      </c>
      <c r="R14" s="1" t="s">
        <v>10</v>
      </c>
      <c r="S14" s="17">
        <f t="shared" ref="S14:AF14" si="6">SUM(C26:C29)</f>
        <v>11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1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24</v>
      </c>
      <c r="AD14" s="17">
        <f t="shared" si="6"/>
        <v>0</v>
      </c>
      <c r="AE14" s="31">
        <f t="shared" si="6"/>
        <v>13</v>
      </c>
      <c r="AF14" s="31">
        <f t="shared" si="6"/>
        <v>37</v>
      </c>
    </row>
    <row r="15" spans="2:32" ht="23.1" customHeight="1" x14ac:dyDescent="0.25">
      <c r="B15" s="45" t="s">
        <v>42</v>
      </c>
      <c r="C15" s="50">
        <v>6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7</v>
      </c>
      <c r="P15" s="15">
        <f t="shared" si="1"/>
        <v>10</v>
      </c>
      <c r="R15" s="1" t="s">
        <v>11</v>
      </c>
      <c r="S15" s="17">
        <f t="shared" ref="S15:AF15" si="7">SUM(C30:C33)</f>
        <v>16</v>
      </c>
      <c r="T15" s="17">
        <f t="shared" si="7"/>
        <v>10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2</v>
      </c>
      <c r="Y15" s="17">
        <f t="shared" si="7"/>
        <v>5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32</v>
      </c>
      <c r="AD15" s="17">
        <f t="shared" si="7"/>
        <v>0</v>
      </c>
      <c r="AE15" s="31">
        <f t="shared" si="7"/>
        <v>33</v>
      </c>
      <c r="AF15" s="31">
        <f t="shared" si="7"/>
        <v>65</v>
      </c>
    </row>
    <row r="16" spans="2:32" ht="23.1" customHeight="1" x14ac:dyDescent="0.25">
      <c r="B16" s="45" t="s">
        <v>43</v>
      </c>
      <c r="C16" s="50">
        <v>2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2</v>
      </c>
      <c r="P16" s="15">
        <f t="shared" si="1"/>
        <v>9</v>
      </c>
      <c r="R16" s="1" t="s">
        <v>12</v>
      </c>
      <c r="S16" s="17">
        <f t="shared" ref="S16:AF16" si="8">SUM(C34:C37)</f>
        <v>13</v>
      </c>
      <c r="T16" s="17">
        <f t="shared" si="8"/>
        <v>2</v>
      </c>
      <c r="U16" s="17">
        <f t="shared" si="8"/>
        <v>0</v>
      </c>
      <c r="V16" s="17">
        <f t="shared" si="8"/>
        <v>1</v>
      </c>
      <c r="W16" s="17">
        <f t="shared" si="8"/>
        <v>1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30</v>
      </c>
      <c r="AD16" s="17">
        <f t="shared" si="8"/>
        <v>0</v>
      </c>
      <c r="AE16" s="31">
        <f t="shared" si="8"/>
        <v>17</v>
      </c>
      <c r="AF16" s="31">
        <f t="shared" si="8"/>
        <v>47</v>
      </c>
    </row>
    <row r="17" spans="2:32" ht="23.1" customHeight="1" x14ac:dyDescent="0.25">
      <c r="B17" s="45" t="s">
        <v>44</v>
      </c>
      <c r="C17" s="50">
        <v>8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10</v>
      </c>
      <c r="P17" s="15">
        <f t="shared" si="1"/>
        <v>20</v>
      </c>
      <c r="R17" s="1" t="s">
        <v>13</v>
      </c>
      <c r="S17" s="17">
        <f t="shared" ref="S17:AF17" si="9">SUM(C38:C41)</f>
        <v>11</v>
      </c>
      <c r="T17" s="17">
        <f t="shared" si="9"/>
        <v>1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26</v>
      </c>
      <c r="AD17" s="17">
        <f t="shared" si="9"/>
        <v>0</v>
      </c>
      <c r="AE17" s="31">
        <f t="shared" si="9"/>
        <v>16</v>
      </c>
      <c r="AF17" s="31">
        <f t="shared" si="9"/>
        <v>42</v>
      </c>
    </row>
    <row r="18" spans="2:32" ht="23.1" customHeight="1" x14ac:dyDescent="0.25">
      <c r="B18" s="45" t="s">
        <v>45</v>
      </c>
      <c r="C18" s="50">
        <v>5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9</v>
      </c>
      <c r="P18" s="15">
        <f t="shared" si="1"/>
        <v>15</v>
      </c>
      <c r="R18" s="1" t="s">
        <v>14</v>
      </c>
      <c r="S18" s="17">
        <f t="shared" ref="S18:AF18" si="10">SUM(C42:C45)</f>
        <v>10</v>
      </c>
      <c r="T18" s="17">
        <f t="shared" si="10"/>
        <v>2</v>
      </c>
      <c r="U18" s="17">
        <f t="shared" si="10"/>
        <v>4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20</v>
      </c>
      <c r="AD18" s="17">
        <f t="shared" si="10"/>
        <v>0</v>
      </c>
      <c r="AE18" s="31">
        <f t="shared" si="10"/>
        <v>23</v>
      </c>
      <c r="AF18" s="31">
        <f t="shared" si="10"/>
        <v>43</v>
      </c>
    </row>
    <row r="19" spans="2:32" ht="23.1" customHeight="1" x14ac:dyDescent="0.25">
      <c r="B19" s="45" t="s">
        <v>46</v>
      </c>
      <c r="C19" s="50">
        <v>3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13</v>
      </c>
      <c r="N19" s="50">
        <v>0</v>
      </c>
      <c r="O19" s="15">
        <f t="shared" si="0"/>
        <v>7</v>
      </c>
      <c r="P19" s="15">
        <f t="shared" si="1"/>
        <v>20</v>
      </c>
      <c r="R19" s="1" t="s">
        <v>15</v>
      </c>
      <c r="S19" s="17">
        <f t="shared" ref="S19:AF19" si="11">SUM(C46:C49)</f>
        <v>8</v>
      </c>
      <c r="T19" s="17">
        <f t="shared" si="11"/>
        <v>0</v>
      </c>
      <c r="U19" s="17">
        <f t="shared" si="11"/>
        <v>2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30</v>
      </c>
      <c r="AD19" s="17">
        <f t="shared" si="11"/>
        <v>0</v>
      </c>
      <c r="AE19" s="31">
        <f t="shared" si="11"/>
        <v>12</v>
      </c>
      <c r="AF19" s="31">
        <f t="shared" si="11"/>
        <v>42</v>
      </c>
    </row>
    <row r="20" spans="2:32" ht="23.1" customHeight="1" x14ac:dyDescent="0.25">
      <c r="B20" s="45" t="s">
        <v>47</v>
      </c>
      <c r="C20" s="50">
        <v>3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4</v>
      </c>
      <c r="P20" s="15">
        <f t="shared" si="1"/>
        <v>9</v>
      </c>
      <c r="R20" s="1" t="s">
        <v>16</v>
      </c>
      <c r="S20" s="17">
        <f t="shared" ref="S20:AF20" si="12">SUM(C50:C53)</f>
        <v>17</v>
      </c>
      <c r="T20" s="17">
        <f t="shared" si="12"/>
        <v>6</v>
      </c>
      <c r="U20" s="17">
        <f t="shared" si="12"/>
        <v>1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38</v>
      </c>
      <c r="AD20" s="17">
        <f t="shared" si="12"/>
        <v>0</v>
      </c>
      <c r="AE20" s="31">
        <f t="shared" si="12"/>
        <v>26</v>
      </c>
      <c r="AF20" s="31">
        <f t="shared" si="12"/>
        <v>64</v>
      </c>
    </row>
    <row r="21" spans="2:32" ht="23.1" customHeight="1" x14ac:dyDescent="0.25">
      <c r="B21" s="45" t="s">
        <v>48</v>
      </c>
      <c r="C21" s="50">
        <v>6</v>
      </c>
      <c r="D21" s="50">
        <v>1</v>
      </c>
      <c r="E21" s="50">
        <v>0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9</v>
      </c>
      <c r="N21" s="50">
        <v>0</v>
      </c>
      <c r="O21" s="15">
        <f t="shared" si="0"/>
        <v>9</v>
      </c>
      <c r="P21" s="15">
        <f t="shared" si="1"/>
        <v>18</v>
      </c>
      <c r="R21" s="36" t="s">
        <v>20</v>
      </c>
      <c r="S21" s="34">
        <f t="shared" ref="S21:AF21" si="13">SUM(C54:C57)</f>
        <v>21</v>
      </c>
      <c r="T21" s="17">
        <f t="shared" si="13"/>
        <v>7</v>
      </c>
      <c r="U21" s="17">
        <f t="shared" si="13"/>
        <v>4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22</v>
      </c>
      <c r="AD21" s="17">
        <f t="shared" si="13"/>
        <v>0</v>
      </c>
      <c r="AE21" s="31">
        <f t="shared" si="13"/>
        <v>41</v>
      </c>
      <c r="AF21" s="31">
        <f t="shared" si="13"/>
        <v>63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2</v>
      </c>
      <c r="P22" s="15">
        <f t="shared" si="1"/>
        <v>8</v>
      </c>
      <c r="R22" s="36" t="s">
        <v>146</v>
      </c>
      <c r="S22" s="34">
        <f>SUM(C58:C61)</f>
        <v>15</v>
      </c>
      <c r="T22" s="34">
        <f t="shared" ref="T22:AF22" si="14">SUM(D58:D61)</f>
        <v>6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1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11</v>
      </c>
      <c r="AD22" s="34">
        <f t="shared" si="14"/>
        <v>0</v>
      </c>
      <c r="AE22" s="31">
        <f t="shared" si="14"/>
        <v>24</v>
      </c>
      <c r="AF22" s="31">
        <f t="shared" si="14"/>
        <v>35</v>
      </c>
    </row>
    <row r="23" spans="2:32" ht="23.1" customHeight="1" x14ac:dyDescent="0.25">
      <c r="B23" s="45" t="s">
        <v>50</v>
      </c>
      <c r="C23" s="50">
        <v>3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3</v>
      </c>
      <c r="P23" s="15">
        <f t="shared" si="1"/>
        <v>12</v>
      </c>
      <c r="R23" s="36" t="s">
        <v>147</v>
      </c>
      <c r="S23" s="34">
        <f>SUM(C62:C65)</f>
        <v>15</v>
      </c>
      <c r="T23" s="34">
        <f t="shared" ref="T23:AF23" si="15">SUM(D62:D65)</f>
        <v>7</v>
      </c>
      <c r="U23" s="34">
        <f t="shared" si="15"/>
        <v>3</v>
      </c>
      <c r="V23" s="34">
        <f t="shared" si="15"/>
        <v>4</v>
      </c>
      <c r="W23" s="34">
        <f t="shared" si="15"/>
        <v>1</v>
      </c>
      <c r="X23" s="34">
        <f t="shared" si="15"/>
        <v>0</v>
      </c>
      <c r="Y23" s="34">
        <f t="shared" si="15"/>
        <v>3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25</v>
      </c>
      <c r="AD23" s="34">
        <f t="shared" si="15"/>
        <v>0</v>
      </c>
      <c r="AE23" s="31">
        <f t="shared" si="15"/>
        <v>33</v>
      </c>
      <c r="AF23" s="31">
        <f t="shared" si="15"/>
        <v>58</v>
      </c>
    </row>
    <row r="24" spans="2:32" ht="23.1" customHeight="1" x14ac:dyDescent="0.25">
      <c r="B24" s="45" t="s">
        <v>51</v>
      </c>
      <c r="C24" s="50">
        <v>5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6</v>
      </c>
      <c r="P24" s="15">
        <f t="shared" si="1"/>
        <v>13</v>
      </c>
      <c r="R24" s="36" t="s">
        <v>148</v>
      </c>
      <c r="S24" s="34">
        <f>SUM(C66:C69)</f>
        <v>8</v>
      </c>
      <c r="T24" s="34">
        <f t="shared" ref="T24:AF24" si="16">SUM(D66:D69)</f>
        <v>1</v>
      </c>
      <c r="U24" s="34">
        <f t="shared" si="16"/>
        <v>1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10</v>
      </c>
      <c r="AD24" s="34">
        <f t="shared" si="16"/>
        <v>0</v>
      </c>
      <c r="AE24" s="31">
        <f t="shared" si="16"/>
        <v>14</v>
      </c>
      <c r="AF24" s="31">
        <f t="shared" si="16"/>
        <v>24</v>
      </c>
    </row>
    <row r="25" spans="2:32" ht="23.1" customHeight="1" x14ac:dyDescent="0.25">
      <c r="B25" s="45" t="s">
        <v>52</v>
      </c>
      <c r="C25" s="50">
        <v>6</v>
      </c>
      <c r="D25" s="50">
        <v>0</v>
      </c>
      <c r="E25" s="50">
        <v>2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9</v>
      </c>
      <c r="P25" s="15">
        <f t="shared" si="1"/>
        <v>17</v>
      </c>
      <c r="R25" s="36" t="s">
        <v>149</v>
      </c>
      <c r="S25" s="34">
        <f>SUM(C70:C73)</f>
        <v>4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7</v>
      </c>
      <c r="AD25" s="34">
        <f t="shared" si="17"/>
        <v>0</v>
      </c>
      <c r="AE25" s="31">
        <f t="shared" si="17"/>
        <v>5</v>
      </c>
      <c r="AF25" s="31">
        <f t="shared" si="17"/>
        <v>12</v>
      </c>
    </row>
    <row r="26" spans="2:32" ht="23.1" customHeight="1" x14ac:dyDescent="0.25">
      <c r="B26" s="45" t="s">
        <v>53</v>
      </c>
      <c r="C26" s="50">
        <v>3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5</v>
      </c>
      <c r="N26" s="50">
        <v>0</v>
      </c>
      <c r="O26" s="15">
        <f t="shared" si="0"/>
        <v>4</v>
      </c>
      <c r="P26" s="15">
        <f t="shared" si="1"/>
        <v>9</v>
      </c>
      <c r="R26" s="36" t="s">
        <v>150</v>
      </c>
      <c r="S26" s="34">
        <f>SUM(C74:C77)</f>
        <v>4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</v>
      </c>
      <c r="AD26" s="34">
        <f t="shared" si="18"/>
        <v>0</v>
      </c>
      <c r="AE26" s="31">
        <f t="shared" si="18"/>
        <v>5</v>
      </c>
      <c r="AF26" s="31">
        <f t="shared" si="18"/>
        <v>7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2</v>
      </c>
      <c r="P27" s="15">
        <f t="shared" si="1"/>
        <v>6</v>
      </c>
      <c r="R27" s="36" t="s">
        <v>151</v>
      </c>
      <c r="S27" s="34">
        <f>SUM(C78:C81)</f>
        <v>4</v>
      </c>
      <c r="T27" s="34">
        <f t="shared" ref="T27:AF27" si="19">SUM(D78:D81)</f>
        <v>2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</v>
      </c>
      <c r="AD27" s="34">
        <f t="shared" si="19"/>
        <v>0</v>
      </c>
      <c r="AE27" s="31">
        <f t="shared" si="19"/>
        <v>8</v>
      </c>
      <c r="AF27" s="31">
        <f t="shared" si="19"/>
        <v>9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1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9</v>
      </c>
      <c r="N28" s="50">
        <v>0</v>
      </c>
      <c r="O28" s="15">
        <f t="shared" si="0"/>
        <v>2</v>
      </c>
      <c r="P28" s="15">
        <f t="shared" si="1"/>
        <v>11</v>
      </c>
      <c r="R28" s="36" t="s">
        <v>152</v>
      </c>
      <c r="S28" s="34">
        <f>SUM(C82:C85)</f>
        <v>1</v>
      </c>
      <c r="T28" s="34">
        <f t="shared" ref="T28:AF28" si="20">SUM(D82:D85)</f>
        <v>1</v>
      </c>
      <c r="U28" s="34">
        <f t="shared" si="20"/>
        <v>3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7</v>
      </c>
      <c r="AF28" s="31">
        <f t="shared" si="20"/>
        <v>10</v>
      </c>
    </row>
    <row r="29" spans="2:32" ht="23.1" customHeight="1" x14ac:dyDescent="0.25">
      <c r="B29" s="45" t="s">
        <v>56</v>
      </c>
      <c r="C29" s="50">
        <v>5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6</v>
      </c>
      <c r="N29" s="50">
        <v>0</v>
      </c>
      <c r="O29" s="15">
        <f t="shared" si="0"/>
        <v>5</v>
      </c>
      <c r="P29" s="15">
        <f t="shared" si="1"/>
        <v>11</v>
      </c>
      <c r="R29" s="36" t="s">
        <v>153</v>
      </c>
      <c r="S29" s="34">
        <f>SUM(C86:C89)</f>
        <v>6</v>
      </c>
      <c r="T29" s="34">
        <f t="shared" ref="T29:AF29" si="21">SUM(D86:D89)</f>
        <v>2</v>
      </c>
      <c r="U29" s="34">
        <f t="shared" si="21"/>
        <v>2</v>
      </c>
      <c r="V29" s="34">
        <f t="shared" si="21"/>
        <v>0</v>
      </c>
      <c r="W29" s="34">
        <f t="shared" si="21"/>
        <v>1</v>
      </c>
      <c r="X29" s="34">
        <f t="shared" si="21"/>
        <v>0</v>
      </c>
      <c r="Y29" s="34">
        <f t="shared" si="21"/>
        <v>2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13</v>
      </c>
      <c r="AF29" s="31">
        <f t="shared" si="21"/>
        <v>14</v>
      </c>
    </row>
    <row r="30" spans="2:32" ht="23.1" customHeight="1" x14ac:dyDescent="0.25">
      <c r="B30" s="45" t="s">
        <v>57</v>
      </c>
      <c r="C30" s="50">
        <v>1</v>
      </c>
      <c r="D30" s="50">
        <v>6</v>
      </c>
      <c r="E30" s="50">
        <v>0</v>
      </c>
      <c r="F30" s="50">
        <v>0</v>
      </c>
      <c r="G30" s="50">
        <v>0</v>
      </c>
      <c r="H30" s="50">
        <v>1</v>
      </c>
      <c r="I30" s="50">
        <v>0</v>
      </c>
      <c r="J30" s="50">
        <v>0</v>
      </c>
      <c r="K30" s="50">
        <v>0</v>
      </c>
      <c r="L30" s="50">
        <v>0</v>
      </c>
      <c r="M30" s="50">
        <v>8</v>
      </c>
      <c r="N30" s="50">
        <v>0</v>
      </c>
      <c r="O30" s="15">
        <f t="shared" si="0"/>
        <v>8</v>
      </c>
      <c r="P30" s="15">
        <f t="shared" si="1"/>
        <v>16</v>
      </c>
      <c r="R30" s="36" t="s">
        <v>154</v>
      </c>
      <c r="S30" s="34">
        <f>SUM(C90:C93)</f>
        <v>6</v>
      </c>
      <c r="T30" s="34">
        <f t="shared" ref="T30:AF30" si="22">SUM(D90:D93)</f>
        <v>2</v>
      </c>
      <c r="U30" s="34">
        <f t="shared" si="22"/>
        <v>3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13</v>
      </c>
      <c r="AF30" s="31">
        <f t="shared" si="22"/>
        <v>14</v>
      </c>
    </row>
    <row r="31" spans="2:32" ht="23.1" customHeight="1" x14ac:dyDescent="0.25">
      <c r="B31" s="46" t="s">
        <v>58</v>
      </c>
      <c r="C31" s="50">
        <v>6</v>
      </c>
      <c r="D31" s="50">
        <v>2</v>
      </c>
      <c r="E31" s="50">
        <v>0</v>
      </c>
      <c r="F31" s="50">
        <v>0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11</v>
      </c>
      <c r="P31" s="15">
        <f t="shared" si="1"/>
        <v>21</v>
      </c>
      <c r="R31" s="36" t="s">
        <v>155</v>
      </c>
      <c r="S31" s="34">
        <f>SUM(C94:C97)</f>
        <v>1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0</v>
      </c>
      <c r="W31" s="34">
        <f t="shared" si="23"/>
        <v>2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7</v>
      </c>
      <c r="AF31" s="31">
        <f t="shared" si="23"/>
        <v>11</v>
      </c>
    </row>
    <row r="32" spans="2:32" ht="23.1" customHeight="1" x14ac:dyDescent="0.25">
      <c r="B32" s="46" t="s">
        <v>59</v>
      </c>
      <c r="C32" s="50">
        <v>5</v>
      </c>
      <c r="D32" s="50">
        <v>2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6</v>
      </c>
      <c r="N32" s="50">
        <v>0</v>
      </c>
      <c r="O32" s="15">
        <f t="shared" si="0"/>
        <v>7</v>
      </c>
      <c r="P32" s="15">
        <f t="shared" si="1"/>
        <v>13</v>
      </c>
      <c r="R32" s="33" t="s">
        <v>156</v>
      </c>
      <c r="S32" s="34">
        <f>SUM(C98:C101)</f>
        <v>4</v>
      </c>
      <c r="T32" s="34">
        <f t="shared" ref="T32:AF32" si="24">SUM(D98:D101)</f>
        <v>4</v>
      </c>
      <c r="U32" s="34">
        <f t="shared" si="24"/>
        <v>1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6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7</v>
      </c>
      <c r="AD32" s="34">
        <f t="shared" si="24"/>
        <v>0</v>
      </c>
      <c r="AE32" s="31">
        <f t="shared" si="24"/>
        <v>18</v>
      </c>
      <c r="AF32" s="31">
        <f t="shared" si="24"/>
        <v>25</v>
      </c>
    </row>
    <row r="33" spans="2:32" ht="23.1" customHeight="1" x14ac:dyDescent="0.25">
      <c r="B33" s="45" t="s">
        <v>60</v>
      </c>
      <c r="C33" s="50">
        <v>4</v>
      </c>
      <c r="D33" s="50">
        <v>0</v>
      </c>
      <c r="E33" s="50">
        <v>0</v>
      </c>
      <c r="F33" s="50">
        <v>0</v>
      </c>
      <c r="G33" s="50">
        <v>0</v>
      </c>
      <c r="H33" s="50">
        <v>1</v>
      </c>
      <c r="I33" s="50">
        <v>2</v>
      </c>
      <c r="J33" s="50">
        <v>0</v>
      </c>
      <c r="K33" s="50">
        <v>0</v>
      </c>
      <c r="L33" s="50">
        <v>0</v>
      </c>
      <c r="M33" s="50">
        <v>8</v>
      </c>
      <c r="N33" s="50">
        <v>0</v>
      </c>
      <c r="O33" s="15">
        <f t="shared" si="0"/>
        <v>7</v>
      </c>
      <c r="P33" s="15">
        <f t="shared" si="1"/>
        <v>15</v>
      </c>
      <c r="R33" s="33" t="s">
        <v>157</v>
      </c>
      <c r="S33" s="34">
        <f>SUM(C102:C105)</f>
        <v>6</v>
      </c>
      <c r="T33" s="34">
        <f t="shared" ref="T33:AF33" si="25">SUM(D102:D105)</f>
        <v>6</v>
      </c>
      <c r="U33" s="34">
        <f t="shared" si="25"/>
        <v>3</v>
      </c>
      <c r="V33" s="34">
        <f t="shared" si="25"/>
        <v>3</v>
      </c>
      <c r="W33" s="34">
        <f t="shared" si="25"/>
        <v>2</v>
      </c>
      <c r="X33" s="34">
        <f t="shared" si="25"/>
        <v>0</v>
      </c>
      <c r="Y33" s="34">
        <f t="shared" si="25"/>
        <v>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16</v>
      </c>
      <c r="AD33" s="34">
        <f t="shared" si="25"/>
        <v>0</v>
      </c>
      <c r="AE33" s="31">
        <f t="shared" si="25"/>
        <v>25</v>
      </c>
      <c r="AF33" s="31">
        <f t="shared" si="25"/>
        <v>41</v>
      </c>
    </row>
    <row r="34" spans="2:32" ht="23.1" customHeight="1" x14ac:dyDescent="0.25">
      <c r="B34" s="46" t="s">
        <v>61</v>
      </c>
      <c r="C34" s="50">
        <v>5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5</v>
      </c>
      <c r="P34" s="15">
        <f t="shared" si="1"/>
        <v>11</v>
      </c>
      <c r="R34" s="38" t="s">
        <v>90</v>
      </c>
      <c r="S34" s="39">
        <f t="shared" ref="S34:AF34" si="26">MAX(S10:S12)</f>
        <v>21</v>
      </c>
      <c r="T34" s="39">
        <f t="shared" si="26"/>
        <v>1</v>
      </c>
      <c r="U34" s="39">
        <f t="shared" si="26"/>
        <v>2</v>
      </c>
      <c r="V34" s="39">
        <f t="shared" si="26"/>
        <v>1</v>
      </c>
      <c r="W34" s="39">
        <f t="shared" si="26"/>
        <v>0</v>
      </c>
      <c r="X34" s="39">
        <f t="shared" si="26"/>
        <v>0</v>
      </c>
      <c r="Y34" s="39">
        <f t="shared" si="26"/>
        <v>8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33</v>
      </c>
      <c r="AD34" s="39">
        <f t="shared" si="26"/>
        <v>0</v>
      </c>
      <c r="AE34" s="40">
        <f t="shared" si="26"/>
        <v>29</v>
      </c>
      <c r="AF34" s="40">
        <f t="shared" si="26"/>
        <v>62</v>
      </c>
    </row>
    <row r="35" spans="2:32" ht="23.1" customHeight="1" x14ac:dyDescent="0.25">
      <c r="B35" s="46" t="s">
        <v>62</v>
      </c>
      <c r="C35" s="50">
        <v>2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5</v>
      </c>
      <c r="N35" s="50">
        <v>0</v>
      </c>
      <c r="O35" s="15">
        <f t="shared" si="0"/>
        <v>2</v>
      </c>
      <c r="P35" s="15">
        <f t="shared" si="1"/>
        <v>7</v>
      </c>
      <c r="R35" s="38" t="s">
        <v>91</v>
      </c>
      <c r="S35" s="39">
        <f t="shared" ref="S35:AF35" si="27">MAX(S13:S18)</f>
        <v>16</v>
      </c>
      <c r="T35" s="39">
        <f t="shared" si="27"/>
        <v>10</v>
      </c>
      <c r="U35" s="39">
        <f t="shared" si="27"/>
        <v>4</v>
      </c>
      <c r="V35" s="39">
        <f t="shared" si="27"/>
        <v>2</v>
      </c>
      <c r="W35" s="39">
        <f t="shared" si="27"/>
        <v>1</v>
      </c>
      <c r="X35" s="39">
        <f t="shared" si="27"/>
        <v>2</v>
      </c>
      <c r="Y35" s="39">
        <f t="shared" si="27"/>
        <v>5</v>
      </c>
      <c r="Z35" s="39">
        <f t="shared" si="27"/>
        <v>2</v>
      </c>
      <c r="AA35" s="39">
        <f t="shared" si="27"/>
        <v>0</v>
      </c>
      <c r="AB35" s="39">
        <f t="shared" si="27"/>
        <v>0</v>
      </c>
      <c r="AC35" s="39">
        <f t="shared" si="27"/>
        <v>32</v>
      </c>
      <c r="AD35" s="39">
        <f t="shared" si="27"/>
        <v>0</v>
      </c>
      <c r="AE35" s="40">
        <f t="shared" si="27"/>
        <v>33</v>
      </c>
      <c r="AF35" s="40">
        <f t="shared" si="27"/>
        <v>65</v>
      </c>
    </row>
    <row r="36" spans="2:32" ht="23.1" customHeight="1" x14ac:dyDescent="0.25">
      <c r="B36" s="46" t="s">
        <v>63</v>
      </c>
      <c r="C36" s="50">
        <v>4</v>
      </c>
      <c r="D36" s="50">
        <v>0</v>
      </c>
      <c r="E36" s="50">
        <v>0</v>
      </c>
      <c r="F36" s="50">
        <v>1</v>
      </c>
      <c r="G36" s="50">
        <v>1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6</v>
      </c>
      <c r="P36" s="15">
        <f t="shared" si="1"/>
        <v>16</v>
      </c>
      <c r="R36" s="38" t="s">
        <v>92</v>
      </c>
      <c r="S36" s="39">
        <f t="shared" ref="S36:AF36" si="28">MAX(S19:S21)</f>
        <v>21</v>
      </c>
      <c r="T36" s="39">
        <f t="shared" si="28"/>
        <v>7</v>
      </c>
      <c r="U36" s="39">
        <f t="shared" si="28"/>
        <v>4</v>
      </c>
      <c r="V36" s="39">
        <f t="shared" si="28"/>
        <v>1</v>
      </c>
      <c r="W36" s="39">
        <f t="shared" si="28"/>
        <v>0</v>
      </c>
      <c r="X36" s="39">
        <f t="shared" si="28"/>
        <v>0</v>
      </c>
      <c r="Y36" s="39">
        <f t="shared" si="28"/>
        <v>9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38</v>
      </c>
      <c r="AD36" s="39">
        <f t="shared" si="28"/>
        <v>0</v>
      </c>
      <c r="AE36" s="40">
        <f t="shared" si="28"/>
        <v>41</v>
      </c>
      <c r="AF36" s="40">
        <f t="shared" si="28"/>
        <v>64</v>
      </c>
    </row>
    <row r="37" spans="2:32" ht="23.1" customHeight="1" x14ac:dyDescent="0.25">
      <c r="B37" s="45" t="s">
        <v>64</v>
      </c>
      <c r="C37" s="50">
        <v>2</v>
      </c>
      <c r="D37" s="50">
        <v>2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9</v>
      </c>
      <c r="N37" s="50">
        <v>0</v>
      </c>
      <c r="O37" s="15">
        <f t="shared" si="0"/>
        <v>4</v>
      </c>
      <c r="P37" s="15">
        <f t="shared" si="1"/>
        <v>13</v>
      </c>
      <c r="R37" s="37" t="s">
        <v>85</v>
      </c>
      <c r="S37" s="35">
        <f t="shared" ref="S37:AF37" si="29">SUM(S10:S12)</f>
        <v>44</v>
      </c>
      <c r="T37" s="16">
        <f t="shared" si="29"/>
        <v>3</v>
      </c>
      <c r="U37" s="16">
        <f t="shared" si="29"/>
        <v>3</v>
      </c>
      <c r="V37" s="16">
        <f t="shared" si="29"/>
        <v>1</v>
      </c>
      <c r="W37" s="16">
        <f t="shared" si="29"/>
        <v>0</v>
      </c>
      <c r="X37" s="16">
        <f t="shared" si="29"/>
        <v>0</v>
      </c>
      <c r="Y37" s="16">
        <f t="shared" si="29"/>
        <v>10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71</v>
      </c>
      <c r="AD37" s="16">
        <f t="shared" si="29"/>
        <v>0</v>
      </c>
      <c r="AE37" s="32">
        <f t="shared" si="29"/>
        <v>61</v>
      </c>
      <c r="AF37" s="32">
        <f t="shared" si="29"/>
        <v>132</v>
      </c>
    </row>
    <row r="38" spans="2:32" ht="23.1" customHeight="1" x14ac:dyDescent="0.25">
      <c r="B38" s="46" t="s">
        <v>65</v>
      </c>
      <c r="C38" s="50">
        <v>3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6</v>
      </c>
      <c r="P38" s="15">
        <f t="shared" si="1"/>
        <v>12</v>
      </c>
      <c r="R38" s="28" t="s">
        <v>86</v>
      </c>
      <c r="S38" s="16">
        <f t="shared" ref="S38:AF38" si="30">SUM(S13:S18)</f>
        <v>76</v>
      </c>
      <c r="T38" s="16">
        <f t="shared" si="30"/>
        <v>15</v>
      </c>
      <c r="U38" s="16">
        <f t="shared" si="30"/>
        <v>7</v>
      </c>
      <c r="V38" s="16">
        <f t="shared" si="30"/>
        <v>3</v>
      </c>
      <c r="W38" s="16">
        <f t="shared" si="30"/>
        <v>2</v>
      </c>
      <c r="X38" s="16">
        <f t="shared" si="30"/>
        <v>2</v>
      </c>
      <c r="Y38" s="16">
        <f t="shared" si="30"/>
        <v>15</v>
      </c>
      <c r="Z38" s="16">
        <f t="shared" si="30"/>
        <v>2</v>
      </c>
      <c r="AA38" s="16">
        <f t="shared" si="30"/>
        <v>0</v>
      </c>
      <c r="AB38" s="16">
        <f t="shared" si="30"/>
        <v>0</v>
      </c>
      <c r="AC38" s="16">
        <f t="shared" si="30"/>
        <v>162</v>
      </c>
      <c r="AD38" s="16">
        <f t="shared" si="30"/>
        <v>0</v>
      </c>
      <c r="AE38" s="32">
        <f t="shared" si="30"/>
        <v>122</v>
      </c>
      <c r="AF38" s="32">
        <f t="shared" si="30"/>
        <v>284</v>
      </c>
    </row>
    <row r="39" spans="2:32" ht="23.1" customHeight="1" x14ac:dyDescent="0.25">
      <c r="B39" s="46" t="s">
        <v>66</v>
      </c>
      <c r="C39" s="50">
        <v>3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4</v>
      </c>
      <c r="P39" s="15">
        <f t="shared" si="1"/>
        <v>14</v>
      </c>
      <c r="R39" s="29" t="s">
        <v>87</v>
      </c>
      <c r="S39" s="16">
        <f t="shared" ref="S39:AF39" si="31">SUM(S19:S21)</f>
        <v>46</v>
      </c>
      <c r="T39" s="16">
        <f t="shared" si="31"/>
        <v>13</v>
      </c>
      <c r="U39" s="16">
        <f t="shared" si="31"/>
        <v>7</v>
      </c>
      <c r="V39" s="16">
        <f t="shared" si="31"/>
        <v>2</v>
      </c>
      <c r="W39" s="16">
        <f t="shared" si="31"/>
        <v>0</v>
      </c>
      <c r="X39" s="16">
        <f t="shared" si="31"/>
        <v>0</v>
      </c>
      <c r="Y39" s="16">
        <f t="shared" si="31"/>
        <v>11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90</v>
      </c>
      <c r="AD39" s="16">
        <f t="shared" si="31"/>
        <v>0</v>
      </c>
      <c r="AE39" s="32">
        <f t="shared" si="31"/>
        <v>79</v>
      </c>
      <c r="AF39" s="32">
        <f t="shared" si="31"/>
        <v>169</v>
      </c>
    </row>
    <row r="40" spans="2:32" ht="23.1" customHeight="1" x14ac:dyDescent="0.25">
      <c r="B40" s="46" t="s">
        <v>67</v>
      </c>
      <c r="C40" s="50">
        <v>5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5</v>
      </c>
      <c r="P40" s="15">
        <f t="shared" si="1"/>
        <v>11</v>
      </c>
      <c r="R40" s="5" t="s">
        <v>17</v>
      </c>
      <c r="S40" s="16">
        <f t="shared" ref="S40:AF40" si="32">SUM(S10:S21)</f>
        <v>166</v>
      </c>
      <c r="T40" s="16">
        <f t="shared" si="32"/>
        <v>31</v>
      </c>
      <c r="U40" s="16">
        <f t="shared" si="32"/>
        <v>17</v>
      </c>
      <c r="V40" s="16">
        <f t="shared" si="32"/>
        <v>6</v>
      </c>
      <c r="W40" s="16">
        <f t="shared" si="32"/>
        <v>2</v>
      </c>
      <c r="X40" s="16">
        <f t="shared" si="32"/>
        <v>2</v>
      </c>
      <c r="Y40" s="16">
        <f t="shared" si="32"/>
        <v>36</v>
      </c>
      <c r="Z40" s="16">
        <f t="shared" si="32"/>
        <v>2</v>
      </c>
      <c r="AA40" s="16">
        <f t="shared" si="32"/>
        <v>0</v>
      </c>
      <c r="AB40" s="16">
        <f t="shared" si="32"/>
        <v>0</v>
      </c>
      <c r="AC40" s="16">
        <f t="shared" si="32"/>
        <v>323</v>
      </c>
      <c r="AD40" s="16">
        <f t="shared" si="32"/>
        <v>0</v>
      </c>
      <c r="AE40" s="32">
        <f t="shared" si="32"/>
        <v>262</v>
      </c>
      <c r="AF40" s="32">
        <f t="shared" si="32"/>
        <v>585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1</v>
      </c>
      <c r="P41" s="15">
        <f t="shared" si="1"/>
        <v>5</v>
      </c>
      <c r="R41" s="5" t="s">
        <v>159</v>
      </c>
      <c r="S41" s="16">
        <f>SUM(S10:S33)</f>
        <v>240</v>
      </c>
      <c r="T41" s="16">
        <f t="shared" ref="T41:AF41" si="33">SUM(T10:T33)</f>
        <v>63</v>
      </c>
      <c r="U41" s="16">
        <f t="shared" si="33"/>
        <v>38</v>
      </c>
      <c r="V41" s="16">
        <f t="shared" si="33"/>
        <v>18</v>
      </c>
      <c r="W41" s="16">
        <f t="shared" si="33"/>
        <v>8</v>
      </c>
      <c r="X41" s="16">
        <f t="shared" si="33"/>
        <v>3</v>
      </c>
      <c r="Y41" s="16">
        <f t="shared" si="33"/>
        <v>60</v>
      </c>
      <c r="Z41" s="16">
        <f t="shared" si="33"/>
        <v>4</v>
      </c>
      <c r="AA41" s="16">
        <f t="shared" si="33"/>
        <v>0</v>
      </c>
      <c r="AB41" s="16">
        <f t="shared" si="33"/>
        <v>0</v>
      </c>
      <c r="AC41" s="16">
        <f t="shared" si="33"/>
        <v>411</v>
      </c>
      <c r="AD41" s="16">
        <f t="shared" si="33"/>
        <v>0</v>
      </c>
      <c r="AE41" s="32">
        <f t="shared" si="33"/>
        <v>434</v>
      </c>
      <c r="AF41" s="32">
        <f t="shared" si="33"/>
        <v>845</v>
      </c>
    </row>
    <row r="42" spans="2:32" ht="23.1" customHeight="1" x14ac:dyDescent="0.25">
      <c r="B42" s="46" t="s">
        <v>69</v>
      </c>
      <c r="C42" s="50">
        <v>4</v>
      </c>
      <c r="D42" s="50">
        <v>1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8</v>
      </c>
      <c r="P42" s="15">
        <f t="shared" si="1"/>
        <v>12</v>
      </c>
      <c r="R42" s="5" t="s">
        <v>160</v>
      </c>
      <c r="S42" s="48">
        <f>S41/S40</f>
        <v>1.4457831325301205</v>
      </c>
      <c r="T42" s="48">
        <f t="shared" ref="T42:AF42" si="34">T41/T40</f>
        <v>2.032258064516129</v>
      </c>
      <c r="U42" s="48">
        <f t="shared" si="34"/>
        <v>2.2352941176470589</v>
      </c>
      <c r="V42" s="48">
        <f t="shared" si="34"/>
        <v>3</v>
      </c>
      <c r="W42" s="48">
        <f t="shared" si="34"/>
        <v>4</v>
      </c>
      <c r="X42" s="48">
        <f t="shared" si="34"/>
        <v>1.5</v>
      </c>
      <c r="Y42" s="48">
        <f t="shared" si="34"/>
        <v>1.6666666666666667</v>
      </c>
      <c r="Z42" s="48">
        <f t="shared" si="34"/>
        <v>2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1.2724458204334366</v>
      </c>
      <c r="AD42" s="48" t="e">
        <f t="shared" si="34"/>
        <v>#DIV/0!</v>
      </c>
      <c r="AE42" s="48">
        <f t="shared" si="34"/>
        <v>1.6564885496183206</v>
      </c>
      <c r="AF42" s="48">
        <f t="shared" si="34"/>
        <v>1.4444444444444444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2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3</v>
      </c>
      <c r="P43" s="15">
        <f t="shared" si="1"/>
        <v>10</v>
      </c>
    </row>
    <row r="44" spans="2:32" ht="23.1" customHeight="1" x14ac:dyDescent="0.25">
      <c r="B44" s="47" t="s">
        <v>71</v>
      </c>
      <c r="C44" s="50">
        <v>3</v>
      </c>
      <c r="D44" s="50">
        <v>1</v>
      </c>
      <c r="E44" s="50">
        <v>2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</v>
      </c>
      <c r="N44" s="50">
        <v>0</v>
      </c>
      <c r="O44" s="15">
        <f t="shared" si="0"/>
        <v>6</v>
      </c>
      <c r="P44" s="15">
        <f t="shared" si="1"/>
        <v>9</v>
      </c>
    </row>
    <row r="45" spans="2:32" ht="23.1" customHeight="1" x14ac:dyDescent="0.25">
      <c r="B45" s="45" t="s">
        <v>72</v>
      </c>
      <c r="C45" s="50">
        <v>3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6</v>
      </c>
      <c r="P45" s="15">
        <f t="shared" si="1"/>
        <v>12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2</v>
      </c>
      <c r="P46" s="15">
        <f t="shared" si="1"/>
        <v>11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3</v>
      </c>
      <c r="P47" s="15">
        <f t="shared" si="1"/>
        <v>8</v>
      </c>
      <c r="R47" s="8"/>
      <c r="T47"/>
    </row>
    <row r="48" spans="2:32" ht="23.1" customHeight="1" x14ac:dyDescent="0.25">
      <c r="B48" s="46" t="s">
        <v>75</v>
      </c>
      <c r="C48" s="50">
        <v>3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4</v>
      </c>
      <c r="P48" s="15">
        <f t="shared" si="1"/>
        <v>11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9</v>
      </c>
      <c r="N49" s="50">
        <v>0</v>
      </c>
      <c r="O49" s="15">
        <f t="shared" si="0"/>
        <v>3</v>
      </c>
      <c r="P49" s="15">
        <f t="shared" si="1"/>
        <v>12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5</v>
      </c>
      <c r="P50" s="15">
        <f t="shared" si="1"/>
        <v>16</v>
      </c>
      <c r="R50" s="8"/>
      <c r="T50"/>
    </row>
    <row r="51" spans="2:20" ht="23.1" customHeight="1" x14ac:dyDescent="0.25">
      <c r="B51" s="46" t="s">
        <v>78</v>
      </c>
      <c r="C51" s="50">
        <v>4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7</v>
      </c>
      <c r="N51" s="50">
        <v>0</v>
      </c>
      <c r="O51" s="15">
        <f t="shared" si="0"/>
        <v>5</v>
      </c>
      <c r="P51" s="15">
        <f t="shared" si="1"/>
        <v>12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4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8</v>
      </c>
      <c r="P52" s="15">
        <f t="shared" si="1"/>
        <v>15</v>
      </c>
      <c r="R52" s="8"/>
      <c r="T52"/>
    </row>
    <row r="53" spans="2:20" ht="23.1" customHeight="1" x14ac:dyDescent="0.25">
      <c r="B53" s="45" t="s">
        <v>80</v>
      </c>
      <c r="C53" s="50">
        <v>6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8</v>
      </c>
      <c r="P53" s="15">
        <f t="shared" si="1"/>
        <v>21</v>
      </c>
      <c r="R53" s="8"/>
      <c r="T53"/>
    </row>
    <row r="54" spans="2:20" ht="23.1" customHeight="1" x14ac:dyDescent="0.25">
      <c r="B54" s="45" t="s">
        <v>81</v>
      </c>
      <c r="C54" s="50">
        <v>7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4</v>
      </c>
      <c r="N54" s="50">
        <v>0</v>
      </c>
      <c r="O54" s="15">
        <f t="shared" si="0"/>
        <v>9</v>
      </c>
      <c r="P54" s="15">
        <f t="shared" si="1"/>
        <v>13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2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4</v>
      </c>
      <c r="N55" s="50">
        <v>0</v>
      </c>
      <c r="O55" s="15">
        <f t="shared" si="0"/>
        <v>8</v>
      </c>
      <c r="P55" s="15">
        <f t="shared" si="1"/>
        <v>12</v>
      </c>
      <c r="R55" s="8"/>
      <c r="T55"/>
    </row>
    <row r="56" spans="2:20" ht="23.1" customHeight="1" x14ac:dyDescent="0.25">
      <c r="B56" s="45" t="s">
        <v>83</v>
      </c>
      <c r="C56" s="50">
        <v>4</v>
      </c>
      <c r="D56" s="50">
        <v>5</v>
      </c>
      <c r="E56" s="50">
        <v>2</v>
      </c>
      <c r="F56" s="50">
        <v>0</v>
      </c>
      <c r="G56" s="50">
        <v>0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9</v>
      </c>
      <c r="N56" s="50">
        <v>0</v>
      </c>
      <c r="O56" s="15">
        <f t="shared" si="0"/>
        <v>15</v>
      </c>
      <c r="P56" s="15">
        <f t="shared" si="1"/>
        <v>24</v>
      </c>
      <c r="R56" s="8"/>
      <c r="T56"/>
    </row>
    <row r="57" spans="2:20" ht="23.1" customHeight="1" x14ac:dyDescent="0.25">
      <c r="B57" s="45" t="s">
        <v>84</v>
      </c>
      <c r="C57" s="50">
        <v>5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5</v>
      </c>
      <c r="N57" s="50">
        <v>0</v>
      </c>
      <c r="O57" s="15">
        <f t="shared" si="0"/>
        <v>9</v>
      </c>
      <c r="P57" s="15">
        <f t="shared" si="1"/>
        <v>14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v>1</v>
      </c>
      <c r="E58" s="50">
        <v>2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4</v>
      </c>
      <c r="N58" s="50">
        <v>0</v>
      </c>
      <c r="O58" s="15">
        <f t="shared" ref="O58:O105" si="35">SUM(C58:L58,N58)</f>
        <v>6</v>
      </c>
      <c r="P58" s="15">
        <f t="shared" ref="P58:P105" si="36">SUM(C58:N58)</f>
        <v>10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5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2</v>
      </c>
      <c r="N59" s="50">
        <v>0</v>
      </c>
      <c r="O59" s="15">
        <f t="shared" si="35"/>
        <v>8</v>
      </c>
      <c r="P59" s="15">
        <f t="shared" si="36"/>
        <v>10</v>
      </c>
      <c r="R59" s="8"/>
      <c r="T59"/>
    </row>
    <row r="60" spans="2:20" ht="23.1" customHeight="1" x14ac:dyDescent="0.25">
      <c r="B60" s="45" t="s">
        <v>101</v>
      </c>
      <c r="C60" s="50">
        <v>6</v>
      </c>
      <c r="D60" s="50">
        <v>0</v>
      </c>
      <c r="E60" s="50">
        <v>0</v>
      </c>
      <c r="F60" s="50">
        <v>0</v>
      </c>
      <c r="G60" s="50">
        <v>0</v>
      </c>
      <c r="H60" s="50">
        <v>1</v>
      </c>
      <c r="I60" s="50">
        <v>0</v>
      </c>
      <c r="J60" s="50">
        <v>0</v>
      </c>
      <c r="K60" s="50">
        <v>0</v>
      </c>
      <c r="L60" s="50">
        <v>0</v>
      </c>
      <c r="M60" s="50">
        <v>1</v>
      </c>
      <c r="N60" s="50">
        <v>0</v>
      </c>
      <c r="O60" s="15">
        <f t="shared" si="35"/>
        <v>7</v>
      </c>
      <c r="P60" s="15">
        <f t="shared" si="36"/>
        <v>8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4</v>
      </c>
      <c r="N61" s="50">
        <v>0</v>
      </c>
      <c r="O61" s="15">
        <f t="shared" si="35"/>
        <v>3</v>
      </c>
      <c r="P61" s="15">
        <f t="shared" si="36"/>
        <v>7</v>
      </c>
      <c r="R61" s="8"/>
      <c r="T61"/>
    </row>
    <row r="62" spans="2:20" ht="23.1" customHeight="1" x14ac:dyDescent="0.25">
      <c r="B62" s="45" t="s">
        <v>107</v>
      </c>
      <c r="C62" s="50">
        <v>4</v>
      </c>
      <c r="D62" s="50">
        <v>3</v>
      </c>
      <c r="E62" s="50">
        <v>0</v>
      </c>
      <c r="F62" s="50">
        <v>3</v>
      </c>
      <c r="G62" s="50">
        <v>1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7</v>
      </c>
      <c r="N62" s="50">
        <v>0</v>
      </c>
      <c r="O62" s="15">
        <f t="shared" si="35"/>
        <v>11</v>
      </c>
      <c r="P62" s="15">
        <f t="shared" si="36"/>
        <v>18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3</v>
      </c>
      <c r="N63" s="50">
        <v>0</v>
      </c>
      <c r="O63" s="15">
        <f t="shared" si="35"/>
        <v>3</v>
      </c>
      <c r="P63" s="15">
        <f t="shared" si="36"/>
        <v>6</v>
      </c>
      <c r="R63" s="8"/>
      <c r="T63"/>
    </row>
    <row r="64" spans="2:20" ht="23.1" customHeight="1" x14ac:dyDescent="0.25">
      <c r="B64" s="45" t="s">
        <v>109</v>
      </c>
      <c r="C64" s="50">
        <v>4</v>
      </c>
      <c r="D64" s="50">
        <v>1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11</v>
      </c>
      <c r="N64" s="50">
        <v>0</v>
      </c>
      <c r="O64" s="15">
        <f t="shared" si="35"/>
        <v>6</v>
      </c>
      <c r="P64" s="15">
        <f t="shared" si="36"/>
        <v>17</v>
      </c>
      <c r="R64" s="8"/>
      <c r="T64"/>
    </row>
    <row r="65" spans="2:20" ht="23.1" customHeight="1" x14ac:dyDescent="0.25">
      <c r="B65" s="45" t="s">
        <v>158</v>
      </c>
      <c r="C65" s="50">
        <v>5</v>
      </c>
      <c r="D65" s="50">
        <v>3</v>
      </c>
      <c r="E65" s="50">
        <v>2</v>
      </c>
      <c r="F65" s="50">
        <v>1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4</v>
      </c>
      <c r="N65" s="50">
        <v>0</v>
      </c>
      <c r="O65" s="15">
        <f t="shared" si="35"/>
        <v>13</v>
      </c>
      <c r="P65" s="15">
        <f t="shared" si="36"/>
        <v>17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1</v>
      </c>
      <c r="E66" s="50">
        <v>1</v>
      </c>
      <c r="F66" s="50">
        <v>2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3</v>
      </c>
      <c r="N66" s="50">
        <v>0</v>
      </c>
      <c r="O66" s="15">
        <f t="shared" si="35"/>
        <v>8</v>
      </c>
      <c r="P66" s="15">
        <f t="shared" si="36"/>
        <v>11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5</v>
      </c>
      <c r="N67" s="50">
        <v>0</v>
      </c>
      <c r="O67" s="15">
        <f t="shared" si="35"/>
        <v>4</v>
      </c>
      <c r="P67" s="15">
        <f t="shared" si="36"/>
        <v>9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2</v>
      </c>
      <c r="N68" s="50">
        <v>0</v>
      </c>
      <c r="O68" s="15">
        <f t="shared" si="35"/>
        <v>2</v>
      </c>
      <c r="P68" s="15">
        <f t="shared" si="36"/>
        <v>4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35"/>
        <v>0</v>
      </c>
      <c r="P69" s="15">
        <f t="shared" si="36"/>
        <v>0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</v>
      </c>
      <c r="N70" s="50">
        <v>0</v>
      </c>
      <c r="O70" s="15">
        <f t="shared" si="35"/>
        <v>1</v>
      </c>
      <c r="P70" s="15">
        <f t="shared" si="36"/>
        <v>2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3</v>
      </c>
      <c r="N71" s="50">
        <v>0</v>
      </c>
      <c r="O71" s="15">
        <f t="shared" si="35"/>
        <v>2</v>
      </c>
      <c r="P71" s="15">
        <f t="shared" si="36"/>
        <v>5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2</v>
      </c>
      <c r="N72" s="50">
        <v>0</v>
      </c>
      <c r="O72" s="15">
        <f t="shared" si="35"/>
        <v>1</v>
      </c>
      <c r="P72" s="15">
        <f t="shared" si="36"/>
        <v>3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35"/>
        <v>1</v>
      </c>
      <c r="P73" s="15">
        <f t="shared" si="36"/>
        <v>2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</v>
      </c>
      <c r="N74" s="50">
        <v>0</v>
      </c>
      <c r="O74" s="15">
        <f t="shared" si="35"/>
        <v>2</v>
      </c>
      <c r="P74" s="15">
        <f t="shared" si="36"/>
        <v>4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2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2</v>
      </c>
      <c r="E78" s="50">
        <v>0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3</v>
      </c>
      <c r="P78" s="15">
        <f t="shared" si="36"/>
        <v>3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0</v>
      </c>
      <c r="E80" s="50">
        <v>1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4</v>
      </c>
      <c r="P80" s="15">
        <f t="shared" si="36"/>
        <v>4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1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2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4</v>
      </c>
      <c r="P82" s="15">
        <f t="shared" si="36"/>
        <v>5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3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3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1</v>
      </c>
      <c r="E86" s="50">
        <v>0</v>
      </c>
      <c r="F86" s="50">
        <v>0</v>
      </c>
      <c r="G86" s="50">
        <v>1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</v>
      </c>
      <c r="N86" s="50">
        <v>0</v>
      </c>
      <c r="O86" s="15">
        <f t="shared" si="35"/>
        <v>2</v>
      </c>
      <c r="P86" s="15">
        <f t="shared" si="36"/>
        <v>3</v>
      </c>
      <c r="R86" s="8"/>
      <c r="T86"/>
    </row>
    <row r="87" spans="2:20" ht="23.1" customHeight="1" x14ac:dyDescent="0.25">
      <c r="B87" s="45" t="s">
        <v>127</v>
      </c>
      <c r="C87" s="50">
        <v>3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2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5</v>
      </c>
      <c r="P87" s="15">
        <f t="shared" si="36"/>
        <v>5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2</v>
      </c>
      <c r="D89" s="50">
        <v>1</v>
      </c>
      <c r="E89" s="50">
        <v>2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5</v>
      </c>
      <c r="P89" s="15">
        <f t="shared" si="36"/>
        <v>5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3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4</v>
      </c>
      <c r="P90" s="15">
        <f t="shared" si="36"/>
        <v>4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2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2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5</v>
      </c>
      <c r="D93" s="50">
        <v>2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7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2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4</v>
      </c>
      <c r="P94" s="15">
        <f t="shared" si="36"/>
        <v>5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2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2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3</v>
      </c>
      <c r="E98" s="50">
        <v>0</v>
      </c>
      <c r="F98" s="50">
        <v>0</v>
      </c>
      <c r="G98" s="50">
        <v>0</v>
      </c>
      <c r="H98" s="50">
        <v>0</v>
      </c>
      <c r="I98" s="50">
        <v>4</v>
      </c>
      <c r="J98" s="50">
        <v>0</v>
      </c>
      <c r="K98" s="50">
        <v>0</v>
      </c>
      <c r="L98" s="50">
        <v>0</v>
      </c>
      <c r="M98" s="50">
        <v>4</v>
      </c>
      <c r="N98" s="50">
        <v>0</v>
      </c>
      <c r="O98" s="15">
        <f t="shared" si="35"/>
        <v>8</v>
      </c>
      <c r="P98" s="15">
        <f t="shared" si="36"/>
        <v>12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1</v>
      </c>
      <c r="E100" s="50">
        <v>0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2</v>
      </c>
      <c r="P100" s="15">
        <f t="shared" si="36"/>
        <v>3</v>
      </c>
      <c r="R100" s="8"/>
      <c r="T100"/>
    </row>
    <row r="101" spans="2:20" ht="23.1" customHeight="1" x14ac:dyDescent="0.25">
      <c r="B101" s="45" t="s">
        <v>141</v>
      </c>
      <c r="C101" s="50">
        <v>3</v>
      </c>
      <c r="D101" s="50">
        <v>0</v>
      </c>
      <c r="E101" s="50">
        <v>0</v>
      </c>
      <c r="F101" s="50">
        <v>3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7</v>
      </c>
      <c r="P101" s="15">
        <f t="shared" si="36"/>
        <v>9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4</v>
      </c>
      <c r="E102" s="50">
        <v>0</v>
      </c>
      <c r="F102" s="50">
        <v>1</v>
      </c>
      <c r="G102" s="50">
        <v>1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7</v>
      </c>
      <c r="P102" s="15">
        <f t="shared" si="36"/>
        <v>10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2</v>
      </c>
      <c r="F103" s="50">
        <v>0</v>
      </c>
      <c r="G103" s="50">
        <v>0</v>
      </c>
      <c r="H103" s="50">
        <v>0</v>
      </c>
      <c r="I103" s="50">
        <v>3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5</v>
      </c>
      <c r="P103" s="15">
        <f t="shared" si="36"/>
        <v>6</v>
      </c>
      <c r="R103" s="8"/>
      <c r="T103"/>
    </row>
    <row r="104" spans="2:20" ht="23.1" customHeight="1" x14ac:dyDescent="0.25">
      <c r="B104" s="47" t="s">
        <v>144</v>
      </c>
      <c r="C104" s="50">
        <v>6</v>
      </c>
      <c r="D104" s="50">
        <v>0</v>
      </c>
      <c r="E104" s="50">
        <v>0</v>
      </c>
      <c r="F104" s="50">
        <v>2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4</v>
      </c>
      <c r="N104" s="50">
        <v>0</v>
      </c>
      <c r="O104" s="15">
        <f t="shared" si="35"/>
        <v>9</v>
      </c>
      <c r="P104" s="15">
        <f t="shared" si="36"/>
        <v>13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2</v>
      </c>
      <c r="E105" s="50">
        <v>1</v>
      </c>
      <c r="F105" s="50">
        <v>0</v>
      </c>
      <c r="G105" s="50">
        <v>1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8</v>
      </c>
      <c r="N105" s="50">
        <v>0</v>
      </c>
      <c r="O105" s="15">
        <f t="shared" si="35"/>
        <v>4</v>
      </c>
      <c r="P105" s="15">
        <f t="shared" si="36"/>
        <v>12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240</v>
      </c>
      <c r="D106" s="16">
        <f t="shared" ref="D106:P106" si="37">SUM(D10:D105)</f>
        <v>63</v>
      </c>
      <c r="E106" s="16">
        <f t="shared" si="37"/>
        <v>38</v>
      </c>
      <c r="F106" s="16">
        <f t="shared" si="37"/>
        <v>18</v>
      </c>
      <c r="G106" s="16">
        <f t="shared" si="37"/>
        <v>8</v>
      </c>
      <c r="H106" s="16">
        <f t="shared" si="37"/>
        <v>3</v>
      </c>
      <c r="I106" s="16">
        <f t="shared" si="37"/>
        <v>60</v>
      </c>
      <c r="J106" s="16">
        <f t="shared" si="37"/>
        <v>4</v>
      </c>
      <c r="K106" s="16">
        <f t="shared" si="37"/>
        <v>0</v>
      </c>
      <c r="L106" s="16">
        <f t="shared" si="37"/>
        <v>0</v>
      </c>
      <c r="M106" s="16">
        <f t="shared" si="37"/>
        <v>411</v>
      </c>
      <c r="N106" s="16">
        <f t="shared" si="37"/>
        <v>0</v>
      </c>
      <c r="O106" s="16">
        <f t="shared" si="37"/>
        <v>434</v>
      </c>
      <c r="P106" s="16">
        <f t="shared" si="37"/>
        <v>845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0.28402366863905326</v>
      </c>
      <c r="D107" s="43">
        <f t="shared" si="38"/>
        <v>7.4556213017751477E-2</v>
      </c>
      <c r="E107" s="43">
        <f t="shared" si="38"/>
        <v>4.4970414201183431E-2</v>
      </c>
      <c r="F107" s="43">
        <f t="shared" si="38"/>
        <v>2.1301775147928994E-2</v>
      </c>
      <c r="G107" s="43">
        <f t="shared" si="38"/>
        <v>9.4674556213017753E-3</v>
      </c>
      <c r="H107" s="43">
        <f t="shared" si="38"/>
        <v>3.5502958579881655E-3</v>
      </c>
      <c r="I107" s="43">
        <f t="shared" si="38"/>
        <v>7.1005917159763315E-2</v>
      </c>
      <c r="J107" s="43">
        <f t="shared" si="38"/>
        <v>4.7337278106508876E-3</v>
      </c>
      <c r="K107" s="43">
        <f t="shared" si="38"/>
        <v>0</v>
      </c>
      <c r="L107" s="43">
        <f t="shared" si="38"/>
        <v>0</v>
      </c>
      <c r="M107" s="43">
        <f t="shared" si="38"/>
        <v>0.4863905325443787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0.55299539170506917</v>
      </c>
      <c r="D108" s="44">
        <f t="shared" ref="D108:N108" si="39">D106/$O$106</f>
        <v>0.14516129032258066</v>
      </c>
      <c r="E108" s="44">
        <f t="shared" si="39"/>
        <v>8.755760368663594E-2</v>
      </c>
      <c r="F108" s="44">
        <f t="shared" si="39"/>
        <v>4.1474654377880185E-2</v>
      </c>
      <c r="G108" s="44">
        <f t="shared" si="39"/>
        <v>1.8433179723502304E-2</v>
      </c>
      <c r="H108" s="44">
        <f t="shared" si="39"/>
        <v>6.9124423963133645E-3</v>
      </c>
      <c r="I108" s="44">
        <f t="shared" si="39"/>
        <v>0.13824884792626729</v>
      </c>
      <c r="J108" s="44">
        <f t="shared" si="39"/>
        <v>9.2165898617511521E-3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249977111117893"/>
  </sheetPr>
  <dimension ref="B1:AF174"/>
  <sheetViews>
    <sheetView view="pageBreakPreview" topLeftCell="A49" zoomScale="60" workbookViewId="0">
      <selection activeCell="J18" sqref="J1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tr">
        <f>'26.10 Katuna-Kabale'!C3:G3</f>
        <v>MCC - C1 - STN134 - KATUNA-KABALE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'25.10 Katuna-Kabale 24hr'!D5</f>
        <v>25.10.19</v>
      </c>
      <c r="E5" s="3"/>
      <c r="F5" s="41" t="s">
        <v>1</v>
      </c>
      <c r="G5" s="58" t="s">
        <v>170</v>
      </c>
      <c r="H5" s="59"/>
      <c r="I5" s="14"/>
      <c r="J5" s="2" t="s">
        <v>5</v>
      </c>
      <c r="K5" s="58" t="s">
        <v>171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167</v>
      </c>
      <c r="E6" s="59"/>
      <c r="F6" s="2" t="s">
        <v>2</v>
      </c>
      <c r="G6" s="58" t="s">
        <v>165</v>
      </c>
      <c r="H6" s="59"/>
      <c r="J6" s="2" t="s">
        <v>21</v>
      </c>
      <c r="K6" s="58" t="str">
        <f>'25.10 Katuna-Kabale 24hr'!K6:L6</f>
        <v>Mbabazi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6</v>
      </c>
      <c r="R10" s="1" t="s">
        <v>6</v>
      </c>
      <c r="S10" s="17">
        <f t="shared" ref="S10:AF10" si="2">SUM(C10:C13)</f>
        <v>13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13</v>
      </c>
      <c r="AD10" s="17">
        <f t="shared" si="2"/>
        <v>0</v>
      </c>
      <c r="AE10" s="31">
        <f t="shared" si="2"/>
        <v>15</v>
      </c>
      <c r="AF10" s="31">
        <f t="shared" si="2"/>
        <v>28</v>
      </c>
    </row>
    <row r="11" spans="2:32" s="6" customFormat="1" ht="23.1" customHeight="1" x14ac:dyDescent="0.25">
      <c r="B11" s="45" t="s">
        <v>38</v>
      </c>
      <c r="C11" s="50">
        <v>3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4</v>
      </c>
      <c r="P11" s="15">
        <f t="shared" si="1"/>
        <v>8</v>
      </c>
      <c r="R11" s="1" t="s">
        <v>7</v>
      </c>
      <c r="S11" s="17">
        <f t="shared" ref="S11:AF11" si="3">SUM(C14:C17)</f>
        <v>5</v>
      </c>
      <c r="T11" s="17">
        <f t="shared" si="3"/>
        <v>0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34</v>
      </c>
      <c r="AD11" s="17">
        <f t="shared" si="3"/>
        <v>0</v>
      </c>
      <c r="AE11" s="31">
        <f t="shared" si="3"/>
        <v>10</v>
      </c>
      <c r="AF11" s="31">
        <f t="shared" si="3"/>
        <v>44</v>
      </c>
    </row>
    <row r="12" spans="2:32" ht="23.1" customHeight="1" x14ac:dyDescent="0.25">
      <c r="B12" s="45" t="s">
        <v>39</v>
      </c>
      <c r="C12" s="50">
        <v>7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8</v>
      </c>
      <c r="P12" s="15">
        <f t="shared" si="1"/>
        <v>11</v>
      </c>
      <c r="R12" s="1" t="s">
        <v>8</v>
      </c>
      <c r="S12" s="17">
        <f t="shared" ref="S12:AF12" si="4">SUM(C18:C21)</f>
        <v>9</v>
      </c>
      <c r="T12" s="17">
        <f t="shared" si="4"/>
        <v>1</v>
      </c>
      <c r="U12" s="17">
        <f t="shared" si="4"/>
        <v>2</v>
      </c>
      <c r="V12" s="17">
        <f t="shared" si="4"/>
        <v>0</v>
      </c>
      <c r="W12" s="17">
        <f t="shared" si="4"/>
        <v>2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31</v>
      </c>
      <c r="AD12" s="17">
        <f t="shared" si="4"/>
        <v>0</v>
      </c>
      <c r="AE12" s="31">
        <f t="shared" si="4"/>
        <v>16</v>
      </c>
      <c r="AF12" s="31">
        <f t="shared" si="4"/>
        <v>47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1</v>
      </c>
      <c r="P13" s="15">
        <f t="shared" si="1"/>
        <v>3</v>
      </c>
      <c r="R13" s="1" t="s">
        <v>9</v>
      </c>
      <c r="S13" s="17">
        <f t="shared" ref="S13:AF13" si="5">SUM(C22:C25)</f>
        <v>8</v>
      </c>
      <c r="T13" s="17">
        <f t="shared" si="5"/>
        <v>1</v>
      </c>
      <c r="U13" s="17">
        <f t="shared" si="5"/>
        <v>1</v>
      </c>
      <c r="V13" s="17">
        <f t="shared" si="5"/>
        <v>3</v>
      </c>
      <c r="W13" s="17">
        <f t="shared" si="5"/>
        <v>1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15</v>
      </c>
      <c r="AD13" s="17">
        <f t="shared" si="5"/>
        <v>0</v>
      </c>
      <c r="AE13" s="31">
        <f t="shared" si="5"/>
        <v>17</v>
      </c>
      <c r="AF13" s="31">
        <f t="shared" si="5"/>
        <v>32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3</v>
      </c>
      <c r="P14" s="15">
        <f t="shared" si="1"/>
        <v>11</v>
      </c>
      <c r="R14" s="1" t="s">
        <v>10</v>
      </c>
      <c r="S14" s="17">
        <f t="shared" ref="S14:AF14" si="6">SUM(C26:C29)</f>
        <v>12</v>
      </c>
      <c r="T14" s="17">
        <f t="shared" si="6"/>
        <v>2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27</v>
      </c>
      <c r="AD14" s="17">
        <f t="shared" si="6"/>
        <v>0</v>
      </c>
      <c r="AE14" s="31">
        <f t="shared" si="6"/>
        <v>18</v>
      </c>
      <c r="AF14" s="31">
        <f t="shared" si="6"/>
        <v>45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11</v>
      </c>
      <c r="N15" s="50">
        <v>0</v>
      </c>
      <c r="O15" s="15">
        <f t="shared" si="0"/>
        <v>2</v>
      </c>
      <c r="P15" s="15">
        <f t="shared" si="1"/>
        <v>13</v>
      </c>
      <c r="R15" s="1" t="s">
        <v>11</v>
      </c>
      <c r="S15" s="17">
        <f t="shared" ref="S15:AF15" si="7">SUM(C30:C33)</f>
        <v>12</v>
      </c>
      <c r="T15" s="17">
        <f t="shared" si="7"/>
        <v>2</v>
      </c>
      <c r="U15" s="17">
        <f t="shared" si="7"/>
        <v>2</v>
      </c>
      <c r="V15" s="17">
        <f t="shared" si="7"/>
        <v>0</v>
      </c>
      <c r="W15" s="17">
        <f t="shared" si="7"/>
        <v>0</v>
      </c>
      <c r="X15" s="17">
        <f t="shared" si="7"/>
        <v>1</v>
      </c>
      <c r="Y15" s="17">
        <f t="shared" si="7"/>
        <v>1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28</v>
      </c>
      <c r="AD15" s="17">
        <f t="shared" si="7"/>
        <v>0</v>
      </c>
      <c r="AE15" s="31">
        <f t="shared" si="7"/>
        <v>20</v>
      </c>
      <c r="AF15" s="31">
        <f t="shared" si="7"/>
        <v>48</v>
      </c>
    </row>
    <row r="16" spans="2:32" ht="23.1" customHeight="1" x14ac:dyDescent="0.25">
      <c r="B16" s="45" t="s">
        <v>43</v>
      </c>
      <c r="C16" s="50">
        <v>4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10</v>
      </c>
      <c r="N16" s="50">
        <v>0</v>
      </c>
      <c r="O16" s="15">
        <f t="shared" si="0"/>
        <v>4</v>
      </c>
      <c r="P16" s="15">
        <f t="shared" si="1"/>
        <v>14</v>
      </c>
      <c r="R16" s="1" t="s">
        <v>12</v>
      </c>
      <c r="S16" s="17">
        <f t="shared" ref="S16:AF16" si="8">SUM(C34:C37)</f>
        <v>15</v>
      </c>
      <c r="T16" s="17">
        <f t="shared" si="8"/>
        <v>2</v>
      </c>
      <c r="U16" s="17">
        <f t="shared" si="8"/>
        <v>0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32</v>
      </c>
      <c r="AD16" s="17">
        <f t="shared" si="8"/>
        <v>0</v>
      </c>
      <c r="AE16" s="31">
        <f t="shared" si="8"/>
        <v>21</v>
      </c>
      <c r="AF16" s="31">
        <f t="shared" si="8"/>
        <v>53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1</v>
      </c>
      <c r="P17" s="15">
        <f t="shared" si="1"/>
        <v>6</v>
      </c>
      <c r="R17" s="1" t="s">
        <v>13</v>
      </c>
      <c r="S17" s="17">
        <f t="shared" ref="S17:AF17" si="9">SUM(C38:C41)</f>
        <v>25</v>
      </c>
      <c r="T17" s="17">
        <f t="shared" si="9"/>
        <v>2</v>
      </c>
      <c r="U17" s="17">
        <f t="shared" si="9"/>
        <v>5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16</v>
      </c>
      <c r="AD17" s="17">
        <f t="shared" si="9"/>
        <v>0</v>
      </c>
      <c r="AE17" s="31">
        <f t="shared" si="9"/>
        <v>38</v>
      </c>
      <c r="AF17" s="31">
        <f t="shared" si="9"/>
        <v>54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9</v>
      </c>
      <c r="N18" s="50">
        <v>0</v>
      </c>
      <c r="O18" s="15">
        <f t="shared" si="0"/>
        <v>1</v>
      </c>
      <c r="P18" s="15">
        <f t="shared" si="1"/>
        <v>10</v>
      </c>
      <c r="R18" s="1" t="s">
        <v>14</v>
      </c>
      <c r="S18" s="17">
        <f t="shared" ref="S18:AF18" si="10">SUM(C42:C45)</f>
        <v>22</v>
      </c>
      <c r="T18" s="17">
        <f t="shared" si="10"/>
        <v>3</v>
      </c>
      <c r="U18" s="17">
        <f t="shared" si="10"/>
        <v>3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25</v>
      </c>
      <c r="AD18" s="17">
        <f t="shared" si="10"/>
        <v>0</v>
      </c>
      <c r="AE18" s="31">
        <f t="shared" si="10"/>
        <v>32</v>
      </c>
      <c r="AF18" s="31">
        <f t="shared" si="10"/>
        <v>57</v>
      </c>
    </row>
    <row r="19" spans="2:32" ht="23.1" customHeight="1" x14ac:dyDescent="0.25">
      <c r="B19" s="45" t="s">
        <v>46</v>
      </c>
      <c r="C19" s="50">
        <v>5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6</v>
      </c>
      <c r="P19" s="15">
        <f t="shared" si="1"/>
        <v>10</v>
      </c>
      <c r="R19" s="1" t="s">
        <v>15</v>
      </c>
      <c r="S19" s="17">
        <f t="shared" ref="S19:AF19" si="11">SUM(C46:C49)</f>
        <v>5</v>
      </c>
      <c r="T19" s="17">
        <f t="shared" si="11"/>
        <v>0</v>
      </c>
      <c r="U19" s="17">
        <f t="shared" si="11"/>
        <v>0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38</v>
      </c>
      <c r="AD19" s="17">
        <f t="shared" si="11"/>
        <v>0</v>
      </c>
      <c r="AE19" s="31">
        <f t="shared" si="11"/>
        <v>11</v>
      </c>
      <c r="AF19" s="31">
        <f t="shared" si="11"/>
        <v>49</v>
      </c>
    </row>
    <row r="20" spans="2:32" ht="23.1" customHeight="1" x14ac:dyDescent="0.25">
      <c r="B20" s="45" t="s">
        <v>47</v>
      </c>
      <c r="C20" s="50">
        <v>1</v>
      </c>
      <c r="D20" s="50">
        <v>1</v>
      </c>
      <c r="E20" s="50">
        <v>2</v>
      </c>
      <c r="F20" s="50">
        <v>0</v>
      </c>
      <c r="G20" s="50">
        <v>1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6</v>
      </c>
      <c r="P20" s="15">
        <f t="shared" si="1"/>
        <v>11</v>
      </c>
      <c r="R20" s="1" t="s">
        <v>16</v>
      </c>
      <c r="S20" s="17">
        <f t="shared" ref="S20:AF20" si="12">SUM(C50:C53)</f>
        <v>17</v>
      </c>
      <c r="T20" s="17">
        <f t="shared" si="12"/>
        <v>1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2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42</v>
      </c>
      <c r="AD20" s="17">
        <f t="shared" si="12"/>
        <v>0</v>
      </c>
      <c r="AE20" s="31">
        <f t="shared" si="12"/>
        <v>24</v>
      </c>
      <c r="AF20" s="31">
        <f t="shared" si="12"/>
        <v>66</v>
      </c>
    </row>
    <row r="21" spans="2:32" ht="23.1" customHeight="1" x14ac:dyDescent="0.25">
      <c r="B21" s="45" t="s">
        <v>48</v>
      </c>
      <c r="C21" s="50">
        <v>2</v>
      </c>
      <c r="D21" s="50">
        <v>0</v>
      </c>
      <c r="E21" s="50">
        <v>0</v>
      </c>
      <c r="F21" s="50">
        <v>0</v>
      </c>
      <c r="G21" s="50">
        <v>1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13</v>
      </c>
      <c r="N21" s="50">
        <v>0</v>
      </c>
      <c r="O21" s="15">
        <f t="shared" si="0"/>
        <v>3</v>
      </c>
      <c r="P21" s="15">
        <f t="shared" si="1"/>
        <v>16</v>
      </c>
      <c r="R21" s="36" t="s">
        <v>20</v>
      </c>
      <c r="S21" s="34">
        <f t="shared" ref="S21:AF21" si="13">SUM(C54:C57)</f>
        <v>17</v>
      </c>
      <c r="T21" s="17">
        <f t="shared" si="13"/>
        <v>1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19</v>
      </c>
      <c r="AD21" s="17">
        <f t="shared" si="13"/>
        <v>0</v>
      </c>
      <c r="AE21" s="31">
        <f t="shared" si="13"/>
        <v>23</v>
      </c>
      <c r="AF21" s="31">
        <f t="shared" si="13"/>
        <v>42</v>
      </c>
    </row>
    <row r="22" spans="2:32" ht="23.1" customHeight="1" x14ac:dyDescent="0.25">
      <c r="B22" s="45" t="s">
        <v>49</v>
      </c>
      <c r="C22" s="50">
        <v>1</v>
      </c>
      <c r="D22" s="50">
        <v>1</v>
      </c>
      <c r="E22" s="50">
        <v>0</v>
      </c>
      <c r="F22" s="50">
        <v>2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3</v>
      </c>
      <c r="N22" s="50">
        <v>0</v>
      </c>
      <c r="O22" s="15">
        <f t="shared" si="0"/>
        <v>5</v>
      </c>
      <c r="P22" s="15">
        <f t="shared" si="1"/>
        <v>8</v>
      </c>
      <c r="R22" s="36" t="s">
        <v>146</v>
      </c>
      <c r="S22" s="34">
        <f>SUM(C58:C61)</f>
        <v>16</v>
      </c>
      <c r="T22" s="34">
        <f t="shared" ref="T22:AF22" si="14">SUM(D58:D61)</f>
        <v>1</v>
      </c>
      <c r="U22" s="34">
        <f t="shared" si="14"/>
        <v>2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20</v>
      </c>
      <c r="AD22" s="34">
        <f t="shared" si="14"/>
        <v>0</v>
      </c>
      <c r="AE22" s="31">
        <f t="shared" si="14"/>
        <v>21</v>
      </c>
      <c r="AF22" s="31">
        <f t="shared" si="14"/>
        <v>41</v>
      </c>
    </row>
    <row r="23" spans="2:32" ht="23.1" customHeight="1" x14ac:dyDescent="0.25">
      <c r="B23" s="45" t="s">
        <v>50</v>
      </c>
      <c r="C23" s="50">
        <v>3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4</v>
      </c>
      <c r="P23" s="15">
        <f t="shared" si="1"/>
        <v>7</v>
      </c>
      <c r="R23" s="36" t="s">
        <v>147</v>
      </c>
      <c r="S23" s="34">
        <f>SUM(C62:C65)</f>
        <v>10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15</v>
      </c>
      <c r="AD23" s="34">
        <f t="shared" si="15"/>
        <v>0</v>
      </c>
      <c r="AE23" s="31">
        <f t="shared" si="15"/>
        <v>14</v>
      </c>
      <c r="AF23" s="31">
        <f t="shared" si="15"/>
        <v>29</v>
      </c>
    </row>
    <row r="24" spans="2:32" ht="23.1" customHeight="1" x14ac:dyDescent="0.25">
      <c r="B24" s="45" t="s">
        <v>51</v>
      </c>
      <c r="C24" s="50">
        <v>3</v>
      </c>
      <c r="D24" s="50">
        <v>0</v>
      </c>
      <c r="E24" s="50">
        <v>0</v>
      </c>
      <c r="F24" s="50">
        <v>0</v>
      </c>
      <c r="G24" s="50">
        <v>1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4</v>
      </c>
      <c r="P24" s="15">
        <f t="shared" si="1"/>
        <v>10</v>
      </c>
      <c r="R24" s="36" t="s">
        <v>148</v>
      </c>
      <c r="S24" s="34">
        <f>SUM(C66:C69)</f>
        <v>6</v>
      </c>
      <c r="T24" s="34">
        <f t="shared" ref="T24:AF24" si="16">SUM(D66:D69)</f>
        <v>0</v>
      </c>
      <c r="U24" s="34">
        <f t="shared" si="16"/>
        <v>1</v>
      </c>
      <c r="V24" s="34">
        <f t="shared" si="16"/>
        <v>1</v>
      </c>
      <c r="W24" s="34">
        <f t="shared" si="16"/>
        <v>0</v>
      </c>
      <c r="X24" s="34">
        <f t="shared" si="16"/>
        <v>1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5</v>
      </c>
      <c r="AD24" s="34">
        <f t="shared" si="16"/>
        <v>0</v>
      </c>
      <c r="AE24" s="31">
        <f t="shared" si="16"/>
        <v>9</v>
      </c>
      <c r="AF24" s="31">
        <f t="shared" si="16"/>
        <v>14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4</v>
      </c>
      <c r="P25" s="15">
        <f t="shared" si="1"/>
        <v>7</v>
      </c>
      <c r="R25" s="36" t="s">
        <v>149</v>
      </c>
      <c r="S25" s="34">
        <f>SUM(C70:C73)</f>
        <v>5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6</v>
      </c>
      <c r="AD25" s="34">
        <f t="shared" si="17"/>
        <v>0</v>
      </c>
      <c r="AE25" s="31">
        <f t="shared" si="17"/>
        <v>6</v>
      </c>
      <c r="AF25" s="31">
        <f t="shared" si="17"/>
        <v>12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2</v>
      </c>
      <c r="P26" s="15">
        <f t="shared" si="1"/>
        <v>8</v>
      </c>
      <c r="R26" s="36" t="s">
        <v>150</v>
      </c>
      <c r="S26" s="34">
        <f>SUM(C74:C77)</f>
        <v>2</v>
      </c>
      <c r="T26" s="34">
        <f t="shared" ref="T26:AF26" si="18">SUM(D74:D77)</f>
        <v>2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6</v>
      </c>
      <c r="AD26" s="34">
        <f t="shared" si="18"/>
        <v>0</v>
      </c>
      <c r="AE26" s="31">
        <f t="shared" si="18"/>
        <v>5</v>
      </c>
      <c r="AF26" s="31">
        <f t="shared" si="18"/>
        <v>11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2</v>
      </c>
      <c r="P27" s="15">
        <f t="shared" si="1"/>
        <v>6</v>
      </c>
      <c r="R27" s="36" t="s">
        <v>151</v>
      </c>
      <c r="S27" s="34">
        <f>SUM(C78:C81)</f>
        <v>5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9</v>
      </c>
      <c r="AD27" s="34">
        <f t="shared" si="19"/>
        <v>0</v>
      </c>
      <c r="AE27" s="31">
        <f t="shared" si="19"/>
        <v>6</v>
      </c>
      <c r="AF27" s="31">
        <f t="shared" si="19"/>
        <v>15</v>
      </c>
    </row>
    <row r="28" spans="2:32" ht="23.1" customHeight="1" x14ac:dyDescent="0.25">
      <c r="B28" s="45" t="s">
        <v>55</v>
      </c>
      <c r="C28" s="50">
        <v>4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7</v>
      </c>
      <c r="P28" s="15">
        <f t="shared" si="1"/>
        <v>17</v>
      </c>
      <c r="R28" s="36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4</v>
      </c>
      <c r="AF28" s="31">
        <f t="shared" si="20"/>
        <v>7</v>
      </c>
    </row>
    <row r="29" spans="2:32" ht="23.1" customHeight="1" x14ac:dyDescent="0.25">
      <c r="B29" s="45" t="s">
        <v>56</v>
      </c>
      <c r="C29" s="50">
        <v>5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7</v>
      </c>
      <c r="P29" s="15">
        <f t="shared" si="1"/>
        <v>14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1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3</v>
      </c>
      <c r="AF29" s="31">
        <f t="shared" si="21"/>
        <v>3</v>
      </c>
    </row>
    <row r="30" spans="2:32" ht="23.1" customHeight="1" x14ac:dyDescent="0.25">
      <c r="B30" s="45" t="s">
        <v>57</v>
      </c>
      <c r="C30" s="50">
        <v>1</v>
      </c>
      <c r="D30" s="50">
        <v>1</v>
      </c>
      <c r="E30" s="50">
        <v>0</v>
      </c>
      <c r="F30" s="50">
        <v>0</v>
      </c>
      <c r="G30" s="50">
        <v>0</v>
      </c>
      <c r="H30" s="50">
        <v>1</v>
      </c>
      <c r="I30" s="50">
        <v>0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3</v>
      </c>
      <c r="P30" s="15">
        <f t="shared" si="1"/>
        <v>7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5</v>
      </c>
      <c r="AF30" s="31">
        <f t="shared" si="22"/>
        <v>7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3</v>
      </c>
      <c r="P31" s="15">
        <f t="shared" si="1"/>
        <v>11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2</v>
      </c>
      <c r="AF31" s="31">
        <f t="shared" si="23"/>
        <v>3</v>
      </c>
    </row>
    <row r="32" spans="2:32" ht="23.1" customHeight="1" x14ac:dyDescent="0.25">
      <c r="B32" s="46" t="s">
        <v>59</v>
      </c>
      <c r="C32" s="50">
        <v>6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2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10</v>
      </c>
      <c r="P32" s="15">
        <f t="shared" si="1"/>
        <v>21</v>
      </c>
      <c r="R32" s="33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3</v>
      </c>
      <c r="AF32" s="31">
        <f t="shared" si="24"/>
        <v>3</v>
      </c>
    </row>
    <row r="33" spans="2:32" ht="23.1" customHeight="1" x14ac:dyDescent="0.25">
      <c r="B33" s="45" t="s">
        <v>60</v>
      </c>
      <c r="C33" s="50">
        <v>3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4</v>
      </c>
      <c r="P33" s="15">
        <f t="shared" si="1"/>
        <v>9</v>
      </c>
      <c r="R33" s="33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</v>
      </c>
      <c r="AD33" s="34">
        <f t="shared" si="25"/>
        <v>0</v>
      </c>
      <c r="AE33" s="31">
        <f t="shared" si="25"/>
        <v>5</v>
      </c>
      <c r="AF33" s="31">
        <f t="shared" si="25"/>
        <v>6</v>
      </c>
    </row>
    <row r="34" spans="2:32" ht="23.1" customHeight="1" x14ac:dyDescent="0.25">
      <c r="B34" s="46" t="s">
        <v>61</v>
      </c>
      <c r="C34" s="50">
        <v>5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7</v>
      </c>
      <c r="N34" s="50">
        <v>0</v>
      </c>
      <c r="O34" s="15">
        <f t="shared" si="0"/>
        <v>5</v>
      </c>
      <c r="P34" s="15">
        <f t="shared" si="1"/>
        <v>12</v>
      </c>
      <c r="R34" s="38" t="s">
        <v>90</v>
      </c>
      <c r="S34" s="39">
        <f t="shared" ref="S34:AF34" si="26">MAX(S10:S12)</f>
        <v>13</v>
      </c>
      <c r="T34" s="39">
        <f t="shared" si="26"/>
        <v>1</v>
      </c>
      <c r="U34" s="39">
        <f t="shared" si="26"/>
        <v>2</v>
      </c>
      <c r="V34" s="39">
        <f t="shared" si="26"/>
        <v>0</v>
      </c>
      <c r="W34" s="39">
        <f t="shared" si="26"/>
        <v>2</v>
      </c>
      <c r="X34" s="39">
        <f t="shared" si="26"/>
        <v>0</v>
      </c>
      <c r="Y34" s="39">
        <f t="shared" si="26"/>
        <v>2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34</v>
      </c>
      <c r="AD34" s="39">
        <f t="shared" si="26"/>
        <v>0</v>
      </c>
      <c r="AE34" s="40">
        <f t="shared" si="26"/>
        <v>16</v>
      </c>
      <c r="AF34" s="40">
        <f t="shared" si="26"/>
        <v>47</v>
      </c>
    </row>
    <row r="35" spans="2:32" ht="23.1" customHeight="1" x14ac:dyDescent="0.25">
      <c r="B35" s="46" t="s">
        <v>62</v>
      </c>
      <c r="C35" s="50">
        <v>6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8</v>
      </c>
      <c r="P35" s="15">
        <f t="shared" si="1"/>
        <v>15</v>
      </c>
      <c r="R35" s="38" t="s">
        <v>91</v>
      </c>
      <c r="S35" s="39">
        <f t="shared" ref="S35:AF35" si="27">MAX(S13:S18)</f>
        <v>25</v>
      </c>
      <c r="T35" s="39">
        <f t="shared" si="27"/>
        <v>3</v>
      </c>
      <c r="U35" s="39">
        <f t="shared" si="27"/>
        <v>5</v>
      </c>
      <c r="V35" s="39">
        <f t="shared" si="27"/>
        <v>3</v>
      </c>
      <c r="W35" s="39">
        <f t="shared" si="27"/>
        <v>1</v>
      </c>
      <c r="X35" s="39">
        <f t="shared" si="27"/>
        <v>1</v>
      </c>
      <c r="Y35" s="39">
        <f t="shared" si="27"/>
        <v>6</v>
      </c>
      <c r="Z35" s="39">
        <f t="shared" si="27"/>
        <v>2</v>
      </c>
      <c r="AA35" s="39">
        <f t="shared" si="27"/>
        <v>0</v>
      </c>
      <c r="AB35" s="39">
        <f t="shared" si="27"/>
        <v>0</v>
      </c>
      <c r="AC35" s="39">
        <f t="shared" si="27"/>
        <v>32</v>
      </c>
      <c r="AD35" s="39">
        <f t="shared" si="27"/>
        <v>0</v>
      </c>
      <c r="AE35" s="40">
        <f t="shared" si="27"/>
        <v>38</v>
      </c>
      <c r="AF35" s="40">
        <f t="shared" si="27"/>
        <v>57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4</v>
      </c>
      <c r="P36" s="15">
        <f t="shared" si="1"/>
        <v>16</v>
      </c>
      <c r="R36" s="38" t="s">
        <v>92</v>
      </c>
      <c r="S36" s="39">
        <f t="shared" ref="S36:AF36" si="28">MAX(S19:S21)</f>
        <v>17</v>
      </c>
      <c r="T36" s="39">
        <f t="shared" si="28"/>
        <v>1</v>
      </c>
      <c r="U36" s="39">
        <f t="shared" si="28"/>
        <v>1</v>
      </c>
      <c r="V36" s="39">
        <f t="shared" si="28"/>
        <v>1</v>
      </c>
      <c r="W36" s="39">
        <f t="shared" si="28"/>
        <v>0</v>
      </c>
      <c r="X36" s="39">
        <f t="shared" si="28"/>
        <v>2</v>
      </c>
      <c r="Y36" s="39">
        <f t="shared" si="28"/>
        <v>5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42</v>
      </c>
      <c r="AD36" s="39">
        <f t="shared" si="28"/>
        <v>0</v>
      </c>
      <c r="AE36" s="40">
        <f t="shared" si="28"/>
        <v>24</v>
      </c>
      <c r="AF36" s="40">
        <f t="shared" si="28"/>
        <v>66</v>
      </c>
    </row>
    <row r="37" spans="2:32" ht="23.1" customHeight="1" x14ac:dyDescent="0.25">
      <c r="B37" s="45" t="s">
        <v>64</v>
      </c>
      <c r="C37" s="50">
        <v>1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6</v>
      </c>
      <c r="N37" s="50">
        <v>0</v>
      </c>
      <c r="O37" s="15">
        <f t="shared" si="0"/>
        <v>4</v>
      </c>
      <c r="P37" s="15">
        <f t="shared" si="1"/>
        <v>10</v>
      </c>
      <c r="R37" s="37" t="s">
        <v>85</v>
      </c>
      <c r="S37" s="35">
        <f t="shared" ref="S37:AF37" si="29">SUM(S10:S12)</f>
        <v>27</v>
      </c>
      <c r="T37" s="16">
        <f t="shared" si="29"/>
        <v>1</v>
      </c>
      <c r="U37" s="16">
        <f t="shared" si="29"/>
        <v>4</v>
      </c>
      <c r="V37" s="16">
        <f t="shared" si="29"/>
        <v>0</v>
      </c>
      <c r="W37" s="16">
        <f t="shared" si="29"/>
        <v>2</v>
      </c>
      <c r="X37" s="16">
        <f t="shared" si="29"/>
        <v>0</v>
      </c>
      <c r="Y37" s="16">
        <f t="shared" si="29"/>
        <v>6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78</v>
      </c>
      <c r="AD37" s="16">
        <f t="shared" si="29"/>
        <v>0</v>
      </c>
      <c r="AE37" s="32">
        <f t="shared" si="29"/>
        <v>41</v>
      </c>
      <c r="AF37" s="32">
        <f t="shared" si="29"/>
        <v>119</v>
      </c>
    </row>
    <row r="38" spans="2:32" ht="23.1" customHeight="1" x14ac:dyDescent="0.25">
      <c r="B38" s="46" t="s">
        <v>65</v>
      </c>
      <c r="C38" s="50">
        <v>4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7</v>
      </c>
      <c r="P38" s="15">
        <f t="shared" si="1"/>
        <v>13</v>
      </c>
      <c r="R38" s="28" t="s">
        <v>86</v>
      </c>
      <c r="S38" s="16">
        <f t="shared" ref="S38:AF38" si="30">SUM(S13:S18)</f>
        <v>94</v>
      </c>
      <c r="T38" s="16">
        <f t="shared" si="30"/>
        <v>12</v>
      </c>
      <c r="U38" s="16">
        <f t="shared" si="30"/>
        <v>12</v>
      </c>
      <c r="V38" s="16">
        <f t="shared" si="30"/>
        <v>6</v>
      </c>
      <c r="W38" s="16">
        <f t="shared" si="30"/>
        <v>1</v>
      </c>
      <c r="X38" s="16">
        <f t="shared" si="30"/>
        <v>1</v>
      </c>
      <c r="Y38" s="16">
        <f t="shared" si="30"/>
        <v>17</v>
      </c>
      <c r="Z38" s="16">
        <f t="shared" si="30"/>
        <v>3</v>
      </c>
      <c r="AA38" s="16">
        <f t="shared" si="30"/>
        <v>0</v>
      </c>
      <c r="AB38" s="16">
        <f t="shared" si="30"/>
        <v>0</v>
      </c>
      <c r="AC38" s="16">
        <f t="shared" si="30"/>
        <v>143</v>
      </c>
      <c r="AD38" s="16">
        <f t="shared" si="30"/>
        <v>0</v>
      </c>
      <c r="AE38" s="32">
        <f t="shared" si="30"/>
        <v>146</v>
      </c>
      <c r="AF38" s="32">
        <f t="shared" si="30"/>
        <v>289</v>
      </c>
    </row>
    <row r="39" spans="2:32" ht="23.1" customHeight="1" x14ac:dyDescent="0.25">
      <c r="B39" s="46" t="s">
        <v>66</v>
      </c>
      <c r="C39" s="50">
        <v>8</v>
      </c>
      <c r="D39" s="50">
        <v>1</v>
      </c>
      <c r="E39" s="50">
        <v>2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11</v>
      </c>
      <c r="P39" s="15">
        <f t="shared" si="1"/>
        <v>15</v>
      </c>
      <c r="R39" s="29" t="s">
        <v>87</v>
      </c>
      <c r="S39" s="16">
        <f t="shared" ref="S39:AF39" si="31">SUM(S19:S21)</f>
        <v>39</v>
      </c>
      <c r="T39" s="16">
        <f t="shared" si="31"/>
        <v>2</v>
      </c>
      <c r="U39" s="16">
        <f t="shared" si="31"/>
        <v>1</v>
      </c>
      <c r="V39" s="16">
        <f t="shared" si="31"/>
        <v>1</v>
      </c>
      <c r="W39" s="16">
        <f t="shared" si="31"/>
        <v>0</v>
      </c>
      <c r="X39" s="16">
        <f t="shared" si="31"/>
        <v>2</v>
      </c>
      <c r="Y39" s="16">
        <f t="shared" si="31"/>
        <v>13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99</v>
      </c>
      <c r="AD39" s="16">
        <f t="shared" si="31"/>
        <v>0</v>
      </c>
      <c r="AE39" s="32">
        <f t="shared" si="31"/>
        <v>58</v>
      </c>
      <c r="AF39" s="32">
        <f t="shared" si="31"/>
        <v>157</v>
      </c>
    </row>
    <row r="40" spans="2:32" ht="23.1" customHeight="1" x14ac:dyDescent="0.25">
      <c r="B40" s="46" t="s">
        <v>67</v>
      </c>
      <c r="C40" s="50">
        <v>8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5</v>
      </c>
      <c r="N40" s="50">
        <v>0</v>
      </c>
      <c r="O40" s="15">
        <f t="shared" si="0"/>
        <v>11</v>
      </c>
      <c r="P40" s="15">
        <f t="shared" si="1"/>
        <v>16</v>
      </c>
      <c r="R40" s="5" t="s">
        <v>17</v>
      </c>
      <c r="S40" s="16">
        <f t="shared" ref="S40:AF40" si="32">SUM(S10:S21)</f>
        <v>160</v>
      </c>
      <c r="T40" s="16">
        <f t="shared" si="32"/>
        <v>15</v>
      </c>
      <c r="U40" s="16">
        <f t="shared" si="32"/>
        <v>17</v>
      </c>
      <c r="V40" s="16">
        <f t="shared" si="32"/>
        <v>7</v>
      </c>
      <c r="W40" s="16">
        <f t="shared" si="32"/>
        <v>3</v>
      </c>
      <c r="X40" s="16">
        <f t="shared" si="32"/>
        <v>3</v>
      </c>
      <c r="Y40" s="16">
        <f t="shared" si="32"/>
        <v>36</v>
      </c>
      <c r="Z40" s="16">
        <f t="shared" si="32"/>
        <v>4</v>
      </c>
      <c r="AA40" s="16">
        <f t="shared" si="32"/>
        <v>0</v>
      </c>
      <c r="AB40" s="16">
        <f t="shared" si="32"/>
        <v>0</v>
      </c>
      <c r="AC40" s="16">
        <f t="shared" si="32"/>
        <v>320</v>
      </c>
      <c r="AD40" s="16">
        <f t="shared" si="32"/>
        <v>0</v>
      </c>
      <c r="AE40" s="32">
        <f t="shared" si="32"/>
        <v>245</v>
      </c>
      <c r="AF40" s="32">
        <f t="shared" si="32"/>
        <v>565</v>
      </c>
    </row>
    <row r="41" spans="2:32" ht="23.1" customHeight="1" x14ac:dyDescent="0.25">
      <c r="B41" s="45" t="s">
        <v>68</v>
      </c>
      <c r="C41" s="50">
        <v>5</v>
      </c>
      <c r="D41" s="50">
        <v>1</v>
      </c>
      <c r="E41" s="50">
        <v>2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</v>
      </c>
      <c r="N41" s="50">
        <v>0</v>
      </c>
      <c r="O41" s="15">
        <f t="shared" si="0"/>
        <v>9</v>
      </c>
      <c r="P41" s="15">
        <f t="shared" si="1"/>
        <v>10</v>
      </c>
      <c r="R41" s="5" t="s">
        <v>159</v>
      </c>
      <c r="S41" s="16">
        <f>SUM(S10:S33)</f>
        <v>214</v>
      </c>
      <c r="T41" s="16">
        <f t="shared" ref="T41:AF41" si="33">SUM(T10:T33)</f>
        <v>21</v>
      </c>
      <c r="U41" s="16">
        <f t="shared" si="33"/>
        <v>23</v>
      </c>
      <c r="V41" s="16">
        <f t="shared" si="33"/>
        <v>10</v>
      </c>
      <c r="W41" s="16">
        <f t="shared" si="33"/>
        <v>3</v>
      </c>
      <c r="X41" s="16">
        <f t="shared" si="33"/>
        <v>5</v>
      </c>
      <c r="Y41" s="16">
        <f t="shared" si="33"/>
        <v>48</v>
      </c>
      <c r="Z41" s="16">
        <f t="shared" si="33"/>
        <v>4</v>
      </c>
      <c r="AA41" s="16">
        <f t="shared" si="33"/>
        <v>0</v>
      </c>
      <c r="AB41" s="16">
        <f t="shared" si="33"/>
        <v>0</v>
      </c>
      <c r="AC41" s="16">
        <f t="shared" si="33"/>
        <v>388</v>
      </c>
      <c r="AD41" s="16">
        <f t="shared" si="33"/>
        <v>0</v>
      </c>
      <c r="AE41" s="32">
        <f t="shared" si="33"/>
        <v>328</v>
      </c>
      <c r="AF41" s="32">
        <f t="shared" si="33"/>
        <v>716</v>
      </c>
    </row>
    <row r="42" spans="2:32" ht="23.1" customHeight="1" x14ac:dyDescent="0.25">
      <c r="B42" s="46" t="s">
        <v>69</v>
      </c>
      <c r="C42" s="50">
        <v>5</v>
      </c>
      <c r="D42" s="50">
        <v>1</v>
      </c>
      <c r="E42" s="50">
        <v>1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8</v>
      </c>
      <c r="P42" s="15">
        <f t="shared" si="1"/>
        <v>13</v>
      </c>
      <c r="R42" s="5" t="s">
        <v>160</v>
      </c>
      <c r="S42" s="48">
        <f>S41/S40</f>
        <v>1.3374999999999999</v>
      </c>
      <c r="T42" s="48">
        <f t="shared" ref="T42:AF42" si="34">T41/T40</f>
        <v>1.4</v>
      </c>
      <c r="U42" s="48">
        <f t="shared" si="34"/>
        <v>1.3529411764705883</v>
      </c>
      <c r="V42" s="48">
        <f t="shared" si="34"/>
        <v>1.4285714285714286</v>
      </c>
      <c r="W42" s="48">
        <f t="shared" si="34"/>
        <v>1</v>
      </c>
      <c r="X42" s="48">
        <f t="shared" si="34"/>
        <v>1.6666666666666667</v>
      </c>
      <c r="Y42" s="48">
        <f t="shared" si="34"/>
        <v>1.3333333333333333</v>
      </c>
      <c r="Z42" s="48">
        <f t="shared" si="34"/>
        <v>1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1.2124999999999999</v>
      </c>
      <c r="AD42" s="48" t="e">
        <f t="shared" si="34"/>
        <v>#DIV/0!</v>
      </c>
      <c r="AE42" s="48">
        <f t="shared" si="34"/>
        <v>1.3387755102040817</v>
      </c>
      <c r="AF42" s="48">
        <f t="shared" si="34"/>
        <v>1.2672566371681415</v>
      </c>
    </row>
    <row r="43" spans="2:32" ht="23.1" customHeight="1" x14ac:dyDescent="0.25">
      <c r="B43" s="45" t="s">
        <v>70</v>
      </c>
      <c r="C43" s="50">
        <v>5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5</v>
      </c>
      <c r="P43" s="15">
        <f t="shared" si="1"/>
        <v>10</v>
      </c>
    </row>
    <row r="44" spans="2:32" ht="23.1" customHeight="1" x14ac:dyDescent="0.25">
      <c r="B44" s="47" t="s">
        <v>71</v>
      </c>
      <c r="C44" s="50">
        <v>4</v>
      </c>
      <c r="D44" s="50">
        <v>2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8</v>
      </c>
      <c r="P44" s="15">
        <f t="shared" si="1"/>
        <v>12</v>
      </c>
    </row>
    <row r="45" spans="2:32" ht="23.1" customHeight="1" x14ac:dyDescent="0.25">
      <c r="B45" s="45" t="s">
        <v>72</v>
      </c>
      <c r="C45" s="50">
        <v>8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11</v>
      </c>
      <c r="N45" s="50">
        <v>0</v>
      </c>
      <c r="O45" s="15">
        <f t="shared" si="0"/>
        <v>11</v>
      </c>
      <c r="P45" s="15">
        <f t="shared" si="1"/>
        <v>22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2</v>
      </c>
      <c r="P46" s="15">
        <f t="shared" si="1"/>
        <v>12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13</v>
      </c>
      <c r="N47" s="50">
        <v>0</v>
      </c>
      <c r="O47" s="15">
        <f t="shared" si="0"/>
        <v>2</v>
      </c>
      <c r="P47" s="15">
        <f t="shared" si="1"/>
        <v>15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8</v>
      </c>
      <c r="N48" s="50">
        <v>0</v>
      </c>
      <c r="O48" s="15">
        <f t="shared" si="0"/>
        <v>2</v>
      </c>
      <c r="P48" s="15">
        <f t="shared" si="1"/>
        <v>10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7</v>
      </c>
      <c r="N49" s="50">
        <v>0</v>
      </c>
      <c r="O49" s="15">
        <f t="shared" si="0"/>
        <v>5</v>
      </c>
      <c r="P49" s="15">
        <f t="shared" si="1"/>
        <v>12</v>
      </c>
      <c r="R49" s="8"/>
      <c r="T49"/>
    </row>
    <row r="50" spans="2:20" ht="23.1" customHeight="1" x14ac:dyDescent="0.25">
      <c r="B50" s="46" t="s">
        <v>77</v>
      </c>
      <c r="C50" s="50">
        <v>3</v>
      </c>
      <c r="D50" s="50">
        <v>0</v>
      </c>
      <c r="E50" s="50">
        <v>0</v>
      </c>
      <c r="F50" s="50">
        <v>0</v>
      </c>
      <c r="G50" s="50">
        <v>0</v>
      </c>
      <c r="H50" s="50">
        <v>2</v>
      </c>
      <c r="I50" s="50">
        <v>2</v>
      </c>
      <c r="J50" s="50">
        <v>0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7</v>
      </c>
      <c r="P50" s="15">
        <f t="shared" si="1"/>
        <v>17</v>
      </c>
      <c r="R50" s="8"/>
      <c r="T50"/>
    </row>
    <row r="51" spans="2:20" ht="23.1" customHeight="1" x14ac:dyDescent="0.25">
      <c r="B51" s="46" t="s">
        <v>78</v>
      </c>
      <c r="C51" s="50">
        <v>2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12</v>
      </c>
      <c r="N51" s="50">
        <v>0</v>
      </c>
      <c r="O51" s="15">
        <f t="shared" si="0"/>
        <v>3</v>
      </c>
      <c r="P51" s="15">
        <f t="shared" si="1"/>
        <v>15</v>
      </c>
      <c r="R51" s="8"/>
      <c r="T51"/>
    </row>
    <row r="52" spans="2:20" ht="23.1" customHeight="1" x14ac:dyDescent="0.25">
      <c r="B52" s="46" t="s">
        <v>79</v>
      </c>
      <c r="C52" s="50">
        <v>8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10</v>
      </c>
      <c r="N52" s="50">
        <v>0</v>
      </c>
      <c r="O52" s="15">
        <f t="shared" si="0"/>
        <v>9</v>
      </c>
      <c r="P52" s="15">
        <f t="shared" si="1"/>
        <v>19</v>
      </c>
      <c r="R52" s="8"/>
      <c r="T52"/>
    </row>
    <row r="53" spans="2:20" ht="23.1" customHeight="1" x14ac:dyDescent="0.25">
      <c r="B53" s="45" t="s">
        <v>80</v>
      </c>
      <c r="C53" s="50">
        <v>4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10</v>
      </c>
      <c r="N53" s="50">
        <v>0</v>
      </c>
      <c r="O53" s="15">
        <f t="shared" si="0"/>
        <v>5</v>
      </c>
      <c r="P53" s="15">
        <f t="shared" si="1"/>
        <v>15</v>
      </c>
      <c r="R53" s="8"/>
      <c r="T53"/>
    </row>
    <row r="54" spans="2:20" ht="23.1" customHeight="1" x14ac:dyDescent="0.25">
      <c r="B54" s="45" t="s">
        <v>81</v>
      </c>
      <c r="C54" s="50">
        <v>6</v>
      </c>
      <c r="D54" s="50">
        <v>1</v>
      </c>
      <c r="E54" s="50">
        <v>0</v>
      </c>
      <c r="F54" s="50">
        <v>0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9</v>
      </c>
      <c r="P54" s="15">
        <f t="shared" si="1"/>
        <v>17</v>
      </c>
      <c r="R54" s="8"/>
      <c r="T54"/>
    </row>
    <row r="55" spans="2:20" ht="23.1" customHeight="1" x14ac:dyDescent="0.25">
      <c r="B55" s="45" t="s">
        <v>82</v>
      </c>
      <c r="C55" s="50">
        <v>3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</v>
      </c>
      <c r="N55" s="50">
        <v>0</v>
      </c>
      <c r="O55" s="15">
        <f t="shared" si="0"/>
        <v>3</v>
      </c>
      <c r="P55" s="15">
        <f t="shared" si="1"/>
        <v>5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4</v>
      </c>
      <c r="N56" s="50">
        <v>0</v>
      </c>
      <c r="O56" s="15">
        <f t="shared" si="0"/>
        <v>4</v>
      </c>
      <c r="P56" s="15">
        <f t="shared" si="1"/>
        <v>8</v>
      </c>
      <c r="R56" s="8"/>
      <c r="T56"/>
    </row>
    <row r="57" spans="2:20" ht="23.1" customHeight="1" x14ac:dyDescent="0.25">
      <c r="B57" s="45" t="s">
        <v>84</v>
      </c>
      <c r="C57" s="50">
        <v>5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5</v>
      </c>
      <c r="N57" s="50">
        <v>0</v>
      </c>
      <c r="O57" s="15">
        <f t="shared" si="0"/>
        <v>7</v>
      </c>
      <c r="P57" s="15">
        <f t="shared" si="1"/>
        <v>12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6</v>
      </c>
      <c r="N58" s="50">
        <v>0</v>
      </c>
      <c r="O58" s="15">
        <f t="shared" si="0"/>
        <v>2</v>
      </c>
      <c r="P58" s="15">
        <f t="shared" si="1"/>
        <v>8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3</v>
      </c>
      <c r="N59" s="50">
        <v>0</v>
      </c>
      <c r="O59" s="15">
        <f t="shared" si="0"/>
        <v>4</v>
      </c>
      <c r="P59" s="15">
        <f t="shared" si="1"/>
        <v>7</v>
      </c>
      <c r="R59" s="8"/>
      <c r="T59"/>
    </row>
    <row r="60" spans="2:20" ht="23.1" customHeight="1" x14ac:dyDescent="0.25">
      <c r="B60" s="45" t="s">
        <v>101</v>
      </c>
      <c r="C60" s="50">
        <v>6</v>
      </c>
      <c r="D60" s="50">
        <v>0</v>
      </c>
      <c r="E60" s="50">
        <v>2</v>
      </c>
      <c r="F60" s="50">
        <v>1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5</v>
      </c>
      <c r="N60" s="50">
        <v>0</v>
      </c>
      <c r="O60" s="15">
        <f t="shared" si="0"/>
        <v>9</v>
      </c>
      <c r="P60" s="15">
        <f t="shared" si="1"/>
        <v>14</v>
      </c>
      <c r="R60" s="8"/>
      <c r="T60"/>
    </row>
    <row r="61" spans="2:20" ht="23.1" customHeight="1" x14ac:dyDescent="0.25">
      <c r="B61" s="45" t="s">
        <v>102</v>
      </c>
      <c r="C61" s="50">
        <v>5</v>
      </c>
      <c r="D61" s="50">
        <v>1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6</v>
      </c>
      <c r="N61" s="50">
        <v>0</v>
      </c>
      <c r="O61" s="15">
        <f t="shared" si="0"/>
        <v>6</v>
      </c>
      <c r="P61" s="15">
        <f t="shared" si="1"/>
        <v>12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0</v>
      </c>
      <c r="F62" s="50">
        <v>1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4</v>
      </c>
      <c r="N62" s="50">
        <v>0</v>
      </c>
      <c r="O62" s="15">
        <f t="shared" si="0"/>
        <v>3</v>
      </c>
      <c r="P62" s="15">
        <f t="shared" si="1"/>
        <v>7</v>
      </c>
      <c r="R62" s="8"/>
      <c r="T62"/>
    </row>
    <row r="63" spans="2:20" ht="23.1" customHeight="1" x14ac:dyDescent="0.25">
      <c r="B63" s="45" t="s">
        <v>108</v>
      </c>
      <c r="C63" s="50">
        <v>4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3</v>
      </c>
      <c r="N63" s="50">
        <v>0</v>
      </c>
      <c r="O63" s="15">
        <f t="shared" si="0"/>
        <v>4</v>
      </c>
      <c r="P63" s="15">
        <f t="shared" si="1"/>
        <v>7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1</v>
      </c>
      <c r="E64" s="50">
        <v>0</v>
      </c>
      <c r="F64" s="50">
        <v>0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4</v>
      </c>
      <c r="N64" s="50">
        <v>0</v>
      </c>
      <c r="O64" s="15">
        <f t="shared" si="0"/>
        <v>5</v>
      </c>
      <c r="P64" s="15">
        <f t="shared" si="1"/>
        <v>9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4</v>
      </c>
      <c r="N65" s="50">
        <v>0</v>
      </c>
      <c r="O65" s="15">
        <f t="shared" si="0"/>
        <v>2</v>
      </c>
      <c r="P65" s="15">
        <f t="shared" si="1"/>
        <v>6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5</v>
      </c>
      <c r="N66" s="50">
        <v>0</v>
      </c>
      <c r="O66" s="15">
        <f t="shared" si="0"/>
        <v>2</v>
      </c>
      <c r="P66" s="15">
        <f t="shared" si="1"/>
        <v>7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1</v>
      </c>
      <c r="G67" s="50">
        <v>0</v>
      </c>
      <c r="H67" s="50">
        <v>1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3</v>
      </c>
      <c r="P67" s="15">
        <f t="shared" si="1"/>
        <v>3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1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15">
        <f t="shared" si="0"/>
        <v>3</v>
      </c>
      <c r="P68" s="15">
        <f t="shared" si="1"/>
        <v>3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1</v>
      </c>
      <c r="P69" s="15">
        <f t="shared" si="1"/>
        <v>1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</v>
      </c>
      <c r="N70" s="50">
        <v>0</v>
      </c>
      <c r="O70" s="15">
        <f t="shared" si="0"/>
        <v>1</v>
      </c>
      <c r="P70" s="15">
        <f t="shared" si="1"/>
        <v>2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</v>
      </c>
      <c r="N71" s="50">
        <v>0</v>
      </c>
      <c r="O71" s="15">
        <f t="shared" si="0"/>
        <v>1</v>
      </c>
      <c r="P71" s="15">
        <f t="shared" si="1"/>
        <v>2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2</v>
      </c>
      <c r="N72" s="50">
        <v>0</v>
      </c>
      <c r="O72" s="15">
        <f t="shared" si="0"/>
        <v>3</v>
      </c>
      <c r="P72" s="15">
        <f t="shared" si="1"/>
        <v>5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2</v>
      </c>
      <c r="N73" s="50">
        <v>0</v>
      </c>
      <c r="O73" s="15">
        <f t="shared" si="0"/>
        <v>1</v>
      </c>
      <c r="P73" s="15">
        <f t="shared" si="1"/>
        <v>3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2</v>
      </c>
      <c r="P74" s="15">
        <f t="shared" ref="P74:P105" si="36">SUM(C74:N74)</f>
        <v>2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1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2</v>
      </c>
      <c r="N75" s="50">
        <v>0</v>
      </c>
      <c r="O75" s="15">
        <f t="shared" si="35"/>
        <v>2</v>
      </c>
      <c r="P75" s="15">
        <f t="shared" si="36"/>
        <v>4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1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4</v>
      </c>
      <c r="N76" s="50">
        <v>0</v>
      </c>
      <c r="O76" s="15">
        <f t="shared" si="35"/>
        <v>1</v>
      </c>
      <c r="P76" s="15">
        <f t="shared" si="36"/>
        <v>5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1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2</v>
      </c>
      <c r="P78" s="15">
        <f t="shared" si="36"/>
        <v>4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</v>
      </c>
      <c r="N80" s="50">
        <v>0</v>
      </c>
      <c r="O80" s="15">
        <f t="shared" si="35"/>
        <v>1</v>
      </c>
      <c r="P80" s="15">
        <f t="shared" si="36"/>
        <v>3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4</v>
      </c>
      <c r="N81" s="50">
        <v>0</v>
      </c>
      <c r="O81" s="15">
        <f t="shared" si="35"/>
        <v>3</v>
      </c>
      <c r="P81" s="15">
        <f t="shared" si="36"/>
        <v>7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5">
        <f t="shared" si="35"/>
        <v>1</v>
      </c>
      <c r="P82" s="15">
        <f t="shared" si="36"/>
        <v>3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2</v>
      </c>
      <c r="P85" s="15">
        <f t="shared" si="36"/>
        <v>3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1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3</v>
      </c>
      <c r="P92" s="15">
        <f t="shared" si="36"/>
        <v>3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2</v>
      </c>
      <c r="N93" s="50">
        <v>0</v>
      </c>
      <c r="O93" s="15">
        <f t="shared" si="35"/>
        <v>0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1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1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2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0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2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2</v>
      </c>
      <c r="P104" s="15">
        <f t="shared" si="36"/>
        <v>2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3</v>
      </c>
      <c r="P105" s="15">
        <f t="shared" si="36"/>
        <v>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214</v>
      </c>
      <c r="D106" s="16">
        <f t="shared" ref="D106:P106" si="37">SUM(D10:D105)</f>
        <v>21</v>
      </c>
      <c r="E106" s="16">
        <f t="shared" si="37"/>
        <v>23</v>
      </c>
      <c r="F106" s="16">
        <f t="shared" si="37"/>
        <v>10</v>
      </c>
      <c r="G106" s="16">
        <f t="shared" si="37"/>
        <v>3</v>
      </c>
      <c r="H106" s="16">
        <f t="shared" si="37"/>
        <v>5</v>
      </c>
      <c r="I106" s="16">
        <f t="shared" si="37"/>
        <v>48</v>
      </c>
      <c r="J106" s="16">
        <f t="shared" si="37"/>
        <v>4</v>
      </c>
      <c r="K106" s="16">
        <f t="shared" si="37"/>
        <v>0</v>
      </c>
      <c r="L106" s="16">
        <f t="shared" si="37"/>
        <v>0</v>
      </c>
      <c r="M106" s="16">
        <f t="shared" si="37"/>
        <v>388</v>
      </c>
      <c r="N106" s="16">
        <f t="shared" si="37"/>
        <v>0</v>
      </c>
      <c r="O106" s="16">
        <f t="shared" si="37"/>
        <v>328</v>
      </c>
      <c r="P106" s="16">
        <f t="shared" si="37"/>
        <v>716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0.2988826815642458</v>
      </c>
      <c r="D107" s="43">
        <f t="shared" si="38"/>
        <v>2.9329608938547486E-2</v>
      </c>
      <c r="E107" s="43">
        <f t="shared" si="38"/>
        <v>3.2122905027932962E-2</v>
      </c>
      <c r="F107" s="43">
        <f t="shared" si="38"/>
        <v>1.3966480446927373E-2</v>
      </c>
      <c r="G107" s="43">
        <f t="shared" si="38"/>
        <v>4.1899441340782122E-3</v>
      </c>
      <c r="H107" s="43">
        <f t="shared" si="38"/>
        <v>6.9832402234636867E-3</v>
      </c>
      <c r="I107" s="43">
        <f t="shared" si="38"/>
        <v>6.7039106145251395E-2</v>
      </c>
      <c r="J107" s="43">
        <f t="shared" si="38"/>
        <v>5.5865921787709499E-3</v>
      </c>
      <c r="K107" s="43">
        <f t="shared" si="38"/>
        <v>0</v>
      </c>
      <c r="L107" s="43">
        <f t="shared" si="38"/>
        <v>0</v>
      </c>
      <c r="M107" s="43">
        <f t="shared" si="38"/>
        <v>0.54189944134078216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0.65243902439024393</v>
      </c>
      <c r="D108" s="44">
        <f t="shared" ref="D108:N108" si="39">D106/$O$106</f>
        <v>6.402439024390244E-2</v>
      </c>
      <c r="E108" s="44">
        <f t="shared" si="39"/>
        <v>7.0121951219512202E-2</v>
      </c>
      <c r="F108" s="44">
        <f t="shared" si="39"/>
        <v>3.048780487804878E-2</v>
      </c>
      <c r="G108" s="44">
        <f t="shared" si="39"/>
        <v>9.1463414634146336E-3</v>
      </c>
      <c r="H108" s="44">
        <f t="shared" si="39"/>
        <v>1.524390243902439E-2</v>
      </c>
      <c r="I108" s="44">
        <f t="shared" si="39"/>
        <v>0.14634146341463414</v>
      </c>
      <c r="J108" s="44">
        <f t="shared" si="39"/>
        <v>1.2195121951219513E-2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topLeftCell="B46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1" t="s">
        <v>96</v>
      </c>
      <c r="C3" s="65" t="s">
        <v>163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3" t="s">
        <v>170</v>
      </c>
      <c r="H5" s="64"/>
      <c r="I5" s="14"/>
      <c r="J5" s="2" t="s">
        <v>5</v>
      </c>
      <c r="K5" s="63" t="s">
        <v>168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165</v>
      </c>
      <c r="E6" s="64"/>
      <c r="F6" s="2" t="s">
        <v>2</v>
      </c>
      <c r="G6" s="63" t="s">
        <v>167</v>
      </c>
      <c r="H6" s="64"/>
      <c r="J6" s="2" t="s">
        <v>21</v>
      </c>
      <c r="K6" s="63" t="s">
        <v>169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</v>
      </c>
      <c r="AD10" s="17">
        <f t="shared" si="2"/>
        <v>0</v>
      </c>
      <c r="AE10" s="31">
        <f t="shared" si="2"/>
        <v>2</v>
      </c>
      <c r="AF10" s="31">
        <f t="shared" si="2"/>
        <v>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0</v>
      </c>
      <c r="P11" s="15">
        <f t="shared" si="1"/>
        <v>1</v>
      </c>
      <c r="R11" s="1" t="s">
        <v>7</v>
      </c>
      <c r="S11" s="17">
        <f t="shared" ref="S11:AF11" si="3">SUM(C14:C17)</f>
        <v>9</v>
      </c>
      <c r="T11" s="17">
        <f t="shared" si="3"/>
        <v>2</v>
      </c>
      <c r="U11" s="17">
        <f t="shared" si="3"/>
        <v>1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10</v>
      </c>
      <c r="AD11" s="17">
        <f t="shared" si="3"/>
        <v>0</v>
      </c>
      <c r="AE11" s="31">
        <f t="shared" si="3"/>
        <v>15</v>
      </c>
      <c r="AF11" s="31">
        <f t="shared" si="3"/>
        <v>25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1</v>
      </c>
      <c r="P12" s="15">
        <f t="shared" si="1"/>
        <v>2</v>
      </c>
      <c r="R12" s="1" t="s">
        <v>8</v>
      </c>
      <c r="S12" s="17">
        <f t="shared" ref="S12:AF12" si="4">SUM(C18:C21)</f>
        <v>9</v>
      </c>
      <c r="T12" s="17">
        <f t="shared" si="4"/>
        <v>0</v>
      </c>
      <c r="U12" s="17">
        <f t="shared" si="4"/>
        <v>4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15</v>
      </c>
      <c r="AD12" s="17">
        <f t="shared" si="4"/>
        <v>0</v>
      </c>
      <c r="AE12" s="31">
        <f t="shared" si="4"/>
        <v>13</v>
      </c>
      <c r="AF12" s="31">
        <f t="shared" si="4"/>
        <v>28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1</v>
      </c>
      <c r="P13" s="15">
        <f t="shared" si="1"/>
        <v>3</v>
      </c>
      <c r="R13" s="1" t="s">
        <v>9</v>
      </c>
      <c r="S13" s="17">
        <f t="shared" ref="S13:AF13" si="5">SUM(C22:C25)</f>
        <v>23</v>
      </c>
      <c r="T13" s="17">
        <f t="shared" si="5"/>
        <v>1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27</v>
      </c>
      <c r="AD13" s="17">
        <f t="shared" si="5"/>
        <v>0</v>
      </c>
      <c r="AE13" s="31">
        <f t="shared" si="5"/>
        <v>32</v>
      </c>
      <c r="AF13" s="31">
        <f t="shared" si="5"/>
        <v>59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2</v>
      </c>
      <c r="P14" s="15">
        <f t="shared" si="1"/>
        <v>2</v>
      </c>
      <c r="R14" s="1" t="s">
        <v>10</v>
      </c>
      <c r="S14" s="17">
        <f t="shared" ref="S14:AF14" si="6">SUM(C26:C29)</f>
        <v>23</v>
      </c>
      <c r="T14" s="17">
        <f t="shared" si="6"/>
        <v>6</v>
      </c>
      <c r="U14" s="17">
        <f t="shared" si="6"/>
        <v>1</v>
      </c>
      <c r="V14" s="17">
        <f t="shared" si="6"/>
        <v>1</v>
      </c>
      <c r="W14" s="17">
        <f t="shared" si="6"/>
        <v>0</v>
      </c>
      <c r="X14" s="17">
        <f t="shared" si="6"/>
        <v>1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17</v>
      </c>
      <c r="AD14" s="17">
        <f t="shared" si="6"/>
        <v>0</v>
      </c>
      <c r="AE14" s="31">
        <f t="shared" si="6"/>
        <v>35</v>
      </c>
      <c r="AF14" s="31">
        <f t="shared" si="6"/>
        <v>52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1</v>
      </c>
      <c r="P15" s="15">
        <f t="shared" si="1"/>
        <v>4</v>
      </c>
      <c r="R15" s="1" t="s">
        <v>11</v>
      </c>
      <c r="S15" s="17">
        <f t="shared" ref="S15:AF15" si="7">SUM(C30:C33)</f>
        <v>9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19</v>
      </c>
      <c r="AD15" s="17">
        <f t="shared" si="7"/>
        <v>0</v>
      </c>
      <c r="AE15" s="31">
        <f t="shared" si="7"/>
        <v>12</v>
      </c>
      <c r="AF15" s="31">
        <f t="shared" si="7"/>
        <v>31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2</v>
      </c>
      <c r="P16" s="15">
        <f t="shared" si="1"/>
        <v>6</v>
      </c>
      <c r="R16" s="1" t="s">
        <v>12</v>
      </c>
      <c r="S16" s="17">
        <f t="shared" ref="S16:AF16" si="8">SUM(C34:C37)</f>
        <v>11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1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11</v>
      </c>
      <c r="AD16" s="17">
        <f t="shared" si="8"/>
        <v>0</v>
      </c>
      <c r="AE16" s="31">
        <f t="shared" si="8"/>
        <v>14</v>
      </c>
      <c r="AF16" s="31">
        <f t="shared" si="8"/>
        <v>25</v>
      </c>
    </row>
    <row r="17" spans="2:32" ht="23.1" customHeight="1" x14ac:dyDescent="0.25">
      <c r="B17" s="23" t="s">
        <v>44</v>
      </c>
      <c r="C17" s="50">
        <v>6</v>
      </c>
      <c r="D17" s="50">
        <v>1</v>
      </c>
      <c r="E17" s="50">
        <v>1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10</v>
      </c>
      <c r="P17" s="15">
        <f t="shared" si="1"/>
        <v>13</v>
      </c>
      <c r="R17" s="1" t="s">
        <v>13</v>
      </c>
      <c r="S17" s="17">
        <f t="shared" ref="S17:AF17" si="9">SUM(C38:C41)</f>
        <v>6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16</v>
      </c>
      <c r="AD17" s="17">
        <f t="shared" si="9"/>
        <v>0</v>
      </c>
      <c r="AE17" s="31">
        <f t="shared" si="9"/>
        <v>9</v>
      </c>
      <c r="AF17" s="31">
        <f t="shared" si="9"/>
        <v>25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4</v>
      </c>
      <c r="P18" s="15">
        <f t="shared" si="1"/>
        <v>7</v>
      </c>
      <c r="R18" s="1" t="s">
        <v>14</v>
      </c>
      <c r="S18" s="17">
        <f t="shared" ref="S18:AF18" si="10">SUM(C42:C45)</f>
        <v>11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1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12</v>
      </c>
      <c r="AD18" s="17">
        <f t="shared" si="10"/>
        <v>0</v>
      </c>
      <c r="AE18" s="31">
        <f t="shared" si="10"/>
        <v>17</v>
      </c>
      <c r="AF18" s="31">
        <f t="shared" si="10"/>
        <v>29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4</v>
      </c>
      <c r="P19" s="15">
        <f t="shared" si="1"/>
        <v>10</v>
      </c>
      <c r="R19" s="1" t="s">
        <v>15</v>
      </c>
      <c r="S19" s="17">
        <f t="shared" ref="S19:AF19" si="11">SUM(C46:C49)</f>
        <v>7</v>
      </c>
      <c r="T19" s="17">
        <f t="shared" si="11"/>
        <v>1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1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18</v>
      </c>
      <c r="AD19" s="17">
        <f t="shared" si="11"/>
        <v>0</v>
      </c>
      <c r="AE19" s="31">
        <f t="shared" si="11"/>
        <v>10</v>
      </c>
      <c r="AF19" s="31">
        <f t="shared" si="11"/>
        <v>28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0</v>
      </c>
      <c r="P20" s="15">
        <f t="shared" si="1"/>
        <v>3</v>
      </c>
      <c r="R20" s="1" t="s">
        <v>16</v>
      </c>
      <c r="S20" s="17">
        <f t="shared" ref="S20:AF20" si="12">SUM(C50:C53)</f>
        <v>10</v>
      </c>
      <c r="T20" s="17">
        <f t="shared" si="12"/>
        <v>1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28</v>
      </c>
      <c r="AD20" s="17">
        <f t="shared" si="12"/>
        <v>0</v>
      </c>
      <c r="AE20" s="31">
        <f t="shared" si="12"/>
        <v>13</v>
      </c>
      <c r="AF20" s="31">
        <f t="shared" si="12"/>
        <v>41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2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5</v>
      </c>
      <c r="P21" s="15">
        <f t="shared" si="1"/>
        <v>8</v>
      </c>
      <c r="R21" s="36" t="s">
        <v>20</v>
      </c>
      <c r="S21" s="34">
        <f t="shared" ref="S21:AF21" si="13">SUM(C54:C57)</f>
        <v>15</v>
      </c>
      <c r="T21" s="17">
        <f t="shared" si="13"/>
        <v>3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27</v>
      </c>
      <c r="AD21" s="17">
        <f t="shared" si="13"/>
        <v>0</v>
      </c>
      <c r="AE21" s="31">
        <f t="shared" si="13"/>
        <v>21</v>
      </c>
      <c r="AF21" s="31">
        <f t="shared" si="13"/>
        <v>48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7</v>
      </c>
      <c r="P22" s="15">
        <f t="shared" si="1"/>
        <v>12</v>
      </c>
      <c r="R22" s="38" t="s">
        <v>90</v>
      </c>
      <c r="S22" s="39">
        <f>MAX(S10:S12)</f>
        <v>9</v>
      </c>
      <c r="T22" s="39">
        <f t="shared" ref="T22:AF22" si="14">MAX(T10:T12)</f>
        <v>2</v>
      </c>
      <c r="U22" s="39">
        <f t="shared" si="14"/>
        <v>4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15</v>
      </c>
      <c r="AD22" s="39">
        <f t="shared" si="14"/>
        <v>0</v>
      </c>
      <c r="AE22" s="40">
        <f t="shared" si="14"/>
        <v>15</v>
      </c>
      <c r="AF22" s="40">
        <f t="shared" si="14"/>
        <v>28</v>
      </c>
    </row>
    <row r="23" spans="2:32" ht="23.1" customHeight="1" x14ac:dyDescent="0.25">
      <c r="B23" s="23" t="s">
        <v>50</v>
      </c>
      <c r="C23" s="50">
        <v>7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8</v>
      </c>
      <c r="P23" s="15">
        <f t="shared" si="1"/>
        <v>21</v>
      </c>
      <c r="R23" s="38" t="s">
        <v>91</v>
      </c>
      <c r="S23" s="39">
        <f>MAX(S13:S18)</f>
        <v>23</v>
      </c>
      <c r="T23" s="39">
        <f t="shared" ref="T23:AF23" si="15">MAX(T13:T18)</f>
        <v>6</v>
      </c>
      <c r="U23" s="39">
        <f t="shared" si="15"/>
        <v>1</v>
      </c>
      <c r="V23" s="39">
        <f t="shared" si="15"/>
        <v>1</v>
      </c>
      <c r="W23" s="39">
        <f t="shared" si="15"/>
        <v>1</v>
      </c>
      <c r="X23" s="39">
        <f t="shared" si="15"/>
        <v>1</v>
      </c>
      <c r="Y23" s="39">
        <f t="shared" si="15"/>
        <v>7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27</v>
      </c>
      <c r="AD23" s="39">
        <f t="shared" si="15"/>
        <v>0</v>
      </c>
      <c r="AE23" s="40">
        <f t="shared" si="15"/>
        <v>35</v>
      </c>
      <c r="AF23" s="40">
        <f t="shared" si="15"/>
        <v>59</v>
      </c>
    </row>
    <row r="24" spans="2:32" ht="23.1" customHeight="1" x14ac:dyDescent="0.25">
      <c r="B24" s="23" t="s">
        <v>51</v>
      </c>
      <c r="C24" s="50">
        <v>4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7</v>
      </c>
      <c r="P24" s="15">
        <f t="shared" si="1"/>
        <v>10</v>
      </c>
      <c r="R24" s="38" t="s">
        <v>92</v>
      </c>
      <c r="S24" s="39">
        <f>MAX(S19:S21)</f>
        <v>15</v>
      </c>
      <c r="T24" s="39">
        <f t="shared" ref="T24:AF24" si="16">MAX(T19:T21)</f>
        <v>3</v>
      </c>
      <c r="U24" s="39">
        <f t="shared" si="16"/>
        <v>1</v>
      </c>
      <c r="V24" s="39">
        <f t="shared" si="16"/>
        <v>1</v>
      </c>
      <c r="W24" s="39">
        <f t="shared" si="16"/>
        <v>0</v>
      </c>
      <c r="X24" s="39">
        <f t="shared" si="16"/>
        <v>1</v>
      </c>
      <c r="Y24" s="39">
        <f t="shared" si="16"/>
        <v>2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28</v>
      </c>
      <c r="AD24" s="39">
        <f t="shared" si="16"/>
        <v>0</v>
      </c>
      <c r="AE24" s="40">
        <f t="shared" si="16"/>
        <v>21</v>
      </c>
      <c r="AF24" s="40">
        <f t="shared" si="16"/>
        <v>48</v>
      </c>
    </row>
    <row r="25" spans="2:32" ht="23.1" customHeight="1" x14ac:dyDescent="0.25">
      <c r="B25" s="23" t="s">
        <v>52</v>
      </c>
      <c r="C25" s="50">
        <v>8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10</v>
      </c>
      <c r="P25" s="15">
        <f t="shared" si="1"/>
        <v>16</v>
      </c>
      <c r="R25" s="37" t="s">
        <v>85</v>
      </c>
      <c r="S25" s="35">
        <f t="shared" ref="S25:AF25" si="17">SUM(S10:S12)</f>
        <v>20</v>
      </c>
      <c r="T25" s="16">
        <f t="shared" si="17"/>
        <v>2</v>
      </c>
      <c r="U25" s="16">
        <f t="shared" si="17"/>
        <v>5</v>
      </c>
      <c r="V25" s="16">
        <f t="shared" si="17"/>
        <v>1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30</v>
      </c>
      <c r="AD25" s="16">
        <f t="shared" si="17"/>
        <v>0</v>
      </c>
      <c r="AE25" s="32">
        <f t="shared" si="17"/>
        <v>30</v>
      </c>
      <c r="AF25" s="32">
        <f t="shared" si="17"/>
        <v>60</v>
      </c>
    </row>
    <row r="26" spans="2:32" ht="23.1" customHeight="1" x14ac:dyDescent="0.25">
      <c r="B26" s="23" t="s">
        <v>53</v>
      </c>
      <c r="C26" s="50">
        <v>1</v>
      </c>
      <c r="D26" s="50">
        <v>1</v>
      </c>
      <c r="E26" s="50">
        <v>1</v>
      </c>
      <c r="F26" s="50">
        <v>0</v>
      </c>
      <c r="G26" s="50">
        <v>0</v>
      </c>
      <c r="H26" s="50">
        <v>1</v>
      </c>
      <c r="I26" s="50">
        <v>0</v>
      </c>
      <c r="J26" s="50">
        <v>0</v>
      </c>
      <c r="K26" s="50">
        <v>0</v>
      </c>
      <c r="L26" s="50">
        <v>0</v>
      </c>
      <c r="M26" s="50">
        <v>5</v>
      </c>
      <c r="N26" s="50">
        <v>0</v>
      </c>
      <c r="O26" s="15">
        <f t="shared" si="0"/>
        <v>4</v>
      </c>
      <c r="P26" s="15">
        <f t="shared" si="1"/>
        <v>9</v>
      </c>
      <c r="R26" s="28" t="s">
        <v>86</v>
      </c>
      <c r="S26" s="16">
        <f t="shared" ref="S26:AF26" si="18">SUM(S13:S18)</f>
        <v>83</v>
      </c>
      <c r="T26" s="16">
        <f t="shared" si="18"/>
        <v>8</v>
      </c>
      <c r="U26" s="16">
        <f t="shared" si="18"/>
        <v>3</v>
      </c>
      <c r="V26" s="16">
        <f t="shared" si="18"/>
        <v>2</v>
      </c>
      <c r="W26" s="16">
        <f t="shared" si="18"/>
        <v>1</v>
      </c>
      <c r="X26" s="16">
        <f t="shared" si="18"/>
        <v>2</v>
      </c>
      <c r="Y26" s="16">
        <f t="shared" si="18"/>
        <v>19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102</v>
      </c>
      <c r="AD26" s="16">
        <f t="shared" si="18"/>
        <v>0</v>
      </c>
      <c r="AE26" s="32">
        <f t="shared" si="18"/>
        <v>119</v>
      </c>
      <c r="AF26" s="32">
        <f t="shared" si="18"/>
        <v>221</v>
      </c>
    </row>
    <row r="27" spans="2:32" ht="23.1" customHeight="1" x14ac:dyDescent="0.25">
      <c r="B27" s="23" t="s">
        <v>54</v>
      </c>
      <c r="C27" s="50">
        <v>6</v>
      </c>
      <c r="D27" s="50">
        <v>3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</v>
      </c>
      <c r="N27" s="50">
        <v>0</v>
      </c>
      <c r="O27" s="15">
        <f t="shared" si="0"/>
        <v>9</v>
      </c>
      <c r="P27" s="15">
        <f t="shared" si="1"/>
        <v>11</v>
      </c>
      <c r="R27" s="29" t="s">
        <v>87</v>
      </c>
      <c r="S27" s="16">
        <f t="shared" ref="S27:AF27" si="19">SUM(S19:S21)</f>
        <v>32</v>
      </c>
      <c r="T27" s="16">
        <f t="shared" si="19"/>
        <v>5</v>
      </c>
      <c r="U27" s="16">
        <f t="shared" si="19"/>
        <v>1</v>
      </c>
      <c r="V27" s="16">
        <f t="shared" si="19"/>
        <v>1</v>
      </c>
      <c r="W27" s="16">
        <f t="shared" si="19"/>
        <v>0</v>
      </c>
      <c r="X27" s="16">
        <f t="shared" si="19"/>
        <v>1</v>
      </c>
      <c r="Y27" s="16">
        <f t="shared" si="19"/>
        <v>4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73</v>
      </c>
      <c r="AD27" s="16">
        <f t="shared" si="19"/>
        <v>0</v>
      </c>
      <c r="AE27" s="32">
        <f t="shared" si="19"/>
        <v>44</v>
      </c>
      <c r="AF27" s="32">
        <f t="shared" si="19"/>
        <v>117</v>
      </c>
    </row>
    <row r="28" spans="2:32" ht="23.1" customHeight="1" x14ac:dyDescent="0.25">
      <c r="B28" s="23" t="s">
        <v>55</v>
      </c>
      <c r="C28" s="50">
        <v>9</v>
      </c>
      <c r="D28" s="50">
        <v>1</v>
      </c>
      <c r="E28" s="50">
        <v>0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12</v>
      </c>
      <c r="P28" s="15">
        <f t="shared" si="1"/>
        <v>18</v>
      </c>
      <c r="R28" s="5" t="s">
        <v>17</v>
      </c>
      <c r="S28" s="16">
        <f t="shared" ref="S28:AF28" si="20">SUM(S10:S21)</f>
        <v>135</v>
      </c>
      <c r="T28" s="16">
        <f t="shared" si="20"/>
        <v>15</v>
      </c>
      <c r="U28" s="16">
        <f t="shared" si="20"/>
        <v>9</v>
      </c>
      <c r="V28" s="16">
        <f t="shared" si="20"/>
        <v>4</v>
      </c>
      <c r="W28" s="16">
        <f t="shared" si="20"/>
        <v>1</v>
      </c>
      <c r="X28" s="16">
        <f t="shared" si="20"/>
        <v>3</v>
      </c>
      <c r="Y28" s="16">
        <f t="shared" si="20"/>
        <v>25</v>
      </c>
      <c r="Z28" s="16">
        <f t="shared" si="20"/>
        <v>1</v>
      </c>
      <c r="AA28" s="16">
        <f t="shared" si="20"/>
        <v>0</v>
      </c>
      <c r="AB28" s="16">
        <f t="shared" si="20"/>
        <v>0</v>
      </c>
      <c r="AC28" s="16">
        <f t="shared" si="20"/>
        <v>205</v>
      </c>
      <c r="AD28" s="16">
        <f t="shared" si="20"/>
        <v>0</v>
      </c>
      <c r="AE28" s="32">
        <f t="shared" si="20"/>
        <v>193</v>
      </c>
      <c r="AF28" s="32">
        <f t="shared" si="20"/>
        <v>398</v>
      </c>
    </row>
    <row r="29" spans="2:32" ht="23.1" customHeight="1" x14ac:dyDescent="0.25">
      <c r="B29" s="23" t="s">
        <v>56</v>
      </c>
      <c r="C29" s="50">
        <v>7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10</v>
      </c>
      <c r="P29" s="15">
        <f t="shared" si="1"/>
        <v>14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1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5</v>
      </c>
      <c r="N30" s="50">
        <v>0</v>
      </c>
      <c r="O30" s="15">
        <f t="shared" si="0"/>
        <v>6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6</v>
      </c>
      <c r="N31" s="50">
        <v>0</v>
      </c>
      <c r="O31" s="15">
        <f t="shared" si="0"/>
        <v>2</v>
      </c>
      <c r="P31" s="15">
        <f t="shared" si="1"/>
        <v>8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3</v>
      </c>
      <c r="P32" s="15">
        <f t="shared" si="1"/>
        <v>4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7</v>
      </c>
      <c r="N33" s="50">
        <v>0</v>
      </c>
      <c r="O33" s="15">
        <f t="shared" si="0"/>
        <v>1</v>
      </c>
      <c r="P33" s="15">
        <f t="shared" si="1"/>
        <v>8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2</v>
      </c>
      <c r="P34" s="15">
        <f t="shared" si="1"/>
        <v>5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4</v>
      </c>
      <c r="P35" s="15">
        <f t="shared" si="1"/>
        <v>8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0</v>
      </c>
      <c r="F36" s="50">
        <v>0</v>
      </c>
      <c r="G36" s="50">
        <v>1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</v>
      </c>
      <c r="N36" s="50">
        <v>0</v>
      </c>
      <c r="O36" s="15">
        <f t="shared" si="0"/>
        <v>5</v>
      </c>
      <c r="P36" s="15">
        <f t="shared" si="1"/>
        <v>7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3</v>
      </c>
      <c r="P37" s="15">
        <f t="shared" si="1"/>
        <v>5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4</v>
      </c>
      <c r="P38" s="15">
        <f t="shared" si="1"/>
        <v>10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1</v>
      </c>
      <c r="P39" s="15">
        <f t="shared" si="1"/>
        <v>1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7</v>
      </c>
      <c r="N40" s="50">
        <v>0</v>
      </c>
      <c r="O40" s="15">
        <f t="shared" si="0"/>
        <v>2</v>
      </c>
      <c r="P40" s="15">
        <f t="shared" si="1"/>
        <v>9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2</v>
      </c>
      <c r="P41" s="15">
        <f t="shared" si="1"/>
        <v>5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5</v>
      </c>
      <c r="P42" s="15">
        <f t="shared" si="1"/>
        <v>10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0</v>
      </c>
      <c r="F43" s="50">
        <v>0</v>
      </c>
      <c r="G43" s="50">
        <v>0</v>
      </c>
      <c r="H43" s="50">
        <v>1</v>
      </c>
      <c r="I43" s="50">
        <v>2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5</v>
      </c>
      <c r="P43" s="15">
        <f t="shared" si="1"/>
        <v>5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2</v>
      </c>
      <c r="P44" s="15">
        <f t="shared" si="1"/>
        <v>2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7</v>
      </c>
      <c r="N45" s="50">
        <v>0</v>
      </c>
      <c r="O45" s="15">
        <f t="shared" si="0"/>
        <v>5</v>
      </c>
      <c r="P45" s="15">
        <f t="shared" si="1"/>
        <v>12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1</v>
      </c>
      <c r="P46" s="15">
        <f t="shared" si="1"/>
        <v>4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3</v>
      </c>
      <c r="N47" s="50">
        <v>0</v>
      </c>
      <c r="O47" s="15">
        <f t="shared" si="0"/>
        <v>3</v>
      </c>
      <c r="P47" s="15">
        <f t="shared" si="1"/>
        <v>6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1</v>
      </c>
      <c r="F48" s="50">
        <v>0</v>
      </c>
      <c r="G48" s="50">
        <v>0</v>
      </c>
      <c r="H48" s="50">
        <v>1</v>
      </c>
      <c r="I48" s="50">
        <v>0</v>
      </c>
      <c r="J48" s="50">
        <v>0</v>
      </c>
      <c r="K48" s="50">
        <v>0</v>
      </c>
      <c r="L48" s="50">
        <v>0</v>
      </c>
      <c r="M48" s="50">
        <v>5</v>
      </c>
      <c r="N48" s="50">
        <v>0</v>
      </c>
      <c r="O48" s="15">
        <f t="shared" si="0"/>
        <v>3</v>
      </c>
      <c r="P48" s="15">
        <f t="shared" si="1"/>
        <v>8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7</v>
      </c>
      <c r="N49" s="50">
        <v>0</v>
      </c>
      <c r="O49" s="15">
        <f t="shared" si="0"/>
        <v>3</v>
      </c>
      <c r="P49" s="15">
        <f t="shared" si="1"/>
        <v>10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2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9</v>
      </c>
      <c r="N51" s="50">
        <v>0</v>
      </c>
      <c r="O51" s="15">
        <f t="shared" si="0"/>
        <v>4</v>
      </c>
      <c r="P51" s="15">
        <f t="shared" si="1"/>
        <v>13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5</v>
      </c>
      <c r="P52" s="15">
        <f t="shared" si="1"/>
        <v>13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2</v>
      </c>
      <c r="P53" s="15">
        <f t="shared" si="1"/>
        <v>8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2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6</v>
      </c>
      <c r="P54" s="15">
        <f t="shared" si="1"/>
        <v>14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4</v>
      </c>
      <c r="N55" s="50">
        <v>0</v>
      </c>
      <c r="O55" s="15">
        <f t="shared" si="0"/>
        <v>2</v>
      </c>
      <c r="P55" s="15">
        <f t="shared" si="1"/>
        <v>6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10</v>
      </c>
      <c r="N56" s="50">
        <v>0</v>
      </c>
      <c r="O56" s="15">
        <f t="shared" si="0"/>
        <v>8</v>
      </c>
      <c r="P56" s="15">
        <f t="shared" si="1"/>
        <v>18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5</v>
      </c>
      <c r="N57" s="50">
        <v>0</v>
      </c>
      <c r="O57" s="15">
        <f t="shared" si="0"/>
        <v>5</v>
      </c>
      <c r="P57" s="15">
        <f t="shared" si="1"/>
        <v>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135</v>
      </c>
      <c r="D58" s="16">
        <f t="shared" si="21"/>
        <v>15</v>
      </c>
      <c r="E58" s="16">
        <f t="shared" si="21"/>
        <v>9</v>
      </c>
      <c r="F58" s="16">
        <f t="shared" si="21"/>
        <v>4</v>
      </c>
      <c r="G58" s="16">
        <f t="shared" si="21"/>
        <v>1</v>
      </c>
      <c r="H58" s="16">
        <f t="shared" si="21"/>
        <v>3</v>
      </c>
      <c r="I58" s="16">
        <f t="shared" si="21"/>
        <v>25</v>
      </c>
      <c r="J58" s="16">
        <f t="shared" si="21"/>
        <v>1</v>
      </c>
      <c r="K58" s="16">
        <f t="shared" si="21"/>
        <v>0</v>
      </c>
      <c r="L58" s="16">
        <f t="shared" si="21"/>
        <v>0</v>
      </c>
      <c r="M58" s="16">
        <f t="shared" si="21"/>
        <v>205</v>
      </c>
      <c r="N58" s="16">
        <f t="shared" si="21"/>
        <v>0</v>
      </c>
      <c r="O58" s="16">
        <f t="shared" si="21"/>
        <v>193</v>
      </c>
      <c r="P58" s="16">
        <f t="shared" si="21"/>
        <v>398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0.33919597989949751</v>
      </c>
      <c r="D59" s="43">
        <f t="shared" si="22"/>
        <v>3.7688442211055273E-2</v>
      </c>
      <c r="E59" s="43">
        <f t="shared" si="22"/>
        <v>2.2613065326633167E-2</v>
      </c>
      <c r="F59" s="43">
        <f t="shared" si="22"/>
        <v>1.0050251256281407E-2</v>
      </c>
      <c r="G59" s="43">
        <f t="shared" si="22"/>
        <v>2.5125628140703518E-3</v>
      </c>
      <c r="H59" s="43">
        <f t="shared" si="22"/>
        <v>7.537688442211055E-3</v>
      </c>
      <c r="I59" s="43">
        <f t="shared" si="22"/>
        <v>6.2814070351758788E-2</v>
      </c>
      <c r="J59" s="43">
        <f t="shared" si="22"/>
        <v>2.5125628140703518E-3</v>
      </c>
      <c r="K59" s="43">
        <f t="shared" si="22"/>
        <v>0</v>
      </c>
      <c r="L59" s="43">
        <f t="shared" si="22"/>
        <v>0</v>
      </c>
      <c r="M59" s="43">
        <f t="shared" si="22"/>
        <v>0.51507537688442206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0.69948186528497414</v>
      </c>
      <c r="D60" s="44">
        <f t="shared" ref="D60:N60" si="23">D58/$O$58</f>
        <v>7.7720207253886009E-2</v>
      </c>
      <c r="E60" s="44">
        <f t="shared" si="23"/>
        <v>4.6632124352331605E-2</v>
      </c>
      <c r="F60" s="44">
        <f t="shared" si="23"/>
        <v>2.072538860103627E-2</v>
      </c>
      <c r="G60" s="44">
        <f t="shared" si="23"/>
        <v>5.1813471502590676E-3</v>
      </c>
      <c r="H60" s="44">
        <f t="shared" si="23"/>
        <v>1.5544041450777202E-2</v>
      </c>
      <c r="I60" s="44">
        <f t="shared" si="23"/>
        <v>0.12953367875647667</v>
      </c>
      <c r="J60" s="44">
        <f t="shared" si="23"/>
        <v>5.1813471502590676E-3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tr">
        <f>'26.10 Katuna-Kabale'!C3:G3</f>
        <v>MCC - C1 - STN134 - KATUNA-KABALE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'26.10 Katuna-Kabale'!D5</f>
        <v>26.10.19</v>
      </c>
      <c r="E5" s="3"/>
      <c r="F5" s="41" t="s">
        <v>1</v>
      </c>
      <c r="G5" s="66" t="str">
        <f>'26.10 Katuna-Kabale'!G5:H5</f>
        <v>Katuna BP</v>
      </c>
      <c r="H5" s="67"/>
      <c r="I5" s="14"/>
      <c r="J5" s="2" t="s">
        <v>5</v>
      </c>
      <c r="K5" s="66" t="s">
        <v>171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167</v>
      </c>
      <c r="E6" s="64"/>
      <c r="F6" s="2" t="s">
        <v>2</v>
      </c>
      <c r="G6" s="63" t="s">
        <v>165</v>
      </c>
      <c r="H6" s="64"/>
      <c r="J6" s="2" t="s">
        <v>21</v>
      </c>
      <c r="K6" s="66" t="str">
        <f>'26.10 Katuna-Kabale'!K6:L6</f>
        <v>Mbabazi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6</v>
      </c>
      <c r="T10" s="17">
        <f t="shared" si="2"/>
        <v>1</v>
      </c>
      <c r="U10" s="17">
        <f t="shared" si="2"/>
        <v>1</v>
      </c>
      <c r="V10" s="17">
        <f t="shared" si="2"/>
        <v>3</v>
      </c>
      <c r="W10" s="17">
        <f t="shared" si="2"/>
        <v>1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8</v>
      </c>
      <c r="AD10" s="17">
        <f t="shared" si="2"/>
        <v>0</v>
      </c>
      <c r="AE10" s="31">
        <f t="shared" si="2"/>
        <v>13</v>
      </c>
      <c r="AF10" s="31">
        <f t="shared" si="2"/>
        <v>21</v>
      </c>
    </row>
    <row r="11" spans="2:32" s="6" customFormat="1" ht="23.1" customHeight="1" x14ac:dyDescent="0.25">
      <c r="B11" s="23" t="s">
        <v>38</v>
      </c>
      <c r="C11" s="50">
        <v>2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4</v>
      </c>
      <c r="P11" s="15">
        <f t="shared" si="1"/>
        <v>5</v>
      </c>
      <c r="R11" s="1" t="s">
        <v>7</v>
      </c>
      <c r="S11" s="17">
        <f t="shared" ref="S11:AF11" si="3">SUM(C14:C17)</f>
        <v>8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1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17</v>
      </c>
      <c r="AD11" s="17">
        <f t="shared" si="3"/>
        <v>0</v>
      </c>
      <c r="AE11" s="31">
        <f t="shared" si="3"/>
        <v>10</v>
      </c>
      <c r="AF11" s="31">
        <f t="shared" si="3"/>
        <v>27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5</v>
      </c>
      <c r="P12" s="15">
        <f t="shared" si="1"/>
        <v>11</v>
      </c>
      <c r="R12" s="1" t="s">
        <v>8</v>
      </c>
      <c r="S12" s="17">
        <f t="shared" ref="S12:AF12" si="4">SUM(C18:C21)</f>
        <v>13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1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32</v>
      </c>
      <c r="AD12" s="17">
        <f t="shared" si="4"/>
        <v>0</v>
      </c>
      <c r="AE12" s="31">
        <f t="shared" si="4"/>
        <v>20</v>
      </c>
      <c r="AF12" s="31">
        <f t="shared" si="4"/>
        <v>52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2</v>
      </c>
      <c r="P13" s="15">
        <f t="shared" si="1"/>
        <v>2</v>
      </c>
      <c r="R13" s="1" t="s">
        <v>9</v>
      </c>
      <c r="S13" s="17">
        <f t="shared" ref="S13:AF13" si="5">SUM(C22:C25)</f>
        <v>13</v>
      </c>
      <c r="T13" s="17">
        <f t="shared" si="5"/>
        <v>3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36</v>
      </c>
      <c r="AD13" s="17">
        <f t="shared" si="5"/>
        <v>0</v>
      </c>
      <c r="AE13" s="31">
        <f t="shared" si="5"/>
        <v>20</v>
      </c>
      <c r="AF13" s="31">
        <f t="shared" si="5"/>
        <v>56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1</v>
      </c>
      <c r="P14" s="15">
        <f t="shared" si="1"/>
        <v>2</v>
      </c>
      <c r="R14" s="1" t="s">
        <v>10</v>
      </c>
      <c r="S14" s="17">
        <f t="shared" ref="S14:AF14" si="6">SUM(C26:C29)</f>
        <v>11</v>
      </c>
      <c r="T14" s="17">
        <f t="shared" si="6"/>
        <v>4</v>
      </c>
      <c r="U14" s="17">
        <f t="shared" si="6"/>
        <v>1</v>
      </c>
      <c r="V14" s="17">
        <f t="shared" si="6"/>
        <v>2</v>
      </c>
      <c r="W14" s="17">
        <f t="shared" si="6"/>
        <v>0</v>
      </c>
      <c r="X14" s="17">
        <f t="shared" si="6"/>
        <v>1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17</v>
      </c>
      <c r="AD14" s="17">
        <f t="shared" si="6"/>
        <v>0</v>
      </c>
      <c r="AE14" s="31">
        <f t="shared" si="6"/>
        <v>19</v>
      </c>
      <c r="AF14" s="31">
        <f t="shared" si="6"/>
        <v>36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5</v>
      </c>
      <c r="N15" s="50">
        <v>0</v>
      </c>
      <c r="O15" s="15">
        <f t="shared" si="0"/>
        <v>1</v>
      </c>
      <c r="P15" s="15">
        <f t="shared" si="1"/>
        <v>6</v>
      </c>
      <c r="R15" s="1" t="s">
        <v>11</v>
      </c>
      <c r="S15" s="17">
        <f t="shared" ref="S15:AF15" si="7">SUM(C30:C33)</f>
        <v>13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1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13</v>
      </c>
      <c r="AD15" s="17">
        <f t="shared" si="7"/>
        <v>0</v>
      </c>
      <c r="AE15" s="31">
        <f t="shared" si="7"/>
        <v>17</v>
      </c>
      <c r="AF15" s="31">
        <f t="shared" si="7"/>
        <v>30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1</v>
      </c>
      <c r="F16" s="50">
        <v>0</v>
      </c>
      <c r="G16" s="50">
        <v>0</v>
      </c>
      <c r="H16" s="50">
        <v>1</v>
      </c>
      <c r="I16" s="50">
        <v>0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5</v>
      </c>
      <c r="P16" s="15">
        <f t="shared" si="1"/>
        <v>12</v>
      </c>
      <c r="R16" s="1" t="s">
        <v>12</v>
      </c>
      <c r="S16" s="17">
        <f t="shared" ref="S16:AF16" si="8">SUM(C34:C37)</f>
        <v>7</v>
      </c>
      <c r="T16" s="17">
        <f t="shared" si="8"/>
        <v>2</v>
      </c>
      <c r="U16" s="17">
        <f t="shared" si="8"/>
        <v>3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23</v>
      </c>
      <c r="AD16" s="17">
        <f t="shared" si="8"/>
        <v>0</v>
      </c>
      <c r="AE16" s="31">
        <f t="shared" si="8"/>
        <v>14</v>
      </c>
      <c r="AF16" s="31">
        <f t="shared" si="8"/>
        <v>37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3</v>
      </c>
      <c r="P17" s="15">
        <f t="shared" si="1"/>
        <v>7</v>
      </c>
      <c r="R17" s="1" t="s">
        <v>13</v>
      </c>
      <c r="S17" s="17">
        <f t="shared" ref="S17:AF17" si="9">SUM(C38:C41)</f>
        <v>13</v>
      </c>
      <c r="T17" s="17">
        <f t="shared" si="9"/>
        <v>0</v>
      </c>
      <c r="U17" s="17">
        <f t="shared" si="9"/>
        <v>0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17</v>
      </c>
      <c r="AD17" s="17">
        <f t="shared" si="9"/>
        <v>0</v>
      </c>
      <c r="AE17" s="31">
        <f t="shared" si="9"/>
        <v>17</v>
      </c>
      <c r="AF17" s="31">
        <f t="shared" si="9"/>
        <v>34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4</v>
      </c>
      <c r="P18" s="15">
        <f t="shared" si="1"/>
        <v>8</v>
      </c>
      <c r="R18" s="1" t="s">
        <v>14</v>
      </c>
      <c r="S18" s="17">
        <f t="shared" ref="S18:AF18" si="10">SUM(C42:C45)</f>
        <v>3</v>
      </c>
      <c r="T18" s="17">
        <f t="shared" si="10"/>
        <v>1</v>
      </c>
      <c r="U18" s="17">
        <f t="shared" si="10"/>
        <v>1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16</v>
      </c>
      <c r="AD18" s="17">
        <f t="shared" si="10"/>
        <v>0</v>
      </c>
      <c r="AE18" s="31">
        <f t="shared" si="10"/>
        <v>9</v>
      </c>
      <c r="AF18" s="31">
        <f t="shared" si="10"/>
        <v>25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0</v>
      </c>
      <c r="F19" s="50">
        <v>0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3</v>
      </c>
      <c r="P19" s="15">
        <f t="shared" si="1"/>
        <v>13</v>
      </c>
      <c r="R19" s="1" t="s">
        <v>15</v>
      </c>
      <c r="S19" s="17">
        <f t="shared" ref="S19:AF19" si="11">SUM(C46:C49)</f>
        <v>12</v>
      </c>
      <c r="T19" s="17">
        <f t="shared" si="11"/>
        <v>2</v>
      </c>
      <c r="U19" s="17">
        <f t="shared" si="11"/>
        <v>0</v>
      </c>
      <c r="V19" s="17">
        <f t="shared" si="11"/>
        <v>2</v>
      </c>
      <c r="W19" s="17">
        <f t="shared" si="11"/>
        <v>0</v>
      </c>
      <c r="X19" s="17">
        <f t="shared" si="11"/>
        <v>2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20</v>
      </c>
      <c r="AD19" s="17">
        <f t="shared" si="11"/>
        <v>0</v>
      </c>
      <c r="AE19" s="31">
        <f t="shared" si="11"/>
        <v>20</v>
      </c>
      <c r="AF19" s="31">
        <f t="shared" si="11"/>
        <v>40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5</v>
      </c>
      <c r="P20" s="15">
        <f t="shared" si="1"/>
        <v>13</v>
      </c>
      <c r="R20" s="1" t="s">
        <v>16</v>
      </c>
      <c r="S20" s="17">
        <f t="shared" ref="S20:AF20" si="12">SUM(C50:C53)</f>
        <v>10</v>
      </c>
      <c r="T20" s="17">
        <f t="shared" si="12"/>
        <v>0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27</v>
      </c>
      <c r="AD20" s="17">
        <f t="shared" si="12"/>
        <v>0</v>
      </c>
      <c r="AE20" s="31">
        <f t="shared" si="12"/>
        <v>16</v>
      </c>
      <c r="AF20" s="31">
        <f t="shared" si="12"/>
        <v>43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10</v>
      </c>
      <c r="N21" s="50">
        <v>0</v>
      </c>
      <c r="O21" s="15">
        <f t="shared" si="0"/>
        <v>8</v>
      </c>
      <c r="P21" s="15">
        <f t="shared" si="1"/>
        <v>18</v>
      </c>
      <c r="R21" s="36" t="s">
        <v>20</v>
      </c>
      <c r="S21" s="34">
        <f t="shared" ref="S21:AF21" si="13">SUM(C54:C57)</f>
        <v>17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25</v>
      </c>
      <c r="AD21" s="17">
        <f t="shared" si="13"/>
        <v>0</v>
      </c>
      <c r="AE21" s="31">
        <f t="shared" si="13"/>
        <v>17</v>
      </c>
      <c r="AF21" s="31">
        <f t="shared" si="13"/>
        <v>42</v>
      </c>
    </row>
    <row r="22" spans="2:32" ht="23.1" customHeight="1" x14ac:dyDescent="0.25">
      <c r="B22" s="23" t="s">
        <v>49</v>
      </c>
      <c r="C22" s="50">
        <v>5</v>
      </c>
      <c r="D22" s="50">
        <v>1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13</v>
      </c>
      <c r="N22" s="50">
        <v>0</v>
      </c>
      <c r="O22" s="15">
        <f t="shared" si="0"/>
        <v>7</v>
      </c>
      <c r="P22" s="15">
        <f t="shared" si="1"/>
        <v>20</v>
      </c>
      <c r="R22" s="38" t="s">
        <v>90</v>
      </c>
      <c r="S22" s="39">
        <f>MAX(S10:S12)</f>
        <v>13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3</v>
      </c>
      <c r="W22" s="39">
        <f t="shared" si="14"/>
        <v>1</v>
      </c>
      <c r="X22" s="39">
        <f t="shared" si="14"/>
        <v>1</v>
      </c>
      <c r="Y22" s="39">
        <f t="shared" si="14"/>
        <v>5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32</v>
      </c>
      <c r="AD22" s="39">
        <f t="shared" si="14"/>
        <v>0</v>
      </c>
      <c r="AE22" s="40">
        <f t="shared" si="14"/>
        <v>20</v>
      </c>
      <c r="AF22" s="40">
        <f t="shared" si="14"/>
        <v>52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6</v>
      </c>
      <c r="N23" s="50">
        <v>0</v>
      </c>
      <c r="O23" s="15">
        <f t="shared" si="0"/>
        <v>5</v>
      </c>
      <c r="P23" s="15">
        <f t="shared" si="1"/>
        <v>11</v>
      </c>
      <c r="R23" s="38" t="s">
        <v>91</v>
      </c>
      <c r="S23" s="39">
        <f>MAX(S13:S18)</f>
        <v>13</v>
      </c>
      <c r="T23" s="39">
        <f t="shared" ref="T23:AF23" si="15">MAX(T13:T18)</f>
        <v>4</v>
      </c>
      <c r="U23" s="39">
        <f t="shared" si="15"/>
        <v>3</v>
      </c>
      <c r="V23" s="39">
        <f t="shared" si="15"/>
        <v>3</v>
      </c>
      <c r="W23" s="39">
        <f t="shared" si="15"/>
        <v>0</v>
      </c>
      <c r="X23" s="39">
        <f t="shared" si="15"/>
        <v>1</v>
      </c>
      <c r="Y23" s="39">
        <f t="shared" si="15"/>
        <v>2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36</v>
      </c>
      <c r="AD23" s="39">
        <f t="shared" si="15"/>
        <v>0</v>
      </c>
      <c r="AE23" s="40">
        <f t="shared" si="15"/>
        <v>20</v>
      </c>
      <c r="AF23" s="40">
        <f t="shared" si="15"/>
        <v>56</v>
      </c>
    </row>
    <row r="24" spans="2:32" ht="23.1" customHeight="1" x14ac:dyDescent="0.25">
      <c r="B24" s="23" t="s">
        <v>51</v>
      </c>
      <c r="C24" s="50">
        <v>4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6</v>
      </c>
      <c r="P24" s="15">
        <f t="shared" si="1"/>
        <v>15</v>
      </c>
      <c r="R24" s="38" t="s">
        <v>92</v>
      </c>
      <c r="S24" s="39">
        <f>MAX(S19:S21)</f>
        <v>17</v>
      </c>
      <c r="T24" s="39">
        <f t="shared" ref="T24:AF24" si="16">MAX(T19:T21)</f>
        <v>2</v>
      </c>
      <c r="U24" s="39">
        <f t="shared" si="16"/>
        <v>0</v>
      </c>
      <c r="V24" s="39">
        <f t="shared" si="16"/>
        <v>2</v>
      </c>
      <c r="W24" s="39">
        <f t="shared" si="16"/>
        <v>0</v>
      </c>
      <c r="X24" s="39">
        <f t="shared" si="16"/>
        <v>2</v>
      </c>
      <c r="Y24" s="39">
        <f t="shared" si="16"/>
        <v>6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27</v>
      </c>
      <c r="AD24" s="39">
        <f t="shared" si="16"/>
        <v>0</v>
      </c>
      <c r="AE24" s="40">
        <f t="shared" si="16"/>
        <v>20</v>
      </c>
      <c r="AF24" s="40">
        <f t="shared" si="16"/>
        <v>43</v>
      </c>
    </row>
    <row r="25" spans="2:32" ht="23.1" customHeight="1" x14ac:dyDescent="0.25">
      <c r="B25" s="23" t="s">
        <v>52</v>
      </c>
      <c r="C25" s="50">
        <v>1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2</v>
      </c>
      <c r="P25" s="15">
        <f t="shared" si="1"/>
        <v>10</v>
      </c>
      <c r="R25" s="37" t="s">
        <v>85</v>
      </c>
      <c r="S25" s="35">
        <f t="shared" ref="S25:AF25" si="17">SUM(S10:S12)</f>
        <v>27</v>
      </c>
      <c r="T25" s="16">
        <f t="shared" si="17"/>
        <v>1</v>
      </c>
      <c r="U25" s="16">
        <f t="shared" si="17"/>
        <v>3</v>
      </c>
      <c r="V25" s="16">
        <f t="shared" si="17"/>
        <v>3</v>
      </c>
      <c r="W25" s="16">
        <f t="shared" si="17"/>
        <v>2</v>
      </c>
      <c r="X25" s="16">
        <f t="shared" si="17"/>
        <v>1</v>
      </c>
      <c r="Y25" s="16">
        <f t="shared" si="17"/>
        <v>6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57</v>
      </c>
      <c r="AD25" s="16">
        <f t="shared" si="17"/>
        <v>0</v>
      </c>
      <c r="AE25" s="32">
        <f t="shared" si="17"/>
        <v>43</v>
      </c>
      <c r="AF25" s="32">
        <f t="shared" si="17"/>
        <v>100</v>
      </c>
    </row>
    <row r="26" spans="2:32" ht="23.1" customHeight="1" x14ac:dyDescent="0.25">
      <c r="B26" s="23" t="s">
        <v>53</v>
      </c>
      <c r="C26" s="50">
        <v>3</v>
      </c>
      <c r="D26" s="50">
        <v>1</v>
      </c>
      <c r="E26" s="50">
        <v>0</v>
      </c>
      <c r="F26" s="50">
        <v>0</v>
      </c>
      <c r="G26" s="50">
        <v>0</v>
      </c>
      <c r="H26" s="50">
        <v>1</v>
      </c>
      <c r="I26" s="50">
        <v>0</v>
      </c>
      <c r="J26" s="50">
        <v>0</v>
      </c>
      <c r="K26" s="50">
        <v>0</v>
      </c>
      <c r="L26" s="50">
        <v>0</v>
      </c>
      <c r="M26" s="50">
        <v>4</v>
      </c>
      <c r="N26" s="50">
        <v>0</v>
      </c>
      <c r="O26" s="15">
        <f t="shared" si="0"/>
        <v>5</v>
      </c>
      <c r="P26" s="15">
        <f t="shared" si="1"/>
        <v>9</v>
      </c>
      <c r="R26" s="28" t="s">
        <v>86</v>
      </c>
      <c r="S26" s="16">
        <f t="shared" ref="S26:AF26" si="18">SUM(S13:S18)</f>
        <v>60</v>
      </c>
      <c r="T26" s="16">
        <f t="shared" si="18"/>
        <v>11</v>
      </c>
      <c r="U26" s="16">
        <f t="shared" si="18"/>
        <v>7</v>
      </c>
      <c r="V26" s="16">
        <f t="shared" si="18"/>
        <v>7</v>
      </c>
      <c r="W26" s="16">
        <f t="shared" si="18"/>
        <v>0</v>
      </c>
      <c r="X26" s="16">
        <f t="shared" si="18"/>
        <v>2</v>
      </c>
      <c r="Y26" s="16">
        <f t="shared" si="18"/>
        <v>9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122</v>
      </c>
      <c r="AD26" s="16">
        <f t="shared" si="18"/>
        <v>0</v>
      </c>
      <c r="AE26" s="32">
        <f t="shared" si="18"/>
        <v>96</v>
      </c>
      <c r="AF26" s="32">
        <f t="shared" si="18"/>
        <v>218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7</v>
      </c>
      <c r="N27" s="50">
        <v>0</v>
      </c>
      <c r="O27" s="15">
        <f t="shared" si="0"/>
        <v>3</v>
      </c>
      <c r="P27" s="15">
        <f t="shared" si="1"/>
        <v>10</v>
      </c>
      <c r="R27" s="29" t="s">
        <v>87</v>
      </c>
      <c r="S27" s="16">
        <f t="shared" ref="S27:AF27" si="19">SUM(S19:S21)</f>
        <v>39</v>
      </c>
      <c r="T27" s="16">
        <f t="shared" si="19"/>
        <v>2</v>
      </c>
      <c r="U27" s="16">
        <f t="shared" si="19"/>
        <v>0</v>
      </c>
      <c r="V27" s="16">
        <f t="shared" si="19"/>
        <v>2</v>
      </c>
      <c r="W27" s="16">
        <f t="shared" si="19"/>
        <v>0</v>
      </c>
      <c r="X27" s="16">
        <f t="shared" si="19"/>
        <v>2</v>
      </c>
      <c r="Y27" s="16">
        <f t="shared" si="19"/>
        <v>8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72</v>
      </c>
      <c r="AD27" s="16">
        <f t="shared" si="19"/>
        <v>0</v>
      </c>
      <c r="AE27" s="32">
        <f t="shared" si="19"/>
        <v>53</v>
      </c>
      <c r="AF27" s="32">
        <f t="shared" si="19"/>
        <v>125</v>
      </c>
    </row>
    <row r="28" spans="2:32" ht="23.1" customHeight="1" x14ac:dyDescent="0.25">
      <c r="B28" s="23" t="s">
        <v>55</v>
      </c>
      <c r="C28" s="50">
        <v>2</v>
      </c>
      <c r="D28" s="50">
        <v>3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7</v>
      </c>
      <c r="P28" s="15">
        <f t="shared" si="1"/>
        <v>11</v>
      </c>
      <c r="R28" s="5" t="s">
        <v>17</v>
      </c>
      <c r="S28" s="16">
        <f t="shared" ref="S28:AF28" si="20">SUM(S10:S21)</f>
        <v>126</v>
      </c>
      <c r="T28" s="16">
        <f t="shared" si="20"/>
        <v>14</v>
      </c>
      <c r="U28" s="16">
        <f t="shared" si="20"/>
        <v>10</v>
      </c>
      <c r="V28" s="16">
        <f t="shared" si="20"/>
        <v>12</v>
      </c>
      <c r="W28" s="16">
        <f t="shared" si="20"/>
        <v>2</v>
      </c>
      <c r="X28" s="16">
        <f t="shared" si="20"/>
        <v>5</v>
      </c>
      <c r="Y28" s="16">
        <f t="shared" si="20"/>
        <v>23</v>
      </c>
      <c r="Z28" s="16">
        <f t="shared" si="20"/>
        <v>0</v>
      </c>
      <c r="AA28" s="16">
        <f t="shared" si="20"/>
        <v>0</v>
      </c>
      <c r="AB28" s="16">
        <f t="shared" si="20"/>
        <v>0</v>
      </c>
      <c r="AC28" s="16">
        <f t="shared" si="20"/>
        <v>251</v>
      </c>
      <c r="AD28" s="16">
        <f t="shared" si="20"/>
        <v>0</v>
      </c>
      <c r="AE28" s="32">
        <f t="shared" si="20"/>
        <v>192</v>
      </c>
      <c r="AF28" s="32">
        <f t="shared" si="20"/>
        <v>443</v>
      </c>
    </row>
    <row r="29" spans="2:32" ht="23.1" customHeight="1" x14ac:dyDescent="0.25">
      <c r="B29" s="23" t="s">
        <v>56</v>
      </c>
      <c r="C29" s="50">
        <v>4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</v>
      </c>
      <c r="N29" s="50">
        <v>0</v>
      </c>
      <c r="O29" s="15">
        <f t="shared" si="0"/>
        <v>4</v>
      </c>
      <c r="P29" s="15">
        <f t="shared" si="1"/>
        <v>6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6</v>
      </c>
      <c r="P30" s="15">
        <f t="shared" si="1"/>
        <v>8</v>
      </c>
    </row>
    <row r="31" spans="2:32" ht="23.1" customHeight="1" x14ac:dyDescent="0.25">
      <c r="B31" s="24" t="s">
        <v>58</v>
      </c>
      <c r="C31" s="50">
        <v>3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3</v>
      </c>
      <c r="P31" s="15">
        <f t="shared" si="1"/>
        <v>10</v>
      </c>
    </row>
    <row r="32" spans="2:32" ht="23.1" customHeight="1" x14ac:dyDescent="0.25">
      <c r="B32" s="24" t="s">
        <v>59</v>
      </c>
      <c r="C32" s="50">
        <v>3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5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0</v>
      </c>
      <c r="F33" s="50">
        <v>0</v>
      </c>
      <c r="G33" s="50">
        <v>0</v>
      </c>
      <c r="H33" s="50">
        <v>1</v>
      </c>
      <c r="I33" s="50">
        <v>0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3</v>
      </c>
      <c r="P33" s="15">
        <f t="shared" si="1"/>
        <v>6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7</v>
      </c>
      <c r="N34" s="50">
        <v>0</v>
      </c>
      <c r="O34" s="15">
        <f t="shared" si="0"/>
        <v>1</v>
      </c>
      <c r="P34" s="15">
        <f t="shared" si="1"/>
        <v>8</v>
      </c>
    </row>
    <row r="35" spans="2:20" ht="23.1" customHeight="1" x14ac:dyDescent="0.25">
      <c r="B35" s="24" t="s">
        <v>62</v>
      </c>
      <c r="C35" s="50">
        <v>3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5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6</v>
      </c>
      <c r="P36" s="15">
        <f t="shared" si="1"/>
        <v>14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2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2</v>
      </c>
      <c r="P37" s="15">
        <f t="shared" si="1"/>
        <v>4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2</v>
      </c>
      <c r="P38" s="15">
        <f t="shared" si="1"/>
        <v>5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3</v>
      </c>
      <c r="P39" s="15">
        <f t="shared" si="1"/>
        <v>6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7</v>
      </c>
      <c r="P40" s="15">
        <f t="shared" si="1"/>
        <v>13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5</v>
      </c>
      <c r="P41" s="15">
        <f t="shared" si="1"/>
        <v>10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3</v>
      </c>
      <c r="P42" s="15">
        <f t="shared" si="1"/>
        <v>8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4</v>
      </c>
      <c r="N43" s="50">
        <v>0</v>
      </c>
      <c r="O43" s="15">
        <f t="shared" si="0"/>
        <v>2</v>
      </c>
      <c r="P43" s="15">
        <f t="shared" si="1"/>
        <v>6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</v>
      </c>
      <c r="N44" s="50">
        <v>0</v>
      </c>
      <c r="O44" s="15">
        <f t="shared" si="0"/>
        <v>2</v>
      </c>
      <c r="P44" s="15">
        <f t="shared" si="1"/>
        <v>5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2</v>
      </c>
      <c r="P45" s="15">
        <f t="shared" si="1"/>
        <v>6</v>
      </c>
    </row>
    <row r="46" spans="2:20" ht="23.1" customHeight="1" x14ac:dyDescent="0.25">
      <c r="B46" s="24" t="s">
        <v>73</v>
      </c>
      <c r="C46" s="50">
        <v>5</v>
      </c>
      <c r="D46" s="50">
        <v>1</v>
      </c>
      <c r="E46" s="50">
        <v>0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8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3</v>
      </c>
      <c r="N47" s="50">
        <v>0</v>
      </c>
      <c r="O47" s="15">
        <f t="shared" si="0"/>
        <v>4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2</v>
      </c>
      <c r="I48" s="50">
        <v>1</v>
      </c>
      <c r="J48" s="50">
        <v>0</v>
      </c>
      <c r="K48" s="50">
        <v>0</v>
      </c>
      <c r="L48" s="50">
        <v>0</v>
      </c>
      <c r="M48" s="50">
        <v>6</v>
      </c>
      <c r="N48" s="50">
        <v>0</v>
      </c>
      <c r="O48" s="15">
        <f t="shared" si="0"/>
        <v>4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4</v>
      </c>
      <c r="P49" s="15">
        <f t="shared" si="1"/>
        <v>10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5</v>
      </c>
      <c r="P50" s="15">
        <f t="shared" si="1"/>
        <v>10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8</v>
      </c>
      <c r="N51" s="50">
        <v>0</v>
      </c>
      <c r="O51" s="15">
        <f t="shared" si="0"/>
        <v>2</v>
      </c>
      <c r="P51" s="15">
        <f t="shared" si="1"/>
        <v>10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6</v>
      </c>
      <c r="P52" s="15">
        <f t="shared" si="1"/>
        <v>13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3</v>
      </c>
      <c r="P53" s="15">
        <f t="shared" si="1"/>
        <v>10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4</v>
      </c>
      <c r="N54" s="50">
        <v>0</v>
      </c>
      <c r="O54" s="15">
        <f t="shared" si="0"/>
        <v>2</v>
      </c>
      <c r="P54" s="15">
        <f t="shared" si="1"/>
        <v>6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3</v>
      </c>
      <c r="P55" s="15">
        <f t="shared" si="1"/>
        <v>12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8</v>
      </c>
      <c r="N56" s="50">
        <v>0</v>
      </c>
      <c r="O56" s="15">
        <f t="shared" si="0"/>
        <v>8</v>
      </c>
      <c r="P56" s="15">
        <f t="shared" si="1"/>
        <v>16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4</v>
      </c>
      <c r="P57" s="15">
        <f t="shared" si="1"/>
        <v>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126</v>
      </c>
      <c r="D58" s="16">
        <f t="shared" si="21"/>
        <v>14</v>
      </c>
      <c r="E58" s="16">
        <f t="shared" si="21"/>
        <v>10</v>
      </c>
      <c r="F58" s="16">
        <f t="shared" si="21"/>
        <v>12</v>
      </c>
      <c r="G58" s="16">
        <f t="shared" si="21"/>
        <v>2</v>
      </c>
      <c r="H58" s="16">
        <f t="shared" si="21"/>
        <v>5</v>
      </c>
      <c r="I58" s="16">
        <f t="shared" si="21"/>
        <v>23</v>
      </c>
      <c r="J58" s="16">
        <f t="shared" si="21"/>
        <v>0</v>
      </c>
      <c r="K58" s="16">
        <f t="shared" si="21"/>
        <v>0</v>
      </c>
      <c r="L58" s="16">
        <f t="shared" si="21"/>
        <v>0</v>
      </c>
      <c r="M58" s="16">
        <f t="shared" si="21"/>
        <v>251</v>
      </c>
      <c r="N58" s="16">
        <f t="shared" si="21"/>
        <v>0</v>
      </c>
      <c r="O58" s="16">
        <f t="shared" si="21"/>
        <v>192</v>
      </c>
      <c r="P58" s="16">
        <f t="shared" si="21"/>
        <v>443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0.28442437923250563</v>
      </c>
      <c r="D59" s="43">
        <f t="shared" si="22"/>
        <v>3.160270880361174E-2</v>
      </c>
      <c r="E59" s="43">
        <f t="shared" si="22"/>
        <v>2.2573363431151242E-2</v>
      </c>
      <c r="F59" s="43">
        <f t="shared" si="22"/>
        <v>2.7088036117381489E-2</v>
      </c>
      <c r="G59" s="43">
        <f t="shared" si="22"/>
        <v>4.5146726862302479E-3</v>
      </c>
      <c r="H59" s="43">
        <f t="shared" si="22"/>
        <v>1.1286681715575621E-2</v>
      </c>
      <c r="I59" s="43">
        <f t="shared" si="22"/>
        <v>5.1918735891647853E-2</v>
      </c>
      <c r="J59" s="43">
        <f t="shared" si="22"/>
        <v>0</v>
      </c>
      <c r="K59" s="43">
        <f t="shared" si="22"/>
        <v>0</v>
      </c>
      <c r="L59" s="43">
        <f t="shared" si="22"/>
        <v>0</v>
      </c>
      <c r="M59" s="43">
        <f t="shared" si="22"/>
        <v>0.56659142212189617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0.65625</v>
      </c>
      <c r="D60" s="44">
        <f t="shared" ref="D60:N60" si="23">D58/$O$58</f>
        <v>7.2916666666666671E-2</v>
      </c>
      <c r="E60" s="44">
        <f t="shared" si="23"/>
        <v>5.2083333333333336E-2</v>
      </c>
      <c r="F60" s="44">
        <f t="shared" si="23"/>
        <v>6.25E-2</v>
      </c>
      <c r="G60" s="44">
        <f t="shared" si="23"/>
        <v>1.0416666666666666E-2</v>
      </c>
      <c r="H60" s="44">
        <f t="shared" si="23"/>
        <v>2.6041666666666668E-2</v>
      </c>
      <c r="I60" s="44">
        <f t="shared" si="23"/>
        <v>0.11979166666666667</v>
      </c>
      <c r="J60" s="44">
        <f t="shared" si="23"/>
        <v>0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G46" zoomScale="60" workbookViewId="0">
      <selection activeCell="AA77" sqref="AA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">
        <v>179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58" t="s">
        <v>176</v>
      </c>
      <c r="H5" s="59"/>
      <c r="I5" s="14"/>
      <c r="J5" s="2" t="s">
        <v>5</v>
      </c>
      <c r="K5" s="58" t="s">
        <v>174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177</v>
      </c>
      <c r="E6" s="59"/>
      <c r="F6" s="2" t="s">
        <v>2</v>
      </c>
      <c r="G6" s="58" t="s">
        <v>178</v>
      </c>
      <c r="H6" s="59"/>
      <c r="J6" s="2" t="s">
        <v>21</v>
      </c>
      <c r="K6" s="58" t="s">
        <v>175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 Katuna-Kabale 24hr'!C10,'26.10 Katuna-Kabale'!C10)</f>
        <v>0.5</v>
      </c>
      <c r="D10" s="49">
        <f>AVERAGE('25.10 Katuna-Kabale 24hr'!D10,'26.10 Katuna-Kabale'!D10)</f>
        <v>0</v>
      </c>
      <c r="E10" s="49">
        <f>AVERAGE('25.10 Katuna-Kabale 24hr'!E10,'26.10 Katuna-Kabale'!E10)</f>
        <v>0</v>
      </c>
      <c r="F10" s="49">
        <f>AVERAGE('25.10 Katuna-Kabale 24hr'!F10,'26.10 Katuna-Kabale'!F10)</f>
        <v>0</v>
      </c>
      <c r="G10" s="49">
        <f>AVERAGE('25.10 Katuna-Kabale 24hr'!G10,'26.10 Katuna-Kabale'!G10)</f>
        <v>0</v>
      </c>
      <c r="H10" s="49">
        <f>AVERAGE('25.10 Katuna-Kabale 24hr'!H10,'26.10 Katuna-Kabale'!H10)</f>
        <v>0</v>
      </c>
      <c r="I10" s="49">
        <f>AVERAGE('25.10 Katuna-Kabale 24hr'!I10,'26.10 Katuna-Kabale'!I10)</f>
        <v>0</v>
      </c>
      <c r="J10" s="49">
        <f>AVERAGE('25.10 Katuna-Kabale 24hr'!J10,'26.10 Katuna-Kabale'!J10)</f>
        <v>0</v>
      </c>
      <c r="K10" s="49">
        <f>AVERAGE('25.10 Katuna-Kabale 24hr'!K10,'26.10 Katuna-Kabale'!K10)</f>
        <v>0</v>
      </c>
      <c r="L10" s="49">
        <f>AVERAGE('25.10 Katuna-Kabale 24hr'!L10,'26.10 Katuna-Kabale'!L10)</f>
        <v>0</v>
      </c>
      <c r="M10" s="49">
        <f>AVERAGE('25.10 Katuna-Kabale 24hr'!M10,'26.10 Katuna-Kabale'!M10)</f>
        <v>2.5</v>
      </c>
      <c r="N10" s="49">
        <f>AVERAGE('25.10 Katuna-Kabale 24hr'!N10,'26.10 Katuna-Kabale'!N10)</f>
        <v>0</v>
      </c>
      <c r="O10" s="15">
        <f t="shared" ref="O10:O73" si="0">SUM(C10:L10,N10)</f>
        <v>0.5</v>
      </c>
      <c r="P10" s="15">
        <f t="shared" ref="P10:P73" si="1">SUM(C10:N10)</f>
        <v>3</v>
      </c>
      <c r="R10" s="1" t="s">
        <v>6</v>
      </c>
      <c r="S10" s="17">
        <f t="shared" ref="S10:AF10" si="2">SUM(C10:C13)</f>
        <v>4</v>
      </c>
      <c r="T10" s="17">
        <f t="shared" si="2"/>
        <v>0.5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</v>
      </c>
      <c r="AD10" s="17">
        <f t="shared" si="2"/>
        <v>0</v>
      </c>
      <c r="AE10" s="31">
        <f t="shared" si="2"/>
        <v>4.5</v>
      </c>
      <c r="AF10" s="31">
        <f t="shared" si="2"/>
        <v>13.5</v>
      </c>
    </row>
    <row r="11" spans="2:32" s="6" customFormat="1" ht="23.1" customHeight="1" x14ac:dyDescent="0.25">
      <c r="B11" s="23" t="s">
        <v>38</v>
      </c>
      <c r="C11" s="49">
        <f>AVERAGE('25.10 Katuna-Kabale 24hr'!C11,'26.10 Katuna-Kabale'!C11)</f>
        <v>1</v>
      </c>
      <c r="D11" s="49">
        <f>AVERAGE('25.10 Katuna-Kabale 24hr'!D11,'26.10 Katuna-Kabale'!D11)</f>
        <v>0</v>
      </c>
      <c r="E11" s="49">
        <f>AVERAGE('25.10 Katuna-Kabale 24hr'!E11,'26.10 Katuna-Kabale'!E11)</f>
        <v>0</v>
      </c>
      <c r="F11" s="49">
        <f>AVERAGE('25.10 Katuna-Kabale 24hr'!F11,'26.10 Katuna-Kabale'!F11)</f>
        <v>0</v>
      </c>
      <c r="G11" s="49">
        <f>AVERAGE('25.10 Katuna-Kabale 24hr'!G11,'26.10 Katuna-Kabale'!G11)</f>
        <v>0</v>
      </c>
      <c r="H11" s="49">
        <f>AVERAGE('25.10 Katuna-Kabale 24hr'!H11,'26.10 Katuna-Kabale'!H11)</f>
        <v>0</v>
      </c>
      <c r="I11" s="49">
        <f>AVERAGE('25.10 Katuna-Kabale 24hr'!I11,'26.10 Katuna-Kabale'!I11)</f>
        <v>0</v>
      </c>
      <c r="J11" s="49">
        <f>AVERAGE('25.10 Katuna-Kabale 24hr'!J11,'26.10 Katuna-Kabale'!J11)</f>
        <v>0</v>
      </c>
      <c r="K11" s="49">
        <f>AVERAGE('25.10 Katuna-Kabale 24hr'!K11,'26.10 Katuna-Kabale'!K11)</f>
        <v>0</v>
      </c>
      <c r="L11" s="49">
        <f>AVERAGE('25.10 Katuna-Kabale 24hr'!L11,'26.10 Katuna-Kabale'!L11)</f>
        <v>0</v>
      </c>
      <c r="M11" s="49">
        <f>AVERAGE('25.10 Katuna-Kabale 24hr'!M11,'26.10 Katuna-Kabale'!M11)</f>
        <v>0.5</v>
      </c>
      <c r="N11" s="49">
        <f>AVERAGE('25.10 Katuna-Kabale 24hr'!N11,'26.10 Katuna-Kabale'!N11)</f>
        <v>0</v>
      </c>
      <c r="O11" s="15">
        <f t="shared" si="0"/>
        <v>1</v>
      </c>
      <c r="P11" s="15">
        <f t="shared" si="1"/>
        <v>1.5</v>
      </c>
      <c r="R11" s="1" t="s">
        <v>7</v>
      </c>
      <c r="S11" s="17">
        <f t="shared" ref="S11:AF11" si="3">SUM(C14:C17)</f>
        <v>15</v>
      </c>
      <c r="T11" s="17">
        <f t="shared" si="3"/>
        <v>1.5</v>
      </c>
      <c r="U11" s="17">
        <f t="shared" si="3"/>
        <v>1</v>
      </c>
      <c r="V11" s="17">
        <f t="shared" si="3"/>
        <v>0.5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17.5</v>
      </c>
      <c r="AD11" s="17">
        <f t="shared" si="3"/>
        <v>0</v>
      </c>
      <c r="AE11" s="31">
        <f t="shared" si="3"/>
        <v>20</v>
      </c>
      <c r="AF11" s="31">
        <f t="shared" si="3"/>
        <v>37.5</v>
      </c>
    </row>
    <row r="12" spans="2:32" ht="23.1" customHeight="1" x14ac:dyDescent="0.25">
      <c r="B12" s="23" t="s">
        <v>39</v>
      </c>
      <c r="C12" s="49">
        <f>AVERAGE('25.10 Katuna-Kabale 24hr'!C12,'26.10 Katuna-Kabale'!C12)</f>
        <v>1.5</v>
      </c>
      <c r="D12" s="49">
        <f>AVERAGE('25.10 Katuna-Kabale 24hr'!D12,'26.10 Katuna-Kabale'!D12)</f>
        <v>0</v>
      </c>
      <c r="E12" s="49">
        <f>AVERAGE('25.10 Katuna-Kabale 24hr'!E12,'26.10 Katuna-Kabale'!E12)</f>
        <v>0</v>
      </c>
      <c r="F12" s="49">
        <f>AVERAGE('25.10 Katuna-Kabale 24hr'!F12,'26.10 Katuna-Kabale'!F12)</f>
        <v>0</v>
      </c>
      <c r="G12" s="49">
        <f>AVERAGE('25.10 Katuna-Kabale 24hr'!G12,'26.10 Katuna-Kabale'!G12)</f>
        <v>0</v>
      </c>
      <c r="H12" s="49">
        <f>AVERAGE('25.10 Katuna-Kabale 24hr'!H12,'26.10 Katuna-Kabale'!H12)</f>
        <v>0</v>
      </c>
      <c r="I12" s="49">
        <f>AVERAGE('25.10 Katuna-Kabale 24hr'!I12,'26.10 Katuna-Kabale'!I12)</f>
        <v>0</v>
      </c>
      <c r="J12" s="49">
        <f>AVERAGE('25.10 Katuna-Kabale 24hr'!J12,'26.10 Katuna-Kabale'!J12)</f>
        <v>0</v>
      </c>
      <c r="K12" s="49">
        <f>AVERAGE('25.10 Katuna-Kabale 24hr'!K12,'26.10 Katuna-Kabale'!K12)</f>
        <v>0</v>
      </c>
      <c r="L12" s="49">
        <f>AVERAGE('25.10 Katuna-Kabale 24hr'!L12,'26.10 Katuna-Kabale'!L12)</f>
        <v>0</v>
      </c>
      <c r="M12" s="49">
        <f>AVERAGE('25.10 Katuna-Kabale 24hr'!M12,'26.10 Katuna-Kabale'!M12)</f>
        <v>2.5</v>
      </c>
      <c r="N12" s="49">
        <f>AVERAGE('25.10 Katuna-Kabale 24hr'!N12,'26.10 Katuna-Kabale'!N12)</f>
        <v>0</v>
      </c>
      <c r="O12" s="15">
        <f t="shared" si="0"/>
        <v>1.5</v>
      </c>
      <c r="P12" s="15">
        <f t="shared" si="1"/>
        <v>4</v>
      </c>
      <c r="R12" s="1" t="s">
        <v>8</v>
      </c>
      <c r="S12" s="17">
        <f t="shared" ref="S12:AF12" si="4">SUM(C18:C21)</f>
        <v>13</v>
      </c>
      <c r="T12" s="17">
        <f t="shared" si="4"/>
        <v>0.5</v>
      </c>
      <c r="U12" s="17">
        <f t="shared" si="4"/>
        <v>3</v>
      </c>
      <c r="V12" s="17">
        <f t="shared" si="4"/>
        <v>0.5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24</v>
      </c>
      <c r="AD12" s="17">
        <f t="shared" si="4"/>
        <v>0</v>
      </c>
      <c r="AE12" s="31">
        <f t="shared" si="4"/>
        <v>21</v>
      </c>
      <c r="AF12" s="31">
        <f t="shared" si="4"/>
        <v>45</v>
      </c>
    </row>
    <row r="13" spans="2:32" ht="23.1" customHeight="1" x14ac:dyDescent="0.25">
      <c r="B13" s="23" t="s">
        <v>40</v>
      </c>
      <c r="C13" s="49">
        <f>AVERAGE('25.10 Katuna-Kabale 24hr'!C13,'26.10 Katuna-Kabale'!C13)</f>
        <v>1</v>
      </c>
      <c r="D13" s="49">
        <f>AVERAGE('25.10 Katuna-Kabale 24hr'!D13,'26.10 Katuna-Kabale'!D13)</f>
        <v>0.5</v>
      </c>
      <c r="E13" s="49">
        <f>AVERAGE('25.10 Katuna-Kabale 24hr'!E13,'26.10 Katuna-Kabale'!E13)</f>
        <v>0</v>
      </c>
      <c r="F13" s="49">
        <f>AVERAGE('25.10 Katuna-Kabale 24hr'!F13,'26.10 Katuna-Kabale'!F13)</f>
        <v>0</v>
      </c>
      <c r="G13" s="49">
        <f>AVERAGE('25.10 Katuna-Kabale 24hr'!G13,'26.10 Katuna-Kabale'!G13)</f>
        <v>0</v>
      </c>
      <c r="H13" s="49">
        <f>AVERAGE('25.10 Katuna-Kabale 24hr'!H13,'26.10 Katuna-Kabale'!H13)</f>
        <v>0</v>
      </c>
      <c r="I13" s="49">
        <f>AVERAGE('25.10 Katuna-Kabale 24hr'!I13,'26.10 Katuna-Kabale'!I13)</f>
        <v>0</v>
      </c>
      <c r="J13" s="49">
        <f>AVERAGE('25.10 Katuna-Kabale 24hr'!J13,'26.10 Katuna-Kabale'!J13)</f>
        <v>0</v>
      </c>
      <c r="K13" s="49">
        <f>AVERAGE('25.10 Katuna-Kabale 24hr'!K13,'26.10 Katuna-Kabale'!K13)</f>
        <v>0</v>
      </c>
      <c r="L13" s="49">
        <f>AVERAGE('25.10 Katuna-Kabale 24hr'!L13,'26.10 Katuna-Kabale'!L13)</f>
        <v>0</v>
      </c>
      <c r="M13" s="49">
        <f>AVERAGE('25.10 Katuna-Kabale 24hr'!M13,'26.10 Katuna-Kabale'!M13)</f>
        <v>3.5</v>
      </c>
      <c r="N13" s="49">
        <f>AVERAGE('25.10 Katuna-Kabale 24hr'!N13,'26.10 Katuna-Kabale'!N13)</f>
        <v>0</v>
      </c>
      <c r="O13" s="15">
        <f t="shared" si="0"/>
        <v>1.5</v>
      </c>
      <c r="P13" s="15">
        <f t="shared" si="1"/>
        <v>5</v>
      </c>
      <c r="R13" s="1" t="s">
        <v>9</v>
      </c>
      <c r="S13" s="17">
        <f t="shared" ref="S13:AF13" si="5">SUM(C22:C25)</f>
        <v>19</v>
      </c>
      <c r="T13" s="17">
        <f t="shared" si="5"/>
        <v>0.5</v>
      </c>
      <c r="U13" s="17">
        <f t="shared" si="5"/>
        <v>1</v>
      </c>
      <c r="V13" s="17">
        <f t="shared" si="5"/>
        <v>0.5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28.5</v>
      </c>
      <c r="AD13" s="17">
        <f t="shared" si="5"/>
        <v>0</v>
      </c>
      <c r="AE13" s="31">
        <f t="shared" si="5"/>
        <v>26</v>
      </c>
      <c r="AF13" s="31">
        <f t="shared" si="5"/>
        <v>54.5</v>
      </c>
    </row>
    <row r="14" spans="2:32" ht="23.1" customHeight="1" x14ac:dyDescent="0.25">
      <c r="B14" s="23" t="s">
        <v>41</v>
      </c>
      <c r="C14" s="49">
        <f>AVERAGE('25.10 Katuna-Kabale 24hr'!C14,'26.10 Katuna-Kabale'!C14)</f>
        <v>3.5</v>
      </c>
      <c r="D14" s="49">
        <f>AVERAGE('25.10 Katuna-Kabale 24hr'!D14,'26.10 Katuna-Kabale'!D14)</f>
        <v>0</v>
      </c>
      <c r="E14" s="49">
        <f>AVERAGE('25.10 Katuna-Kabale 24hr'!E14,'26.10 Katuna-Kabale'!E14)</f>
        <v>0.5</v>
      </c>
      <c r="F14" s="49">
        <f>AVERAGE('25.10 Katuna-Kabale 24hr'!F14,'26.10 Katuna-Kabale'!F14)</f>
        <v>0</v>
      </c>
      <c r="G14" s="49">
        <f>AVERAGE('25.10 Katuna-Kabale 24hr'!G14,'26.10 Katuna-Kabale'!G14)</f>
        <v>0</v>
      </c>
      <c r="H14" s="49">
        <f>AVERAGE('25.10 Katuna-Kabale 24hr'!H14,'26.10 Katuna-Kabale'!H14)</f>
        <v>0</v>
      </c>
      <c r="I14" s="49">
        <f>AVERAGE('25.10 Katuna-Kabale 24hr'!I14,'26.10 Katuna-Kabale'!I14)</f>
        <v>0</v>
      </c>
      <c r="J14" s="49">
        <f>AVERAGE('25.10 Katuna-Kabale 24hr'!J14,'26.10 Katuna-Kabale'!J14)</f>
        <v>0</v>
      </c>
      <c r="K14" s="49">
        <f>AVERAGE('25.10 Katuna-Kabale 24hr'!K14,'26.10 Katuna-Kabale'!K14)</f>
        <v>0</v>
      </c>
      <c r="L14" s="49">
        <f>AVERAGE('25.10 Katuna-Kabale 24hr'!L14,'26.10 Katuna-Kabale'!L14)</f>
        <v>0</v>
      </c>
      <c r="M14" s="49">
        <f>AVERAGE('25.10 Katuna-Kabale 24hr'!M14,'26.10 Katuna-Kabale'!M14)</f>
        <v>2.5</v>
      </c>
      <c r="N14" s="49">
        <f>AVERAGE('25.10 Katuna-Kabale 24hr'!N14,'26.10 Katuna-Kabale'!N14)</f>
        <v>0</v>
      </c>
      <c r="O14" s="15">
        <f t="shared" si="0"/>
        <v>4</v>
      </c>
      <c r="P14" s="15">
        <f t="shared" si="1"/>
        <v>6.5</v>
      </c>
      <c r="R14" s="1" t="s">
        <v>10</v>
      </c>
      <c r="S14" s="17">
        <f t="shared" ref="S14:AF14" si="6">SUM(C26:C29)</f>
        <v>17</v>
      </c>
      <c r="T14" s="17">
        <f t="shared" si="6"/>
        <v>3</v>
      </c>
      <c r="U14" s="17">
        <f t="shared" si="6"/>
        <v>0.5</v>
      </c>
      <c r="V14" s="17">
        <f t="shared" si="6"/>
        <v>0.5</v>
      </c>
      <c r="W14" s="17">
        <f t="shared" si="6"/>
        <v>0.5</v>
      </c>
      <c r="X14" s="17">
        <f t="shared" si="6"/>
        <v>0.5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20.5</v>
      </c>
      <c r="AD14" s="17">
        <f t="shared" si="6"/>
        <v>0</v>
      </c>
      <c r="AE14" s="31">
        <f t="shared" si="6"/>
        <v>24</v>
      </c>
      <c r="AF14" s="31">
        <f t="shared" si="6"/>
        <v>44.5</v>
      </c>
    </row>
    <row r="15" spans="2:32" ht="23.1" customHeight="1" x14ac:dyDescent="0.25">
      <c r="B15" s="23" t="s">
        <v>42</v>
      </c>
      <c r="C15" s="49">
        <f>AVERAGE('25.10 Katuna-Kabale 24hr'!C15,'26.10 Katuna-Kabale'!C15)</f>
        <v>3.5</v>
      </c>
      <c r="D15" s="49">
        <f>AVERAGE('25.10 Katuna-Kabale 24hr'!D15,'26.10 Katuna-Kabale'!D15)</f>
        <v>0.5</v>
      </c>
      <c r="E15" s="49">
        <f>AVERAGE('25.10 Katuna-Kabale 24hr'!E15,'26.10 Katuna-Kabale'!E15)</f>
        <v>0</v>
      </c>
      <c r="F15" s="49">
        <f>AVERAGE('25.10 Katuna-Kabale 24hr'!F15,'26.10 Katuna-Kabale'!F15)</f>
        <v>0</v>
      </c>
      <c r="G15" s="49">
        <f>AVERAGE('25.10 Katuna-Kabale 24hr'!G15,'26.10 Katuna-Kabale'!G15)</f>
        <v>0</v>
      </c>
      <c r="H15" s="49">
        <f>AVERAGE('25.10 Katuna-Kabale 24hr'!H15,'26.10 Katuna-Kabale'!H15)</f>
        <v>0</v>
      </c>
      <c r="I15" s="49">
        <f>AVERAGE('25.10 Katuna-Kabale 24hr'!I15,'26.10 Katuna-Kabale'!I15)</f>
        <v>0</v>
      </c>
      <c r="J15" s="49">
        <f>AVERAGE('25.10 Katuna-Kabale 24hr'!J15,'26.10 Katuna-Kabale'!J15)</f>
        <v>0</v>
      </c>
      <c r="K15" s="49">
        <f>AVERAGE('25.10 Katuna-Kabale 24hr'!K15,'26.10 Katuna-Kabale'!K15)</f>
        <v>0</v>
      </c>
      <c r="L15" s="49">
        <f>AVERAGE('25.10 Katuna-Kabale 24hr'!L15,'26.10 Katuna-Kabale'!L15)</f>
        <v>0</v>
      </c>
      <c r="M15" s="49">
        <f>AVERAGE('25.10 Katuna-Kabale 24hr'!M15,'26.10 Katuna-Kabale'!M15)</f>
        <v>3</v>
      </c>
      <c r="N15" s="49">
        <f>AVERAGE('25.10 Katuna-Kabale 24hr'!N15,'26.10 Katuna-Kabale'!N15)</f>
        <v>0</v>
      </c>
      <c r="O15" s="15">
        <f t="shared" si="0"/>
        <v>4</v>
      </c>
      <c r="P15" s="15">
        <f t="shared" si="1"/>
        <v>7</v>
      </c>
      <c r="R15" s="1" t="s">
        <v>11</v>
      </c>
      <c r="S15" s="17">
        <f t="shared" ref="S15:AF15" si="7">SUM(C30:C33)</f>
        <v>12.5</v>
      </c>
      <c r="T15" s="17">
        <f t="shared" si="7"/>
        <v>5.5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1</v>
      </c>
      <c r="Y15" s="17">
        <f t="shared" si="7"/>
        <v>3.5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25.5</v>
      </c>
      <c r="AD15" s="17">
        <f t="shared" si="7"/>
        <v>0</v>
      </c>
      <c r="AE15" s="31">
        <f t="shared" si="7"/>
        <v>22.5</v>
      </c>
      <c r="AF15" s="31">
        <f t="shared" si="7"/>
        <v>48</v>
      </c>
    </row>
    <row r="16" spans="2:32" ht="23.1" customHeight="1" x14ac:dyDescent="0.25">
      <c r="B16" s="23" t="s">
        <v>43</v>
      </c>
      <c r="C16" s="49">
        <f>AVERAGE('25.10 Katuna-Kabale 24hr'!C16,'26.10 Katuna-Kabale'!C16)</f>
        <v>1</v>
      </c>
      <c r="D16" s="49">
        <f>AVERAGE('25.10 Katuna-Kabale 24hr'!D16,'26.10 Katuna-Kabale'!D16)</f>
        <v>0.5</v>
      </c>
      <c r="E16" s="49">
        <f>AVERAGE('25.10 Katuna-Kabale 24hr'!E16,'26.10 Katuna-Kabale'!E16)</f>
        <v>0</v>
      </c>
      <c r="F16" s="49">
        <f>AVERAGE('25.10 Katuna-Kabale 24hr'!F16,'26.10 Katuna-Kabale'!F16)</f>
        <v>0</v>
      </c>
      <c r="G16" s="49">
        <f>AVERAGE('25.10 Katuna-Kabale 24hr'!G16,'26.10 Katuna-Kabale'!G16)</f>
        <v>0</v>
      </c>
      <c r="H16" s="49">
        <f>AVERAGE('25.10 Katuna-Kabale 24hr'!H16,'26.10 Katuna-Kabale'!H16)</f>
        <v>0</v>
      </c>
      <c r="I16" s="49">
        <f>AVERAGE('25.10 Katuna-Kabale 24hr'!I16,'26.10 Katuna-Kabale'!I16)</f>
        <v>0.5</v>
      </c>
      <c r="J16" s="49">
        <f>AVERAGE('25.10 Katuna-Kabale 24hr'!J16,'26.10 Katuna-Kabale'!J16)</f>
        <v>0</v>
      </c>
      <c r="K16" s="49">
        <f>AVERAGE('25.10 Katuna-Kabale 24hr'!K16,'26.10 Katuna-Kabale'!K16)</f>
        <v>0</v>
      </c>
      <c r="L16" s="49">
        <f>AVERAGE('25.10 Katuna-Kabale 24hr'!L16,'26.10 Katuna-Kabale'!L16)</f>
        <v>0</v>
      </c>
      <c r="M16" s="49">
        <f>AVERAGE('25.10 Katuna-Kabale 24hr'!M16,'26.10 Katuna-Kabale'!M16)</f>
        <v>5.5</v>
      </c>
      <c r="N16" s="49">
        <f>AVERAGE('25.10 Katuna-Kabale 24hr'!N16,'26.10 Katuna-Kabale'!N16)</f>
        <v>0</v>
      </c>
      <c r="O16" s="15">
        <f t="shared" si="0"/>
        <v>2</v>
      </c>
      <c r="P16" s="15">
        <f t="shared" si="1"/>
        <v>7.5</v>
      </c>
      <c r="R16" s="1" t="s">
        <v>12</v>
      </c>
      <c r="S16" s="17">
        <f t="shared" ref="S16:AF16" si="8">SUM(C34:C37)</f>
        <v>12</v>
      </c>
      <c r="T16" s="17">
        <f t="shared" si="8"/>
        <v>1</v>
      </c>
      <c r="U16" s="17">
        <f t="shared" si="8"/>
        <v>0.5</v>
      </c>
      <c r="V16" s="17">
        <f t="shared" si="8"/>
        <v>0.5</v>
      </c>
      <c r="W16" s="17">
        <f t="shared" si="8"/>
        <v>1</v>
      </c>
      <c r="X16" s="17">
        <f t="shared" si="8"/>
        <v>0</v>
      </c>
      <c r="Y16" s="17">
        <f t="shared" si="8"/>
        <v>0.5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20.5</v>
      </c>
      <c r="AD16" s="17">
        <f t="shared" si="8"/>
        <v>0</v>
      </c>
      <c r="AE16" s="31">
        <f t="shared" si="8"/>
        <v>15.5</v>
      </c>
      <c r="AF16" s="31">
        <f t="shared" si="8"/>
        <v>36</v>
      </c>
    </row>
    <row r="17" spans="2:32" ht="23.1" customHeight="1" x14ac:dyDescent="0.25">
      <c r="B17" s="23" t="s">
        <v>44</v>
      </c>
      <c r="C17" s="49">
        <f>AVERAGE('25.10 Katuna-Kabale 24hr'!C17,'26.10 Katuna-Kabale'!C17)</f>
        <v>7</v>
      </c>
      <c r="D17" s="49">
        <f>AVERAGE('25.10 Katuna-Kabale 24hr'!D17,'26.10 Katuna-Kabale'!D17)</f>
        <v>0.5</v>
      </c>
      <c r="E17" s="49">
        <f>AVERAGE('25.10 Katuna-Kabale 24hr'!E17,'26.10 Katuna-Kabale'!E17)</f>
        <v>0.5</v>
      </c>
      <c r="F17" s="49">
        <f>AVERAGE('25.10 Katuna-Kabale 24hr'!F17,'26.10 Katuna-Kabale'!F17)</f>
        <v>0.5</v>
      </c>
      <c r="G17" s="49">
        <f>AVERAGE('25.10 Katuna-Kabale 24hr'!G17,'26.10 Katuna-Kabale'!G17)</f>
        <v>0</v>
      </c>
      <c r="H17" s="49">
        <f>AVERAGE('25.10 Katuna-Kabale 24hr'!H17,'26.10 Katuna-Kabale'!H17)</f>
        <v>0</v>
      </c>
      <c r="I17" s="49">
        <f>AVERAGE('25.10 Katuna-Kabale 24hr'!I17,'26.10 Katuna-Kabale'!I17)</f>
        <v>1.5</v>
      </c>
      <c r="J17" s="49">
        <f>AVERAGE('25.10 Katuna-Kabale 24hr'!J17,'26.10 Katuna-Kabale'!J17)</f>
        <v>0</v>
      </c>
      <c r="K17" s="49">
        <f>AVERAGE('25.10 Katuna-Kabale 24hr'!K17,'26.10 Katuna-Kabale'!K17)</f>
        <v>0</v>
      </c>
      <c r="L17" s="49">
        <f>AVERAGE('25.10 Katuna-Kabale 24hr'!L17,'26.10 Katuna-Kabale'!L17)</f>
        <v>0</v>
      </c>
      <c r="M17" s="49">
        <f>AVERAGE('25.10 Katuna-Kabale 24hr'!M17,'26.10 Katuna-Kabale'!M17)</f>
        <v>6.5</v>
      </c>
      <c r="N17" s="49">
        <f>AVERAGE('25.10 Katuna-Kabale 24hr'!N17,'26.10 Katuna-Kabale'!N17)</f>
        <v>0</v>
      </c>
      <c r="O17" s="15">
        <f t="shared" si="0"/>
        <v>10</v>
      </c>
      <c r="P17" s="15">
        <f t="shared" si="1"/>
        <v>16.5</v>
      </c>
      <c r="R17" s="1" t="s">
        <v>13</v>
      </c>
      <c r="S17" s="17">
        <f t="shared" ref="S17:AF17" si="9">SUM(C38:C41)</f>
        <v>8.5</v>
      </c>
      <c r="T17" s="17">
        <f t="shared" si="9"/>
        <v>0.5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0.5</v>
      </c>
      <c r="AA17" s="17">
        <f t="shared" si="9"/>
        <v>0</v>
      </c>
      <c r="AB17" s="17">
        <f t="shared" si="9"/>
        <v>0</v>
      </c>
      <c r="AC17" s="17">
        <f t="shared" si="9"/>
        <v>21</v>
      </c>
      <c r="AD17" s="17">
        <f t="shared" si="9"/>
        <v>0</v>
      </c>
      <c r="AE17" s="31">
        <f t="shared" si="9"/>
        <v>12.5</v>
      </c>
      <c r="AF17" s="31">
        <f t="shared" si="9"/>
        <v>33.5</v>
      </c>
    </row>
    <row r="18" spans="2:32" ht="23.1" customHeight="1" x14ac:dyDescent="0.25">
      <c r="B18" s="23" t="s">
        <v>45</v>
      </c>
      <c r="C18" s="49">
        <f>AVERAGE('25.10 Katuna-Kabale 24hr'!C18,'26.10 Katuna-Kabale'!C18)</f>
        <v>4</v>
      </c>
      <c r="D18" s="49">
        <f>AVERAGE('25.10 Katuna-Kabale 24hr'!D18,'26.10 Katuna-Kabale'!D18)</f>
        <v>0</v>
      </c>
      <c r="E18" s="49">
        <f>AVERAGE('25.10 Katuna-Kabale 24hr'!E18,'26.10 Katuna-Kabale'!E18)</f>
        <v>1</v>
      </c>
      <c r="F18" s="49">
        <f>AVERAGE('25.10 Katuna-Kabale 24hr'!F18,'26.10 Katuna-Kabale'!F18)</f>
        <v>0</v>
      </c>
      <c r="G18" s="49">
        <f>AVERAGE('25.10 Katuna-Kabale 24hr'!G18,'26.10 Katuna-Kabale'!G18)</f>
        <v>0</v>
      </c>
      <c r="H18" s="49">
        <f>AVERAGE('25.10 Katuna-Kabale 24hr'!H18,'26.10 Katuna-Kabale'!H18)</f>
        <v>0</v>
      </c>
      <c r="I18" s="49">
        <f>AVERAGE('25.10 Katuna-Kabale 24hr'!I18,'26.10 Katuna-Kabale'!I18)</f>
        <v>1.5</v>
      </c>
      <c r="J18" s="49">
        <f>AVERAGE('25.10 Katuna-Kabale 24hr'!J18,'26.10 Katuna-Kabale'!J18)</f>
        <v>0</v>
      </c>
      <c r="K18" s="49">
        <f>AVERAGE('25.10 Katuna-Kabale 24hr'!K18,'26.10 Katuna-Kabale'!K18)</f>
        <v>0</v>
      </c>
      <c r="L18" s="49">
        <f>AVERAGE('25.10 Katuna-Kabale 24hr'!L18,'26.10 Katuna-Kabale'!L18)</f>
        <v>0</v>
      </c>
      <c r="M18" s="49">
        <f>AVERAGE('25.10 Katuna-Kabale 24hr'!M18,'26.10 Katuna-Kabale'!M18)</f>
        <v>4.5</v>
      </c>
      <c r="N18" s="49">
        <f>AVERAGE('25.10 Katuna-Kabale 24hr'!N18,'26.10 Katuna-Kabale'!N18)</f>
        <v>0</v>
      </c>
      <c r="O18" s="15">
        <f t="shared" si="0"/>
        <v>6.5</v>
      </c>
      <c r="P18" s="15">
        <f t="shared" si="1"/>
        <v>11</v>
      </c>
      <c r="R18" s="1" t="s">
        <v>14</v>
      </c>
      <c r="S18" s="17">
        <f t="shared" ref="S18:AF18" si="10">SUM(C42:C45)</f>
        <v>10.5</v>
      </c>
      <c r="T18" s="17">
        <f t="shared" si="10"/>
        <v>1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0.5</v>
      </c>
      <c r="Y18" s="17">
        <f t="shared" si="10"/>
        <v>4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16</v>
      </c>
      <c r="AD18" s="17">
        <f t="shared" si="10"/>
        <v>0</v>
      </c>
      <c r="AE18" s="31">
        <f t="shared" si="10"/>
        <v>20</v>
      </c>
      <c r="AF18" s="31">
        <f t="shared" si="10"/>
        <v>36</v>
      </c>
    </row>
    <row r="19" spans="2:32" ht="23.1" customHeight="1" x14ac:dyDescent="0.25">
      <c r="B19" s="23" t="s">
        <v>46</v>
      </c>
      <c r="C19" s="49">
        <f>AVERAGE('25.10 Katuna-Kabale 24hr'!C19,'26.10 Katuna-Kabale'!C19)</f>
        <v>3</v>
      </c>
      <c r="D19" s="49">
        <f>AVERAGE('25.10 Katuna-Kabale 24hr'!D19,'26.10 Katuna-Kabale'!D19)</f>
        <v>0</v>
      </c>
      <c r="E19" s="49">
        <f>AVERAGE('25.10 Katuna-Kabale 24hr'!E19,'26.10 Katuna-Kabale'!E19)</f>
        <v>1</v>
      </c>
      <c r="F19" s="49">
        <f>AVERAGE('25.10 Katuna-Kabale 24hr'!F19,'26.10 Katuna-Kabale'!F19)</f>
        <v>0.5</v>
      </c>
      <c r="G19" s="49">
        <f>AVERAGE('25.10 Katuna-Kabale 24hr'!G19,'26.10 Katuna-Kabale'!G19)</f>
        <v>0</v>
      </c>
      <c r="H19" s="49">
        <f>AVERAGE('25.10 Katuna-Kabale 24hr'!H19,'26.10 Katuna-Kabale'!H19)</f>
        <v>0</v>
      </c>
      <c r="I19" s="49">
        <f>AVERAGE('25.10 Katuna-Kabale 24hr'!I19,'26.10 Katuna-Kabale'!I19)</f>
        <v>1</v>
      </c>
      <c r="J19" s="49">
        <f>AVERAGE('25.10 Katuna-Kabale 24hr'!J19,'26.10 Katuna-Kabale'!J19)</f>
        <v>0</v>
      </c>
      <c r="K19" s="49">
        <f>AVERAGE('25.10 Katuna-Kabale 24hr'!K19,'26.10 Katuna-Kabale'!K19)</f>
        <v>0</v>
      </c>
      <c r="L19" s="49">
        <f>AVERAGE('25.10 Katuna-Kabale 24hr'!L19,'26.10 Katuna-Kabale'!L19)</f>
        <v>0</v>
      </c>
      <c r="M19" s="49">
        <f>AVERAGE('25.10 Katuna-Kabale 24hr'!M19,'26.10 Katuna-Kabale'!M19)</f>
        <v>9.5</v>
      </c>
      <c r="N19" s="49">
        <f>AVERAGE('25.10 Katuna-Kabale 24hr'!N19,'26.10 Katuna-Kabale'!N19)</f>
        <v>0</v>
      </c>
      <c r="O19" s="15">
        <f t="shared" si="0"/>
        <v>5.5</v>
      </c>
      <c r="P19" s="15">
        <f t="shared" si="1"/>
        <v>15</v>
      </c>
      <c r="R19" s="1" t="s">
        <v>15</v>
      </c>
      <c r="S19" s="17">
        <f t="shared" ref="S19:AF19" si="11">SUM(C46:C49)</f>
        <v>7.5</v>
      </c>
      <c r="T19" s="17">
        <f t="shared" si="11"/>
        <v>0.5</v>
      </c>
      <c r="U19" s="17">
        <f t="shared" si="11"/>
        <v>1.5</v>
      </c>
      <c r="V19" s="17">
        <f t="shared" si="11"/>
        <v>0.5</v>
      </c>
      <c r="W19" s="17">
        <f t="shared" si="11"/>
        <v>0</v>
      </c>
      <c r="X19" s="17">
        <f t="shared" si="11"/>
        <v>0.5</v>
      </c>
      <c r="Y19" s="17">
        <f t="shared" si="11"/>
        <v>0.5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24</v>
      </c>
      <c r="AD19" s="17">
        <f t="shared" si="11"/>
        <v>0</v>
      </c>
      <c r="AE19" s="31">
        <f t="shared" si="11"/>
        <v>11</v>
      </c>
      <c r="AF19" s="31">
        <f t="shared" si="11"/>
        <v>35</v>
      </c>
    </row>
    <row r="20" spans="2:32" ht="23.1" customHeight="1" x14ac:dyDescent="0.25">
      <c r="B20" s="23" t="s">
        <v>47</v>
      </c>
      <c r="C20" s="49">
        <f>AVERAGE('25.10 Katuna-Kabale 24hr'!C20,'26.10 Katuna-Kabale'!C20)</f>
        <v>1.5</v>
      </c>
      <c r="D20" s="49">
        <f>AVERAGE('25.10 Katuna-Kabale 24hr'!D20,'26.10 Katuna-Kabale'!D20)</f>
        <v>0</v>
      </c>
      <c r="E20" s="49">
        <f>AVERAGE('25.10 Katuna-Kabale 24hr'!E20,'26.10 Katuna-Kabale'!E20)</f>
        <v>0</v>
      </c>
      <c r="F20" s="49">
        <f>AVERAGE('25.10 Katuna-Kabale 24hr'!F20,'26.10 Katuna-Kabale'!F20)</f>
        <v>0</v>
      </c>
      <c r="G20" s="49">
        <f>AVERAGE('25.10 Katuna-Kabale 24hr'!G20,'26.10 Katuna-Kabale'!G20)</f>
        <v>0</v>
      </c>
      <c r="H20" s="49">
        <f>AVERAGE('25.10 Katuna-Kabale 24hr'!H20,'26.10 Katuna-Kabale'!H20)</f>
        <v>0</v>
      </c>
      <c r="I20" s="49">
        <f>AVERAGE('25.10 Katuna-Kabale 24hr'!I20,'26.10 Katuna-Kabale'!I20)</f>
        <v>0.5</v>
      </c>
      <c r="J20" s="49">
        <f>AVERAGE('25.10 Katuna-Kabale 24hr'!J20,'26.10 Katuna-Kabale'!J20)</f>
        <v>0</v>
      </c>
      <c r="K20" s="49">
        <f>AVERAGE('25.10 Katuna-Kabale 24hr'!K20,'26.10 Katuna-Kabale'!K20)</f>
        <v>0</v>
      </c>
      <c r="L20" s="49">
        <f>AVERAGE('25.10 Katuna-Kabale 24hr'!L20,'26.10 Katuna-Kabale'!L20)</f>
        <v>0</v>
      </c>
      <c r="M20" s="49">
        <f>AVERAGE('25.10 Katuna-Kabale 24hr'!M20,'26.10 Katuna-Kabale'!M20)</f>
        <v>4</v>
      </c>
      <c r="N20" s="49">
        <f>AVERAGE('25.10 Katuna-Kabale 24hr'!N20,'26.10 Katuna-Kabale'!N20)</f>
        <v>0</v>
      </c>
      <c r="O20" s="15">
        <f t="shared" si="0"/>
        <v>2</v>
      </c>
      <c r="P20" s="15">
        <f t="shared" si="1"/>
        <v>6</v>
      </c>
      <c r="R20" s="1" t="s">
        <v>16</v>
      </c>
      <c r="S20" s="17">
        <f t="shared" ref="S20:AF20" si="12">SUM(C50:C53)</f>
        <v>13.5</v>
      </c>
      <c r="T20" s="17">
        <f t="shared" si="12"/>
        <v>3.5</v>
      </c>
      <c r="U20" s="17">
        <f t="shared" si="12"/>
        <v>0.5</v>
      </c>
      <c r="V20" s="17">
        <f t="shared" si="12"/>
        <v>0.5</v>
      </c>
      <c r="W20" s="17">
        <f t="shared" si="12"/>
        <v>0</v>
      </c>
      <c r="X20" s="17">
        <f t="shared" si="12"/>
        <v>0</v>
      </c>
      <c r="Y20" s="17">
        <f t="shared" si="12"/>
        <v>1.5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33</v>
      </c>
      <c r="AD20" s="17">
        <f t="shared" si="12"/>
        <v>0</v>
      </c>
      <c r="AE20" s="31">
        <f t="shared" si="12"/>
        <v>19.5</v>
      </c>
      <c r="AF20" s="31">
        <f t="shared" si="12"/>
        <v>52.5</v>
      </c>
    </row>
    <row r="21" spans="2:32" ht="23.1" customHeight="1" x14ac:dyDescent="0.25">
      <c r="B21" s="23" t="s">
        <v>48</v>
      </c>
      <c r="C21" s="49">
        <f>AVERAGE('25.10 Katuna-Kabale 24hr'!C21,'26.10 Katuna-Kabale'!C21)</f>
        <v>4.5</v>
      </c>
      <c r="D21" s="49">
        <f>AVERAGE('25.10 Katuna-Kabale 24hr'!D21,'26.10 Katuna-Kabale'!D21)</f>
        <v>0.5</v>
      </c>
      <c r="E21" s="49">
        <f>AVERAGE('25.10 Katuna-Kabale 24hr'!E21,'26.10 Katuna-Kabale'!E21)</f>
        <v>1</v>
      </c>
      <c r="F21" s="49">
        <f>AVERAGE('25.10 Katuna-Kabale 24hr'!F21,'26.10 Katuna-Kabale'!F21)</f>
        <v>0</v>
      </c>
      <c r="G21" s="49">
        <f>AVERAGE('25.10 Katuna-Kabale 24hr'!G21,'26.10 Katuna-Kabale'!G21)</f>
        <v>0</v>
      </c>
      <c r="H21" s="49">
        <f>AVERAGE('25.10 Katuna-Kabale 24hr'!H21,'26.10 Katuna-Kabale'!H21)</f>
        <v>0</v>
      </c>
      <c r="I21" s="49">
        <f>AVERAGE('25.10 Katuna-Kabale 24hr'!I21,'26.10 Katuna-Kabale'!I21)</f>
        <v>1</v>
      </c>
      <c r="J21" s="49">
        <f>AVERAGE('25.10 Katuna-Kabale 24hr'!J21,'26.10 Katuna-Kabale'!J21)</f>
        <v>0</v>
      </c>
      <c r="K21" s="49">
        <f>AVERAGE('25.10 Katuna-Kabale 24hr'!K21,'26.10 Katuna-Kabale'!K21)</f>
        <v>0</v>
      </c>
      <c r="L21" s="49">
        <f>AVERAGE('25.10 Katuna-Kabale 24hr'!L21,'26.10 Katuna-Kabale'!L21)</f>
        <v>0</v>
      </c>
      <c r="M21" s="49">
        <f>AVERAGE('25.10 Katuna-Kabale 24hr'!M21,'26.10 Katuna-Kabale'!M21)</f>
        <v>6</v>
      </c>
      <c r="N21" s="49">
        <f>AVERAGE('25.10 Katuna-Kabale 24hr'!N21,'26.10 Katuna-Kabale'!N21)</f>
        <v>0</v>
      </c>
      <c r="O21" s="15">
        <f t="shared" si="0"/>
        <v>7</v>
      </c>
      <c r="P21" s="15">
        <f t="shared" si="1"/>
        <v>13</v>
      </c>
      <c r="R21" s="36" t="s">
        <v>20</v>
      </c>
      <c r="S21" s="34">
        <f t="shared" ref="S21:AF21" si="13">SUM(C54:C57)</f>
        <v>18</v>
      </c>
      <c r="T21" s="17">
        <f t="shared" si="13"/>
        <v>5</v>
      </c>
      <c r="U21" s="17">
        <f t="shared" si="13"/>
        <v>2</v>
      </c>
      <c r="V21" s="17">
        <f t="shared" si="13"/>
        <v>0.5</v>
      </c>
      <c r="W21" s="17">
        <f t="shared" si="13"/>
        <v>0</v>
      </c>
      <c r="X21" s="17">
        <f t="shared" si="13"/>
        <v>0</v>
      </c>
      <c r="Y21" s="17">
        <f t="shared" si="13"/>
        <v>5.5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24.5</v>
      </c>
      <c r="AD21" s="17">
        <f t="shared" si="13"/>
        <v>0</v>
      </c>
      <c r="AE21" s="31">
        <f t="shared" si="13"/>
        <v>31</v>
      </c>
      <c r="AF21" s="31">
        <f t="shared" si="13"/>
        <v>55.5</v>
      </c>
    </row>
    <row r="22" spans="2:32" ht="23.1" customHeight="1" x14ac:dyDescent="0.25">
      <c r="B22" s="23" t="s">
        <v>49</v>
      </c>
      <c r="C22" s="49">
        <f>AVERAGE('25.10 Katuna-Kabale 24hr'!C22,'26.10 Katuna-Kabale'!C22)</f>
        <v>2.5</v>
      </c>
      <c r="D22" s="49">
        <f>AVERAGE('25.10 Katuna-Kabale 24hr'!D22,'26.10 Katuna-Kabale'!D22)</f>
        <v>0</v>
      </c>
      <c r="E22" s="49">
        <f>AVERAGE('25.10 Katuna-Kabale 24hr'!E22,'26.10 Katuna-Kabale'!E22)</f>
        <v>0</v>
      </c>
      <c r="F22" s="49">
        <f>AVERAGE('25.10 Katuna-Kabale 24hr'!F22,'26.10 Katuna-Kabale'!F22)</f>
        <v>0.5</v>
      </c>
      <c r="G22" s="49">
        <f>AVERAGE('25.10 Katuna-Kabale 24hr'!G22,'26.10 Katuna-Kabale'!G22)</f>
        <v>0</v>
      </c>
      <c r="H22" s="49">
        <f>AVERAGE('25.10 Katuna-Kabale 24hr'!H22,'26.10 Katuna-Kabale'!H22)</f>
        <v>0</v>
      </c>
      <c r="I22" s="49">
        <f>AVERAGE('25.10 Katuna-Kabale 24hr'!I22,'26.10 Katuna-Kabale'!I22)</f>
        <v>1.5</v>
      </c>
      <c r="J22" s="49">
        <f>AVERAGE('25.10 Katuna-Kabale 24hr'!J22,'26.10 Katuna-Kabale'!J22)</f>
        <v>0</v>
      </c>
      <c r="K22" s="49">
        <f>AVERAGE('25.10 Katuna-Kabale 24hr'!K22,'26.10 Katuna-Kabale'!K22)</f>
        <v>0</v>
      </c>
      <c r="L22" s="49">
        <f>AVERAGE('25.10 Katuna-Kabale 24hr'!L22,'26.10 Katuna-Kabale'!L22)</f>
        <v>0</v>
      </c>
      <c r="M22" s="49">
        <f>AVERAGE('25.10 Katuna-Kabale 24hr'!M22,'26.10 Katuna-Kabale'!M22)</f>
        <v>5.5</v>
      </c>
      <c r="N22" s="49">
        <f>AVERAGE('25.10 Katuna-Kabale 24hr'!N22,'26.10 Katuna-Kabale'!N22)</f>
        <v>0</v>
      </c>
      <c r="O22" s="15">
        <f t="shared" si="0"/>
        <v>4.5</v>
      </c>
      <c r="P22" s="15">
        <f t="shared" si="1"/>
        <v>10</v>
      </c>
      <c r="R22" s="1" t="s">
        <v>146</v>
      </c>
      <c r="S22" s="34">
        <f>SUM(C58:C61)</f>
        <v>15</v>
      </c>
      <c r="T22" s="34">
        <f t="shared" ref="T22:AF22" si="14">SUM(D58:D61)</f>
        <v>6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1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11</v>
      </c>
      <c r="AD22" s="34">
        <f t="shared" si="14"/>
        <v>0</v>
      </c>
      <c r="AE22" s="31">
        <f t="shared" si="14"/>
        <v>24</v>
      </c>
      <c r="AF22" s="31">
        <f t="shared" si="14"/>
        <v>35</v>
      </c>
    </row>
    <row r="23" spans="2:32" ht="23.1" customHeight="1" x14ac:dyDescent="0.25">
      <c r="B23" s="23" t="s">
        <v>50</v>
      </c>
      <c r="C23" s="49">
        <f>AVERAGE('25.10 Katuna-Kabale 24hr'!C23,'26.10 Katuna-Kabale'!C23)</f>
        <v>5</v>
      </c>
      <c r="D23" s="49">
        <f>AVERAGE('25.10 Katuna-Kabale 24hr'!D23,'26.10 Katuna-Kabale'!D23)</f>
        <v>0</v>
      </c>
      <c r="E23" s="49">
        <f>AVERAGE('25.10 Katuna-Kabale 24hr'!E23,'26.10 Katuna-Kabale'!E23)</f>
        <v>0</v>
      </c>
      <c r="F23" s="49">
        <f>AVERAGE('25.10 Katuna-Kabale 24hr'!F23,'26.10 Katuna-Kabale'!F23)</f>
        <v>0</v>
      </c>
      <c r="G23" s="49">
        <f>AVERAGE('25.10 Katuna-Kabale 24hr'!G23,'26.10 Katuna-Kabale'!G23)</f>
        <v>0</v>
      </c>
      <c r="H23" s="49">
        <f>AVERAGE('25.10 Katuna-Kabale 24hr'!H23,'26.10 Katuna-Kabale'!H23)</f>
        <v>0</v>
      </c>
      <c r="I23" s="49">
        <f>AVERAGE('25.10 Katuna-Kabale 24hr'!I23,'26.10 Katuna-Kabale'!I23)</f>
        <v>0.5</v>
      </c>
      <c r="J23" s="49">
        <f>AVERAGE('25.10 Katuna-Kabale 24hr'!J23,'26.10 Katuna-Kabale'!J23)</f>
        <v>0</v>
      </c>
      <c r="K23" s="49">
        <f>AVERAGE('25.10 Katuna-Kabale 24hr'!K23,'26.10 Katuna-Kabale'!K23)</f>
        <v>0</v>
      </c>
      <c r="L23" s="49">
        <f>AVERAGE('25.10 Katuna-Kabale 24hr'!L23,'26.10 Katuna-Kabale'!L23)</f>
        <v>0</v>
      </c>
      <c r="M23" s="49">
        <f>AVERAGE('25.10 Katuna-Kabale 24hr'!M23,'26.10 Katuna-Kabale'!M23)</f>
        <v>11</v>
      </c>
      <c r="N23" s="49">
        <f>AVERAGE('25.10 Katuna-Kabale 24hr'!N23,'26.10 Katuna-Kabale'!N23)</f>
        <v>0</v>
      </c>
      <c r="O23" s="15">
        <f t="shared" si="0"/>
        <v>5.5</v>
      </c>
      <c r="P23" s="15">
        <f t="shared" si="1"/>
        <v>16.5</v>
      </c>
      <c r="R23" s="1" t="s">
        <v>147</v>
      </c>
      <c r="S23" s="34">
        <f>SUM(C62:C65)</f>
        <v>15</v>
      </c>
      <c r="T23" s="34">
        <f t="shared" ref="T23:AF23" si="15">SUM(D62:D65)</f>
        <v>7</v>
      </c>
      <c r="U23" s="34">
        <f t="shared" si="15"/>
        <v>3</v>
      </c>
      <c r="V23" s="34">
        <f t="shared" si="15"/>
        <v>4</v>
      </c>
      <c r="W23" s="34">
        <f t="shared" si="15"/>
        <v>1</v>
      </c>
      <c r="X23" s="34">
        <f t="shared" si="15"/>
        <v>0</v>
      </c>
      <c r="Y23" s="34">
        <f t="shared" si="15"/>
        <v>3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25</v>
      </c>
      <c r="AD23" s="34">
        <f t="shared" si="15"/>
        <v>0</v>
      </c>
      <c r="AE23" s="31">
        <f t="shared" si="15"/>
        <v>33</v>
      </c>
      <c r="AF23" s="31">
        <f t="shared" si="15"/>
        <v>58</v>
      </c>
    </row>
    <row r="24" spans="2:32" ht="23.1" customHeight="1" x14ac:dyDescent="0.25">
      <c r="B24" s="23" t="s">
        <v>51</v>
      </c>
      <c r="C24" s="49">
        <f>AVERAGE('25.10 Katuna-Kabale 24hr'!C24,'26.10 Katuna-Kabale'!C24)</f>
        <v>4.5</v>
      </c>
      <c r="D24" s="49">
        <f>AVERAGE('25.10 Katuna-Kabale 24hr'!D24,'26.10 Katuna-Kabale'!D24)</f>
        <v>0.5</v>
      </c>
      <c r="E24" s="49">
        <f>AVERAGE('25.10 Katuna-Kabale 24hr'!E24,'26.10 Katuna-Kabale'!E24)</f>
        <v>0</v>
      </c>
      <c r="F24" s="49">
        <f>AVERAGE('25.10 Katuna-Kabale 24hr'!F24,'26.10 Katuna-Kabale'!F24)</f>
        <v>0</v>
      </c>
      <c r="G24" s="49">
        <f>AVERAGE('25.10 Katuna-Kabale 24hr'!G24,'26.10 Katuna-Kabale'!G24)</f>
        <v>0</v>
      </c>
      <c r="H24" s="49">
        <f>AVERAGE('25.10 Katuna-Kabale 24hr'!H24,'26.10 Katuna-Kabale'!H24)</f>
        <v>0</v>
      </c>
      <c r="I24" s="49">
        <f>AVERAGE('25.10 Katuna-Kabale 24hr'!I24,'26.10 Katuna-Kabale'!I24)</f>
        <v>1.5</v>
      </c>
      <c r="J24" s="49">
        <f>AVERAGE('25.10 Katuna-Kabale 24hr'!J24,'26.10 Katuna-Kabale'!J24)</f>
        <v>0</v>
      </c>
      <c r="K24" s="49">
        <f>AVERAGE('25.10 Katuna-Kabale 24hr'!K24,'26.10 Katuna-Kabale'!K24)</f>
        <v>0</v>
      </c>
      <c r="L24" s="49">
        <f>AVERAGE('25.10 Katuna-Kabale 24hr'!L24,'26.10 Katuna-Kabale'!L24)</f>
        <v>0</v>
      </c>
      <c r="M24" s="49">
        <f>AVERAGE('25.10 Katuna-Kabale 24hr'!M24,'26.10 Katuna-Kabale'!M24)</f>
        <v>5</v>
      </c>
      <c r="N24" s="49">
        <f>AVERAGE('25.10 Katuna-Kabale 24hr'!N24,'26.10 Katuna-Kabale'!N24)</f>
        <v>0</v>
      </c>
      <c r="O24" s="15">
        <f t="shared" si="0"/>
        <v>6.5</v>
      </c>
      <c r="P24" s="15">
        <f t="shared" si="1"/>
        <v>11.5</v>
      </c>
      <c r="R24" s="1" t="s">
        <v>148</v>
      </c>
      <c r="S24" s="34">
        <f>SUM(C66:C69)</f>
        <v>8</v>
      </c>
      <c r="T24" s="34">
        <f t="shared" ref="T24:AF24" si="16">SUM(D66:D69)</f>
        <v>1</v>
      </c>
      <c r="U24" s="34">
        <f t="shared" si="16"/>
        <v>1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10</v>
      </c>
      <c r="AD24" s="34">
        <f t="shared" si="16"/>
        <v>0</v>
      </c>
      <c r="AE24" s="31">
        <f t="shared" si="16"/>
        <v>14</v>
      </c>
      <c r="AF24" s="31">
        <f t="shared" si="16"/>
        <v>24</v>
      </c>
    </row>
    <row r="25" spans="2:32" ht="23.1" customHeight="1" x14ac:dyDescent="0.25">
      <c r="B25" s="23" t="s">
        <v>52</v>
      </c>
      <c r="C25" s="49">
        <f>AVERAGE('25.10 Katuna-Kabale 24hr'!C25,'26.10 Katuna-Kabale'!C25)</f>
        <v>7</v>
      </c>
      <c r="D25" s="49">
        <f>AVERAGE('25.10 Katuna-Kabale 24hr'!D25,'26.10 Katuna-Kabale'!D25)</f>
        <v>0</v>
      </c>
      <c r="E25" s="49">
        <f>AVERAGE('25.10 Katuna-Kabale 24hr'!E25,'26.10 Katuna-Kabale'!E25)</f>
        <v>1</v>
      </c>
      <c r="F25" s="49">
        <f>AVERAGE('25.10 Katuna-Kabale 24hr'!F25,'26.10 Katuna-Kabale'!F25)</f>
        <v>0</v>
      </c>
      <c r="G25" s="49">
        <f>AVERAGE('25.10 Katuna-Kabale 24hr'!G25,'26.10 Katuna-Kabale'!G25)</f>
        <v>0</v>
      </c>
      <c r="H25" s="49">
        <f>AVERAGE('25.10 Katuna-Kabale 24hr'!H25,'26.10 Katuna-Kabale'!H25)</f>
        <v>0</v>
      </c>
      <c r="I25" s="49">
        <f>AVERAGE('25.10 Katuna-Kabale 24hr'!I25,'26.10 Katuna-Kabale'!I25)</f>
        <v>1.5</v>
      </c>
      <c r="J25" s="49">
        <f>AVERAGE('25.10 Katuna-Kabale 24hr'!J25,'26.10 Katuna-Kabale'!J25)</f>
        <v>0</v>
      </c>
      <c r="K25" s="49">
        <f>AVERAGE('25.10 Katuna-Kabale 24hr'!K25,'26.10 Katuna-Kabale'!K25)</f>
        <v>0</v>
      </c>
      <c r="L25" s="49">
        <f>AVERAGE('25.10 Katuna-Kabale 24hr'!L25,'26.10 Katuna-Kabale'!L25)</f>
        <v>0</v>
      </c>
      <c r="M25" s="49">
        <f>AVERAGE('25.10 Katuna-Kabale 24hr'!M25,'26.10 Katuna-Kabale'!M25)</f>
        <v>7</v>
      </c>
      <c r="N25" s="49">
        <f>AVERAGE('25.10 Katuna-Kabale 24hr'!N25,'26.10 Katuna-Kabale'!N25)</f>
        <v>0</v>
      </c>
      <c r="O25" s="15">
        <f t="shared" si="0"/>
        <v>9.5</v>
      </c>
      <c r="P25" s="15">
        <f t="shared" si="1"/>
        <v>16.5</v>
      </c>
      <c r="R25" s="1" t="s">
        <v>149</v>
      </c>
      <c r="S25" s="34">
        <f>SUM(C70:C73)</f>
        <v>4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7</v>
      </c>
      <c r="AD25" s="34">
        <f t="shared" si="17"/>
        <v>0</v>
      </c>
      <c r="AE25" s="31">
        <f t="shared" si="17"/>
        <v>5</v>
      </c>
      <c r="AF25" s="31">
        <f t="shared" si="17"/>
        <v>12</v>
      </c>
    </row>
    <row r="26" spans="2:32" ht="23.1" customHeight="1" x14ac:dyDescent="0.25">
      <c r="B26" s="23" t="s">
        <v>53</v>
      </c>
      <c r="C26" s="49">
        <f>AVERAGE('25.10 Katuna-Kabale 24hr'!C26,'26.10 Katuna-Kabale'!C26)</f>
        <v>2</v>
      </c>
      <c r="D26" s="49">
        <f>AVERAGE('25.10 Katuna-Kabale 24hr'!D26,'26.10 Katuna-Kabale'!D26)</f>
        <v>0.5</v>
      </c>
      <c r="E26" s="49">
        <f>AVERAGE('25.10 Katuna-Kabale 24hr'!E26,'26.10 Katuna-Kabale'!E26)</f>
        <v>0.5</v>
      </c>
      <c r="F26" s="49">
        <f>AVERAGE('25.10 Katuna-Kabale 24hr'!F26,'26.10 Katuna-Kabale'!F26)</f>
        <v>0</v>
      </c>
      <c r="G26" s="49">
        <f>AVERAGE('25.10 Katuna-Kabale 24hr'!G26,'26.10 Katuna-Kabale'!G26)</f>
        <v>0</v>
      </c>
      <c r="H26" s="49">
        <f>AVERAGE('25.10 Katuna-Kabale 24hr'!H26,'26.10 Katuna-Kabale'!H26)</f>
        <v>0.5</v>
      </c>
      <c r="I26" s="49">
        <f>AVERAGE('25.10 Katuna-Kabale 24hr'!I26,'26.10 Katuna-Kabale'!I26)</f>
        <v>0.5</v>
      </c>
      <c r="J26" s="49">
        <f>AVERAGE('25.10 Katuna-Kabale 24hr'!J26,'26.10 Katuna-Kabale'!J26)</f>
        <v>0</v>
      </c>
      <c r="K26" s="49">
        <f>AVERAGE('25.10 Katuna-Kabale 24hr'!K26,'26.10 Katuna-Kabale'!K26)</f>
        <v>0</v>
      </c>
      <c r="L26" s="49">
        <f>AVERAGE('25.10 Katuna-Kabale 24hr'!L26,'26.10 Katuna-Kabale'!L26)</f>
        <v>0</v>
      </c>
      <c r="M26" s="49">
        <f>AVERAGE('25.10 Katuna-Kabale 24hr'!M26,'26.10 Katuna-Kabale'!M26)</f>
        <v>5</v>
      </c>
      <c r="N26" s="49">
        <f>AVERAGE('25.10 Katuna-Kabale 24hr'!N26,'26.10 Katuna-Kabale'!N26)</f>
        <v>0</v>
      </c>
      <c r="O26" s="15">
        <f t="shared" si="0"/>
        <v>4</v>
      </c>
      <c r="P26" s="15">
        <f t="shared" si="1"/>
        <v>9</v>
      </c>
      <c r="R26" s="1" t="s">
        <v>150</v>
      </c>
      <c r="S26" s="34">
        <f>SUM(C74:C77)</f>
        <v>4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</v>
      </c>
      <c r="AD26" s="34">
        <f t="shared" si="18"/>
        <v>0</v>
      </c>
      <c r="AE26" s="31">
        <f t="shared" si="18"/>
        <v>5</v>
      </c>
      <c r="AF26" s="31">
        <f t="shared" si="18"/>
        <v>7</v>
      </c>
    </row>
    <row r="27" spans="2:32" ht="23.1" customHeight="1" x14ac:dyDescent="0.25">
      <c r="B27" s="23" t="s">
        <v>54</v>
      </c>
      <c r="C27" s="49">
        <f>AVERAGE('25.10 Katuna-Kabale 24hr'!C27,'26.10 Katuna-Kabale'!C27)</f>
        <v>4</v>
      </c>
      <c r="D27" s="49">
        <f>AVERAGE('25.10 Katuna-Kabale 24hr'!D27,'26.10 Katuna-Kabale'!D27)</f>
        <v>1.5</v>
      </c>
      <c r="E27" s="49">
        <f>AVERAGE('25.10 Katuna-Kabale 24hr'!E27,'26.10 Katuna-Kabale'!E27)</f>
        <v>0</v>
      </c>
      <c r="F27" s="49">
        <f>AVERAGE('25.10 Katuna-Kabale 24hr'!F27,'26.10 Katuna-Kabale'!F27)</f>
        <v>0</v>
      </c>
      <c r="G27" s="49">
        <f>AVERAGE('25.10 Katuna-Kabale 24hr'!G27,'26.10 Katuna-Kabale'!G27)</f>
        <v>0</v>
      </c>
      <c r="H27" s="49">
        <f>AVERAGE('25.10 Katuna-Kabale 24hr'!H27,'26.10 Katuna-Kabale'!H27)</f>
        <v>0</v>
      </c>
      <c r="I27" s="49">
        <f>AVERAGE('25.10 Katuna-Kabale 24hr'!I27,'26.10 Katuna-Kabale'!I27)</f>
        <v>0</v>
      </c>
      <c r="J27" s="49">
        <f>AVERAGE('25.10 Katuna-Kabale 24hr'!J27,'26.10 Katuna-Kabale'!J27)</f>
        <v>0</v>
      </c>
      <c r="K27" s="49">
        <f>AVERAGE('25.10 Katuna-Kabale 24hr'!K27,'26.10 Katuna-Kabale'!K27)</f>
        <v>0</v>
      </c>
      <c r="L27" s="49">
        <f>AVERAGE('25.10 Katuna-Kabale 24hr'!L27,'26.10 Katuna-Kabale'!L27)</f>
        <v>0</v>
      </c>
      <c r="M27" s="49">
        <f>AVERAGE('25.10 Katuna-Kabale 24hr'!M27,'26.10 Katuna-Kabale'!M27)</f>
        <v>3</v>
      </c>
      <c r="N27" s="49">
        <f>AVERAGE('25.10 Katuna-Kabale 24hr'!N27,'26.10 Katuna-Kabale'!N27)</f>
        <v>0</v>
      </c>
      <c r="O27" s="15">
        <f t="shared" si="0"/>
        <v>5.5</v>
      </c>
      <c r="P27" s="15">
        <f t="shared" si="1"/>
        <v>8.5</v>
      </c>
      <c r="R27" s="1" t="s">
        <v>151</v>
      </c>
      <c r="S27" s="34">
        <f>SUM(C78:C81)</f>
        <v>4</v>
      </c>
      <c r="T27" s="34">
        <f t="shared" ref="T27:AF27" si="19">SUM(D78:D81)</f>
        <v>2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</v>
      </c>
      <c r="AD27" s="34">
        <f t="shared" si="19"/>
        <v>0</v>
      </c>
      <c r="AE27" s="31">
        <f t="shared" si="19"/>
        <v>8</v>
      </c>
      <c r="AF27" s="31">
        <f t="shared" si="19"/>
        <v>9</v>
      </c>
    </row>
    <row r="28" spans="2:32" ht="23.1" customHeight="1" x14ac:dyDescent="0.25">
      <c r="B28" s="23" t="s">
        <v>55</v>
      </c>
      <c r="C28" s="49">
        <f>AVERAGE('25.10 Katuna-Kabale 24hr'!C28,'26.10 Katuna-Kabale'!C28)</f>
        <v>5</v>
      </c>
      <c r="D28" s="49">
        <f>AVERAGE('25.10 Katuna-Kabale 24hr'!D28,'26.10 Katuna-Kabale'!D28)</f>
        <v>0.5</v>
      </c>
      <c r="E28" s="49">
        <f>AVERAGE('25.10 Katuna-Kabale 24hr'!E28,'26.10 Katuna-Kabale'!E28)</f>
        <v>0</v>
      </c>
      <c r="F28" s="49">
        <f>AVERAGE('25.10 Katuna-Kabale 24hr'!F28,'26.10 Katuna-Kabale'!F28)</f>
        <v>0.5</v>
      </c>
      <c r="G28" s="49">
        <f>AVERAGE('25.10 Katuna-Kabale 24hr'!G28,'26.10 Katuna-Kabale'!G28)</f>
        <v>0.5</v>
      </c>
      <c r="H28" s="49">
        <f>AVERAGE('25.10 Katuna-Kabale 24hr'!H28,'26.10 Katuna-Kabale'!H28)</f>
        <v>0</v>
      </c>
      <c r="I28" s="49">
        <f>AVERAGE('25.10 Katuna-Kabale 24hr'!I28,'26.10 Katuna-Kabale'!I28)</f>
        <v>0.5</v>
      </c>
      <c r="J28" s="49">
        <f>AVERAGE('25.10 Katuna-Kabale 24hr'!J28,'26.10 Katuna-Kabale'!J28)</f>
        <v>0</v>
      </c>
      <c r="K28" s="49">
        <f>AVERAGE('25.10 Katuna-Kabale 24hr'!K28,'26.10 Katuna-Kabale'!K28)</f>
        <v>0</v>
      </c>
      <c r="L28" s="49">
        <f>AVERAGE('25.10 Katuna-Kabale 24hr'!L28,'26.10 Katuna-Kabale'!L28)</f>
        <v>0</v>
      </c>
      <c r="M28" s="49">
        <f>AVERAGE('25.10 Katuna-Kabale 24hr'!M28,'26.10 Katuna-Kabale'!M28)</f>
        <v>7.5</v>
      </c>
      <c r="N28" s="49">
        <f>AVERAGE('25.10 Katuna-Kabale 24hr'!N28,'26.10 Katuna-Kabale'!N28)</f>
        <v>0</v>
      </c>
      <c r="O28" s="15">
        <f t="shared" si="0"/>
        <v>7</v>
      </c>
      <c r="P28" s="15">
        <f t="shared" si="1"/>
        <v>14.5</v>
      </c>
      <c r="R28" s="1" t="s">
        <v>152</v>
      </c>
      <c r="S28" s="34">
        <f>SUM(C82:C85)</f>
        <v>1</v>
      </c>
      <c r="T28" s="34">
        <f t="shared" ref="T28:AF28" si="20">SUM(D82:D85)</f>
        <v>1</v>
      </c>
      <c r="U28" s="34">
        <f t="shared" si="20"/>
        <v>3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7</v>
      </c>
      <c r="AF28" s="31">
        <f t="shared" si="20"/>
        <v>10</v>
      </c>
    </row>
    <row r="29" spans="2:32" ht="23.1" customHeight="1" x14ac:dyDescent="0.25">
      <c r="B29" s="23" t="s">
        <v>56</v>
      </c>
      <c r="C29" s="49">
        <f>AVERAGE('25.10 Katuna-Kabale 24hr'!C29,'26.10 Katuna-Kabale'!C29)</f>
        <v>6</v>
      </c>
      <c r="D29" s="49">
        <f>AVERAGE('25.10 Katuna-Kabale 24hr'!D29,'26.10 Katuna-Kabale'!D29)</f>
        <v>0.5</v>
      </c>
      <c r="E29" s="49">
        <f>AVERAGE('25.10 Katuna-Kabale 24hr'!E29,'26.10 Katuna-Kabale'!E29)</f>
        <v>0</v>
      </c>
      <c r="F29" s="49">
        <f>AVERAGE('25.10 Katuna-Kabale 24hr'!F29,'26.10 Katuna-Kabale'!F29)</f>
        <v>0</v>
      </c>
      <c r="G29" s="49">
        <f>AVERAGE('25.10 Katuna-Kabale 24hr'!G29,'26.10 Katuna-Kabale'!G29)</f>
        <v>0</v>
      </c>
      <c r="H29" s="49">
        <f>AVERAGE('25.10 Katuna-Kabale 24hr'!H29,'26.10 Katuna-Kabale'!H29)</f>
        <v>0</v>
      </c>
      <c r="I29" s="49">
        <f>AVERAGE('25.10 Katuna-Kabale 24hr'!I29,'26.10 Katuna-Kabale'!I29)</f>
        <v>1</v>
      </c>
      <c r="J29" s="49">
        <f>AVERAGE('25.10 Katuna-Kabale 24hr'!J29,'26.10 Katuna-Kabale'!J29)</f>
        <v>0</v>
      </c>
      <c r="K29" s="49">
        <f>AVERAGE('25.10 Katuna-Kabale 24hr'!K29,'26.10 Katuna-Kabale'!K29)</f>
        <v>0</v>
      </c>
      <c r="L29" s="49">
        <f>AVERAGE('25.10 Katuna-Kabale 24hr'!L29,'26.10 Katuna-Kabale'!L29)</f>
        <v>0</v>
      </c>
      <c r="M29" s="49">
        <f>AVERAGE('25.10 Katuna-Kabale 24hr'!M29,'26.10 Katuna-Kabale'!M29)</f>
        <v>5</v>
      </c>
      <c r="N29" s="49">
        <f>AVERAGE('25.10 Katuna-Kabale 24hr'!N29,'26.10 Katuna-Kabale'!N29)</f>
        <v>0</v>
      </c>
      <c r="O29" s="15">
        <f t="shared" si="0"/>
        <v>7.5</v>
      </c>
      <c r="P29" s="15">
        <f t="shared" si="1"/>
        <v>12.5</v>
      </c>
      <c r="R29" s="1" t="s">
        <v>153</v>
      </c>
      <c r="S29" s="34">
        <f>SUM(C86:C89)</f>
        <v>6</v>
      </c>
      <c r="T29" s="34">
        <f t="shared" ref="T29:AF29" si="21">SUM(D86:D89)</f>
        <v>2</v>
      </c>
      <c r="U29" s="34">
        <f t="shared" si="21"/>
        <v>2</v>
      </c>
      <c r="V29" s="34">
        <f t="shared" si="21"/>
        <v>0</v>
      </c>
      <c r="W29" s="34">
        <f t="shared" si="21"/>
        <v>1</v>
      </c>
      <c r="X29" s="34">
        <f t="shared" si="21"/>
        <v>0</v>
      </c>
      <c r="Y29" s="34">
        <f t="shared" si="21"/>
        <v>2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13</v>
      </c>
      <c r="AF29" s="31">
        <f t="shared" si="21"/>
        <v>14</v>
      </c>
    </row>
    <row r="30" spans="2:32" ht="23.1" customHeight="1" x14ac:dyDescent="0.25">
      <c r="B30" s="23" t="s">
        <v>57</v>
      </c>
      <c r="C30" s="49">
        <f>AVERAGE('25.10 Katuna-Kabale 24hr'!C30,'26.10 Katuna-Kabale'!C30)</f>
        <v>2.5</v>
      </c>
      <c r="D30" s="49">
        <f>AVERAGE('25.10 Katuna-Kabale 24hr'!D30,'26.10 Katuna-Kabale'!D30)</f>
        <v>3.5</v>
      </c>
      <c r="E30" s="49">
        <f>AVERAGE('25.10 Katuna-Kabale 24hr'!E30,'26.10 Katuna-Kabale'!E30)</f>
        <v>0</v>
      </c>
      <c r="F30" s="49">
        <f>AVERAGE('25.10 Katuna-Kabale 24hr'!F30,'26.10 Katuna-Kabale'!F30)</f>
        <v>0</v>
      </c>
      <c r="G30" s="49">
        <f>AVERAGE('25.10 Katuna-Kabale 24hr'!G30,'26.10 Katuna-Kabale'!G30)</f>
        <v>0</v>
      </c>
      <c r="H30" s="49">
        <f>AVERAGE('25.10 Katuna-Kabale 24hr'!H30,'26.10 Katuna-Kabale'!H30)</f>
        <v>0.5</v>
      </c>
      <c r="I30" s="49">
        <f>AVERAGE('25.10 Katuna-Kabale 24hr'!I30,'26.10 Katuna-Kabale'!I30)</f>
        <v>0.5</v>
      </c>
      <c r="J30" s="49">
        <f>AVERAGE('25.10 Katuna-Kabale 24hr'!J30,'26.10 Katuna-Kabale'!J30)</f>
        <v>0</v>
      </c>
      <c r="K30" s="49">
        <f>AVERAGE('25.10 Katuna-Kabale 24hr'!K30,'26.10 Katuna-Kabale'!K30)</f>
        <v>0</v>
      </c>
      <c r="L30" s="49">
        <f>AVERAGE('25.10 Katuna-Kabale 24hr'!L30,'26.10 Katuna-Kabale'!L30)</f>
        <v>0</v>
      </c>
      <c r="M30" s="49">
        <f>AVERAGE('25.10 Katuna-Kabale 24hr'!M30,'26.10 Katuna-Kabale'!M30)</f>
        <v>6.5</v>
      </c>
      <c r="N30" s="49">
        <f>AVERAGE('25.10 Katuna-Kabale 24hr'!N30,'26.10 Katuna-Kabale'!N30)</f>
        <v>0</v>
      </c>
      <c r="O30" s="15">
        <f t="shared" si="0"/>
        <v>7</v>
      </c>
      <c r="P30" s="15">
        <f t="shared" si="1"/>
        <v>13.5</v>
      </c>
      <c r="R30" s="1" t="s">
        <v>154</v>
      </c>
      <c r="S30" s="34">
        <f>SUM(C90:C93)</f>
        <v>6</v>
      </c>
      <c r="T30" s="34">
        <f t="shared" ref="T30:AF30" si="22">SUM(D90:D93)</f>
        <v>2</v>
      </c>
      <c r="U30" s="34">
        <f t="shared" si="22"/>
        <v>3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13</v>
      </c>
      <c r="AF30" s="31">
        <f t="shared" si="22"/>
        <v>14</v>
      </c>
    </row>
    <row r="31" spans="2:32" ht="23.1" customHeight="1" x14ac:dyDescent="0.25">
      <c r="B31" s="24" t="s">
        <v>58</v>
      </c>
      <c r="C31" s="49">
        <f>AVERAGE('25.10 Katuna-Kabale 24hr'!C31,'26.10 Katuna-Kabale'!C31)</f>
        <v>4</v>
      </c>
      <c r="D31" s="49">
        <f>AVERAGE('25.10 Katuna-Kabale 24hr'!D31,'26.10 Katuna-Kabale'!D31)</f>
        <v>1</v>
      </c>
      <c r="E31" s="49">
        <f>AVERAGE('25.10 Katuna-Kabale 24hr'!E31,'26.10 Katuna-Kabale'!E31)</f>
        <v>0</v>
      </c>
      <c r="F31" s="49">
        <f>AVERAGE('25.10 Katuna-Kabale 24hr'!F31,'26.10 Katuna-Kabale'!F31)</f>
        <v>0</v>
      </c>
      <c r="G31" s="49">
        <f>AVERAGE('25.10 Katuna-Kabale 24hr'!G31,'26.10 Katuna-Kabale'!G31)</f>
        <v>0</v>
      </c>
      <c r="H31" s="49">
        <f>AVERAGE('25.10 Katuna-Kabale 24hr'!H31,'26.10 Katuna-Kabale'!H31)</f>
        <v>0</v>
      </c>
      <c r="I31" s="49">
        <f>AVERAGE('25.10 Katuna-Kabale 24hr'!I31,'26.10 Katuna-Kabale'!I31)</f>
        <v>1.5</v>
      </c>
      <c r="J31" s="49">
        <f>AVERAGE('25.10 Katuna-Kabale 24hr'!J31,'26.10 Katuna-Kabale'!J31)</f>
        <v>0</v>
      </c>
      <c r="K31" s="49">
        <f>AVERAGE('25.10 Katuna-Kabale 24hr'!K31,'26.10 Katuna-Kabale'!K31)</f>
        <v>0</v>
      </c>
      <c r="L31" s="49">
        <f>AVERAGE('25.10 Katuna-Kabale 24hr'!L31,'26.10 Katuna-Kabale'!L31)</f>
        <v>0</v>
      </c>
      <c r="M31" s="49">
        <f>AVERAGE('25.10 Katuna-Kabale 24hr'!M31,'26.10 Katuna-Kabale'!M31)</f>
        <v>8</v>
      </c>
      <c r="N31" s="49">
        <f>AVERAGE('25.10 Katuna-Kabale 24hr'!N31,'26.10 Katuna-Kabale'!N31)</f>
        <v>0</v>
      </c>
      <c r="O31" s="15">
        <f t="shared" si="0"/>
        <v>6.5</v>
      </c>
      <c r="P31" s="15">
        <f t="shared" si="1"/>
        <v>14.5</v>
      </c>
      <c r="R31" s="1" t="s">
        <v>155</v>
      </c>
      <c r="S31" s="34">
        <f>SUM(C94:C97)</f>
        <v>1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0</v>
      </c>
      <c r="W31" s="34">
        <f t="shared" si="23"/>
        <v>2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7</v>
      </c>
      <c r="AF31" s="31">
        <f t="shared" si="23"/>
        <v>11</v>
      </c>
    </row>
    <row r="32" spans="2:32" ht="23.1" customHeight="1" x14ac:dyDescent="0.25">
      <c r="B32" s="24" t="s">
        <v>59</v>
      </c>
      <c r="C32" s="49">
        <f>AVERAGE('25.10 Katuna-Kabale 24hr'!C32,'26.10 Katuna-Kabale'!C32)</f>
        <v>3.5</v>
      </c>
      <c r="D32" s="49">
        <f>AVERAGE('25.10 Katuna-Kabale 24hr'!D32,'26.10 Katuna-Kabale'!D32)</f>
        <v>1</v>
      </c>
      <c r="E32" s="49">
        <f>AVERAGE('25.10 Katuna-Kabale 24hr'!E32,'26.10 Katuna-Kabale'!E32)</f>
        <v>0</v>
      </c>
      <c r="F32" s="49">
        <f>AVERAGE('25.10 Katuna-Kabale 24hr'!F32,'26.10 Katuna-Kabale'!F32)</f>
        <v>0</v>
      </c>
      <c r="G32" s="49">
        <f>AVERAGE('25.10 Katuna-Kabale 24hr'!G32,'26.10 Katuna-Kabale'!G32)</f>
        <v>0</v>
      </c>
      <c r="H32" s="49">
        <f>AVERAGE('25.10 Katuna-Kabale 24hr'!H32,'26.10 Katuna-Kabale'!H32)</f>
        <v>0</v>
      </c>
      <c r="I32" s="49">
        <f>AVERAGE('25.10 Katuna-Kabale 24hr'!I32,'26.10 Katuna-Kabale'!I32)</f>
        <v>0.5</v>
      </c>
      <c r="J32" s="49">
        <f>AVERAGE('25.10 Katuna-Kabale 24hr'!J32,'26.10 Katuna-Kabale'!J32)</f>
        <v>0</v>
      </c>
      <c r="K32" s="49">
        <f>AVERAGE('25.10 Katuna-Kabale 24hr'!K32,'26.10 Katuna-Kabale'!K32)</f>
        <v>0</v>
      </c>
      <c r="L32" s="49">
        <f>AVERAGE('25.10 Katuna-Kabale 24hr'!L32,'26.10 Katuna-Kabale'!L32)</f>
        <v>0</v>
      </c>
      <c r="M32" s="49">
        <f>AVERAGE('25.10 Katuna-Kabale 24hr'!M32,'26.10 Katuna-Kabale'!M32)</f>
        <v>3.5</v>
      </c>
      <c r="N32" s="49">
        <f>AVERAGE('25.10 Katuna-Kabale 24hr'!N32,'26.10 Katuna-Kabale'!N32)</f>
        <v>0</v>
      </c>
      <c r="O32" s="15">
        <f t="shared" si="0"/>
        <v>5</v>
      </c>
      <c r="P32" s="15">
        <f t="shared" si="1"/>
        <v>8.5</v>
      </c>
      <c r="R32" s="1" t="s">
        <v>156</v>
      </c>
      <c r="S32" s="34">
        <f>SUM(C98:C101)</f>
        <v>4</v>
      </c>
      <c r="T32" s="34">
        <f t="shared" ref="T32:AF32" si="24">SUM(D98:D101)</f>
        <v>4</v>
      </c>
      <c r="U32" s="34">
        <f t="shared" si="24"/>
        <v>1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6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7</v>
      </c>
      <c r="AD32" s="34">
        <f t="shared" si="24"/>
        <v>0</v>
      </c>
      <c r="AE32" s="31">
        <f t="shared" si="24"/>
        <v>18</v>
      </c>
      <c r="AF32" s="31">
        <f t="shared" si="24"/>
        <v>25</v>
      </c>
    </row>
    <row r="33" spans="2:32" ht="23.1" customHeight="1" x14ac:dyDescent="0.25">
      <c r="B33" s="23" t="s">
        <v>60</v>
      </c>
      <c r="C33" s="49">
        <f>AVERAGE('25.10 Katuna-Kabale 24hr'!C33,'26.10 Katuna-Kabale'!C33)</f>
        <v>2.5</v>
      </c>
      <c r="D33" s="49">
        <f>AVERAGE('25.10 Katuna-Kabale 24hr'!D33,'26.10 Katuna-Kabale'!D33)</f>
        <v>0</v>
      </c>
      <c r="E33" s="49">
        <f>AVERAGE('25.10 Katuna-Kabale 24hr'!E33,'26.10 Katuna-Kabale'!E33)</f>
        <v>0</v>
      </c>
      <c r="F33" s="49">
        <f>AVERAGE('25.10 Katuna-Kabale 24hr'!F33,'26.10 Katuna-Kabale'!F33)</f>
        <v>0</v>
      </c>
      <c r="G33" s="49">
        <f>AVERAGE('25.10 Katuna-Kabale 24hr'!G33,'26.10 Katuna-Kabale'!G33)</f>
        <v>0</v>
      </c>
      <c r="H33" s="49">
        <f>AVERAGE('25.10 Katuna-Kabale 24hr'!H33,'26.10 Katuna-Kabale'!H33)</f>
        <v>0.5</v>
      </c>
      <c r="I33" s="49">
        <f>AVERAGE('25.10 Katuna-Kabale 24hr'!I33,'26.10 Katuna-Kabale'!I33)</f>
        <v>1</v>
      </c>
      <c r="J33" s="49">
        <f>AVERAGE('25.10 Katuna-Kabale 24hr'!J33,'26.10 Katuna-Kabale'!J33)</f>
        <v>0</v>
      </c>
      <c r="K33" s="49">
        <f>AVERAGE('25.10 Katuna-Kabale 24hr'!K33,'26.10 Katuna-Kabale'!K33)</f>
        <v>0</v>
      </c>
      <c r="L33" s="49">
        <f>AVERAGE('25.10 Katuna-Kabale 24hr'!L33,'26.10 Katuna-Kabale'!L33)</f>
        <v>0</v>
      </c>
      <c r="M33" s="49">
        <f>AVERAGE('25.10 Katuna-Kabale 24hr'!M33,'26.10 Katuna-Kabale'!M33)</f>
        <v>7.5</v>
      </c>
      <c r="N33" s="49">
        <f>AVERAGE('25.10 Katuna-Kabale 24hr'!N33,'26.10 Katuna-Kabale'!N33)</f>
        <v>0</v>
      </c>
      <c r="O33" s="15">
        <f t="shared" si="0"/>
        <v>4</v>
      </c>
      <c r="P33" s="15">
        <f t="shared" si="1"/>
        <v>11.5</v>
      </c>
      <c r="R33" s="1" t="s">
        <v>157</v>
      </c>
      <c r="S33" s="34">
        <f>SUM(C102:C105)</f>
        <v>6</v>
      </c>
      <c r="T33" s="34">
        <f t="shared" ref="T33:AF33" si="25">SUM(D102:D105)</f>
        <v>6</v>
      </c>
      <c r="U33" s="34">
        <f t="shared" si="25"/>
        <v>3</v>
      </c>
      <c r="V33" s="34">
        <f t="shared" si="25"/>
        <v>3</v>
      </c>
      <c r="W33" s="34">
        <f t="shared" si="25"/>
        <v>2</v>
      </c>
      <c r="X33" s="34">
        <f t="shared" si="25"/>
        <v>0</v>
      </c>
      <c r="Y33" s="34">
        <f t="shared" si="25"/>
        <v>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16</v>
      </c>
      <c r="AD33" s="34">
        <f t="shared" si="25"/>
        <v>0</v>
      </c>
      <c r="AE33" s="31">
        <f t="shared" si="25"/>
        <v>25</v>
      </c>
      <c r="AF33" s="31">
        <f t="shared" si="25"/>
        <v>41</v>
      </c>
    </row>
    <row r="34" spans="2:32" ht="23.1" customHeight="1" x14ac:dyDescent="0.25">
      <c r="B34" s="24" t="s">
        <v>61</v>
      </c>
      <c r="C34" s="49">
        <f>AVERAGE('25.10 Katuna-Kabale 24hr'!C34,'26.10 Katuna-Kabale'!C34)</f>
        <v>3.5</v>
      </c>
      <c r="D34" s="49">
        <f>AVERAGE('25.10 Katuna-Kabale 24hr'!D34,'26.10 Katuna-Kabale'!D34)</f>
        <v>0</v>
      </c>
      <c r="E34" s="49">
        <f>AVERAGE('25.10 Katuna-Kabale 24hr'!E34,'26.10 Katuna-Kabale'!E34)</f>
        <v>0</v>
      </c>
      <c r="F34" s="49">
        <f>AVERAGE('25.10 Katuna-Kabale 24hr'!F34,'26.10 Katuna-Kabale'!F34)</f>
        <v>0</v>
      </c>
      <c r="G34" s="49">
        <f>AVERAGE('25.10 Katuna-Kabale 24hr'!G34,'26.10 Katuna-Kabale'!G34)</f>
        <v>0</v>
      </c>
      <c r="H34" s="49">
        <f>AVERAGE('25.10 Katuna-Kabale 24hr'!H34,'26.10 Katuna-Kabale'!H34)</f>
        <v>0</v>
      </c>
      <c r="I34" s="49">
        <f>AVERAGE('25.10 Katuna-Kabale 24hr'!I34,'26.10 Katuna-Kabale'!I34)</f>
        <v>0</v>
      </c>
      <c r="J34" s="49">
        <f>AVERAGE('25.10 Katuna-Kabale 24hr'!J34,'26.10 Katuna-Kabale'!J34)</f>
        <v>0</v>
      </c>
      <c r="K34" s="49">
        <f>AVERAGE('25.10 Katuna-Kabale 24hr'!K34,'26.10 Katuna-Kabale'!K34)</f>
        <v>0</v>
      </c>
      <c r="L34" s="49">
        <f>AVERAGE('25.10 Katuna-Kabale 24hr'!L34,'26.10 Katuna-Kabale'!L34)</f>
        <v>0</v>
      </c>
      <c r="M34" s="49">
        <f>AVERAGE('25.10 Katuna-Kabale 24hr'!M34,'26.10 Katuna-Kabale'!M34)</f>
        <v>4.5</v>
      </c>
      <c r="N34" s="49">
        <f>AVERAGE('25.10 Katuna-Kabale 24hr'!N34,'26.10 Katuna-Kabale'!N34)</f>
        <v>0</v>
      </c>
      <c r="O34" s="15">
        <f t="shared" si="0"/>
        <v>3.5</v>
      </c>
      <c r="P34" s="15">
        <f t="shared" si="1"/>
        <v>8</v>
      </c>
      <c r="R34" s="51" t="s">
        <v>90</v>
      </c>
      <c r="S34" s="52">
        <f t="shared" ref="S34:AF34" si="26">MAX(S10:S12)</f>
        <v>15</v>
      </c>
      <c r="T34" s="52">
        <f t="shared" si="26"/>
        <v>1.5</v>
      </c>
      <c r="U34" s="52">
        <f t="shared" si="26"/>
        <v>3</v>
      </c>
      <c r="V34" s="52">
        <f t="shared" si="26"/>
        <v>0.5</v>
      </c>
      <c r="W34" s="52">
        <f t="shared" si="26"/>
        <v>0</v>
      </c>
      <c r="X34" s="52">
        <f t="shared" si="26"/>
        <v>0</v>
      </c>
      <c r="Y34" s="52">
        <f t="shared" si="26"/>
        <v>4</v>
      </c>
      <c r="Z34" s="52">
        <f t="shared" si="26"/>
        <v>0</v>
      </c>
      <c r="AA34" s="52">
        <f t="shared" si="26"/>
        <v>0</v>
      </c>
      <c r="AB34" s="52">
        <f t="shared" si="26"/>
        <v>0</v>
      </c>
      <c r="AC34" s="52">
        <f t="shared" si="26"/>
        <v>24</v>
      </c>
      <c r="AD34" s="52">
        <f t="shared" si="26"/>
        <v>0</v>
      </c>
      <c r="AE34" s="40">
        <f t="shared" si="26"/>
        <v>21</v>
      </c>
      <c r="AF34" s="40">
        <f t="shared" si="26"/>
        <v>45</v>
      </c>
    </row>
    <row r="35" spans="2:32" ht="23.1" customHeight="1" x14ac:dyDescent="0.25">
      <c r="B35" s="24" t="s">
        <v>62</v>
      </c>
      <c r="C35" s="49">
        <f>AVERAGE('25.10 Katuna-Kabale 24hr'!C35,'26.10 Katuna-Kabale'!C35)</f>
        <v>2.5</v>
      </c>
      <c r="D35" s="49">
        <f>AVERAGE('25.10 Katuna-Kabale 24hr'!D35,'26.10 Katuna-Kabale'!D35)</f>
        <v>0</v>
      </c>
      <c r="E35" s="49">
        <f>AVERAGE('25.10 Katuna-Kabale 24hr'!E35,'26.10 Katuna-Kabale'!E35)</f>
        <v>0.5</v>
      </c>
      <c r="F35" s="49">
        <f>AVERAGE('25.10 Katuna-Kabale 24hr'!F35,'26.10 Katuna-Kabale'!F35)</f>
        <v>0</v>
      </c>
      <c r="G35" s="49">
        <f>AVERAGE('25.10 Katuna-Kabale 24hr'!G35,'26.10 Katuna-Kabale'!G35)</f>
        <v>0</v>
      </c>
      <c r="H35" s="49">
        <f>AVERAGE('25.10 Katuna-Kabale 24hr'!H35,'26.10 Katuna-Kabale'!H35)</f>
        <v>0</v>
      </c>
      <c r="I35" s="49">
        <f>AVERAGE('25.10 Katuna-Kabale 24hr'!I35,'26.10 Katuna-Kabale'!I35)</f>
        <v>0</v>
      </c>
      <c r="J35" s="49">
        <f>AVERAGE('25.10 Katuna-Kabale 24hr'!J35,'26.10 Katuna-Kabale'!J35)</f>
        <v>0</v>
      </c>
      <c r="K35" s="49">
        <f>AVERAGE('25.10 Katuna-Kabale 24hr'!K35,'26.10 Katuna-Kabale'!K35)</f>
        <v>0</v>
      </c>
      <c r="L35" s="49">
        <f>AVERAGE('25.10 Katuna-Kabale 24hr'!L35,'26.10 Katuna-Kabale'!L35)</f>
        <v>0</v>
      </c>
      <c r="M35" s="49">
        <f>AVERAGE('25.10 Katuna-Kabale 24hr'!M35,'26.10 Katuna-Kabale'!M35)</f>
        <v>4.5</v>
      </c>
      <c r="N35" s="49">
        <f>AVERAGE('25.10 Katuna-Kabale 24hr'!N35,'26.10 Katuna-Kabale'!N35)</f>
        <v>0</v>
      </c>
      <c r="O35" s="15">
        <f t="shared" si="0"/>
        <v>3</v>
      </c>
      <c r="P35" s="15">
        <f t="shared" si="1"/>
        <v>7.5</v>
      </c>
      <c r="R35" s="51" t="s">
        <v>91</v>
      </c>
      <c r="S35" s="52">
        <f t="shared" ref="S35:AF35" si="27">MAX(S13:S18)</f>
        <v>19</v>
      </c>
      <c r="T35" s="52">
        <f t="shared" si="27"/>
        <v>5.5</v>
      </c>
      <c r="U35" s="52">
        <f t="shared" si="27"/>
        <v>2</v>
      </c>
      <c r="V35" s="52">
        <f t="shared" si="27"/>
        <v>1</v>
      </c>
      <c r="W35" s="52">
        <f t="shared" si="27"/>
        <v>1</v>
      </c>
      <c r="X35" s="52">
        <f t="shared" si="27"/>
        <v>1</v>
      </c>
      <c r="Y35" s="52">
        <f t="shared" si="27"/>
        <v>5</v>
      </c>
      <c r="Z35" s="52">
        <f t="shared" si="27"/>
        <v>1</v>
      </c>
      <c r="AA35" s="52">
        <f t="shared" si="27"/>
        <v>0</v>
      </c>
      <c r="AB35" s="52">
        <f t="shared" si="27"/>
        <v>0</v>
      </c>
      <c r="AC35" s="52">
        <f t="shared" si="27"/>
        <v>28.5</v>
      </c>
      <c r="AD35" s="52">
        <f t="shared" si="27"/>
        <v>0</v>
      </c>
      <c r="AE35" s="40">
        <f t="shared" si="27"/>
        <v>26</v>
      </c>
      <c r="AF35" s="40">
        <f t="shared" si="27"/>
        <v>54.5</v>
      </c>
    </row>
    <row r="36" spans="2:32" ht="23.1" customHeight="1" x14ac:dyDescent="0.25">
      <c r="B36" s="24" t="s">
        <v>63</v>
      </c>
      <c r="C36" s="49">
        <f>AVERAGE('25.10 Katuna-Kabale 24hr'!C36,'26.10 Katuna-Kabale'!C36)</f>
        <v>4</v>
      </c>
      <c r="D36" s="49">
        <f>AVERAGE('25.10 Katuna-Kabale 24hr'!D36,'26.10 Katuna-Kabale'!D36)</f>
        <v>0</v>
      </c>
      <c r="E36" s="49">
        <f>AVERAGE('25.10 Katuna-Kabale 24hr'!E36,'26.10 Katuna-Kabale'!E36)</f>
        <v>0</v>
      </c>
      <c r="F36" s="49">
        <f>AVERAGE('25.10 Katuna-Kabale 24hr'!F36,'26.10 Katuna-Kabale'!F36)</f>
        <v>0.5</v>
      </c>
      <c r="G36" s="49">
        <f>AVERAGE('25.10 Katuna-Kabale 24hr'!G36,'26.10 Katuna-Kabale'!G36)</f>
        <v>1</v>
      </c>
      <c r="H36" s="49">
        <f>AVERAGE('25.10 Katuna-Kabale 24hr'!H36,'26.10 Katuna-Kabale'!H36)</f>
        <v>0</v>
      </c>
      <c r="I36" s="49">
        <f>AVERAGE('25.10 Katuna-Kabale 24hr'!I36,'26.10 Katuna-Kabale'!I36)</f>
        <v>0</v>
      </c>
      <c r="J36" s="49">
        <f>AVERAGE('25.10 Katuna-Kabale 24hr'!J36,'26.10 Katuna-Kabale'!J36)</f>
        <v>0</v>
      </c>
      <c r="K36" s="49">
        <f>AVERAGE('25.10 Katuna-Kabale 24hr'!K36,'26.10 Katuna-Kabale'!K36)</f>
        <v>0</v>
      </c>
      <c r="L36" s="49">
        <f>AVERAGE('25.10 Katuna-Kabale 24hr'!L36,'26.10 Katuna-Kabale'!L36)</f>
        <v>0</v>
      </c>
      <c r="M36" s="49">
        <f>AVERAGE('25.10 Katuna-Kabale 24hr'!M36,'26.10 Katuna-Kabale'!M36)</f>
        <v>6</v>
      </c>
      <c r="N36" s="49">
        <f>AVERAGE('25.10 Katuna-Kabale 24hr'!N36,'26.10 Katuna-Kabale'!N36)</f>
        <v>0</v>
      </c>
      <c r="O36" s="15">
        <f t="shared" si="0"/>
        <v>5.5</v>
      </c>
      <c r="P36" s="15">
        <f t="shared" si="1"/>
        <v>11.5</v>
      </c>
      <c r="R36" s="51" t="s">
        <v>92</v>
      </c>
      <c r="S36" s="52">
        <f t="shared" ref="S36:AF36" si="28">MAX(S19:S21)</f>
        <v>18</v>
      </c>
      <c r="T36" s="52">
        <f t="shared" si="28"/>
        <v>5</v>
      </c>
      <c r="U36" s="52">
        <f t="shared" si="28"/>
        <v>2</v>
      </c>
      <c r="V36" s="52">
        <f t="shared" si="28"/>
        <v>0.5</v>
      </c>
      <c r="W36" s="52">
        <f t="shared" si="28"/>
        <v>0</v>
      </c>
      <c r="X36" s="52">
        <f t="shared" si="28"/>
        <v>0.5</v>
      </c>
      <c r="Y36" s="52">
        <f t="shared" si="28"/>
        <v>5.5</v>
      </c>
      <c r="Z36" s="52">
        <f t="shared" si="28"/>
        <v>0</v>
      </c>
      <c r="AA36" s="52">
        <f t="shared" si="28"/>
        <v>0</v>
      </c>
      <c r="AB36" s="52">
        <f t="shared" si="28"/>
        <v>0</v>
      </c>
      <c r="AC36" s="52">
        <f t="shared" si="28"/>
        <v>33</v>
      </c>
      <c r="AD36" s="52">
        <f t="shared" si="28"/>
        <v>0</v>
      </c>
      <c r="AE36" s="40">
        <f t="shared" si="28"/>
        <v>31</v>
      </c>
      <c r="AF36" s="40">
        <f t="shared" si="28"/>
        <v>55.5</v>
      </c>
    </row>
    <row r="37" spans="2:32" ht="23.1" customHeight="1" x14ac:dyDescent="0.25">
      <c r="B37" s="23" t="s">
        <v>64</v>
      </c>
      <c r="C37" s="49">
        <f>AVERAGE('25.10 Katuna-Kabale 24hr'!C37,'26.10 Katuna-Kabale'!C37)</f>
        <v>2</v>
      </c>
      <c r="D37" s="49">
        <f>AVERAGE('25.10 Katuna-Kabale 24hr'!D37,'26.10 Katuna-Kabale'!D37)</f>
        <v>1</v>
      </c>
      <c r="E37" s="49">
        <f>AVERAGE('25.10 Katuna-Kabale 24hr'!E37,'26.10 Katuna-Kabale'!E37)</f>
        <v>0</v>
      </c>
      <c r="F37" s="49">
        <f>AVERAGE('25.10 Katuna-Kabale 24hr'!F37,'26.10 Katuna-Kabale'!F37)</f>
        <v>0</v>
      </c>
      <c r="G37" s="49">
        <f>AVERAGE('25.10 Katuna-Kabale 24hr'!G37,'26.10 Katuna-Kabale'!G37)</f>
        <v>0</v>
      </c>
      <c r="H37" s="49">
        <f>AVERAGE('25.10 Katuna-Kabale 24hr'!H37,'26.10 Katuna-Kabale'!H37)</f>
        <v>0</v>
      </c>
      <c r="I37" s="49">
        <f>AVERAGE('25.10 Katuna-Kabale 24hr'!I37,'26.10 Katuna-Kabale'!I37)</f>
        <v>0.5</v>
      </c>
      <c r="J37" s="49">
        <f>AVERAGE('25.10 Katuna-Kabale 24hr'!J37,'26.10 Katuna-Kabale'!J37)</f>
        <v>0</v>
      </c>
      <c r="K37" s="49">
        <f>AVERAGE('25.10 Katuna-Kabale 24hr'!K37,'26.10 Katuna-Kabale'!K37)</f>
        <v>0</v>
      </c>
      <c r="L37" s="49">
        <f>AVERAGE('25.10 Katuna-Kabale 24hr'!L37,'26.10 Katuna-Kabale'!L37)</f>
        <v>0</v>
      </c>
      <c r="M37" s="49">
        <f>AVERAGE('25.10 Katuna-Kabale 24hr'!M37,'26.10 Katuna-Kabale'!M37)</f>
        <v>5.5</v>
      </c>
      <c r="N37" s="49">
        <f>AVERAGE('25.10 Katuna-Kabale 24hr'!N37,'26.10 Katuna-Kabale'!N37)</f>
        <v>0</v>
      </c>
      <c r="O37" s="15">
        <f t="shared" si="0"/>
        <v>3.5</v>
      </c>
      <c r="P37" s="15">
        <f t="shared" si="1"/>
        <v>9</v>
      </c>
      <c r="R37" s="37" t="s">
        <v>85</v>
      </c>
      <c r="S37" s="53">
        <f t="shared" ref="S37:AF37" si="29">SUM(S10:S12)</f>
        <v>32</v>
      </c>
      <c r="T37" s="54">
        <f t="shared" si="29"/>
        <v>2.5</v>
      </c>
      <c r="U37" s="54">
        <f t="shared" si="29"/>
        <v>4</v>
      </c>
      <c r="V37" s="54">
        <f t="shared" si="29"/>
        <v>1</v>
      </c>
      <c r="W37" s="54">
        <f t="shared" si="29"/>
        <v>0</v>
      </c>
      <c r="X37" s="54">
        <f t="shared" si="29"/>
        <v>0</v>
      </c>
      <c r="Y37" s="54">
        <f t="shared" si="29"/>
        <v>6</v>
      </c>
      <c r="Z37" s="54">
        <f t="shared" si="29"/>
        <v>0</v>
      </c>
      <c r="AA37" s="54">
        <f t="shared" si="29"/>
        <v>0</v>
      </c>
      <c r="AB37" s="54">
        <f t="shared" si="29"/>
        <v>0</v>
      </c>
      <c r="AC37" s="54">
        <f t="shared" si="29"/>
        <v>50.5</v>
      </c>
      <c r="AD37" s="54">
        <f t="shared" si="29"/>
        <v>0</v>
      </c>
      <c r="AE37" s="55">
        <f t="shared" si="29"/>
        <v>45.5</v>
      </c>
      <c r="AF37" s="55">
        <f t="shared" si="29"/>
        <v>96</v>
      </c>
    </row>
    <row r="38" spans="2:32" ht="23.1" customHeight="1" x14ac:dyDescent="0.25">
      <c r="B38" s="24" t="s">
        <v>65</v>
      </c>
      <c r="C38" s="49">
        <f>AVERAGE('25.10 Katuna-Kabale 24hr'!C38,'26.10 Katuna-Kabale'!C38)</f>
        <v>2</v>
      </c>
      <c r="D38" s="49">
        <f>AVERAGE('25.10 Katuna-Kabale 24hr'!D38,'26.10 Katuna-Kabale'!D38)</f>
        <v>0</v>
      </c>
      <c r="E38" s="49">
        <f>AVERAGE('25.10 Katuna-Kabale 24hr'!E38,'26.10 Katuna-Kabale'!E38)</f>
        <v>1</v>
      </c>
      <c r="F38" s="49">
        <f>AVERAGE('25.10 Katuna-Kabale 24hr'!F38,'26.10 Katuna-Kabale'!F38)</f>
        <v>0</v>
      </c>
      <c r="G38" s="49">
        <f>AVERAGE('25.10 Katuna-Kabale 24hr'!G38,'26.10 Katuna-Kabale'!G38)</f>
        <v>0</v>
      </c>
      <c r="H38" s="49">
        <f>AVERAGE('25.10 Katuna-Kabale 24hr'!H38,'26.10 Katuna-Kabale'!H38)</f>
        <v>0</v>
      </c>
      <c r="I38" s="49">
        <f>AVERAGE('25.10 Katuna-Kabale 24hr'!I38,'26.10 Katuna-Kabale'!I38)</f>
        <v>1.5</v>
      </c>
      <c r="J38" s="49">
        <f>AVERAGE('25.10 Katuna-Kabale 24hr'!J38,'26.10 Katuna-Kabale'!J38)</f>
        <v>0.5</v>
      </c>
      <c r="K38" s="49">
        <f>AVERAGE('25.10 Katuna-Kabale 24hr'!K38,'26.10 Katuna-Kabale'!K38)</f>
        <v>0</v>
      </c>
      <c r="L38" s="49">
        <f>AVERAGE('25.10 Katuna-Kabale 24hr'!L38,'26.10 Katuna-Kabale'!L38)</f>
        <v>0</v>
      </c>
      <c r="M38" s="49">
        <f>AVERAGE('25.10 Katuna-Kabale 24hr'!M38,'26.10 Katuna-Kabale'!M38)</f>
        <v>6</v>
      </c>
      <c r="N38" s="49">
        <f>AVERAGE('25.10 Katuna-Kabale 24hr'!N38,'26.10 Katuna-Kabale'!N38)</f>
        <v>0</v>
      </c>
      <c r="O38" s="15">
        <f t="shared" si="0"/>
        <v>5</v>
      </c>
      <c r="P38" s="15">
        <f t="shared" si="1"/>
        <v>11</v>
      </c>
      <c r="R38" s="28" t="s">
        <v>86</v>
      </c>
      <c r="S38" s="54">
        <f t="shared" ref="S38:AF38" si="30">SUM(S13:S18)</f>
        <v>79.5</v>
      </c>
      <c r="T38" s="54">
        <f t="shared" si="30"/>
        <v>11.5</v>
      </c>
      <c r="U38" s="54">
        <f t="shared" si="30"/>
        <v>5</v>
      </c>
      <c r="V38" s="54">
        <f t="shared" si="30"/>
        <v>2.5</v>
      </c>
      <c r="W38" s="54">
        <f t="shared" si="30"/>
        <v>1.5</v>
      </c>
      <c r="X38" s="54">
        <f t="shared" si="30"/>
        <v>2</v>
      </c>
      <c r="Y38" s="54">
        <f t="shared" si="30"/>
        <v>17</v>
      </c>
      <c r="Z38" s="54">
        <f t="shared" si="30"/>
        <v>1.5</v>
      </c>
      <c r="AA38" s="54">
        <f t="shared" si="30"/>
        <v>0</v>
      </c>
      <c r="AB38" s="54">
        <f t="shared" si="30"/>
        <v>0</v>
      </c>
      <c r="AC38" s="54">
        <f t="shared" si="30"/>
        <v>132</v>
      </c>
      <c r="AD38" s="54">
        <f t="shared" si="30"/>
        <v>0</v>
      </c>
      <c r="AE38" s="55">
        <f t="shared" si="30"/>
        <v>120.5</v>
      </c>
      <c r="AF38" s="55">
        <f t="shared" si="30"/>
        <v>252.5</v>
      </c>
    </row>
    <row r="39" spans="2:32" ht="23.1" customHeight="1" x14ac:dyDescent="0.25">
      <c r="B39" s="24" t="s">
        <v>66</v>
      </c>
      <c r="C39" s="49">
        <f>AVERAGE('25.10 Katuna-Kabale 24hr'!C39,'26.10 Katuna-Kabale'!C39)</f>
        <v>2</v>
      </c>
      <c r="D39" s="49">
        <f>AVERAGE('25.10 Katuna-Kabale 24hr'!D39,'26.10 Katuna-Kabale'!D39)</f>
        <v>0.5</v>
      </c>
      <c r="E39" s="49">
        <f>AVERAGE('25.10 Katuna-Kabale 24hr'!E39,'26.10 Katuna-Kabale'!E39)</f>
        <v>0</v>
      </c>
      <c r="F39" s="49">
        <f>AVERAGE('25.10 Katuna-Kabale 24hr'!F39,'26.10 Katuna-Kabale'!F39)</f>
        <v>0</v>
      </c>
      <c r="G39" s="49">
        <f>AVERAGE('25.10 Katuna-Kabale 24hr'!G39,'26.10 Katuna-Kabale'!G39)</f>
        <v>0</v>
      </c>
      <c r="H39" s="49">
        <f>AVERAGE('25.10 Katuna-Kabale 24hr'!H39,'26.10 Katuna-Kabale'!H39)</f>
        <v>0</v>
      </c>
      <c r="I39" s="49">
        <f>AVERAGE('25.10 Katuna-Kabale 24hr'!I39,'26.10 Katuna-Kabale'!I39)</f>
        <v>0</v>
      </c>
      <c r="J39" s="49">
        <f>AVERAGE('25.10 Katuna-Kabale 24hr'!J39,'26.10 Katuna-Kabale'!J39)</f>
        <v>0</v>
      </c>
      <c r="K39" s="49">
        <f>AVERAGE('25.10 Katuna-Kabale 24hr'!K39,'26.10 Katuna-Kabale'!K39)</f>
        <v>0</v>
      </c>
      <c r="L39" s="49">
        <f>AVERAGE('25.10 Katuna-Kabale 24hr'!L39,'26.10 Katuna-Kabale'!L39)</f>
        <v>0</v>
      </c>
      <c r="M39" s="49">
        <f>AVERAGE('25.10 Katuna-Kabale 24hr'!M39,'26.10 Katuna-Kabale'!M39)</f>
        <v>5</v>
      </c>
      <c r="N39" s="49">
        <f>AVERAGE('25.10 Katuna-Kabale 24hr'!N39,'26.10 Katuna-Kabale'!N39)</f>
        <v>0</v>
      </c>
      <c r="O39" s="15">
        <f t="shared" si="0"/>
        <v>2.5</v>
      </c>
      <c r="P39" s="15">
        <f t="shared" si="1"/>
        <v>7.5</v>
      </c>
      <c r="R39" s="29" t="s">
        <v>87</v>
      </c>
      <c r="S39" s="54">
        <f t="shared" ref="S39:AF39" si="31">SUM(S19:S21)</f>
        <v>39</v>
      </c>
      <c r="T39" s="54">
        <f t="shared" si="31"/>
        <v>9</v>
      </c>
      <c r="U39" s="54">
        <f t="shared" si="31"/>
        <v>4</v>
      </c>
      <c r="V39" s="54">
        <f t="shared" si="31"/>
        <v>1.5</v>
      </c>
      <c r="W39" s="54">
        <f t="shared" si="31"/>
        <v>0</v>
      </c>
      <c r="X39" s="54">
        <f t="shared" si="31"/>
        <v>0.5</v>
      </c>
      <c r="Y39" s="54">
        <f t="shared" si="31"/>
        <v>7.5</v>
      </c>
      <c r="Z39" s="54">
        <f t="shared" si="31"/>
        <v>0</v>
      </c>
      <c r="AA39" s="54">
        <f t="shared" si="31"/>
        <v>0</v>
      </c>
      <c r="AB39" s="54">
        <f t="shared" si="31"/>
        <v>0</v>
      </c>
      <c r="AC39" s="54">
        <f t="shared" si="31"/>
        <v>81.5</v>
      </c>
      <c r="AD39" s="54">
        <f t="shared" si="31"/>
        <v>0</v>
      </c>
      <c r="AE39" s="55">
        <f t="shared" si="31"/>
        <v>61.5</v>
      </c>
      <c r="AF39" s="55">
        <f t="shared" si="31"/>
        <v>143</v>
      </c>
    </row>
    <row r="40" spans="2:32" ht="23.1" customHeight="1" x14ac:dyDescent="0.25">
      <c r="B40" s="24" t="s">
        <v>67</v>
      </c>
      <c r="C40" s="49">
        <f>AVERAGE('25.10 Katuna-Kabale 24hr'!C40,'26.10 Katuna-Kabale'!C40)</f>
        <v>3.5</v>
      </c>
      <c r="D40" s="49">
        <f>AVERAGE('25.10 Katuna-Kabale 24hr'!D40,'26.10 Katuna-Kabale'!D40)</f>
        <v>0</v>
      </c>
      <c r="E40" s="49">
        <f>AVERAGE('25.10 Katuna-Kabale 24hr'!E40,'26.10 Katuna-Kabale'!E40)</f>
        <v>0</v>
      </c>
      <c r="F40" s="49">
        <f>AVERAGE('25.10 Katuna-Kabale 24hr'!F40,'26.10 Katuna-Kabale'!F40)</f>
        <v>0</v>
      </c>
      <c r="G40" s="49">
        <f>AVERAGE('25.10 Katuna-Kabale 24hr'!G40,'26.10 Katuna-Kabale'!G40)</f>
        <v>0</v>
      </c>
      <c r="H40" s="49">
        <f>AVERAGE('25.10 Katuna-Kabale 24hr'!H40,'26.10 Katuna-Kabale'!H40)</f>
        <v>0</v>
      </c>
      <c r="I40" s="49">
        <f>AVERAGE('25.10 Katuna-Kabale 24hr'!I40,'26.10 Katuna-Kabale'!I40)</f>
        <v>0</v>
      </c>
      <c r="J40" s="49">
        <f>AVERAGE('25.10 Katuna-Kabale 24hr'!J40,'26.10 Katuna-Kabale'!J40)</f>
        <v>0</v>
      </c>
      <c r="K40" s="49">
        <f>AVERAGE('25.10 Katuna-Kabale 24hr'!K40,'26.10 Katuna-Kabale'!K40)</f>
        <v>0</v>
      </c>
      <c r="L40" s="49">
        <f>AVERAGE('25.10 Katuna-Kabale 24hr'!L40,'26.10 Katuna-Kabale'!L40)</f>
        <v>0</v>
      </c>
      <c r="M40" s="49">
        <f>AVERAGE('25.10 Katuna-Kabale 24hr'!M40,'26.10 Katuna-Kabale'!M40)</f>
        <v>6.5</v>
      </c>
      <c r="N40" s="49">
        <f>AVERAGE('25.10 Katuna-Kabale 24hr'!N40,'26.10 Katuna-Kabale'!N40)</f>
        <v>0</v>
      </c>
      <c r="O40" s="15">
        <f t="shared" si="0"/>
        <v>3.5</v>
      </c>
      <c r="P40" s="15">
        <f t="shared" si="1"/>
        <v>10</v>
      </c>
      <c r="R40" s="5" t="s">
        <v>17</v>
      </c>
      <c r="S40" s="54">
        <f t="shared" ref="S40:AF40" si="32">SUM(S10:S21)</f>
        <v>150.5</v>
      </c>
      <c r="T40" s="54">
        <f t="shared" si="32"/>
        <v>23</v>
      </c>
      <c r="U40" s="54">
        <f t="shared" si="32"/>
        <v>13</v>
      </c>
      <c r="V40" s="54">
        <f t="shared" si="32"/>
        <v>5</v>
      </c>
      <c r="W40" s="54">
        <f t="shared" si="32"/>
        <v>1.5</v>
      </c>
      <c r="X40" s="54">
        <f t="shared" si="32"/>
        <v>2.5</v>
      </c>
      <c r="Y40" s="54">
        <f t="shared" si="32"/>
        <v>30.5</v>
      </c>
      <c r="Z40" s="54">
        <f t="shared" si="32"/>
        <v>1.5</v>
      </c>
      <c r="AA40" s="54">
        <f t="shared" si="32"/>
        <v>0</v>
      </c>
      <c r="AB40" s="54">
        <f t="shared" si="32"/>
        <v>0</v>
      </c>
      <c r="AC40" s="54">
        <f t="shared" si="32"/>
        <v>264</v>
      </c>
      <c r="AD40" s="54">
        <f t="shared" si="32"/>
        <v>0</v>
      </c>
      <c r="AE40" s="55">
        <f t="shared" si="32"/>
        <v>227.5</v>
      </c>
      <c r="AF40" s="55">
        <f t="shared" si="32"/>
        <v>491.5</v>
      </c>
    </row>
    <row r="41" spans="2:32" ht="23.1" customHeight="1" x14ac:dyDescent="0.25">
      <c r="B41" s="23" t="s">
        <v>68</v>
      </c>
      <c r="C41" s="49">
        <f>AVERAGE('25.10 Katuna-Kabale 24hr'!C41,'26.10 Katuna-Kabale'!C41)</f>
        <v>1</v>
      </c>
      <c r="D41" s="49">
        <f>AVERAGE('25.10 Katuna-Kabale 24hr'!D41,'26.10 Katuna-Kabale'!D41)</f>
        <v>0</v>
      </c>
      <c r="E41" s="49">
        <f>AVERAGE('25.10 Katuna-Kabale 24hr'!E41,'26.10 Katuna-Kabale'!E41)</f>
        <v>0</v>
      </c>
      <c r="F41" s="49">
        <f>AVERAGE('25.10 Katuna-Kabale 24hr'!F41,'26.10 Katuna-Kabale'!F41)</f>
        <v>0</v>
      </c>
      <c r="G41" s="49">
        <f>AVERAGE('25.10 Katuna-Kabale 24hr'!G41,'26.10 Katuna-Kabale'!G41)</f>
        <v>0</v>
      </c>
      <c r="H41" s="49">
        <f>AVERAGE('25.10 Katuna-Kabale 24hr'!H41,'26.10 Katuna-Kabale'!H41)</f>
        <v>0</v>
      </c>
      <c r="I41" s="49">
        <f>AVERAGE('25.10 Katuna-Kabale 24hr'!I41,'26.10 Katuna-Kabale'!I41)</f>
        <v>0.5</v>
      </c>
      <c r="J41" s="49">
        <f>AVERAGE('25.10 Katuna-Kabale 24hr'!J41,'26.10 Katuna-Kabale'!J41)</f>
        <v>0</v>
      </c>
      <c r="K41" s="49">
        <f>AVERAGE('25.10 Katuna-Kabale 24hr'!K41,'26.10 Katuna-Kabale'!K41)</f>
        <v>0</v>
      </c>
      <c r="L41" s="49">
        <f>AVERAGE('25.10 Katuna-Kabale 24hr'!L41,'26.10 Katuna-Kabale'!L41)</f>
        <v>0</v>
      </c>
      <c r="M41" s="49">
        <f>AVERAGE('25.10 Katuna-Kabale 24hr'!M41,'26.10 Katuna-Kabale'!M41)</f>
        <v>3.5</v>
      </c>
      <c r="N41" s="49">
        <f>AVERAGE('25.10 Katuna-Kabale 24hr'!N41,'26.10 Katuna-Kabale'!N41)</f>
        <v>0</v>
      </c>
      <c r="O41" s="15">
        <f t="shared" si="0"/>
        <v>1.5</v>
      </c>
      <c r="P41" s="15">
        <f t="shared" si="1"/>
        <v>5</v>
      </c>
      <c r="R41" s="5" t="s">
        <v>180</v>
      </c>
      <c r="S41" s="54">
        <f>SUM(S10:S33)</f>
        <v>224.5</v>
      </c>
      <c r="T41" s="54">
        <f t="shared" ref="T41:AD41" si="33">SUM(T10:T33)</f>
        <v>55</v>
      </c>
      <c r="U41" s="54">
        <f t="shared" si="33"/>
        <v>34</v>
      </c>
      <c r="V41" s="54">
        <f t="shared" si="33"/>
        <v>17</v>
      </c>
      <c r="W41" s="54">
        <f t="shared" si="33"/>
        <v>7.5</v>
      </c>
      <c r="X41" s="54">
        <f t="shared" si="33"/>
        <v>3.5</v>
      </c>
      <c r="Y41" s="54">
        <f t="shared" si="33"/>
        <v>54.5</v>
      </c>
      <c r="Z41" s="54">
        <f t="shared" si="33"/>
        <v>3.5</v>
      </c>
      <c r="AA41" s="54">
        <f t="shared" si="33"/>
        <v>0</v>
      </c>
      <c r="AB41" s="54">
        <f t="shared" si="33"/>
        <v>0</v>
      </c>
      <c r="AC41" s="54">
        <f t="shared" si="33"/>
        <v>352</v>
      </c>
      <c r="AD41" s="54">
        <f t="shared" si="33"/>
        <v>0</v>
      </c>
      <c r="AE41" s="55">
        <f>SUM(AE10:AE33)</f>
        <v>399.5</v>
      </c>
      <c r="AF41" s="55">
        <f>SUM(AF10:AF33)</f>
        <v>751.5</v>
      </c>
    </row>
    <row r="42" spans="2:32" ht="23.1" customHeight="1" x14ac:dyDescent="0.25">
      <c r="B42" s="24" t="s">
        <v>69</v>
      </c>
      <c r="C42" s="49">
        <f>AVERAGE('25.10 Katuna-Kabale 24hr'!C42,'26.10 Katuna-Kabale'!C42)</f>
        <v>3.5</v>
      </c>
      <c r="D42" s="49">
        <f>AVERAGE('25.10 Katuna-Kabale 24hr'!D42,'26.10 Katuna-Kabale'!D42)</f>
        <v>0.5</v>
      </c>
      <c r="E42" s="49">
        <f>AVERAGE('25.10 Katuna-Kabale 24hr'!E42,'26.10 Katuna-Kabale'!E42)</f>
        <v>0.5</v>
      </c>
      <c r="F42" s="49">
        <f>AVERAGE('25.10 Katuna-Kabale 24hr'!F42,'26.10 Katuna-Kabale'!F42)</f>
        <v>0</v>
      </c>
      <c r="G42" s="49">
        <f>AVERAGE('25.10 Katuna-Kabale 24hr'!G42,'26.10 Katuna-Kabale'!G42)</f>
        <v>0</v>
      </c>
      <c r="H42" s="49">
        <f>AVERAGE('25.10 Katuna-Kabale 24hr'!H42,'26.10 Katuna-Kabale'!H42)</f>
        <v>0</v>
      </c>
      <c r="I42" s="49">
        <f>AVERAGE('25.10 Katuna-Kabale 24hr'!I42,'26.10 Katuna-Kabale'!I42)</f>
        <v>1.5</v>
      </c>
      <c r="J42" s="49">
        <f>AVERAGE('25.10 Katuna-Kabale 24hr'!J42,'26.10 Katuna-Kabale'!J42)</f>
        <v>0.5</v>
      </c>
      <c r="K42" s="49">
        <f>AVERAGE('25.10 Katuna-Kabale 24hr'!K42,'26.10 Katuna-Kabale'!K42)</f>
        <v>0</v>
      </c>
      <c r="L42" s="49">
        <f>AVERAGE('25.10 Katuna-Kabale 24hr'!L42,'26.10 Katuna-Kabale'!L42)</f>
        <v>0</v>
      </c>
      <c r="M42" s="49">
        <f>AVERAGE('25.10 Katuna-Kabale 24hr'!M42,'26.10 Katuna-Kabale'!M42)</f>
        <v>4.5</v>
      </c>
      <c r="N42" s="49">
        <f>AVERAGE('25.10 Katuna-Kabale 24hr'!N42,'26.10 Katuna-Kabale'!N42)</f>
        <v>0</v>
      </c>
      <c r="O42" s="15">
        <f t="shared" si="0"/>
        <v>6.5</v>
      </c>
      <c r="P42" s="15">
        <f t="shared" si="1"/>
        <v>11</v>
      </c>
      <c r="R42" s="5" t="s">
        <v>160</v>
      </c>
      <c r="S42" s="48">
        <f>S41/S40</f>
        <v>1.4916943521594683</v>
      </c>
      <c r="T42" s="48">
        <f t="shared" ref="T42:AF42" si="34">T41/T40</f>
        <v>2.3913043478260869</v>
      </c>
      <c r="U42" s="48">
        <f t="shared" si="34"/>
        <v>2.6153846153846154</v>
      </c>
      <c r="V42" s="48">
        <f t="shared" si="34"/>
        <v>3.4</v>
      </c>
      <c r="W42" s="48">
        <f t="shared" si="34"/>
        <v>5</v>
      </c>
      <c r="X42" s="48">
        <f t="shared" si="34"/>
        <v>1.4</v>
      </c>
      <c r="Y42" s="48">
        <f t="shared" si="34"/>
        <v>1.7868852459016393</v>
      </c>
      <c r="Z42" s="48">
        <f t="shared" si="34"/>
        <v>2.3333333333333335</v>
      </c>
      <c r="AA42" s="48">
        <v>0</v>
      </c>
      <c r="AB42" s="48">
        <v>0</v>
      </c>
      <c r="AC42" s="48">
        <f t="shared" si="34"/>
        <v>1.3333333333333333</v>
      </c>
      <c r="AD42" s="48">
        <v>0</v>
      </c>
      <c r="AE42" s="56">
        <f t="shared" si="34"/>
        <v>1.756043956043956</v>
      </c>
      <c r="AF42" s="56">
        <f t="shared" si="34"/>
        <v>1.5289928789420142</v>
      </c>
    </row>
    <row r="43" spans="2:32" ht="23.1" customHeight="1" x14ac:dyDescent="0.25">
      <c r="B43" s="23" t="s">
        <v>70</v>
      </c>
      <c r="C43" s="49">
        <f>AVERAGE('25.10 Katuna-Kabale 24hr'!C43,'26.10 Katuna-Kabale'!C43)</f>
        <v>1</v>
      </c>
      <c r="D43" s="49">
        <f>AVERAGE('25.10 Katuna-Kabale 24hr'!D43,'26.10 Katuna-Kabale'!D43)</f>
        <v>0</v>
      </c>
      <c r="E43" s="49">
        <f>AVERAGE('25.10 Katuna-Kabale 24hr'!E43,'26.10 Katuna-Kabale'!E43)</f>
        <v>0</v>
      </c>
      <c r="F43" s="49">
        <f>AVERAGE('25.10 Katuna-Kabale 24hr'!F43,'26.10 Katuna-Kabale'!F43)</f>
        <v>1</v>
      </c>
      <c r="G43" s="49">
        <f>AVERAGE('25.10 Katuna-Kabale 24hr'!G43,'26.10 Katuna-Kabale'!G43)</f>
        <v>0</v>
      </c>
      <c r="H43" s="49">
        <f>AVERAGE('25.10 Katuna-Kabale 24hr'!H43,'26.10 Katuna-Kabale'!H43)</f>
        <v>0.5</v>
      </c>
      <c r="I43" s="49">
        <f>AVERAGE('25.10 Katuna-Kabale 24hr'!I43,'26.10 Katuna-Kabale'!I43)</f>
        <v>1.5</v>
      </c>
      <c r="J43" s="49">
        <f>AVERAGE('25.10 Katuna-Kabale 24hr'!J43,'26.10 Katuna-Kabale'!J43)</f>
        <v>0</v>
      </c>
      <c r="K43" s="49">
        <f>AVERAGE('25.10 Katuna-Kabale 24hr'!K43,'26.10 Katuna-Kabale'!K43)</f>
        <v>0</v>
      </c>
      <c r="L43" s="49">
        <f>AVERAGE('25.10 Katuna-Kabale 24hr'!L43,'26.10 Katuna-Kabale'!L43)</f>
        <v>0</v>
      </c>
      <c r="M43" s="49">
        <f>AVERAGE('25.10 Katuna-Kabale 24hr'!M43,'26.10 Katuna-Kabale'!M43)</f>
        <v>3.5</v>
      </c>
      <c r="N43" s="49">
        <f>AVERAGE('25.10 Katuna-Kabale 24hr'!N43,'26.10 Katuna-Kabale'!N43)</f>
        <v>0</v>
      </c>
      <c r="O43" s="15">
        <f t="shared" si="0"/>
        <v>4</v>
      </c>
      <c r="P43" s="15">
        <f t="shared" si="1"/>
        <v>7.5</v>
      </c>
    </row>
    <row r="44" spans="2:32" ht="23.1" customHeight="1" x14ac:dyDescent="0.25">
      <c r="B44" s="25" t="s">
        <v>71</v>
      </c>
      <c r="C44" s="49">
        <f>AVERAGE('25.10 Katuna-Kabale 24hr'!C44,'26.10 Katuna-Kabale'!C44)</f>
        <v>2.5</v>
      </c>
      <c r="D44" s="49">
        <f>AVERAGE('25.10 Katuna-Kabale 24hr'!D44,'26.10 Katuna-Kabale'!D44)</f>
        <v>0.5</v>
      </c>
      <c r="E44" s="49">
        <f>AVERAGE('25.10 Katuna-Kabale 24hr'!E44,'26.10 Katuna-Kabale'!E44)</f>
        <v>1</v>
      </c>
      <c r="F44" s="49">
        <f>AVERAGE('25.10 Katuna-Kabale 24hr'!F44,'26.10 Katuna-Kabale'!F44)</f>
        <v>0</v>
      </c>
      <c r="G44" s="49">
        <f>AVERAGE('25.10 Katuna-Kabale 24hr'!G44,'26.10 Katuna-Kabale'!G44)</f>
        <v>0</v>
      </c>
      <c r="H44" s="49">
        <f>AVERAGE('25.10 Katuna-Kabale 24hr'!H44,'26.10 Katuna-Kabale'!H44)</f>
        <v>0</v>
      </c>
      <c r="I44" s="49">
        <f>AVERAGE('25.10 Katuna-Kabale 24hr'!I44,'26.10 Katuna-Kabale'!I44)</f>
        <v>0</v>
      </c>
      <c r="J44" s="49">
        <f>AVERAGE('25.10 Katuna-Kabale 24hr'!J44,'26.10 Katuna-Kabale'!J44)</f>
        <v>0</v>
      </c>
      <c r="K44" s="49">
        <f>AVERAGE('25.10 Katuna-Kabale 24hr'!K44,'26.10 Katuna-Kabale'!K44)</f>
        <v>0</v>
      </c>
      <c r="L44" s="49">
        <f>AVERAGE('25.10 Katuna-Kabale 24hr'!L44,'26.10 Katuna-Kabale'!L44)</f>
        <v>0</v>
      </c>
      <c r="M44" s="49">
        <f>AVERAGE('25.10 Katuna-Kabale 24hr'!M44,'26.10 Katuna-Kabale'!M44)</f>
        <v>1.5</v>
      </c>
      <c r="N44" s="49">
        <f>AVERAGE('25.10 Katuna-Kabale 24hr'!N44,'26.10 Katuna-Kabale'!N44)</f>
        <v>0</v>
      </c>
      <c r="O44" s="15">
        <f t="shared" si="0"/>
        <v>4</v>
      </c>
      <c r="P44" s="15">
        <f t="shared" si="1"/>
        <v>5.5</v>
      </c>
    </row>
    <row r="45" spans="2:32" ht="23.1" customHeight="1" x14ac:dyDescent="0.25">
      <c r="B45" s="23" t="s">
        <v>72</v>
      </c>
      <c r="C45" s="49">
        <f>AVERAGE('25.10 Katuna-Kabale 24hr'!C45,'26.10 Katuna-Kabale'!C45)</f>
        <v>3.5</v>
      </c>
      <c r="D45" s="49">
        <f>AVERAGE('25.10 Katuna-Kabale 24hr'!D45,'26.10 Katuna-Kabale'!D45)</f>
        <v>0</v>
      </c>
      <c r="E45" s="49">
        <f>AVERAGE('25.10 Katuna-Kabale 24hr'!E45,'26.10 Katuna-Kabale'!E45)</f>
        <v>0.5</v>
      </c>
      <c r="F45" s="49">
        <f>AVERAGE('25.10 Katuna-Kabale 24hr'!F45,'26.10 Katuna-Kabale'!F45)</f>
        <v>0</v>
      </c>
      <c r="G45" s="49">
        <f>AVERAGE('25.10 Katuna-Kabale 24hr'!G45,'26.10 Katuna-Kabale'!G45)</f>
        <v>0</v>
      </c>
      <c r="H45" s="49">
        <f>AVERAGE('25.10 Katuna-Kabale 24hr'!H45,'26.10 Katuna-Kabale'!H45)</f>
        <v>0</v>
      </c>
      <c r="I45" s="49">
        <f>AVERAGE('25.10 Katuna-Kabale 24hr'!I45,'26.10 Katuna-Kabale'!I45)</f>
        <v>1</v>
      </c>
      <c r="J45" s="49">
        <f>AVERAGE('25.10 Katuna-Kabale 24hr'!J45,'26.10 Katuna-Kabale'!J45)</f>
        <v>0.5</v>
      </c>
      <c r="K45" s="49">
        <f>AVERAGE('25.10 Katuna-Kabale 24hr'!K45,'26.10 Katuna-Kabale'!K45)</f>
        <v>0</v>
      </c>
      <c r="L45" s="49">
        <f>AVERAGE('25.10 Katuna-Kabale 24hr'!L45,'26.10 Katuna-Kabale'!L45)</f>
        <v>0</v>
      </c>
      <c r="M45" s="49">
        <f>AVERAGE('25.10 Katuna-Kabale 24hr'!M45,'26.10 Katuna-Kabale'!M45)</f>
        <v>6.5</v>
      </c>
      <c r="N45" s="49">
        <f>AVERAGE('25.10 Katuna-Kabale 24hr'!N45,'26.10 Katuna-Kabale'!N45)</f>
        <v>0</v>
      </c>
      <c r="O45" s="15">
        <f t="shared" si="0"/>
        <v>5.5</v>
      </c>
      <c r="P45" s="15">
        <f t="shared" si="1"/>
        <v>12</v>
      </c>
    </row>
    <row r="46" spans="2:32" ht="23.1" customHeight="1" x14ac:dyDescent="0.25">
      <c r="B46" s="24" t="s">
        <v>73</v>
      </c>
      <c r="C46" s="49">
        <f>AVERAGE('25.10 Katuna-Kabale 24hr'!C46,'26.10 Katuna-Kabale'!C46)</f>
        <v>1.5</v>
      </c>
      <c r="D46" s="49">
        <f>AVERAGE('25.10 Katuna-Kabale 24hr'!D46,'26.10 Katuna-Kabale'!D46)</f>
        <v>0</v>
      </c>
      <c r="E46" s="49">
        <f>AVERAGE('25.10 Katuna-Kabale 24hr'!E46,'26.10 Katuna-Kabale'!E46)</f>
        <v>0</v>
      </c>
      <c r="F46" s="49">
        <f>AVERAGE('25.10 Katuna-Kabale 24hr'!F46,'26.10 Katuna-Kabale'!F46)</f>
        <v>0</v>
      </c>
      <c r="G46" s="49">
        <f>AVERAGE('25.10 Katuna-Kabale 24hr'!G46,'26.10 Katuna-Kabale'!G46)</f>
        <v>0</v>
      </c>
      <c r="H46" s="49">
        <f>AVERAGE('25.10 Katuna-Kabale 24hr'!H46,'26.10 Katuna-Kabale'!H46)</f>
        <v>0</v>
      </c>
      <c r="I46" s="49">
        <f>AVERAGE('25.10 Katuna-Kabale 24hr'!I46,'26.10 Katuna-Kabale'!I46)</f>
        <v>0</v>
      </c>
      <c r="J46" s="49">
        <f>AVERAGE('25.10 Katuna-Kabale 24hr'!J46,'26.10 Katuna-Kabale'!J46)</f>
        <v>0</v>
      </c>
      <c r="K46" s="49">
        <f>AVERAGE('25.10 Katuna-Kabale 24hr'!K46,'26.10 Katuna-Kabale'!K46)</f>
        <v>0</v>
      </c>
      <c r="L46" s="49">
        <f>AVERAGE('25.10 Katuna-Kabale 24hr'!L46,'26.10 Katuna-Kabale'!L46)</f>
        <v>0</v>
      </c>
      <c r="M46" s="49">
        <f>AVERAGE('25.10 Katuna-Kabale 24hr'!M46,'26.10 Katuna-Kabale'!M46)</f>
        <v>6</v>
      </c>
      <c r="N46" s="49">
        <f>AVERAGE('25.10 Katuna-Kabale 24hr'!N46,'26.10 Katuna-Kabale'!N46)</f>
        <v>0</v>
      </c>
      <c r="O46" s="15">
        <f t="shared" si="0"/>
        <v>1.5</v>
      </c>
      <c r="P46" s="15">
        <f t="shared" si="1"/>
        <v>7.5</v>
      </c>
      <c r="R46" s="8"/>
      <c r="T46"/>
    </row>
    <row r="47" spans="2:32" ht="23.1" customHeight="1" x14ac:dyDescent="0.25">
      <c r="B47" s="24" t="s">
        <v>74</v>
      </c>
      <c r="C47" s="49">
        <f>AVERAGE('25.10 Katuna-Kabale 24hr'!C47,'26.10 Katuna-Kabale'!C47)</f>
        <v>2</v>
      </c>
      <c r="D47" s="49">
        <f>AVERAGE('25.10 Katuna-Kabale 24hr'!D47,'26.10 Katuna-Kabale'!D47)</f>
        <v>0</v>
      </c>
      <c r="E47" s="49">
        <f>AVERAGE('25.10 Katuna-Kabale 24hr'!E47,'26.10 Katuna-Kabale'!E47)</f>
        <v>1</v>
      </c>
      <c r="F47" s="49">
        <f>AVERAGE('25.10 Katuna-Kabale 24hr'!F47,'26.10 Katuna-Kabale'!F47)</f>
        <v>0</v>
      </c>
      <c r="G47" s="49">
        <f>AVERAGE('25.10 Katuna-Kabale 24hr'!G47,'26.10 Katuna-Kabale'!G47)</f>
        <v>0</v>
      </c>
      <c r="H47" s="49">
        <f>AVERAGE('25.10 Katuna-Kabale 24hr'!H47,'26.10 Katuna-Kabale'!H47)</f>
        <v>0</v>
      </c>
      <c r="I47" s="49">
        <f>AVERAGE('25.10 Katuna-Kabale 24hr'!I47,'26.10 Katuna-Kabale'!I47)</f>
        <v>0</v>
      </c>
      <c r="J47" s="49">
        <f>AVERAGE('25.10 Katuna-Kabale 24hr'!J47,'26.10 Katuna-Kabale'!J47)</f>
        <v>0</v>
      </c>
      <c r="K47" s="49">
        <f>AVERAGE('25.10 Katuna-Kabale 24hr'!K47,'26.10 Katuna-Kabale'!K47)</f>
        <v>0</v>
      </c>
      <c r="L47" s="49">
        <f>AVERAGE('25.10 Katuna-Kabale 24hr'!L47,'26.10 Katuna-Kabale'!L47)</f>
        <v>0</v>
      </c>
      <c r="M47" s="49">
        <f>AVERAGE('25.10 Katuna-Kabale 24hr'!M47,'26.10 Katuna-Kabale'!M47)</f>
        <v>4</v>
      </c>
      <c r="N47" s="49">
        <f>AVERAGE('25.10 Katuna-Kabale 24hr'!N47,'26.10 Katuna-Kabale'!N47)</f>
        <v>0</v>
      </c>
      <c r="O47" s="15">
        <f t="shared" si="0"/>
        <v>3</v>
      </c>
      <c r="P47" s="15">
        <f t="shared" si="1"/>
        <v>7</v>
      </c>
      <c r="R47" s="8"/>
      <c r="T47"/>
    </row>
    <row r="48" spans="2:32" ht="23.1" customHeight="1" x14ac:dyDescent="0.25">
      <c r="B48" s="24" t="s">
        <v>75</v>
      </c>
      <c r="C48" s="49">
        <f>AVERAGE('25.10 Katuna-Kabale 24hr'!C48,'26.10 Katuna-Kabale'!C48)</f>
        <v>2</v>
      </c>
      <c r="D48" s="49">
        <f>AVERAGE('25.10 Katuna-Kabale 24hr'!D48,'26.10 Katuna-Kabale'!D48)</f>
        <v>0</v>
      </c>
      <c r="E48" s="49">
        <f>AVERAGE('25.10 Katuna-Kabale 24hr'!E48,'26.10 Katuna-Kabale'!E48)</f>
        <v>0.5</v>
      </c>
      <c r="F48" s="49">
        <f>AVERAGE('25.10 Katuna-Kabale 24hr'!F48,'26.10 Katuna-Kabale'!F48)</f>
        <v>0</v>
      </c>
      <c r="G48" s="49">
        <f>AVERAGE('25.10 Katuna-Kabale 24hr'!G48,'26.10 Katuna-Kabale'!G48)</f>
        <v>0</v>
      </c>
      <c r="H48" s="49">
        <f>AVERAGE('25.10 Katuna-Kabale 24hr'!H48,'26.10 Katuna-Kabale'!H48)</f>
        <v>0.5</v>
      </c>
      <c r="I48" s="49">
        <f>AVERAGE('25.10 Katuna-Kabale 24hr'!I48,'26.10 Katuna-Kabale'!I48)</f>
        <v>0.5</v>
      </c>
      <c r="J48" s="49">
        <f>AVERAGE('25.10 Katuna-Kabale 24hr'!J48,'26.10 Katuna-Kabale'!J48)</f>
        <v>0</v>
      </c>
      <c r="K48" s="49">
        <f>AVERAGE('25.10 Katuna-Kabale 24hr'!K48,'26.10 Katuna-Kabale'!K48)</f>
        <v>0</v>
      </c>
      <c r="L48" s="49">
        <f>AVERAGE('25.10 Katuna-Kabale 24hr'!L48,'26.10 Katuna-Kabale'!L48)</f>
        <v>0</v>
      </c>
      <c r="M48" s="49">
        <f>AVERAGE('25.10 Katuna-Kabale 24hr'!M48,'26.10 Katuna-Kabale'!M48)</f>
        <v>6</v>
      </c>
      <c r="N48" s="49">
        <f>AVERAGE('25.10 Katuna-Kabale 24hr'!N48,'26.10 Katuna-Kabale'!N48)</f>
        <v>0</v>
      </c>
      <c r="O48" s="15">
        <f t="shared" si="0"/>
        <v>3.5</v>
      </c>
      <c r="P48" s="15">
        <f t="shared" si="1"/>
        <v>9.5</v>
      </c>
      <c r="R48" s="8"/>
      <c r="T48"/>
    </row>
    <row r="49" spans="2:20" ht="23.1" customHeight="1" x14ac:dyDescent="0.25">
      <c r="B49" s="23" t="s">
        <v>76</v>
      </c>
      <c r="C49" s="49">
        <f>AVERAGE('25.10 Katuna-Kabale 24hr'!C49,'26.10 Katuna-Kabale'!C49)</f>
        <v>2</v>
      </c>
      <c r="D49" s="49">
        <f>AVERAGE('25.10 Katuna-Kabale 24hr'!D49,'26.10 Katuna-Kabale'!D49)</f>
        <v>0.5</v>
      </c>
      <c r="E49" s="49">
        <f>AVERAGE('25.10 Katuna-Kabale 24hr'!E49,'26.10 Katuna-Kabale'!E49)</f>
        <v>0</v>
      </c>
      <c r="F49" s="49">
        <f>AVERAGE('25.10 Katuna-Kabale 24hr'!F49,'26.10 Katuna-Kabale'!F49)</f>
        <v>0.5</v>
      </c>
      <c r="G49" s="49">
        <f>AVERAGE('25.10 Katuna-Kabale 24hr'!G49,'26.10 Katuna-Kabale'!G49)</f>
        <v>0</v>
      </c>
      <c r="H49" s="49">
        <f>AVERAGE('25.10 Katuna-Kabale 24hr'!H49,'26.10 Katuna-Kabale'!H49)</f>
        <v>0</v>
      </c>
      <c r="I49" s="49">
        <f>AVERAGE('25.10 Katuna-Kabale 24hr'!I49,'26.10 Katuna-Kabale'!I49)</f>
        <v>0</v>
      </c>
      <c r="J49" s="49">
        <f>AVERAGE('25.10 Katuna-Kabale 24hr'!J49,'26.10 Katuna-Kabale'!J49)</f>
        <v>0</v>
      </c>
      <c r="K49" s="49">
        <f>AVERAGE('25.10 Katuna-Kabale 24hr'!K49,'26.10 Katuna-Kabale'!K49)</f>
        <v>0</v>
      </c>
      <c r="L49" s="49">
        <f>AVERAGE('25.10 Katuna-Kabale 24hr'!L49,'26.10 Katuna-Kabale'!L49)</f>
        <v>0</v>
      </c>
      <c r="M49" s="49">
        <f>AVERAGE('25.10 Katuna-Kabale 24hr'!M49,'26.10 Katuna-Kabale'!M49)</f>
        <v>8</v>
      </c>
      <c r="N49" s="49">
        <f>AVERAGE('25.10 Katuna-Kabale 24hr'!N49,'26.10 Katuna-Kabale'!N49)</f>
        <v>0</v>
      </c>
      <c r="O49" s="15">
        <f t="shared" si="0"/>
        <v>3</v>
      </c>
      <c r="P49" s="15">
        <f t="shared" si="1"/>
        <v>11</v>
      </c>
      <c r="R49" s="8"/>
      <c r="T49"/>
    </row>
    <row r="50" spans="2:20" ht="23.1" customHeight="1" x14ac:dyDescent="0.25">
      <c r="B50" s="24" t="s">
        <v>77</v>
      </c>
      <c r="C50" s="49">
        <f>AVERAGE('25.10 Katuna-Kabale 24hr'!C50,'26.10 Katuna-Kabale'!C50)</f>
        <v>2.5</v>
      </c>
      <c r="D50" s="49">
        <f>AVERAGE('25.10 Katuna-Kabale 24hr'!D50,'26.10 Katuna-Kabale'!D50)</f>
        <v>1</v>
      </c>
      <c r="E50" s="49">
        <f>AVERAGE('25.10 Katuna-Kabale 24hr'!E50,'26.10 Katuna-Kabale'!E50)</f>
        <v>0</v>
      </c>
      <c r="F50" s="49">
        <f>AVERAGE('25.10 Katuna-Kabale 24hr'!F50,'26.10 Katuna-Kabale'!F50)</f>
        <v>0</v>
      </c>
      <c r="G50" s="49">
        <f>AVERAGE('25.10 Katuna-Kabale 24hr'!G50,'26.10 Katuna-Kabale'!G50)</f>
        <v>0</v>
      </c>
      <c r="H50" s="49">
        <f>AVERAGE('25.10 Katuna-Kabale 24hr'!H50,'26.10 Katuna-Kabale'!H50)</f>
        <v>0</v>
      </c>
      <c r="I50" s="49">
        <f>AVERAGE('25.10 Katuna-Kabale 24hr'!I50,'26.10 Katuna-Kabale'!I50)</f>
        <v>0</v>
      </c>
      <c r="J50" s="49">
        <f>AVERAGE('25.10 Katuna-Kabale 24hr'!J50,'26.10 Katuna-Kabale'!J50)</f>
        <v>0</v>
      </c>
      <c r="K50" s="49">
        <f>AVERAGE('25.10 Katuna-Kabale 24hr'!K50,'26.10 Katuna-Kabale'!K50)</f>
        <v>0</v>
      </c>
      <c r="L50" s="49">
        <f>AVERAGE('25.10 Katuna-Kabale 24hr'!L50,'26.10 Katuna-Kabale'!L50)</f>
        <v>0</v>
      </c>
      <c r="M50" s="49">
        <f>AVERAGE('25.10 Katuna-Kabale 24hr'!M50,'26.10 Katuna-Kabale'!M50)</f>
        <v>8</v>
      </c>
      <c r="N50" s="49">
        <f>AVERAGE('25.10 Katuna-Kabale 24hr'!N50,'26.10 Katuna-Kabale'!N50)</f>
        <v>0</v>
      </c>
      <c r="O50" s="15">
        <f t="shared" si="0"/>
        <v>3.5</v>
      </c>
      <c r="P50" s="15">
        <f t="shared" si="1"/>
        <v>11.5</v>
      </c>
      <c r="R50" s="8"/>
      <c r="T50"/>
    </row>
    <row r="51" spans="2:20" ht="23.1" customHeight="1" x14ac:dyDescent="0.25">
      <c r="B51" s="24" t="s">
        <v>78</v>
      </c>
      <c r="C51" s="49">
        <f>AVERAGE('25.10 Katuna-Kabale 24hr'!C51,'26.10 Katuna-Kabale'!C51)</f>
        <v>4</v>
      </c>
      <c r="D51" s="49">
        <f>AVERAGE('25.10 Katuna-Kabale 24hr'!D51,'26.10 Katuna-Kabale'!D51)</f>
        <v>0.5</v>
      </c>
      <c r="E51" s="49">
        <f>AVERAGE('25.10 Katuna-Kabale 24hr'!E51,'26.10 Katuna-Kabale'!E51)</f>
        <v>0</v>
      </c>
      <c r="F51" s="49">
        <f>AVERAGE('25.10 Katuna-Kabale 24hr'!F51,'26.10 Katuna-Kabale'!F51)</f>
        <v>0</v>
      </c>
      <c r="G51" s="49">
        <f>AVERAGE('25.10 Katuna-Kabale 24hr'!G51,'26.10 Katuna-Kabale'!G51)</f>
        <v>0</v>
      </c>
      <c r="H51" s="49">
        <f>AVERAGE('25.10 Katuna-Kabale 24hr'!H51,'26.10 Katuna-Kabale'!H51)</f>
        <v>0</v>
      </c>
      <c r="I51" s="49">
        <f>AVERAGE('25.10 Katuna-Kabale 24hr'!I51,'26.10 Katuna-Kabale'!I51)</f>
        <v>0</v>
      </c>
      <c r="J51" s="49">
        <f>AVERAGE('25.10 Katuna-Kabale 24hr'!J51,'26.10 Katuna-Kabale'!J51)</f>
        <v>0</v>
      </c>
      <c r="K51" s="49">
        <f>AVERAGE('25.10 Katuna-Kabale 24hr'!K51,'26.10 Katuna-Kabale'!K51)</f>
        <v>0</v>
      </c>
      <c r="L51" s="49">
        <f>AVERAGE('25.10 Katuna-Kabale 24hr'!L51,'26.10 Katuna-Kabale'!L51)</f>
        <v>0</v>
      </c>
      <c r="M51" s="49">
        <f>AVERAGE('25.10 Katuna-Kabale 24hr'!M51,'26.10 Katuna-Kabale'!M51)</f>
        <v>8</v>
      </c>
      <c r="N51" s="49">
        <f>AVERAGE('25.10 Katuna-Kabale 24hr'!N51,'26.10 Katuna-Kabale'!N51)</f>
        <v>0</v>
      </c>
      <c r="O51" s="15">
        <f t="shared" si="0"/>
        <v>4.5</v>
      </c>
      <c r="P51" s="15">
        <f t="shared" si="1"/>
        <v>12.5</v>
      </c>
      <c r="R51" s="8"/>
      <c r="T51"/>
    </row>
    <row r="52" spans="2:20" ht="23.1" customHeight="1" x14ac:dyDescent="0.25">
      <c r="B52" s="24" t="s">
        <v>79</v>
      </c>
      <c r="C52" s="49">
        <f>AVERAGE('25.10 Katuna-Kabale 24hr'!C52,'26.10 Katuna-Kabale'!C52)</f>
        <v>3.5</v>
      </c>
      <c r="D52" s="49">
        <f>AVERAGE('25.10 Katuna-Kabale 24hr'!D52,'26.10 Katuna-Kabale'!D52)</f>
        <v>2</v>
      </c>
      <c r="E52" s="49">
        <f>AVERAGE('25.10 Katuna-Kabale 24hr'!E52,'26.10 Katuna-Kabale'!E52)</f>
        <v>0</v>
      </c>
      <c r="F52" s="49">
        <f>AVERAGE('25.10 Katuna-Kabale 24hr'!F52,'26.10 Katuna-Kabale'!F52)</f>
        <v>0.5</v>
      </c>
      <c r="G52" s="49">
        <f>AVERAGE('25.10 Katuna-Kabale 24hr'!G52,'26.10 Katuna-Kabale'!G52)</f>
        <v>0</v>
      </c>
      <c r="H52" s="49">
        <f>AVERAGE('25.10 Katuna-Kabale 24hr'!H52,'26.10 Katuna-Kabale'!H52)</f>
        <v>0</v>
      </c>
      <c r="I52" s="49">
        <f>AVERAGE('25.10 Katuna-Kabale 24hr'!I52,'26.10 Katuna-Kabale'!I52)</f>
        <v>0.5</v>
      </c>
      <c r="J52" s="49">
        <f>AVERAGE('25.10 Katuna-Kabale 24hr'!J52,'26.10 Katuna-Kabale'!J52)</f>
        <v>0</v>
      </c>
      <c r="K52" s="49">
        <f>AVERAGE('25.10 Katuna-Kabale 24hr'!K52,'26.10 Katuna-Kabale'!K52)</f>
        <v>0</v>
      </c>
      <c r="L52" s="49">
        <f>AVERAGE('25.10 Katuna-Kabale 24hr'!L52,'26.10 Katuna-Kabale'!L52)</f>
        <v>0</v>
      </c>
      <c r="M52" s="49">
        <f>AVERAGE('25.10 Katuna-Kabale 24hr'!M52,'26.10 Katuna-Kabale'!M52)</f>
        <v>7.5</v>
      </c>
      <c r="N52" s="49">
        <f>AVERAGE('25.10 Katuna-Kabale 24hr'!N52,'26.10 Katuna-Kabale'!N52)</f>
        <v>0</v>
      </c>
      <c r="O52" s="15">
        <f t="shared" si="0"/>
        <v>6.5</v>
      </c>
      <c r="P52" s="15">
        <f t="shared" si="1"/>
        <v>14</v>
      </c>
      <c r="R52" s="8"/>
      <c r="T52"/>
    </row>
    <row r="53" spans="2:20" ht="23.1" customHeight="1" x14ac:dyDescent="0.25">
      <c r="B53" s="23" t="s">
        <v>80</v>
      </c>
      <c r="C53" s="49">
        <f>AVERAGE('25.10 Katuna-Kabale 24hr'!C53,'26.10 Katuna-Kabale'!C53)</f>
        <v>3.5</v>
      </c>
      <c r="D53" s="49">
        <f>AVERAGE('25.10 Katuna-Kabale 24hr'!D53,'26.10 Katuna-Kabale'!D53)</f>
        <v>0</v>
      </c>
      <c r="E53" s="49">
        <f>AVERAGE('25.10 Katuna-Kabale 24hr'!E53,'26.10 Katuna-Kabale'!E53)</f>
        <v>0.5</v>
      </c>
      <c r="F53" s="49">
        <f>AVERAGE('25.10 Katuna-Kabale 24hr'!F53,'26.10 Katuna-Kabale'!F53)</f>
        <v>0</v>
      </c>
      <c r="G53" s="49">
        <f>AVERAGE('25.10 Katuna-Kabale 24hr'!G53,'26.10 Katuna-Kabale'!G53)</f>
        <v>0</v>
      </c>
      <c r="H53" s="49">
        <f>AVERAGE('25.10 Katuna-Kabale 24hr'!H53,'26.10 Katuna-Kabale'!H53)</f>
        <v>0</v>
      </c>
      <c r="I53" s="49">
        <f>AVERAGE('25.10 Katuna-Kabale 24hr'!I53,'26.10 Katuna-Kabale'!I53)</f>
        <v>1</v>
      </c>
      <c r="J53" s="49">
        <f>AVERAGE('25.10 Katuna-Kabale 24hr'!J53,'26.10 Katuna-Kabale'!J53)</f>
        <v>0</v>
      </c>
      <c r="K53" s="49">
        <f>AVERAGE('25.10 Katuna-Kabale 24hr'!K53,'26.10 Katuna-Kabale'!K53)</f>
        <v>0</v>
      </c>
      <c r="L53" s="49">
        <f>AVERAGE('25.10 Katuna-Kabale 24hr'!L53,'26.10 Katuna-Kabale'!L53)</f>
        <v>0</v>
      </c>
      <c r="M53" s="49">
        <f>AVERAGE('25.10 Katuna-Kabale 24hr'!M53,'26.10 Katuna-Kabale'!M53)</f>
        <v>9.5</v>
      </c>
      <c r="N53" s="49">
        <f>AVERAGE('25.10 Katuna-Kabale 24hr'!N53,'26.10 Katuna-Kabale'!N53)</f>
        <v>0</v>
      </c>
      <c r="O53" s="15">
        <f t="shared" si="0"/>
        <v>5</v>
      </c>
      <c r="P53" s="15">
        <f t="shared" si="1"/>
        <v>14.5</v>
      </c>
      <c r="R53" s="8"/>
      <c r="T53"/>
    </row>
    <row r="54" spans="2:20" ht="23.1" customHeight="1" x14ac:dyDescent="0.25">
      <c r="B54" s="23" t="s">
        <v>81</v>
      </c>
      <c r="C54" s="49">
        <f>AVERAGE('25.10 Katuna-Kabale 24hr'!C54,'26.10 Katuna-Kabale'!C54)</f>
        <v>5.5</v>
      </c>
      <c r="D54" s="49">
        <f>AVERAGE('25.10 Katuna-Kabale 24hr'!D54,'26.10 Katuna-Kabale'!D54)</f>
        <v>1</v>
      </c>
      <c r="E54" s="49">
        <f>AVERAGE('25.10 Katuna-Kabale 24hr'!E54,'26.10 Katuna-Kabale'!E54)</f>
        <v>0</v>
      </c>
      <c r="F54" s="49">
        <f>AVERAGE('25.10 Katuna-Kabale 24hr'!F54,'26.10 Katuna-Kabale'!F54)</f>
        <v>0</v>
      </c>
      <c r="G54" s="49">
        <f>AVERAGE('25.10 Katuna-Kabale 24hr'!G54,'26.10 Katuna-Kabale'!G54)</f>
        <v>0</v>
      </c>
      <c r="H54" s="49">
        <f>AVERAGE('25.10 Katuna-Kabale 24hr'!H54,'26.10 Katuna-Kabale'!H54)</f>
        <v>0</v>
      </c>
      <c r="I54" s="49">
        <f>AVERAGE('25.10 Katuna-Kabale 24hr'!I54,'26.10 Katuna-Kabale'!I54)</f>
        <v>1</v>
      </c>
      <c r="J54" s="49">
        <f>AVERAGE('25.10 Katuna-Kabale 24hr'!J54,'26.10 Katuna-Kabale'!J54)</f>
        <v>0</v>
      </c>
      <c r="K54" s="49">
        <f>AVERAGE('25.10 Katuna-Kabale 24hr'!K54,'26.10 Katuna-Kabale'!K54)</f>
        <v>0</v>
      </c>
      <c r="L54" s="49">
        <f>AVERAGE('25.10 Katuna-Kabale 24hr'!L54,'26.10 Katuna-Kabale'!L54)</f>
        <v>0</v>
      </c>
      <c r="M54" s="49">
        <f>AVERAGE('25.10 Katuna-Kabale 24hr'!M54,'26.10 Katuna-Kabale'!M54)</f>
        <v>6</v>
      </c>
      <c r="N54" s="49">
        <f>AVERAGE('25.10 Katuna-Kabale 24hr'!N54,'26.10 Katuna-Kabale'!N54)</f>
        <v>0</v>
      </c>
      <c r="O54" s="15">
        <f t="shared" si="0"/>
        <v>7.5</v>
      </c>
      <c r="P54" s="15">
        <f t="shared" si="1"/>
        <v>13.5</v>
      </c>
      <c r="R54" s="8"/>
      <c r="T54"/>
    </row>
    <row r="55" spans="2:20" ht="23.1" customHeight="1" x14ac:dyDescent="0.25">
      <c r="B55" s="23" t="s">
        <v>82</v>
      </c>
      <c r="C55" s="49">
        <f>AVERAGE('25.10 Katuna-Kabale 24hr'!C55,'26.10 Katuna-Kabale'!C55)</f>
        <v>3.5</v>
      </c>
      <c r="D55" s="49">
        <f>AVERAGE('25.10 Katuna-Kabale 24hr'!D55,'26.10 Katuna-Kabale'!D55)</f>
        <v>1</v>
      </c>
      <c r="E55" s="49">
        <f>AVERAGE('25.10 Katuna-Kabale 24hr'!E55,'26.10 Katuna-Kabale'!E55)</f>
        <v>0.5</v>
      </c>
      <c r="F55" s="49">
        <f>AVERAGE('25.10 Katuna-Kabale 24hr'!F55,'26.10 Katuna-Kabale'!F55)</f>
        <v>0</v>
      </c>
      <c r="G55" s="49">
        <f>AVERAGE('25.10 Katuna-Kabale 24hr'!G55,'26.10 Katuna-Kabale'!G55)</f>
        <v>0</v>
      </c>
      <c r="H55" s="49">
        <f>AVERAGE('25.10 Katuna-Kabale 24hr'!H55,'26.10 Katuna-Kabale'!H55)</f>
        <v>0</v>
      </c>
      <c r="I55" s="49">
        <f>AVERAGE('25.10 Katuna-Kabale 24hr'!I55,'26.10 Katuna-Kabale'!I55)</f>
        <v>0</v>
      </c>
      <c r="J55" s="49">
        <f>AVERAGE('25.10 Katuna-Kabale 24hr'!J55,'26.10 Katuna-Kabale'!J55)</f>
        <v>0</v>
      </c>
      <c r="K55" s="49">
        <f>AVERAGE('25.10 Katuna-Kabale 24hr'!K55,'26.10 Katuna-Kabale'!K55)</f>
        <v>0</v>
      </c>
      <c r="L55" s="49">
        <f>AVERAGE('25.10 Katuna-Kabale 24hr'!L55,'26.10 Katuna-Kabale'!L55)</f>
        <v>0</v>
      </c>
      <c r="M55" s="49">
        <f>AVERAGE('25.10 Katuna-Kabale 24hr'!M55,'26.10 Katuna-Kabale'!M55)</f>
        <v>4</v>
      </c>
      <c r="N55" s="49">
        <f>AVERAGE('25.10 Katuna-Kabale 24hr'!N55,'26.10 Katuna-Kabale'!N55)</f>
        <v>0</v>
      </c>
      <c r="O55" s="15">
        <f t="shared" si="0"/>
        <v>5</v>
      </c>
      <c r="P55" s="15">
        <f t="shared" si="1"/>
        <v>9</v>
      </c>
      <c r="R55" s="8"/>
      <c r="T55"/>
    </row>
    <row r="56" spans="2:20" ht="23.1" customHeight="1" x14ac:dyDescent="0.25">
      <c r="B56" s="23" t="s">
        <v>83</v>
      </c>
      <c r="C56" s="49">
        <f>AVERAGE('25.10 Katuna-Kabale 24hr'!C56,'26.10 Katuna-Kabale'!C56)</f>
        <v>5</v>
      </c>
      <c r="D56" s="49">
        <f>AVERAGE('25.10 Katuna-Kabale 24hr'!D56,'26.10 Katuna-Kabale'!D56)</f>
        <v>2.5</v>
      </c>
      <c r="E56" s="49">
        <f>AVERAGE('25.10 Katuna-Kabale 24hr'!E56,'26.10 Katuna-Kabale'!E56)</f>
        <v>1</v>
      </c>
      <c r="F56" s="49">
        <f>AVERAGE('25.10 Katuna-Kabale 24hr'!F56,'26.10 Katuna-Kabale'!F56)</f>
        <v>0.5</v>
      </c>
      <c r="G56" s="49">
        <f>AVERAGE('25.10 Katuna-Kabale 24hr'!G56,'26.10 Katuna-Kabale'!G56)</f>
        <v>0</v>
      </c>
      <c r="H56" s="49">
        <f>AVERAGE('25.10 Katuna-Kabale 24hr'!H56,'26.10 Katuna-Kabale'!H56)</f>
        <v>0</v>
      </c>
      <c r="I56" s="49">
        <f>AVERAGE('25.10 Katuna-Kabale 24hr'!I56,'26.10 Katuna-Kabale'!I56)</f>
        <v>2.5</v>
      </c>
      <c r="J56" s="49">
        <f>AVERAGE('25.10 Katuna-Kabale 24hr'!J56,'26.10 Katuna-Kabale'!J56)</f>
        <v>0</v>
      </c>
      <c r="K56" s="49">
        <f>AVERAGE('25.10 Katuna-Kabale 24hr'!K56,'26.10 Katuna-Kabale'!K56)</f>
        <v>0</v>
      </c>
      <c r="L56" s="49">
        <f>AVERAGE('25.10 Katuna-Kabale 24hr'!L56,'26.10 Katuna-Kabale'!L56)</f>
        <v>0</v>
      </c>
      <c r="M56" s="49">
        <f>AVERAGE('25.10 Katuna-Kabale 24hr'!M56,'26.10 Katuna-Kabale'!M56)</f>
        <v>9.5</v>
      </c>
      <c r="N56" s="49">
        <f>AVERAGE('25.10 Katuna-Kabale 24hr'!N56,'26.10 Katuna-Kabale'!N56)</f>
        <v>0</v>
      </c>
      <c r="O56" s="15">
        <f t="shared" si="0"/>
        <v>11.5</v>
      </c>
      <c r="P56" s="15">
        <f t="shared" si="1"/>
        <v>21</v>
      </c>
      <c r="R56" s="8"/>
      <c r="T56"/>
    </row>
    <row r="57" spans="2:20" ht="23.1" customHeight="1" x14ac:dyDescent="0.25">
      <c r="B57" s="23" t="s">
        <v>84</v>
      </c>
      <c r="C57" s="49">
        <f>AVERAGE('25.10 Katuna-Kabale 24hr'!C57,'26.10 Katuna-Kabale'!C57)</f>
        <v>4</v>
      </c>
      <c r="D57" s="49">
        <f>AVERAGE('25.10 Katuna-Kabale 24hr'!D57,'26.10 Katuna-Kabale'!D57)</f>
        <v>0.5</v>
      </c>
      <c r="E57" s="49">
        <f>AVERAGE('25.10 Katuna-Kabale 24hr'!E57,'26.10 Katuna-Kabale'!E57)</f>
        <v>0.5</v>
      </c>
      <c r="F57" s="49">
        <f>AVERAGE('25.10 Katuna-Kabale 24hr'!F57,'26.10 Katuna-Kabale'!F57)</f>
        <v>0</v>
      </c>
      <c r="G57" s="49">
        <f>AVERAGE('25.10 Katuna-Kabale 24hr'!G57,'26.10 Katuna-Kabale'!G57)</f>
        <v>0</v>
      </c>
      <c r="H57" s="49">
        <f>AVERAGE('25.10 Katuna-Kabale 24hr'!H57,'26.10 Katuna-Kabale'!H57)</f>
        <v>0</v>
      </c>
      <c r="I57" s="49">
        <f>AVERAGE('25.10 Katuna-Kabale 24hr'!I57,'26.10 Katuna-Kabale'!I57)</f>
        <v>2</v>
      </c>
      <c r="J57" s="49">
        <f>AVERAGE('25.10 Katuna-Kabale 24hr'!J57,'26.10 Katuna-Kabale'!J57)</f>
        <v>0</v>
      </c>
      <c r="K57" s="49">
        <f>AVERAGE('25.10 Katuna-Kabale 24hr'!K57,'26.10 Katuna-Kabale'!K57)</f>
        <v>0</v>
      </c>
      <c r="L57" s="49">
        <f>AVERAGE('25.10 Katuna-Kabale 24hr'!L57,'26.10 Katuna-Kabale'!L57)</f>
        <v>0</v>
      </c>
      <c r="M57" s="49">
        <f>AVERAGE('25.10 Katuna-Kabale 24hr'!M57,'26.10 Katuna-Kabale'!M57)</f>
        <v>5</v>
      </c>
      <c r="N57" s="49">
        <f>AVERAGE('25.10 Katuna-Kabale 24hr'!N57,'26.10 Katuna-Kabale'!N57)</f>
        <v>0</v>
      </c>
      <c r="O57" s="15">
        <f t="shared" si="0"/>
        <v>7</v>
      </c>
      <c r="P57" s="15">
        <f t="shared" si="1"/>
        <v>12</v>
      </c>
      <c r="R57" s="8"/>
      <c r="T57"/>
    </row>
    <row r="58" spans="2:20" ht="23.1" customHeight="1" x14ac:dyDescent="0.25">
      <c r="B58" s="23" t="s">
        <v>99</v>
      </c>
      <c r="C58" s="49">
        <f>AVERAGE('25.10 Katuna-Kabale 24hr'!C58)</f>
        <v>3</v>
      </c>
      <c r="D58" s="49">
        <f>AVERAGE('25.10 Katuna-Kabale 24hr'!D58)</f>
        <v>1</v>
      </c>
      <c r="E58" s="49">
        <f>AVERAGE('25.10 Katuna-Kabale 24hr'!E58)</f>
        <v>2</v>
      </c>
      <c r="F58" s="49">
        <f>AVERAGE('25.10 Katuna-Kabale 24hr'!F58)</f>
        <v>0</v>
      </c>
      <c r="G58" s="49">
        <f>AVERAGE('25.10 Katuna-Kabale 24hr'!G58)</f>
        <v>0</v>
      </c>
      <c r="H58" s="49">
        <f>AVERAGE('25.10 Katuna-Kabale 24hr'!H58)</f>
        <v>0</v>
      </c>
      <c r="I58" s="49">
        <f>AVERAGE('25.10 Katuna-Kabale 24hr'!I58)</f>
        <v>0</v>
      </c>
      <c r="J58" s="49">
        <f>AVERAGE('25.10 Katuna-Kabale 24hr'!J58)</f>
        <v>0</v>
      </c>
      <c r="K58" s="49">
        <f>AVERAGE('25.10 Katuna-Kabale 24hr'!K58)</f>
        <v>0</v>
      </c>
      <c r="L58" s="49">
        <f>AVERAGE('25.10 Katuna-Kabale 24hr'!L58)</f>
        <v>0</v>
      </c>
      <c r="M58" s="49">
        <f>AVERAGE('25.10 Katuna-Kabale 24hr'!M58)</f>
        <v>4</v>
      </c>
      <c r="N58" s="49">
        <f>AVERAGE('25.10 Katuna-Kabale 24hr'!N58)</f>
        <v>0</v>
      </c>
      <c r="O58" s="15">
        <f t="shared" si="0"/>
        <v>6</v>
      </c>
      <c r="P58" s="15">
        <f t="shared" si="1"/>
        <v>10</v>
      </c>
      <c r="R58" s="8"/>
      <c r="T58"/>
    </row>
    <row r="59" spans="2:20" ht="23.1" customHeight="1" x14ac:dyDescent="0.25">
      <c r="B59" s="23" t="s">
        <v>100</v>
      </c>
      <c r="C59" s="49">
        <f>AVERAGE('25.10 Katuna-Kabale 24hr'!C59)</f>
        <v>3</v>
      </c>
      <c r="D59" s="49">
        <f>AVERAGE('25.10 Katuna-Kabale 24hr'!D59)</f>
        <v>5</v>
      </c>
      <c r="E59" s="49">
        <f>AVERAGE('25.10 Katuna-Kabale 24hr'!E59)</f>
        <v>0</v>
      </c>
      <c r="F59" s="49">
        <f>AVERAGE('25.10 Katuna-Kabale 24hr'!F59)</f>
        <v>0</v>
      </c>
      <c r="G59" s="49">
        <f>AVERAGE('25.10 Katuna-Kabale 24hr'!G59)</f>
        <v>0</v>
      </c>
      <c r="H59" s="49">
        <f>AVERAGE('25.10 Katuna-Kabale 24hr'!H59)</f>
        <v>0</v>
      </c>
      <c r="I59" s="49">
        <f>AVERAGE('25.10 Katuna-Kabale 24hr'!I59)</f>
        <v>0</v>
      </c>
      <c r="J59" s="49">
        <f>AVERAGE('25.10 Katuna-Kabale 24hr'!J59)</f>
        <v>0</v>
      </c>
      <c r="K59" s="49">
        <f>AVERAGE('25.10 Katuna-Kabale 24hr'!K59)</f>
        <v>0</v>
      </c>
      <c r="L59" s="49">
        <f>AVERAGE('25.10 Katuna-Kabale 24hr'!L59)</f>
        <v>0</v>
      </c>
      <c r="M59" s="49">
        <f>AVERAGE('25.10 Katuna-Kabale 24hr'!M59)</f>
        <v>2</v>
      </c>
      <c r="N59" s="49">
        <f>AVERAGE('25.10 Katuna-Kabale 24hr'!N59)</f>
        <v>0</v>
      </c>
      <c r="O59" s="15">
        <f t="shared" si="0"/>
        <v>8</v>
      </c>
      <c r="P59" s="15">
        <f t="shared" si="1"/>
        <v>10</v>
      </c>
      <c r="R59" s="8"/>
      <c r="T59"/>
    </row>
    <row r="60" spans="2:20" ht="23.1" customHeight="1" x14ac:dyDescent="0.25">
      <c r="B60" s="23" t="s">
        <v>101</v>
      </c>
      <c r="C60" s="49">
        <f>AVERAGE('25.10 Katuna-Kabale 24hr'!C60)</f>
        <v>6</v>
      </c>
      <c r="D60" s="49">
        <f>AVERAGE('25.10 Katuna-Kabale 24hr'!D60)</f>
        <v>0</v>
      </c>
      <c r="E60" s="49">
        <f>AVERAGE('25.10 Katuna-Kabale 24hr'!E60)</f>
        <v>0</v>
      </c>
      <c r="F60" s="49">
        <f>AVERAGE('25.10 Katuna-Kabale 24hr'!F60)</f>
        <v>0</v>
      </c>
      <c r="G60" s="49">
        <f>AVERAGE('25.10 Katuna-Kabale 24hr'!G60)</f>
        <v>0</v>
      </c>
      <c r="H60" s="49">
        <f>AVERAGE('25.10 Katuna-Kabale 24hr'!H60)</f>
        <v>1</v>
      </c>
      <c r="I60" s="49">
        <f>AVERAGE('25.10 Katuna-Kabale 24hr'!I60)</f>
        <v>0</v>
      </c>
      <c r="J60" s="49">
        <f>AVERAGE('25.10 Katuna-Kabale 24hr'!J60)</f>
        <v>0</v>
      </c>
      <c r="K60" s="49">
        <f>AVERAGE('25.10 Katuna-Kabale 24hr'!K60)</f>
        <v>0</v>
      </c>
      <c r="L60" s="49">
        <f>AVERAGE('25.10 Katuna-Kabale 24hr'!L60)</f>
        <v>0</v>
      </c>
      <c r="M60" s="49">
        <f>AVERAGE('25.10 Katuna-Kabale 24hr'!M60)</f>
        <v>1</v>
      </c>
      <c r="N60" s="49">
        <f>AVERAGE('25.10 Katuna-Kabale 24hr'!N60)</f>
        <v>0</v>
      </c>
      <c r="O60" s="15">
        <f t="shared" si="0"/>
        <v>7</v>
      </c>
      <c r="P60" s="15">
        <f t="shared" si="1"/>
        <v>8</v>
      </c>
      <c r="R60" s="8"/>
      <c r="T60"/>
    </row>
    <row r="61" spans="2:20" ht="23.1" customHeight="1" x14ac:dyDescent="0.25">
      <c r="B61" s="23" t="s">
        <v>102</v>
      </c>
      <c r="C61" s="49">
        <f>AVERAGE('25.10 Katuna-Kabale 24hr'!C61)</f>
        <v>3</v>
      </c>
      <c r="D61" s="49">
        <f>AVERAGE('25.10 Katuna-Kabale 24hr'!D61)</f>
        <v>0</v>
      </c>
      <c r="E61" s="49">
        <f>AVERAGE('25.10 Katuna-Kabale 24hr'!E61)</f>
        <v>0</v>
      </c>
      <c r="F61" s="49">
        <f>AVERAGE('25.10 Katuna-Kabale 24hr'!F61)</f>
        <v>0</v>
      </c>
      <c r="G61" s="49">
        <f>AVERAGE('25.10 Katuna-Kabale 24hr'!G61)</f>
        <v>0</v>
      </c>
      <c r="H61" s="49">
        <f>AVERAGE('25.10 Katuna-Kabale 24hr'!H61)</f>
        <v>0</v>
      </c>
      <c r="I61" s="49">
        <f>AVERAGE('25.10 Katuna-Kabale 24hr'!I61)</f>
        <v>0</v>
      </c>
      <c r="J61" s="49">
        <f>AVERAGE('25.10 Katuna-Kabale 24hr'!J61)</f>
        <v>0</v>
      </c>
      <c r="K61" s="49">
        <f>AVERAGE('25.10 Katuna-Kabale 24hr'!K61)</f>
        <v>0</v>
      </c>
      <c r="L61" s="49">
        <f>AVERAGE('25.10 Katuna-Kabale 24hr'!L61)</f>
        <v>0</v>
      </c>
      <c r="M61" s="49">
        <f>AVERAGE('25.10 Katuna-Kabale 24hr'!M61)</f>
        <v>4</v>
      </c>
      <c r="N61" s="49">
        <f>AVERAGE('25.10 Katuna-Kabale 24hr'!N61)</f>
        <v>0</v>
      </c>
      <c r="O61" s="15">
        <f t="shared" si="0"/>
        <v>3</v>
      </c>
      <c r="P61" s="15">
        <f t="shared" si="1"/>
        <v>7</v>
      </c>
      <c r="R61" s="8"/>
      <c r="T61"/>
    </row>
    <row r="62" spans="2:20" ht="23.1" customHeight="1" x14ac:dyDescent="0.25">
      <c r="B62" s="23" t="s">
        <v>107</v>
      </c>
      <c r="C62" s="49">
        <f>AVERAGE('25.10 Katuna-Kabale 24hr'!C62)</f>
        <v>4</v>
      </c>
      <c r="D62" s="49">
        <f>AVERAGE('25.10 Katuna-Kabale 24hr'!D62)</f>
        <v>3</v>
      </c>
      <c r="E62" s="49">
        <f>AVERAGE('25.10 Katuna-Kabale 24hr'!E62)</f>
        <v>0</v>
      </c>
      <c r="F62" s="49">
        <f>AVERAGE('25.10 Katuna-Kabale 24hr'!F62)</f>
        <v>3</v>
      </c>
      <c r="G62" s="49">
        <f>AVERAGE('25.10 Katuna-Kabale 24hr'!G62)</f>
        <v>1</v>
      </c>
      <c r="H62" s="49">
        <f>AVERAGE('25.10 Katuna-Kabale 24hr'!H62)</f>
        <v>0</v>
      </c>
      <c r="I62" s="49">
        <f>AVERAGE('25.10 Katuna-Kabale 24hr'!I62)</f>
        <v>0</v>
      </c>
      <c r="J62" s="49">
        <f>AVERAGE('25.10 Katuna-Kabale 24hr'!J62)</f>
        <v>0</v>
      </c>
      <c r="K62" s="49">
        <f>AVERAGE('25.10 Katuna-Kabale 24hr'!K62)</f>
        <v>0</v>
      </c>
      <c r="L62" s="49">
        <f>AVERAGE('25.10 Katuna-Kabale 24hr'!L62)</f>
        <v>0</v>
      </c>
      <c r="M62" s="49">
        <f>AVERAGE('25.10 Katuna-Kabale 24hr'!M62)</f>
        <v>7</v>
      </c>
      <c r="N62" s="49">
        <f>AVERAGE('25.10 Katuna-Kabale 24hr'!N62)</f>
        <v>0</v>
      </c>
      <c r="O62" s="15">
        <f t="shared" si="0"/>
        <v>11</v>
      </c>
      <c r="P62" s="15">
        <f t="shared" si="1"/>
        <v>18</v>
      </c>
      <c r="R62" s="8"/>
      <c r="T62"/>
    </row>
    <row r="63" spans="2:20" ht="23.1" customHeight="1" x14ac:dyDescent="0.25">
      <c r="B63" s="23" t="s">
        <v>108</v>
      </c>
      <c r="C63" s="49">
        <f>AVERAGE('25.10 Katuna-Kabale 24hr'!C63)</f>
        <v>2</v>
      </c>
      <c r="D63" s="49">
        <f>AVERAGE('25.10 Katuna-Kabale 24hr'!D63)</f>
        <v>0</v>
      </c>
      <c r="E63" s="49">
        <f>AVERAGE('25.10 Katuna-Kabale 24hr'!E63)</f>
        <v>0</v>
      </c>
      <c r="F63" s="49">
        <f>AVERAGE('25.10 Katuna-Kabale 24hr'!F63)</f>
        <v>0</v>
      </c>
      <c r="G63" s="49">
        <f>AVERAGE('25.10 Katuna-Kabale 24hr'!G63)</f>
        <v>0</v>
      </c>
      <c r="H63" s="49">
        <f>AVERAGE('25.10 Katuna-Kabale 24hr'!H63)</f>
        <v>0</v>
      </c>
      <c r="I63" s="49">
        <f>AVERAGE('25.10 Katuna-Kabale 24hr'!I63)</f>
        <v>1</v>
      </c>
      <c r="J63" s="49">
        <f>AVERAGE('25.10 Katuna-Kabale 24hr'!J63)</f>
        <v>0</v>
      </c>
      <c r="K63" s="49">
        <f>AVERAGE('25.10 Katuna-Kabale 24hr'!K63)</f>
        <v>0</v>
      </c>
      <c r="L63" s="49">
        <f>AVERAGE('25.10 Katuna-Kabale 24hr'!L63)</f>
        <v>0</v>
      </c>
      <c r="M63" s="49">
        <f>AVERAGE('25.10 Katuna-Kabale 24hr'!M63)</f>
        <v>3</v>
      </c>
      <c r="N63" s="49">
        <f>AVERAGE('25.10 Katuna-Kabale 24hr'!N63)</f>
        <v>0</v>
      </c>
      <c r="O63" s="15">
        <f t="shared" si="0"/>
        <v>3</v>
      </c>
      <c r="P63" s="15">
        <f t="shared" si="1"/>
        <v>6</v>
      </c>
      <c r="R63" s="8"/>
      <c r="T63"/>
    </row>
    <row r="64" spans="2:20" ht="23.1" customHeight="1" x14ac:dyDescent="0.25">
      <c r="B64" s="23" t="s">
        <v>109</v>
      </c>
      <c r="C64" s="49">
        <f>AVERAGE('25.10 Katuna-Kabale 24hr'!C64)</f>
        <v>4</v>
      </c>
      <c r="D64" s="49">
        <f>AVERAGE('25.10 Katuna-Kabale 24hr'!D64)</f>
        <v>1</v>
      </c>
      <c r="E64" s="49">
        <f>AVERAGE('25.10 Katuna-Kabale 24hr'!E64)</f>
        <v>1</v>
      </c>
      <c r="F64" s="49">
        <f>AVERAGE('25.10 Katuna-Kabale 24hr'!F64)</f>
        <v>0</v>
      </c>
      <c r="G64" s="49">
        <f>AVERAGE('25.10 Katuna-Kabale 24hr'!G64)</f>
        <v>0</v>
      </c>
      <c r="H64" s="49">
        <f>AVERAGE('25.10 Katuna-Kabale 24hr'!H64)</f>
        <v>0</v>
      </c>
      <c r="I64" s="49">
        <f>AVERAGE('25.10 Katuna-Kabale 24hr'!I64)</f>
        <v>0</v>
      </c>
      <c r="J64" s="49">
        <f>AVERAGE('25.10 Katuna-Kabale 24hr'!J64)</f>
        <v>0</v>
      </c>
      <c r="K64" s="49">
        <f>AVERAGE('25.10 Katuna-Kabale 24hr'!K64)</f>
        <v>0</v>
      </c>
      <c r="L64" s="49">
        <f>AVERAGE('25.10 Katuna-Kabale 24hr'!L64)</f>
        <v>0</v>
      </c>
      <c r="M64" s="49">
        <f>AVERAGE('25.10 Katuna-Kabale 24hr'!M64)</f>
        <v>11</v>
      </c>
      <c r="N64" s="49">
        <f>AVERAGE('25.10 Katuna-Kabale 24hr'!N64)</f>
        <v>0</v>
      </c>
      <c r="O64" s="15">
        <f t="shared" si="0"/>
        <v>6</v>
      </c>
      <c r="P64" s="15">
        <f t="shared" si="1"/>
        <v>17</v>
      </c>
      <c r="R64" s="8"/>
      <c r="T64"/>
    </row>
    <row r="65" spans="2:20" ht="23.1" customHeight="1" x14ac:dyDescent="0.25">
      <c r="B65" s="23" t="s">
        <v>158</v>
      </c>
      <c r="C65" s="49">
        <f>AVERAGE('25.10 Katuna-Kabale 24hr'!C65)</f>
        <v>5</v>
      </c>
      <c r="D65" s="49">
        <f>AVERAGE('25.10 Katuna-Kabale 24hr'!D65)</f>
        <v>3</v>
      </c>
      <c r="E65" s="49">
        <f>AVERAGE('25.10 Katuna-Kabale 24hr'!E65)</f>
        <v>2</v>
      </c>
      <c r="F65" s="49">
        <f>AVERAGE('25.10 Katuna-Kabale 24hr'!F65)</f>
        <v>1</v>
      </c>
      <c r="G65" s="49">
        <f>AVERAGE('25.10 Katuna-Kabale 24hr'!G65)</f>
        <v>0</v>
      </c>
      <c r="H65" s="49">
        <f>AVERAGE('25.10 Katuna-Kabale 24hr'!H65)</f>
        <v>0</v>
      </c>
      <c r="I65" s="49">
        <f>AVERAGE('25.10 Katuna-Kabale 24hr'!I65)</f>
        <v>2</v>
      </c>
      <c r="J65" s="49">
        <f>AVERAGE('25.10 Katuna-Kabale 24hr'!J65)</f>
        <v>0</v>
      </c>
      <c r="K65" s="49">
        <f>AVERAGE('25.10 Katuna-Kabale 24hr'!K65)</f>
        <v>0</v>
      </c>
      <c r="L65" s="49">
        <f>AVERAGE('25.10 Katuna-Kabale 24hr'!L65)</f>
        <v>0</v>
      </c>
      <c r="M65" s="49">
        <f>AVERAGE('25.10 Katuna-Kabale 24hr'!M65)</f>
        <v>4</v>
      </c>
      <c r="N65" s="49">
        <f>AVERAGE('25.10 Katuna-Kabale 24hr'!N65)</f>
        <v>0</v>
      </c>
      <c r="O65" s="15">
        <f t="shared" si="0"/>
        <v>13</v>
      </c>
      <c r="P65" s="15">
        <f t="shared" si="1"/>
        <v>17</v>
      </c>
      <c r="R65" s="8"/>
      <c r="T65"/>
    </row>
    <row r="66" spans="2:20" ht="23.1" customHeight="1" x14ac:dyDescent="0.25">
      <c r="B66" s="23" t="s">
        <v>103</v>
      </c>
      <c r="C66" s="49">
        <f>AVERAGE('25.10 Katuna-Kabale 24hr'!C66)</f>
        <v>4</v>
      </c>
      <c r="D66" s="49">
        <f>AVERAGE('25.10 Katuna-Kabale 24hr'!D66)</f>
        <v>1</v>
      </c>
      <c r="E66" s="49">
        <f>AVERAGE('25.10 Katuna-Kabale 24hr'!E66)</f>
        <v>1</v>
      </c>
      <c r="F66" s="49">
        <f>AVERAGE('25.10 Katuna-Kabale 24hr'!F66)</f>
        <v>2</v>
      </c>
      <c r="G66" s="49">
        <f>AVERAGE('25.10 Katuna-Kabale 24hr'!G66)</f>
        <v>0</v>
      </c>
      <c r="H66" s="49">
        <f>AVERAGE('25.10 Katuna-Kabale 24hr'!H66)</f>
        <v>0</v>
      </c>
      <c r="I66" s="49">
        <f>AVERAGE('25.10 Katuna-Kabale 24hr'!I66)</f>
        <v>0</v>
      </c>
      <c r="J66" s="49">
        <f>AVERAGE('25.10 Katuna-Kabale 24hr'!J66)</f>
        <v>0</v>
      </c>
      <c r="K66" s="49">
        <f>AVERAGE('25.10 Katuna-Kabale 24hr'!K66)</f>
        <v>0</v>
      </c>
      <c r="L66" s="49">
        <f>AVERAGE('25.10 Katuna-Kabale 24hr'!L66)</f>
        <v>0</v>
      </c>
      <c r="M66" s="49">
        <f>AVERAGE('25.10 Katuna-Kabale 24hr'!M66)</f>
        <v>3</v>
      </c>
      <c r="N66" s="49">
        <f>AVERAGE('25.10 Katuna-Kabale 24hr'!N66)</f>
        <v>0</v>
      </c>
      <c r="O66" s="15">
        <f t="shared" si="0"/>
        <v>8</v>
      </c>
      <c r="P66" s="15">
        <f t="shared" si="1"/>
        <v>11</v>
      </c>
      <c r="R66" s="8"/>
      <c r="T66"/>
    </row>
    <row r="67" spans="2:20" ht="23.1" customHeight="1" x14ac:dyDescent="0.25">
      <c r="B67" s="23" t="s">
        <v>104</v>
      </c>
      <c r="C67" s="49">
        <f>AVERAGE('25.10 Katuna-Kabale 24hr'!C67)</f>
        <v>2</v>
      </c>
      <c r="D67" s="49">
        <f>AVERAGE('25.10 Katuna-Kabale 24hr'!D67)</f>
        <v>0</v>
      </c>
      <c r="E67" s="49">
        <f>AVERAGE('25.10 Katuna-Kabale 24hr'!E67)</f>
        <v>0</v>
      </c>
      <c r="F67" s="49">
        <f>AVERAGE('25.10 Katuna-Kabale 24hr'!F67)</f>
        <v>0</v>
      </c>
      <c r="G67" s="49">
        <f>AVERAGE('25.10 Katuna-Kabale 24hr'!G67)</f>
        <v>0</v>
      </c>
      <c r="H67" s="49">
        <f>AVERAGE('25.10 Katuna-Kabale 24hr'!H67)</f>
        <v>0</v>
      </c>
      <c r="I67" s="49">
        <f>AVERAGE('25.10 Katuna-Kabale 24hr'!I67)</f>
        <v>2</v>
      </c>
      <c r="J67" s="49">
        <f>AVERAGE('25.10 Katuna-Kabale 24hr'!J67)</f>
        <v>0</v>
      </c>
      <c r="K67" s="49">
        <f>AVERAGE('25.10 Katuna-Kabale 24hr'!K67)</f>
        <v>0</v>
      </c>
      <c r="L67" s="49">
        <f>AVERAGE('25.10 Katuna-Kabale 24hr'!L67)</f>
        <v>0</v>
      </c>
      <c r="M67" s="49">
        <f>AVERAGE('25.10 Katuna-Kabale 24hr'!M67)</f>
        <v>5</v>
      </c>
      <c r="N67" s="49">
        <f>AVERAGE('25.10 Katuna-Kabale 24hr'!N67)</f>
        <v>0</v>
      </c>
      <c r="O67" s="15">
        <f t="shared" si="0"/>
        <v>4</v>
      </c>
      <c r="P67" s="15">
        <f t="shared" si="1"/>
        <v>9</v>
      </c>
      <c r="R67" s="8"/>
      <c r="T67"/>
    </row>
    <row r="68" spans="2:20" ht="23.1" customHeight="1" x14ac:dyDescent="0.25">
      <c r="B68" s="23" t="s">
        <v>105</v>
      </c>
      <c r="C68" s="49">
        <f>AVERAGE('25.10 Katuna-Kabale 24hr'!C68)</f>
        <v>2</v>
      </c>
      <c r="D68" s="49">
        <f>AVERAGE('25.10 Katuna-Kabale 24hr'!D68)</f>
        <v>0</v>
      </c>
      <c r="E68" s="49">
        <f>AVERAGE('25.10 Katuna-Kabale 24hr'!E68)</f>
        <v>0</v>
      </c>
      <c r="F68" s="49">
        <f>AVERAGE('25.10 Katuna-Kabale 24hr'!F68)</f>
        <v>0</v>
      </c>
      <c r="G68" s="49">
        <f>AVERAGE('25.10 Katuna-Kabale 24hr'!G68)</f>
        <v>0</v>
      </c>
      <c r="H68" s="49">
        <f>AVERAGE('25.10 Katuna-Kabale 24hr'!H68)</f>
        <v>0</v>
      </c>
      <c r="I68" s="49">
        <f>AVERAGE('25.10 Katuna-Kabale 24hr'!I68)</f>
        <v>0</v>
      </c>
      <c r="J68" s="49">
        <f>AVERAGE('25.10 Katuna-Kabale 24hr'!J68)</f>
        <v>0</v>
      </c>
      <c r="K68" s="49">
        <f>AVERAGE('25.10 Katuna-Kabale 24hr'!K68)</f>
        <v>0</v>
      </c>
      <c r="L68" s="49">
        <f>AVERAGE('25.10 Katuna-Kabale 24hr'!L68)</f>
        <v>0</v>
      </c>
      <c r="M68" s="49">
        <f>AVERAGE('25.10 Katuna-Kabale 24hr'!M68)</f>
        <v>2</v>
      </c>
      <c r="N68" s="49">
        <f>AVERAGE('25.10 Katuna-Kabale 24hr'!N68)</f>
        <v>0</v>
      </c>
      <c r="O68" s="15">
        <f t="shared" si="0"/>
        <v>2</v>
      </c>
      <c r="P68" s="15">
        <f t="shared" si="1"/>
        <v>4</v>
      </c>
      <c r="R68" s="8"/>
      <c r="T68"/>
    </row>
    <row r="69" spans="2:20" ht="23.1" customHeight="1" x14ac:dyDescent="0.25">
      <c r="B69" s="23" t="s">
        <v>106</v>
      </c>
      <c r="C69" s="49">
        <f>AVERAGE('25.10 Katuna-Kabale 24hr'!C69)</f>
        <v>0</v>
      </c>
      <c r="D69" s="49">
        <f>AVERAGE('25.10 Katuna-Kabale 24hr'!D69)</f>
        <v>0</v>
      </c>
      <c r="E69" s="49">
        <f>AVERAGE('25.10 Katuna-Kabale 24hr'!E69)</f>
        <v>0</v>
      </c>
      <c r="F69" s="49">
        <f>AVERAGE('25.10 Katuna-Kabale 24hr'!F69)</f>
        <v>0</v>
      </c>
      <c r="G69" s="49">
        <f>AVERAGE('25.10 Katuna-Kabale 24hr'!G69)</f>
        <v>0</v>
      </c>
      <c r="H69" s="49">
        <f>AVERAGE('25.10 Katuna-Kabale 24hr'!H69)</f>
        <v>0</v>
      </c>
      <c r="I69" s="49">
        <f>AVERAGE('25.10 Katuna-Kabale 24hr'!I69)</f>
        <v>0</v>
      </c>
      <c r="J69" s="49">
        <f>AVERAGE('25.10 Katuna-Kabale 24hr'!J69)</f>
        <v>0</v>
      </c>
      <c r="K69" s="49">
        <f>AVERAGE('25.10 Katuna-Kabale 24hr'!K69)</f>
        <v>0</v>
      </c>
      <c r="L69" s="49">
        <f>AVERAGE('25.10 Katuna-Kabale 24hr'!L69)</f>
        <v>0</v>
      </c>
      <c r="M69" s="49">
        <f>AVERAGE('25.10 Katuna-Kabale 24hr'!M69)</f>
        <v>0</v>
      </c>
      <c r="N69" s="49">
        <f>AVERAGE('25.10 Katuna-Kabale 24hr'!N69)</f>
        <v>0</v>
      </c>
      <c r="O69" s="15">
        <f t="shared" si="0"/>
        <v>0</v>
      </c>
      <c r="P69" s="15">
        <f t="shared" si="1"/>
        <v>0</v>
      </c>
      <c r="R69" s="8"/>
      <c r="T69"/>
    </row>
    <row r="70" spans="2:20" ht="23.1" customHeight="1" x14ac:dyDescent="0.25">
      <c r="B70" s="23" t="s">
        <v>110</v>
      </c>
      <c r="C70" s="49">
        <f>AVERAGE('25.10 Katuna-Kabale 24hr'!C70)</f>
        <v>1</v>
      </c>
      <c r="D70" s="49">
        <f>AVERAGE('25.10 Katuna-Kabale 24hr'!D70)</f>
        <v>0</v>
      </c>
      <c r="E70" s="49">
        <f>AVERAGE('25.10 Katuna-Kabale 24hr'!E70)</f>
        <v>0</v>
      </c>
      <c r="F70" s="49">
        <f>AVERAGE('25.10 Katuna-Kabale 24hr'!F70)</f>
        <v>0</v>
      </c>
      <c r="G70" s="49">
        <f>AVERAGE('25.10 Katuna-Kabale 24hr'!G70)</f>
        <v>0</v>
      </c>
      <c r="H70" s="49">
        <f>AVERAGE('25.10 Katuna-Kabale 24hr'!H70)</f>
        <v>0</v>
      </c>
      <c r="I70" s="49">
        <f>AVERAGE('25.10 Katuna-Kabale 24hr'!I70)</f>
        <v>0</v>
      </c>
      <c r="J70" s="49">
        <f>AVERAGE('25.10 Katuna-Kabale 24hr'!J70)</f>
        <v>0</v>
      </c>
      <c r="K70" s="49">
        <f>AVERAGE('25.10 Katuna-Kabale 24hr'!K70)</f>
        <v>0</v>
      </c>
      <c r="L70" s="49">
        <f>AVERAGE('25.10 Katuna-Kabale 24hr'!L70)</f>
        <v>0</v>
      </c>
      <c r="M70" s="49">
        <f>AVERAGE('25.10 Katuna-Kabale 24hr'!M70)</f>
        <v>1</v>
      </c>
      <c r="N70" s="49">
        <f>AVERAGE('25.10 Katuna-Kabale 24hr'!N70)</f>
        <v>0</v>
      </c>
      <c r="O70" s="15">
        <f t="shared" si="0"/>
        <v>1</v>
      </c>
      <c r="P70" s="15">
        <f t="shared" si="1"/>
        <v>2</v>
      </c>
      <c r="R70" s="8"/>
      <c r="T70"/>
    </row>
    <row r="71" spans="2:20" ht="23.1" customHeight="1" x14ac:dyDescent="0.25">
      <c r="B71" s="23" t="s">
        <v>111</v>
      </c>
      <c r="C71" s="49">
        <f>AVERAGE('25.10 Katuna-Kabale 24hr'!C71)</f>
        <v>2</v>
      </c>
      <c r="D71" s="49">
        <f>AVERAGE('25.10 Katuna-Kabale 24hr'!D71)</f>
        <v>0</v>
      </c>
      <c r="E71" s="49">
        <f>AVERAGE('25.10 Katuna-Kabale 24hr'!E71)</f>
        <v>0</v>
      </c>
      <c r="F71" s="49">
        <f>AVERAGE('25.10 Katuna-Kabale 24hr'!F71)</f>
        <v>0</v>
      </c>
      <c r="G71" s="49">
        <f>AVERAGE('25.10 Katuna-Kabale 24hr'!G71)</f>
        <v>0</v>
      </c>
      <c r="H71" s="49">
        <f>AVERAGE('25.10 Katuna-Kabale 24hr'!H71)</f>
        <v>0</v>
      </c>
      <c r="I71" s="49">
        <f>AVERAGE('25.10 Katuna-Kabale 24hr'!I71)</f>
        <v>0</v>
      </c>
      <c r="J71" s="49">
        <f>AVERAGE('25.10 Katuna-Kabale 24hr'!J71)</f>
        <v>0</v>
      </c>
      <c r="K71" s="49">
        <f>AVERAGE('25.10 Katuna-Kabale 24hr'!K71)</f>
        <v>0</v>
      </c>
      <c r="L71" s="49">
        <f>AVERAGE('25.10 Katuna-Kabale 24hr'!L71)</f>
        <v>0</v>
      </c>
      <c r="M71" s="49">
        <f>AVERAGE('25.10 Katuna-Kabale 24hr'!M71)</f>
        <v>3</v>
      </c>
      <c r="N71" s="49">
        <f>AVERAGE('25.10 Katuna-Kabale 24hr'!N71)</f>
        <v>0</v>
      </c>
      <c r="O71" s="15">
        <f t="shared" si="0"/>
        <v>2</v>
      </c>
      <c r="P71" s="15">
        <f t="shared" si="1"/>
        <v>5</v>
      </c>
      <c r="R71" s="8"/>
      <c r="T71"/>
    </row>
    <row r="72" spans="2:20" ht="23.1" customHeight="1" x14ac:dyDescent="0.25">
      <c r="B72" s="23" t="s">
        <v>112</v>
      </c>
      <c r="C72" s="49">
        <f>AVERAGE('25.10 Katuna-Kabale 24hr'!C72)</f>
        <v>0</v>
      </c>
      <c r="D72" s="49">
        <f>AVERAGE('25.10 Katuna-Kabale 24hr'!D72)</f>
        <v>0</v>
      </c>
      <c r="E72" s="49">
        <f>AVERAGE('25.10 Katuna-Kabale 24hr'!E72)</f>
        <v>0</v>
      </c>
      <c r="F72" s="49">
        <f>AVERAGE('25.10 Katuna-Kabale 24hr'!F72)</f>
        <v>0</v>
      </c>
      <c r="G72" s="49">
        <f>AVERAGE('25.10 Katuna-Kabale 24hr'!G72)</f>
        <v>0</v>
      </c>
      <c r="H72" s="49">
        <f>AVERAGE('25.10 Katuna-Kabale 24hr'!H72)</f>
        <v>0</v>
      </c>
      <c r="I72" s="49">
        <f>AVERAGE('25.10 Katuna-Kabale 24hr'!I72)</f>
        <v>1</v>
      </c>
      <c r="J72" s="49">
        <f>AVERAGE('25.10 Katuna-Kabale 24hr'!J72)</f>
        <v>0</v>
      </c>
      <c r="K72" s="49">
        <f>AVERAGE('25.10 Katuna-Kabale 24hr'!K72)</f>
        <v>0</v>
      </c>
      <c r="L72" s="49">
        <f>AVERAGE('25.10 Katuna-Kabale 24hr'!L72)</f>
        <v>0</v>
      </c>
      <c r="M72" s="49">
        <f>AVERAGE('25.10 Katuna-Kabale 24hr'!M72)</f>
        <v>2</v>
      </c>
      <c r="N72" s="49">
        <f>AVERAGE('25.10 Katuna-Kabale 24hr'!N72)</f>
        <v>0</v>
      </c>
      <c r="O72" s="15">
        <f t="shared" si="0"/>
        <v>1</v>
      </c>
      <c r="P72" s="15">
        <f t="shared" si="1"/>
        <v>3</v>
      </c>
      <c r="R72" s="8"/>
      <c r="T72"/>
    </row>
    <row r="73" spans="2:20" ht="23.1" customHeight="1" x14ac:dyDescent="0.25">
      <c r="B73" s="23" t="s">
        <v>113</v>
      </c>
      <c r="C73" s="49">
        <f>AVERAGE('25.10 Katuna-Kabale 24hr'!C73)</f>
        <v>1</v>
      </c>
      <c r="D73" s="49">
        <f>AVERAGE('25.10 Katuna-Kabale 24hr'!D73)</f>
        <v>0</v>
      </c>
      <c r="E73" s="49">
        <f>AVERAGE('25.10 Katuna-Kabale 24hr'!E73)</f>
        <v>0</v>
      </c>
      <c r="F73" s="49">
        <f>AVERAGE('25.10 Katuna-Kabale 24hr'!F73)</f>
        <v>0</v>
      </c>
      <c r="G73" s="49">
        <f>AVERAGE('25.10 Katuna-Kabale 24hr'!G73)</f>
        <v>0</v>
      </c>
      <c r="H73" s="49">
        <f>AVERAGE('25.10 Katuna-Kabale 24hr'!H73)</f>
        <v>0</v>
      </c>
      <c r="I73" s="49">
        <f>AVERAGE('25.10 Katuna-Kabale 24hr'!I73)</f>
        <v>0</v>
      </c>
      <c r="J73" s="49">
        <f>AVERAGE('25.10 Katuna-Kabale 24hr'!J73)</f>
        <v>0</v>
      </c>
      <c r="K73" s="49">
        <f>AVERAGE('25.10 Katuna-Kabale 24hr'!K73)</f>
        <v>0</v>
      </c>
      <c r="L73" s="49">
        <f>AVERAGE('25.10 Katuna-Kabale 24hr'!L73)</f>
        <v>0</v>
      </c>
      <c r="M73" s="49">
        <f>AVERAGE('25.10 Katuna-Kabale 24hr'!M73)</f>
        <v>1</v>
      </c>
      <c r="N73" s="49">
        <f>AVERAGE('25.10 Katuna-Kabale 24hr'!N73)</f>
        <v>0</v>
      </c>
      <c r="O73" s="15">
        <f t="shared" si="0"/>
        <v>1</v>
      </c>
      <c r="P73" s="15">
        <f t="shared" si="1"/>
        <v>2</v>
      </c>
      <c r="R73" s="8"/>
      <c r="T73"/>
    </row>
    <row r="74" spans="2:20" ht="23.1" customHeight="1" x14ac:dyDescent="0.25">
      <c r="B74" s="23" t="s">
        <v>114</v>
      </c>
      <c r="C74" s="49">
        <f>AVERAGE('25.10 Katuna-Kabale 24hr'!C74)</f>
        <v>2</v>
      </c>
      <c r="D74" s="49">
        <f>AVERAGE('25.10 Katuna-Kabale 24hr'!D74)</f>
        <v>0</v>
      </c>
      <c r="E74" s="49">
        <f>AVERAGE('25.10 Katuna-Kabale 24hr'!E74)</f>
        <v>0</v>
      </c>
      <c r="F74" s="49">
        <f>AVERAGE('25.10 Katuna-Kabale 24hr'!F74)</f>
        <v>0</v>
      </c>
      <c r="G74" s="49">
        <f>AVERAGE('25.10 Katuna-Kabale 24hr'!G74)</f>
        <v>0</v>
      </c>
      <c r="H74" s="49">
        <f>AVERAGE('25.10 Katuna-Kabale 24hr'!H74)</f>
        <v>0</v>
      </c>
      <c r="I74" s="49">
        <f>AVERAGE('25.10 Katuna-Kabale 24hr'!I74)</f>
        <v>0</v>
      </c>
      <c r="J74" s="49">
        <f>AVERAGE('25.10 Katuna-Kabale 24hr'!J74)</f>
        <v>0</v>
      </c>
      <c r="K74" s="49">
        <f>AVERAGE('25.10 Katuna-Kabale 24hr'!K74)</f>
        <v>0</v>
      </c>
      <c r="L74" s="49">
        <f>AVERAGE('25.10 Katuna-Kabale 24hr'!L74)</f>
        <v>0</v>
      </c>
      <c r="M74" s="49">
        <f>AVERAGE('25.10 Katuna-Kabale 24hr'!M74)</f>
        <v>2</v>
      </c>
      <c r="N74" s="49">
        <f>AVERAGE('25.10 Katuna-Kabale 24hr'!N74)</f>
        <v>0</v>
      </c>
      <c r="O74" s="15">
        <f t="shared" ref="O74:O105" si="35">SUM(C74:L74,N74)</f>
        <v>2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23" t="s">
        <v>115</v>
      </c>
      <c r="C75" s="49">
        <f>AVERAGE('25.10 Katuna-Kabale 24hr'!C75)</f>
        <v>0</v>
      </c>
      <c r="D75" s="49">
        <f>AVERAGE('25.10 Katuna-Kabale 24hr'!D75)</f>
        <v>0</v>
      </c>
      <c r="E75" s="49">
        <f>AVERAGE('25.10 Katuna-Kabale 24hr'!E75)</f>
        <v>0</v>
      </c>
      <c r="F75" s="49">
        <f>AVERAGE('25.10 Katuna-Kabale 24hr'!F75)</f>
        <v>0</v>
      </c>
      <c r="G75" s="49">
        <f>AVERAGE('25.10 Katuna-Kabale 24hr'!G75)</f>
        <v>0</v>
      </c>
      <c r="H75" s="49">
        <f>AVERAGE('25.10 Katuna-Kabale 24hr'!H75)</f>
        <v>0</v>
      </c>
      <c r="I75" s="49">
        <f>AVERAGE('25.10 Katuna-Kabale 24hr'!I75)</f>
        <v>0</v>
      </c>
      <c r="J75" s="49">
        <f>AVERAGE('25.10 Katuna-Kabale 24hr'!J75)</f>
        <v>0</v>
      </c>
      <c r="K75" s="49">
        <f>AVERAGE('25.10 Katuna-Kabale 24hr'!K75)</f>
        <v>0</v>
      </c>
      <c r="L75" s="49">
        <f>AVERAGE('25.10 Katuna-Kabale 24hr'!L75)</f>
        <v>0</v>
      </c>
      <c r="M75" s="49">
        <f>AVERAGE('25.10 Katuna-Kabale 24hr'!M75)</f>
        <v>0</v>
      </c>
      <c r="N75" s="49">
        <f>AVERAGE('25.10 Katuna-Kabale 24hr'!N75)</f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23" t="s">
        <v>116</v>
      </c>
      <c r="C76" s="49">
        <f>AVERAGE('25.10 Katuna-Kabale 24hr'!C76)</f>
        <v>1</v>
      </c>
      <c r="D76" s="49">
        <f>AVERAGE('25.10 Katuna-Kabale 24hr'!D76)</f>
        <v>0</v>
      </c>
      <c r="E76" s="49">
        <f>AVERAGE('25.10 Katuna-Kabale 24hr'!E76)</f>
        <v>0</v>
      </c>
      <c r="F76" s="49">
        <f>AVERAGE('25.10 Katuna-Kabale 24hr'!F76)</f>
        <v>0</v>
      </c>
      <c r="G76" s="49">
        <f>AVERAGE('25.10 Katuna-Kabale 24hr'!G76)</f>
        <v>0</v>
      </c>
      <c r="H76" s="49">
        <f>AVERAGE('25.10 Katuna-Kabale 24hr'!H76)</f>
        <v>0</v>
      </c>
      <c r="I76" s="49">
        <f>AVERAGE('25.10 Katuna-Kabale 24hr'!I76)</f>
        <v>0</v>
      </c>
      <c r="J76" s="49">
        <f>AVERAGE('25.10 Katuna-Kabale 24hr'!J76)</f>
        <v>0</v>
      </c>
      <c r="K76" s="49">
        <f>AVERAGE('25.10 Katuna-Kabale 24hr'!K76)</f>
        <v>0</v>
      </c>
      <c r="L76" s="49">
        <f>AVERAGE('25.10 Katuna-Kabale 24hr'!L76)</f>
        <v>0</v>
      </c>
      <c r="M76" s="49">
        <f>AVERAGE('25.10 Katuna-Kabale 24hr'!M76)</f>
        <v>0</v>
      </c>
      <c r="N76" s="49">
        <f>AVERAGE('25.10 Katuna-Kabale 24hr'!N76)</f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23" t="s">
        <v>117</v>
      </c>
      <c r="C77" s="49">
        <f>AVERAGE('25.10 Katuna-Kabale 24hr'!C77)</f>
        <v>1</v>
      </c>
      <c r="D77" s="49">
        <f>AVERAGE('25.10 Katuna-Kabale 24hr'!D77)</f>
        <v>0</v>
      </c>
      <c r="E77" s="49">
        <f>AVERAGE('25.10 Katuna-Kabale 24hr'!E77)</f>
        <v>0</v>
      </c>
      <c r="F77" s="49">
        <f>AVERAGE('25.10 Katuna-Kabale 24hr'!F77)</f>
        <v>0</v>
      </c>
      <c r="G77" s="49">
        <f>AVERAGE('25.10 Katuna-Kabale 24hr'!G77)</f>
        <v>0</v>
      </c>
      <c r="H77" s="49">
        <f>AVERAGE('25.10 Katuna-Kabale 24hr'!H77)</f>
        <v>0</v>
      </c>
      <c r="I77" s="49">
        <f>AVERAGE('25.10 Katuna-Kabale 24hr'!I77)</f>
        <v>1</v>
      </c>
      <c r="J77" s="49">
        <f>AVERAGE('25.10 Katuna-Kabale 24hr'!J77)</f>
        <v>0</v>
      </c>
      <c r="K77" s="49">
        <f>AVERAGE('25.10 Katuna-Kabale 24hr'!K77)</f>
        <v>0</v>
      </c>
      <c r="L77" s="49">
        <f>AVERAGE('25.10 Katuna-Kabale 24hr'!L77)</f>
        <v>0</v>
      </c>
      <c r="M77" s="49">
        <f>AVERAGE('25.10 Katuna-Kabale 24hr'!M77)</f>
        <v>0</v>
      </c>
      <c r="N77" s="49">
        <f>AVERAGE('25.10 Katuna-Kabale 24hr'!N77)</f>
        <v>0</v>
      </c>
      <c r="O77" s="15">
        <f t="shared" si="35"/>
        <v>2</v>
      </c>
      <c r="P77" s="15">
        <f t="shared" si="36"/>
        <v>2</v>
      </c>
      <c r="R77" s="8"/>
      <c r="T77"/>
    </row>
    <row r="78" spans="2:20" ht="23.1" customHeight="1" x14ac:dyDescent="0.25">
      <c r="B78" s="24" t="s">
        <v>118</v>
      </c>
      <c r="C78" s="49">
        <f>AVERAGE('25.10 Katuna-Kabale 24hr'!C78)</f>
        <v>0</v>
      </c>
      <c r="D78" s="49">
        <f>AVERAGE('25.10 Katuna-Kabale 24hr'!D78)</f>
        <v>2</v>
      </c>
      <c r="E78" s="49">
        <f>AVERAGE('25.10 Katuna-Kabale 24hr'!E78)</f>
        <v>0</v>
      </c>
      <c r="F78" s="49">
        <f>AVERAGE('25.10 Katuna-Kabale 24hr'!F78)</f>
        <v>0</v>
      </c>
      <c r="G78" s="49">
        <f>AVERAGE('25.10 Katuna-Kabale 24hr'!G78)</f>
        <v>0</v>
      </c>
      <c r="H78" s="49">
        <f>AVERAGE('25.10 Katuna-Kabale 24hr'!H78)</f>
        <v>0</v>
      </c>
      <c r="I78" s="49">
        <f>AVERAGE('25.10 Katuna-Kabale 24hr'!I78)</f>
        <v>1</v>
      </c>
      <c r="J78" s="49">
        <f>AVERAGE('25.10 Katuna-Kabale 24hr'!J78)</f>
        <v>0</v>
      </c>
      <c r="K78" s="49">
        <f>AVERAGE('25.10 Katuna-Kabale 24hr'!K78)</f>
        <v>0</v>
      </c>
      <c r="L78" s="49">
        <f>AVERAGE('25.10 Katuna-Kabale 24hr'!L78)</f>
        <v>0</v>
      </c>
      <c r="M78" s="49">
        <f>AVERAGE('25.10 Katuna-Kabale 24hr'!M78)</f>
        <v>0</v>
      </c>
      <c r="N78" s="49">
        <f>AVERAGE('25.10 Katuna-Kabale 24hr'!N78)</f>
        <v>0</v>
      </c>
      <c r="O78" s="15">
        <f t="shared" si="35"/>
        <v>3</v>
      </c>
      <c r="P78" s="15">
        <f t="shared" si="36"/>
        <v>3</v>
      </c>
      <c r="R78" s="8"/>
      <c r="T78"/>
    </row>
    <row r="79" spans="2:20" ht="23.1" customHeight="1" x14ac:dyDescent="0.25">
      <c r="B79" s="23" t="s">
        <v>119</v>
      </c>
      <c r="C79" s="49">
        <f>AVERAGE('25.10 Katuna-Kabale 24hr'!C79)</f>
        <v>0</v>
      </c>
      <c r="D79" s="49">
        <f>AVERAGE('25.10 Katuna-Kabale 24hr'!D79)</f>
        <v>0</v>
      </c>
      <c r="E79" s="49">
        <f>AVERAGE('25.10 Katuna-Kabale 24hr'!E79)</f>
        <v>0</v>
      </c>
      <c r="F79" s="49">
        <f>AVERAGE('25.10 Katuna-Kabale 24hr'!F79)</f>
        <v>0</v>
      </c>
      <c r="G79" s="49">
        <f>AVERAGE('25.10 Katuna-Kabale 24hr'!G79)</f>
        <v>0</v>
      </c>
      <c r="H79" s="49">
        <f>AVERAGE('25.10 Katuna-Kabale 24hr'!H79)</f>
        <v>0</v>
      </c>
      <c r="I79" s="49">
        <f>AVERAGE('25.10 Katuna-Kabale 24hr'!I79)</f>
        <v>0</v>
      </c>
      <c r="J79" s="49">
        <f>AVERAGE('25.10 Katuna-Kabale 24hr'!J79)</f>
        <v>0</v>
      </c>
      <c r="K79" s="49">
        <f>AVERAGE('25.10 Katuna-Kabale 24hr'!K79)</f>
        <v>0</v>
      </c>
      <c r="L79" s="49">
        <f>AVERAGE('25.10 Katuna-Kabale 24hr'!L79)</f>
        <v>0</v>
      </c>
      <c r="M79" s="49">
        <f>AVERAGE('25.10 Katuna-Kabale 24hr'!M79)</f>
        <v>1</v>
      </c>
      <c r="N79" s="49">
        <f>AVERAGE('25.10 Katuna-Kabale 24hr'!N79)</f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25" t="s">
        <v>120</v>
      </c>
      <c r="C80" s="49">
        <f>AVERAGE('25.10 Katuna-Kabale 24hr'!C80)</f>
        <v>3</v>
      </c>
      <c r="D80" s="49">
        <f>AVERAGE('25.10 Katuna-Kabale 24hr'!D80)</f>
        <v>0</v>
      </c>
      <c r="E80" s="49">
        <f>AVERAGE('25.10 Katuna-Kabale 24hr'!E80)</f>
        <v>1</v>
      </c>
      <c r="F80" s="49">
        <f>AVERAGE('25.10 Katuna-Kabale 24hr'!F80)</f>
        <v>0</v>
      </c>
      <c r="G80" s="49">
        <f>AVERAGE('25.10 Katuna-Kabale 24hr'!G80)</f>
        <v>0</v>
      </c>
      <c r="H80" s="49">
        <f>AVERAGE('25.10 Katuna-Kabale 24hr'!H80)</f>
        <v>0</v>
      </c>
      <c r="I80" s="49">
        <f>AVERAGE('25.10 Katuna-Kabale 24hr'!I80)</f>
        <v>0</v>
      </c>
      <c r="J80" s="49">
        <f>AVERAGE('25.10 Katuna-Kabale 24hr'!J80)</f>
        <v>0</v>
      </c>
      <c r="K80" s="49">
        <f>AVERAGE('25.10 Katuna-Kabale 24hr'!K80)</f>
        <v>0</v>
      </c>
      <c r="L80" s="49">
        <f>AVERAGE('25.10 Katuna-Kabale 24hr'!L80)</f>
        <v>0</v>
      </c>
      <c r="M80" s="49">
        <f>AVERAGE('25.10 Katuna-Kabale 24hr'!M80)</f>
        <v>0</v>
      </c>
      <c r="N80" s="49">
        <f>AVERAGE('25.10 Katuna-Kabale 24hr'!N80)</f>
        <v>0</v>
      </c>
      <c r="O80" s="15">
        <f t="shared" si="35"/>
        <v>4</v>
      </c>
      <c r="P80" s="15">
        <f t="shared" si="36"/>
        <v>4</v>
      </c>
      <c r="R80" s="8"/>
      <c r="T80"/>
    </row>
    <row r="81" spans="2:20" ht="23.1" customHeight="1" x14ac:dyDescent="0.25">
      <c r="B81" s="23" t="s">
        <v>121</v>
      </c>
      <c r="C81" s="49">
        <f>AVERAGE('25.10 Katuna-Kabale 24hr'!C81)</f>
        <v>1</v>
      </c>
      <c r="D81" s="49">
        <f>AVERAGE('25.10 Katuna-Kabale 24hr'!D81)</f>
        <v>0</v>
      </c>
      <c r="E81" s="49">
        <f>AVERAGE('25.10 Katuna-Kabale 24hr'!E81)</f>
        <v>0</v>
      </c>
      <c r="F81" s="49">
        <f>AVERAGE('25.10 Katuna-Kabale 24hr'!F81)</f>
        <v>0</v>
      </c>
      <c r="G81" s="49">
        <f>AVERAGE('25.10 Katuna-Kabale 24hr'!G81)</f>
        <v>0</v>
      </c>
      <c r="H81" s="49">
        <f>AVERAGE('25.10 Katuna-Kabale 24hr'!H81)</f>
        <v>0</v>
      </c>
      <c r="I81" s="49">
        <f>AVERAGE('25.10 Katuna-Kabale 24hr'!I81)</f>
        <v>0</v>
      </c>
      <c r="J81" s="49">
        <f>AVERAGE('25.10 Katuna-Kabale 24hr'!J81)</f>
        <v>0</v>
      </c>
      <c r="K81" s="49">
        <f>AVERAGE('25.10 Katuna-Kabale 24hr'!K81)</f>
        <v>0</v>
      </c>
      <c r="L81" s="49">
        <f>AVERAGE('25.10 Katuna-Kabale 24hr'!L81)</f>
        <v>0</v>
      </c>
      <c r="M81" s="49">
        <f>AVERAGE('25.10 Katuna-Kabale 24hr'!M81)</f>
        <v>0</v>
      </c>
      <c r="N81" s="49">
        <f>AVERAGE('25.10 Katuna-Kabale 24hr'!N81)</f>
        <v>0</v>
      </c>
      <c r="O81" s="15">
        <f t="shared" si="35"/>
        <v>1</v>
      </c>
      <c r="P81" s="15">
        <f t="shared" si="36"/>
        <v>1</v>
      </c>
      <c r="R81" s="8"/>
      <c r="T81"/>
    </row>
    <row r="82" spans="2:20" ht="23.1" customHeight="1" x14ac:dyDescent="0.25">
      <c r="B82" s="24" t="s">
        <v>122</v>
      </c>
      <c r="C82" s="49">
        <f>AVERAGE('25.10 Katuna-Kabale 24hr'!C82)</f>
        <v>1</v>
      </c>
      <c r="D82" s="49">
        <f>AVERAGE('25.10 Katuna-Kabale 24hr'!D82)</f>
        <v>1</v>
      </c>
      <c r="E82" s="49">
        <f>AVERAGE('25.10 Katuna-Kabale 24hr'!E82)</f>
        <v>0</v>
      </c>
      <c r="F82" s="49">
        <f>AVERAGE('25.10 Katuna-Kabale 24hr'!F82)</f>
        <v>0</v>
      </c>
      <c r="G82" s="49">
        <f>AVERAGE('25.10 Katuna-Kabale 24hr'!G82)</f>
        <v>0</v>
      </c>
      <c r="H82" s="49">
        <f>AVERAGE('25.10 Katuna-Kabale 24hr'!H82)</f>
        <v>0</v>
      </c>
      <c r="I82" s="49">
        <f>AVERAGE('25.10 Katuna-Kabale 24hr'!I82)</f>
        <v>0</v>
      </c>
      <c r="J82" s="49">
        <f>AVERAGE('25.10 Katuna-Kabale 24hr'!J82)</f>
        <v>2</v>
      </c>
      <c r="K82" s="49">
        <f>AVERAGE('25.10 Katuna-Kabale 24hr'!K82)</f>
        <v>0</v>
      </c>
      <c r="L82" s="49">
        <f>AVERAGE('25.10 Katuna-Kabale 24hr'!L82)</f>
        <v>0</v>
      </c>
      <c r="M82" s="49">
        <f>AVERAGE('25.10 Katuna-Kabale 24hr'!M82)</f>
        <v>1</v>
      </c>
      <c r="N82" s="49">
        <f>AVERAGE('25.10 Katuna-Kabale 24hr'!N82)</f>
        <v>0</v>
      </c>
      <c r="O82" s="15">
        <f t="shared" si="35"/>
        <v>4</v>
      </c>
      <c r="P82" s="15">
        <f t="shared" si="36"/>
        <v>5</v>
      </c>
      <c r="R82" s="8"/>
      <c r="T82"/>
    </row>
    <row r="83" spans="2:20" ht="23.1" customHeight="1" x14ac:dyDescent="0.25">
      <c r="B83" s="23" t="s">
        <v>123</v>
      </c>
      <c r="C83" s="49">
        <f>AVERAGE('25.10 Katuna-Kabale 24hr'!C83)</f>
        <v>0</v>
      </c>
      <c r="D83" s="49">
        <f>AVERAGE('25.10 Katuna-Kabale 24hr'!D83)</f>
        <v>0</v>
      </c>
      <c r="E83" s="49">
        <f>AVERAGE('25.10 Katuna-Kabale 24hr'!E83)</f>
        <v>0</v>
      </c>
      <c r="F83" s="49">
        <f>AVERAGE('25.10 Katuna-Kabale 24hr'!F83)</f>
        <v>0</v>
      </c>
      <c r="G83" s="49">
        <f>AVERAGE('25.10 Katuna-Kabale 24hr'!G83)</f>
        <v>0</v>
      </c>
      <c r="H83" s="49">
        <f>AVERAGE('25.10 Katuna-Kabale 24hr'!H83)</f>
        <v>0</v>
      </c>
      <c r="I83" s="49">
        <f>AVERAGE('25.10 Katuna-Kabale 24hr'!I83)</f>
        <v>0</v>
      </c>
      <c r="J83" s="49">
        <f>AVERAGE('25.10 Katuna-Kabale 24hr'!J83)</f>
        <v>0</v>
      </c>
      <c r="K83" s="49">
        <f>AVERAGE('25.10 Katuna-Kabale 24hr'!K83)</f>
        <v>0</v>
      </c>
      <c r="L83" s="49">
        <f>AVERAGE('25.10 Katuna-Kabale 24hr'!L83)</f>
        <v>0</v>
      </c>
      <c r="M83" s="49">
        <f>AVERAGE('25.10 Katuna-Kabale 24hr'!M83)</f>
        <v>2</v>
      </c>
      <c r="N83" s="49">
        <f>AVERAGE('25.10 Katuna-Kabale 24hr'!N83)</f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AVERAGE('25.10 Katuna-Kabale 24hr'!C84)</f>
        <v>0</v>
      </c>
      <c r="D84" s="49">
        <f>AVERAGE('25.10 Katuna-Kabale 24hr'!D84)</f>
        <v>0</v>
      </c>
      <c r="E84" s="49">
        <f>AVERAGE('25.10 Katuna-Kabale 24hr'!E84)</f>
        <v>3</v>
      </c>
      <c r="F84" s="49">
        <f>AVERAGE('25.10 Katuna-Kabale 24hr'!F84)</f>
        <v>0</v>
      </c>
      <c r="G84" s="49">
        <f>AVERAGE('25.10 Katuna-Kabale 24hr'!G84)</f>
        <v>0</v>
      </c>
      <c r="H84" s="49">
        <f>AVERAGE('25.10 Katuna-Kabale 24hr'!H84)</f>
        <v>0</v>
      </c>
      <c r="I84" s="49">
        <f>AVERAGE('25.10 Katuna-Kabale 24hr'!I84)</f>
        <v>0</v>
      </c>
      <c r="J84" s="49">
        <f>AVERAGE('25.10 Katuna-Kabale 24hr'!J84)</f>
        <v>0</v>
      </c>
      <c r="K84" s="49">
        <f>AVERAGE('25.10 Katuna-Kabale 24hr'!K84)</f>
        <v>0</v>
      </c>
      <c r="L84" s="49">
        <f>AVERAGE('25.10 Katuna-Kabale 24hr'!L84)</f>
        <v>0</v>
      </c>
      <c r="M84" s="49">
        <f>AVERAGE('25.10 Katuna-Kabale 24hr'!M84)</f>
        <v>0</v>
      </c>
      <c r="N84" s="49">
        <f>AVERAGE('25.10 Katuna-Kabale 24hr'!N84)</f>
        <v>0</v>
      </c>
      <c r="O84" s="15">
        <f t="shared" si="35"/>
        <v>3</v>
      </c>
      <c r="P84" s="15">
        <f t="shared" si="36"/>
        <v>3</v>
      </c>
      <c r="R84" s="8"/>
      <c r="T84"/>
    </row>
    <row r="85" spans="2:20" ht="23.1" customHeight="1" x14ac:dyDescent="0.25">
      <c r="B85" s="23" t="s">
        <v>125</v>
      </c>
      <c r="C85" s="49">
        <f>AVERAGE('25.10 Katuna-Kabale 24hr'!C85)</f>
        <v>0</v>
      </c>
      <c r="D85" s="49">
        <f>AVERAGE('25.10 Katuna-Kabale 24hr'!D85)</f>
        <v>0</v>
      </c>
      <c r="E85" s="49">
        <f>AVERAGE('25.10 Katuna-Kabale 24hr'!E85)</f>
        <v>0</v>
      </c>
      <c r="F85" s="49">
        <f>AVERAGE('25.10 Katuna-Kabale 24hr'!F85)</f>
        <v>0</v>
      </c>
      <c r="G85" s="49">
        <f>AVERAGE('25.10 Katuna-Kabale 24hr'!G85)</f>
        <v>0</v>
      </c>
      <c r="H85" s="49">
        <f>AVERAGE('25.10 Katuna-Kabale 24hr'!H85)</f>
        <v>0</v>
      </c>
      <c r="I85" s="49">
        <f>AVERAGE('25.10 Katuna-Kabale 24hr'!I85)</f>
        <v>0</v>
      </c>
      <c r="J85" s="49">
        <f>AVERAGE('25.10 Katuna-Kabale 24hr'!J85)</f>
        <v>0</v>
      </c>
      <c r="K85" s="49">
        <f>AVERAGE('25.10 Katuna-Kabale 24hr'!K85)</f>
        <v>0</v>
      </c>
      <c r="L85" s="49">
        <f>AVERAGE('25.10 Katuna-Kabale 24hr'!L85)</f>
        <v>0</v>
      </c>
      <c r="M85" s="49">
        <f>AVERAGE('25.10 Katuna-Kabale 24hr'!M85)</f>
        <v>0</v>
      </c>
      <c r="N85" s="49">
        <f>AVERAGE('25.10 Katuna-Kabale 24hr'!N85)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AVERAGE('25.10 Katuna-Kabale 24hr'!C86)</f>
        <v>0</v>
      </c>
      <c r="D86" s="49">
        <f>AVERAGE('25.10 Katuna-Kabale 24hr'!D86)</f>
        <v>1</v>
      </c>
      <c r="E86" s="49">
        <f>AVERAGE('25.10 Katuna-Kabale 24hr'!E86)</f>
        <v>0</v>
      </c>
      <c r="F86" s="49">
        <f>AVERAGE('25.10 Katuna-Kabale 24hr'!F86)</f>
        <v>0</v>
      </c>
      <c r="G86" s="49">
        <f>AVERAGE('25.10 Katuna-Kabale 24hr'!G86)</f>
        <v>1</v>
      </c>
      <c r="H86" s="49">
        <f>AVERAGE('25.10 Katuna-Kabale 24hr'!H86)</f>
        <v>0</v>
      </c>
      <c r="I86" s="49">
        <f>AVERAGE('25.10 Katuna-Kabale 24hr'!I86)</f>
        <v>0</v>
      </c>
      <c r="J86" s="49">
        <f>AVERAGE('25.10 Katuna-Kabale 24hr'!J86)</f>
        <v>0</v>
      </c>
      <c r="K86" s="49">
        <f>AVERAGE('25.10 Katuna-Kabale 24hr'!K86)</f>
        <v>0</v>
      </c>
      <c r="L86" s="49">
        <f>AVERAGE('25.10 Katuna-Kabale 24hr'!L86)</f>
        <v>0</v>
      </c>
      <c r="M86" s="49">
        <f>AVERAGE('25.10 Katuna-Kabale 24hr'!M86)</f>
        <v>1</v>
      </c>
      <c r="N86" s="49">
        <f>AVERAGE('25.10 Katuna-Kabale 24hr'!N86)</f>
        <v>0</v>
      </c>
      <c r="O86" s="15">
        <f t="shared" si="35"/>
        <v>2</v>
      </c>
      <c r="P86" s="15">
        <f t="shared" si="36"/>
        <v>3</v>
      </c>
      <c r="R86" s="8"/>
      <c r="T86"/>
    </row>
    <row r="87" spans="2:20" ht="23.1" customHeight="1" x14ac:dyDescent="0.25">
      <c r="B87" s="23" t="s">
        <v>127</v>
      </c>
      <c r="C87" s="49">
        <f>AVERAGE('25.10 Katuna-Kabale 24hr'!C87)</f>
        <v>3</v>
      </c>
      <c r="D87" s="49">
        <f>AVERAGE('25.10 Katuna-Kabale 24hr'!D87)</f>
        <v>0</v>
      </c>
      <c r="E87" s="49">
        <f>AVERAGE('25.10 Katuna-Kabale 24hr'!E87)</f>
        <v>0</v>
      </c>
      <c r="F87" s="49">
        <f>AVERAGE('25.10 Katuna-Kabale 24hr'!F87)</f>
        <v>0</v>
      </c>
      <c r="G87" s="49">
        <f>AVERAGE('25.10 Katuna-Kabale 24hr'!G87)</f>
        <v>0</v>
      </c>
      <c r="H87" s="49">
        <f>AVERAGE('25.10 Katuna-Kabale 24hr'!H87)</f>
        <v>0</v>
      </c>
      <c r="I87" s="49">
        <f>AVERAGE('25.10 Katuna-Kabale 24hr'!I87)</f>
        <v>2</v>
      </c>
      <c r="J87" s="49">
        <f>AVERAGE('25.10 Katuna-Kabale 24hr'!J87)</f>
        <v>0</v>
      </c>
      <c r="K87" s="49">
        <f>AVERAGE('25.10 Katuna-Kabale 24hr'!K87)</f>
        <v>0</v>
      </c>
      <c r="L87" s="49">
        <f>AVERAGE('25.10 Katuna-Kabale 24hr'!L87)</f>
        <v>0</v>
      </c>
      <c r="M87" s="49">
        <f>AVERAGE('25.10 Katuna-Kabale 24hr'!M87)</f>
        <v>0</v>
      </c>
      <c r="N87" s="49">
        <f>AVERAGE('25.10 Katuna-Kabale 24hr'!N87)</f>
        <v>0</v>
      </c>
      <c r="O87" s="15">
        <f t="shared" si="35"/>
        <v>5</v>
      </c>
      <c r="P87" s="15">
        <f t="shared" si="36"/>
        <v>5</v>
      </c>
      <c r="R87" s="8"/>
      <c r="T87"/>
    </row>
    <row r="88" spans="2:20" ht="23.1" customHeight="1" x14ac:dyDescent="0.25">
      <c r="B88" s="25" t="s">
        <v>128</v>
      </c>
      <c r="C88" s="49">
        <f>AVERAGE('25.10 Katuna-Kabale 24hr'!C88)</f>
        <v>1</v>
      </c>
      <c r="D88" s="49">
        <f>AVERAGE('25.10 Katuna-Kabale 24hr'!D88)</f>
        <v>0</v>
      </c>
      <c r="E88" s="49">
        <f>AVERAGE('25.10 Katuna-Kabale 24hr'!E88)</f>
        <v>0</v>
      </c>
      <c r="F88" s="49">
        <f>AVERAGE('25.10 Katuna-Kabale 24hr'!F88)</f>
        <v>0</v>
      </c>
      <c r="G88" s="49">
        <f>AVERAGE('25.10 Katuna-Kabale 24hr'!G88)</f>
        <v>0</v>
      </c>
      <c r="H88" s="49">
        <f>AVERAGE('25.10 Katuna-Kabale 24hr'!H88)</f>
        <v>0</v>
      </c>
      <c r="I88" s="49">
        <f>AVERAGE('25.10 Katuna-Kabale 24hr'!I88)</f>
        <v>0</v>
      </c>
      <c r="J88" s="49">
        <f>AVERAGE('25.10 Katuna-Kabale 24hr'!J88)</f>
        <v>0</v>
      </c>
      <c r="K88" s="49">
        <f>AVERAGE('25.10 Katuna-Kabale 24hr'!K88)</f>
        <v>0</v>
      </c>
      <c r="L88" s="49">
        <f>AVERAGE('25.10 Katuna-Kabale 24hr'!L88)</f>
        <v>0</v>
      </c>
      <c r="M88" s="49">
        <f>AVERAGE('25.10 Katuna-Kabale 24hr'!M88)</f>
        <v>0</v>
      </c>
      <c r="N88" s="49">
        <f>AVERAGE('25.10 Katuna-Kabale 24hr'!N88)</f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23" t="s">
        <v>129</v>
      </c>
      <c r="C89" s="49">
        <f>AVERAGE('25.10 Katuna-Kabale 24hr'!C89)</f>
        <v>2</v>
      </c>
      <c r="D89" s="49">
        <f>AVERAGE('25.10 Katuna-Kabale 24hr'!D89)</f>
        <v>1</v>
      </c>
      <c r="E89" s="49">
        <f>AVERAGE('25.10 Katuna-Kabale 24hr'!E89)</f>
        <v>2</v>
      </c>
      <c r="F89" s="49">
        <f>AVERAGE('25.10 Katuna-Kabale 24hr'!F89)</f>
        <v>0</v>
      </c>
      <c r="G89" s="49">
        <f>AVERAGE('25.10 Katuna-Kabale 24hr'!G89)</f>
        <v>0</v>
      </c>
      <c r="H89" s="49">
        <f>AVERAGE('25.10 Katuna-Kabale 24hr'!H89)</f>
        <v>0</v>
      </c>
      <c r="I89" s="49">
        <f>AVERAGE('25.10 Katuna-Kabale 24hr'!I89)</f>
        <v>0</v>
      </c>
      <c r="J89" s="49">
        <f>AVERAGE('25.10 Katuna-Kabale 24hr'!J89)</f>
        <v>0</v>
      </c>
      <c r="K89" s="49">
        <f>AVERAGE('25.10 Katuna-Kabale 24hr'!K89)</f>
        <v>0</v>
      </c>
      <c r="L89" s="49">
        <f>AVERAGE('25.10 Katuna-Kabale 24hr'!L89)</f>
        <v>0</v>
      </c>
      <c r="M89" s="49">
        <f>AVERAGE('25.10 Katuna-Kabale 24hr'!M89)</f>
        <v>0</v>
      </c>
      <c r="N89" s="49">
        <f>AVERAGE('25.10 Katuna-Kabale 24hr'!N89)</f>
        <v>0</v>
      </c>
      <c r="O89" s="15">
        <f t="shared" si="35"/>
        <v>5</v>
      </c>
      <c r="P89" s="15">
        <f t="shared" si="36"/>
        <v>5</v>
      </c>
      <c r="R89" s="8"/>
      <c r="T89"/>
    </row>
    <row r="90" spans="2:20" ht="23.1" customHeight="1" x14ac:dyDescent="0.25">
      <c r="B90" s="24" t="s">
        <v>130</v>
      </c>
      <c r="C90" s="49">
        <f>AVERAGE('25.10 Katuna-Kabale 24hr'!C90)</f>
        <v>1</v>
      </c>
      <c r="D90" s="49">
        <f>AVERAGE('25.10 Katuna-Kabale 24hr'!D90)</f>
        <v>0</v>
      </c>
      <c r="E90" s="49">
        <f>AVERAGE('25.10 Katuna-Kabale 24hr'!E90)</f>
        <v>3</v>
      </c>
      <c r="F90" s="49">
        <f>AVERAGE('25.10 Katuna-Kabale 24hr'!F90)</f>
        <v>0</v>
      </c>
      <c r="G90" s="49">
        <f>AVERAGE('25.10 Katuna-Kabale 24hr'!G90)</f>
        <v>0</v>
      </c>
      <c r="H90" s="49">
        <f>AVERAGE('25.10 Katuna-Kabale 24hr'!H90)</f>
        <v>0</v>
      </c>
      <c r="I90" s="49">
        <f>AVERAGE('25.10 Katuna-Kabale 24hr'!I90)</f>
        <v>0</v>
      </c>
      <c r="J90" s="49">
        <f>AVERAGE('25.10 Katuna-Kabale 24hr'!J90)</f>
        <v>0</v>
      </c>
      <c r="K90" s="49">
        <f>AVERAGE('25.10 Katuna-Kabale 24hr'!K90)</f>
        <v>0</v>
      </c>
      <c r="L90" s="49">
        <f>AVERAGE('25.10 Katuna-Kabale 24hr'!L90)</f>
        <v>0</v>
      </c>
      <c r="M90" s="49">
        <f>AVERAGE('25.10 Katuna-Kabale 24hr'!M90)</f>
        <v>0</v>
      </c>
      <c r="N90" s="49">
        <f>AVERAGE('25.10 Katuna-Kabale 24hr'!N90)</f>
        <v>0</v>
      </c>
      <c r="O90" s="15">
        <f t="shared" si="35"/>
        <v>4</v>
      </c>
      <c r="P90" s="15">
        <f t="shared" si="36"/>
        <v>4</v>
      </c>
      <c r="R90" s="8"/>
      <c r="T90"/>
    </row>
    <row r="91" spans="2:20" ht="23.1" customHeight="1" x14ac:dyDescent="0.25">
      <c r="B91" s="23" t="s">
        <v>131</v>
      </c>
      <c r="C91" s="49">
        <f>AVERAGE('25.10 Katuna-Kabale 24hr'!C91)</f>
        <v>0</v>
      </c>
      <c r="D91" s="49">
        <f>AVERAGE('25.10 Katuna-Kabale 24hr'!D91)</f>
        <v>0</v>
      </c>
      <c r="E91" s="49">
        <f>AVERAGE('25.10 Katuna-Kabale 24hr'!E91)</f>
        <v>0</v>
      </c>
      <c r="F91" s="49">
        <f>AVERAGE('25.10 Katuna-Kabale 24hr'!F91)</f>
        <v>0</v>
      </c>
      <c r="G91" s="49">
        <f>AVERAGE('25.10 Katuna-Kabale 24hr'!G91)</f>
        <v>0</v>
      </c>
      <c r="H91" s="49">
        <f>AVERAGE('25.10 Katuna-Kabale 24hr'!H91)</f>
        <v>0</v>
      </c>
      <c r="I91" s="49">
        <f>AVERAGE('25.10 Katuna-Kabale 24hr'!I91)</f>
        <v>2</v>
      </c>
      <c r="J91" s="49">
        <f>AVERAGE('25.10 Katuna-Kabale 24hr'!J91)</f>
        <v>0</v>
      </c>
      <c r="K91" s="49">
        <f>AVERAGE('25.10 Katuna-Kabale 24hr'!K91)</f>
        <v>0</v>
      </c>
      <c r="L91" s="49">
        <f>AVERAGE('25.10 Katuna-Kabale 24hr'!L91)</f>
        <v>0</v>
      </c>
      <c r="M91" s="49">
        <f>AVERAGE('25.10 Katuna-Kabale 24hr'!M91)</f>
        <v>1</v>
      </c>
      <c r="N91" s="49">
        <f>AVERAGE('25.10 Katuna-Kabale 24hr'!N91)</f>
        <v>0</v>
      </c>
      <c r="O91" s="15">
        <f t="shared" si="35"/>
        <v>2</v>
      </c>
      <c r="P91" s="15">
        <f t="shared" si="36"/>
        <v>3</v>
      </c>
      <c r="R91" s="8"/>
      <c r="T91"/>
    </row>
    <row r="92" spans="2:20" ht="23.1" customHeight="1" x14ac:dyDescent="0.25">
      <c r="B92" s="25" t="s">
        <v>132</v>
      </c>
      <c r="C92" s="49">
        <f>AVERAGE('25.10 Katuna-Kabale 24hr'!C92)</f>
        <v>0</v>
      </c>
      <c r="D92" s="49">
        <f>AVERAGE('25.10 Katuna-Kabale 24hr'!D92)</f>
        <v>0</v>
      </c>
      <c r="E92" s="49">
        <f>AVERAGE('25.10 Katuna-Kabale 24hr'!E92)</f>
        <v>0</v>
      </c>
      <c r="F92" s="49">
        <f>AVERAGE('25.10 Katuna-Kabale 24hr'!F92)</f>
        <v>0</v>
      </c>
      <c r="G92" s="49">
        <f>AVERAGE('25.10 Katuna-Kabale 24hr'!G92)</f>
        <v>0</v>
      </c>
      <c r="H92" s="49">
        <f>AVERAGE('25.10 Katuna-Kabale 24hr'!H92)</f>
        <v>0</v>
      </c>
      <c r="I92" s="49">
        <f>AVERAGE('25.10 Katuna-Kabale 24hr'!I92)</f>
        <v>0</v>
      </c>
      <c r="J92" s="49">
        <f>AVERAGE('25.10 Katuna-Kabale 24hr'!J92)</f>
        <v>0</v>
      </c>
      <c r="K92" s="49">
        <f>AVERAGE('25.10 Katuna-Kabale 24hr'!K92)</f>
        <v>0</v>
      </c>
      <c r="L92" s="49">
        <f>AVERAGE('25.10 Katuna-Kabale 24hr'!L92)</f>
        <v>0</v>
      </c>
      <c r="M92" s="49">
        <f>AVERAGE('25.10 Katuna-Kabale 24hr'!M92)</f>
        <v>0</v>
      </c>
      <c r="N92" s="49">
        <f>AVERAGE('25.10 Katuna-Kabale 24hr'!N92)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AVERAGE('25.10 Katuna-Kabale 24hr'!C93)</f>
        <v>5</v>
      </c>
      <c r="D93" s="49">
        <f>AVERAGE('25.10 Katuna-Kabale 24hr'!D93)</f>
        <v>2</v>
      </c>
      <c r="E93" s="49">
        <f>AVERAGE('25.10 Katuna-Kabale 24hr'!E93)</f>
        <v>0</v>
      </c>
      <c r="F93" s="49">
        <f>AVERAGE('25.10 Katuna-Kabale 24hr'!F93)</f>
        <v>0</v>
      </c>
      <c r="G93" s="49">
        <f>AVERAGE('25.10 Katuna-Kabale 24hr'!G93)</f>
        <v>0</v>
      </c>
      <c r="H93" s="49">
        <f>AVERAGE('25.10 Katuna-Kabale 24hr'!H93)</f>
        <v>0</v>
      </c>
      <c r="I93" s="49">
        <f>AVERAGE('25.10 Katuna-Kabale 24hr'!I93)</f>
        <v>0</v>
      </c>
      <c r="J93" s="49">
        <f>AVERAGE('25.10 Katuna-Kabale 24hr'!J93)</f>
        <v>0</v>
      </c>
      <c r="K93" s="49">
        <f>AVERAGE('25.10 Katuna-Kabale 24hr'!K93)</f>
        <v>0</v>
      </c>
      <c r="L93" s="49">
        <f>AVERAGE('25.10 Katuna-Kabale 24hr'!L93)</f>
        <v>0</v>
      </c>
      <c r="M93" s="49">
        <f>AVERAGE('25.10 Katuna-Kabale 24hr'!M93)</f>
        <v>0</v>
      </c>
      <c r="N93" s="49">
        <f>AVERAGE('25.10 Katuna-Kabale 24hr'!N93)</f>
        <v>0</v>
      </c>
      <c r="O93" s="15">
        <f t="shared" si="35"/>
        <v>7</v>
      </c>
      <c r="P93" s="15">
        <f t="shared" si="36"/>
        <v>7</v>
      </c>
      <c r="R93" s="8"/>
      <c r="T93"/>
    </row>
    <row r="94" spans="2:20" ht="23.1" customHeight="1" x14ac:dyDescent="0.25">
      <c r="B94" s="24" t="s">
        <v>134</v>
      </c>
      <c r="C94" s="49">
        <f>AVERAGE('25.10 Katuna-Kabale 24hr'!C94)</f>
        <v>1</v>
      </c>
      <c r="D94" s="49">
        <f>AVERAGE('25.10 Katuna-Kabale 24hr'!D94)</f>
        <v>0</v>
      </c>
      <c r="E94" s="49">
        <f>AVERAGE('25.10 Katuna-Kabale 24hr'!E94)</f>
        <v>0</v>
      </c>
      <c r="F94" s="49">
        <f>AVERAGE('25.10 Katuna-Kabale 24hr'!F94)</f>
        <v>0</v>
      </c>
      <c r="G94" s="49">
        <f>AVERAGE('25.10 Katuna-Kabale 24hr'!G94)</f>
        <v>2</v>
      </c>
      <c r="H94" s="49">
        <f>AVERAGE('25.10 Katuna-Kabale 24hr'!H94)</f>
        <v>0</v>
      </c>
      <c r="I94" s="49">
        <f>AVERAGE('25.10 Katuna-Kabale 24hr'!I94)</f>
        <v>1</v>
      </c>
      <c r="J94" s="49">
        <f>AVERAGE('25.10 Katuna-Kabale 24hr'!J94)</f>
        <v>0</v>
      </c>
      <c r="K94" s="49">
        <f>AVERAGE('25.10 Katuna-Kabale 24hr'!K94)</f>
        <v>0</v>
      </c>
      <c r="L94" s="49">
        <f>AVERAGE('25.10 Katuna-Kabale 24hr'!L94)</f>
        <v>0</v>
      </c>
      <c r="M94" s="49">
        <f>AVERAGE('25.10 Katuna-Kabale 24hr'!M94)</f>
        <v>1</v>
      </c>
      <c r="N94" s="49">
        <f>AVERAGE('25.10 Katuna-Kabale 24hr'!N94)</f>
        <v>0</v>
      </c>
      <c r="O94" s="15">
        <f t="shared" si="35"/>
        <v>4</v>
      </c>
      <c r="P94" s="15">
        <f t="shared" si="36"/>
        <v>5</v>
      </c>
      <c r="R94" s="8"/>
      <c r="T94"/>
    </row>
    <row r="95" spans="2:20" ht="23.1" customHeight="1" x14ac:dyDescent="0.25">
      <c r="B95" s="23" t="s">
        <v>135</v>
      </c>
      <c r="C95" s="49">
        <f>AVERAGE('25.10 Katuna-Kabale 24hr'!C95)</f>
        <v>0</v>
      </c>
      <c r="D95" s="49">
        <f>AVERAGE('25.10 Katuna-Kabale 24hr'!D95)</f>
        <v>0</v>
      </c>
      <c r="E95" s="49">
        <f>AVERAGE('25.10 Katuna-Kabale 24hr'!E95)</f>
        <v>0</v>
      </c>
      <c r="F95" s="49">
        <f>AVERAGE('25.10 Katuna-Kabale 24hr'!F95)</f>
        <v>0</v>
      </c>
      <c r="G95" s="49">
        <f>AVERAGE('25.10 Katuna-Kabale 24hr'!G95)</f>
        <v>0</v>
      </c>
      <c r="H95" s="49">
        <f>AVERAGE('25.10 Katuna-Kabale 24hr'!H95)</f>
        <v>0</v>
      </c>
      <c r="I95" s="49">
        <f>AVERAGE('25.10 Katuna-Kabale 24hr'!I95)</f>
        <v>0</v>
      </c>
      <c r="J95" s="49">
        <f>AVERAGE('25.10 Katuna-Kabale 24hr'!J95)</f>
        <v>0</v>
      </c>
      <c r="K95" s="49">
        <f>AVERAGE('25.10 Katuna-Kabale 24hr'!K95)</f>
        <v>0</v>
      </c>
      <c r="L95" s="49">
        <f>AVERAGE('25.10 Katuna-Kabale 24hr'!L95)</f>
        <v>0</v>
      </c>
      <c r="M95" s="49">
        <f>AVERAGE('25.10 Katuna-Kabale 24hr'!M95)</f>
        <v>1</v>
      </c>
      <c r="N95" s="49">
        <f>AVERAGE('25.10 Katuna-Kabale 24hr'!N95)</f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25" t="s">
        <v>136</v>
      </c>
      <c r="C96" s="49">
        <f>AVERAGE('25.10 Katuna-Kabale 24hr'!C96)</f>
        <v>0</v>
      </c>
      <c r="D96" s="49">
        <f>AVERAGE('25.10 Katuna-Kabale 24hr'!D96)</f>
        <v>1</v>
      </c>
      <c r="E96" s="49">
        <f>AVERAGE('25.10 Katuna-Kabale 24hr'!E96)</f>
        <v>0</v>
      </c>
      <c r="F96" s="49">
        <f>AVERAGE('25.10 Katuna-Kabale 24hr'!F96)</f>
        <v>0</v>
      </c>
      <c r="G96" s="49">
        <f>AVERAGE('25.10 Katuna-Kabale 24hr'!G96)</f>
        <v>0</v>
      </c>
      <c r="H96" s="49">
        <f>AVERAGE('25.10 Katuna-Kabale 24hr'!H96)</f>
        <v>0</v>
      </c>
      <c r="I96" s="49">
        <f>AVERAGE('25.10 Katuna-Kabale 24hr'!I96)</f>
        <v>0</v>
      </c>
      <c r="J96" s="49">
        <f>AVERAGE('25.10 Katuna-Kabale 24hr'!J96)</f>
        <v>0</v>
      </c>
      <c r="K96" s="49">
        <f>AVERAGE('25.10 Katuna-Kabale 24hr'!K96)</f>
        <v>0</v>
      </c>
      <c r="L96" s="49">
        <f>AVERAGE('25.10 Katuna-Kabale 24hr'!L96)</f>
        <v>0</v>
      </c>
      <c r="M96" s="49">
        <f>AVERAGE('25.10 Katuna-Kabale 24hr'!M96)</f>
        <v>0</v>
      </c>
      <c r="N96" s="49">
        <f>AVERAGE('25.10 Katuna-Kabale 24hr'!N96)</f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23" t="s">
        <v>137</v>
      </c>
      <c r="C97" s="49">
        <f>AVERAGE('25.10 Katuna-Kabale 24hr'!C97)</f>
        <v>0</v>
      </c>
      <c r="D97" s="49">
        <f>AVERAGE('25.10 Katuna-Kabale 24hr'!D97)</f>
        <v>0</v>
      </c>
      <c r="E97" s="49">
        <f>AVERAGE('25.10 Katuna-Kabale 24hr'!E97)</f>
        <v>2</v>
      </c>
      <c r="F97" s="49">
        <f>AVERAGE('25.10 Katuna-Kabale 24hr'!F97)</f>
        <v>0</v>
      </c>
      <c r="G97" s="49">
        <f>AVERAGE('25.10 Katuna-Kabale 24hr'!G97)</f>
        <v>0</v>
      </c>
      <c r="H97" s="49">
        <f>AVERAGE('25.10 Katuna-Kabale 24hr'!H97)</f>
        <v>0</v>
      </c>
      <c r="I97" s="49">
        <f>AVERAGE('25.10 Katuna-Kabale 24hr'!I97)</f>
        <v>0</v>
      </c>
      <c r="J97" s="49">
        <f>AVERAGE('25.10 Katuna-Kabale 24hr'!J97)</f>
        <v>0</v>
      </c>
      <c r="K97" s="49">
        <f>AVERAGE('25.10 Katuna-Kabale 24hr'!K97)</f>
        <v>0</v>
      </c>
      <c r="L97" s="49">
        <f>AVERAGE('25.10 Katuna-Kabale 24hr'!L97)</f>
        <v>0</v>
      </c>
      <c r="M97" s="49">
        <f>AVERAGE('25.10 Katuna-Kabale 24hr'!M97)</f>
        <v>2</v>
      </c>
      <c r="N97" s="49">
        <f>AVERAGE('25.10 Katuna-Kabale 24hr'!N97)</f>
        <v>0</v>
      </c>
      <c r="O97" s="15">
        <f t="shared" si="35"/>
        <v>2</v>
      </c>
      <c r="P97" s="15">
        <f t="shared" si="36"/>
        <v>4</v>
      </c>
      <c r="R97" s="8"/>
      <c r="T97"/>
    </row>
    <row r="98" spans="2:20" ht="23.1" customHeight="1" x14ac:dyDescent="0.25">
      <c r="B98" s="24" t="s">
        <v>138</v>
      </c>
      <c r="C98" s="49">
        <f>AVERAGE('25.10 Katuna-Kabale 24hr'!C98)</f>
        <v>1</v>
      </c>
      <c r="D98" s="49">
        <f>AVERAGE('25.10 Katuna-Kabale 24hr'!D98)</f>
        <v>3</v>
      </c>
      <c r="E98" s="49">
        <f>AVERAGE('25.10 Katuna-Kabale 24hr'!E98)</f>
        <v>0</v>
      </c>
      <c r="F98" s="49">
        <f>AVERAGE('25.10 Katuna-Kabale 24hr'!F98)</f>
        <v>0</v>
      </c>
      <c r="G98" s="49">
        <f>AVERAGE('25.10 Katuna-Kabale 24hr'!G98)</f>
        <v>0</v>
      </c>
      <c r="H98" s="49">
        <f>AVERAGE('25.10 Katuna-Kabale 24hr'!H98)</f>
        <v>0</v>
      </c>
      <c r="I98" s="49">
        <f>AVERAGE('25.10 Katuna-Kabale 24hr'!I98)</f>
        <v>4</v>
      </c>
      <c r="J98" s="49">
        <f>AVERAGE('25.10 Katuna-Kabale 24hr'!J98)</f>
        <v>0</v>
      </c>
      <c r="K98" s="49">
        <f>AVERAGE('25.10 Katuna-Kabale 24hr'!K98)</f>
        <v>0</v>
      </c>
      <c r="L98" s="49">
        <f>AVERAGE('25.10 Katuna-Kabale 24hr'!L98)</f>
        <v>0</v>
      </c>
      <c r="M98" s="49">
        <f>AVERAGE('25.10 Katuna-Kabale 24hr'!M98)</f>
        <v>4</v>
      </c>
      <c r="N98" s="49">
        <f>AVERAGE('25.10 Katuna-Kabale 24hr'!N98)</f>
        <v>0</v>
      </c>
      <c r="O98" s="15">
        <f t="shared" si="35"/>
        <v>8</v>
      </c>
      <c r="P98" s="15">
        <f t="shared" si="36"/>
        <v>12</v>
      </c>
      <c r="R98" s="8"/>
      <c r="T98"/>
    </row>
    <row r="99" spans="2:20" ht="23.1" customHeight="1" x14ac:dyDescent="0.25">
      <c r="B99" s="23" t="s">
        <v>139</v>
      </c>
      <c r="C99" s="49">
        <f>AVERAGE('25.10 Katuna-Kabale 24hr'!C99)</f>
        <v>0</v>
      </c>
      <c r="D99" s="49">
        <f>AVERAGE('25.10 Katuna-Kabale 24hr'!D99)</f>
        <v>0</v>
      </c>
      <c r="E99" s="49">
        <f>AVERAGE('25.10 Katuna-Kabale 24hr'!E99)</f>
        <v>1</v>
      </c>
      <c r="F99" s="49">
        <f>AVERAGE('25.10 Katuna-Kabale 24hr'!F99)</f>
        <v>0</v>
      </c>
      <c r="G99" s="49">
        <f>AVERAGE('25.10 Katuna-Kabale 24hr'!G99)</f>
        <v>0</v>
      </c>
      <c r="H99" s="49">
        <f>AVERAGE('25.10 Katuna-Kabale 24hr'!H99)</f>
        <v>0</v>
      </c>
      <c r="I99" s="49">
        <f>AVERAGE('25.10 Katuna-Kabale 24hr'!I99)</f>
        <v>0</v>
      </c>
      <c r="J99" s="49">
        <f>AVERAGE('25.10 Katuna-Kabale 24hr'!J99)</f>
        <v>0</v>
      </c>
      <c r="K99" s="49">
        <f>AVERAGE('25.10 Katuna-Kabale 24hr'!K99)</f>
        <v>0</v>
      </c>
      <c r="L99" s="49">
        <f>AVERAGE('25.10 Katuna-Kabale 24hr'!L99)</f>
        <v>0</v>
      </c>
      <c r="M99" s="49">
        <f>AVERAGE('25.10 Katuna-Kabale 24hr'!M99)</f>
        <v>0</v>
      </c>
      <c r="N99" s="49">
        <f>AVERAGE('25.10 Katuna-Kabale 24hr'!N99)</f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25" t="s">
        <v>140</v>
      </c>
      <c r="C100" s="49">
        <f>AVERAGE('25.10 Katuna-Kabale 24hr'!C100)</f>
        <v>0</v>
      </c>
      <c r="D100" s="49">
        <f>AVERAGE('25.10 Katuna-Kabale 24hr'!D100)</f>
        <v>1</v>
      </c>
      <c r="E100" s="49">
        <f>AVERAGE('25.10 Katuna-Kabale 24hr'!E100)</f>
        <v>0</v>
      </c>
      <c r="F100" s="49">
        <f>AVERAGE('25.10 Katuna-Kabale 24hr'!F100)</f>
        <v>0</v>
      </c>
      <c r="G100" s="49">
        <f>AVERAGE('25.10 Katuna-Kabale 24hr'!G100)</f>
        <v>0</v>
      </c>
      <c r="H100" s="49">
        <f>AVERAGE('25.10 Katuna-Kabale 24hr'!H100)</f>
        <v>0</v>
      </c>
      <c r="I100" s="49">
        <f>AVERAGE('25.10 Katuna-Kabale 24hr'!I100)</f>
        <v>1</v>
      </c>
      <c r="J100" s="49">
        <f>AVERAGE('25.10 Katuna-Kabale 24hr'!J100)</f>
        <v>0</v>
      </c>
      <c r="K100" s="49">
        <f>AVERAGE('25.10 Katuna-Kabale 24hr'!K100)</f>
        <v>0</v>
      </c>
      <c r="L100" s="49">
        <f>AVERAGE('25.10 Katuna-Kabale 24hr'!L100)</f>
        <v>0</v>
      </c>
      <c r="M100" s="49">
        <f>AVERAGE('25.10 Katuna-Kabale 24hr'!M100)</f>
        <v>1</v>
      </c>
      <c r="N100" s="49">
        <f>AVERAGE('25.10 Katuna-Kabale 24hr'!N100)</f>
        <v>0</v>
      </c>
      <c r="O100" s="15">
        <f t="shared" si="35"/>
        <v>2</v>
      </c>
      <c r="P100" s="15">
        <f t="shared" si="36"/>
        <v>3</v>
      </c>
      <c r="R100" s="8"/>
      <c r="T100"/>
    </row>
    <row r="101" spans="2:20" ht="23.1" customHeight="1" x14ac:dyDescent="0.25">
      <c r="B101" s="23" t="s">
        <v>141</v>
      </c>
      <c r="C101" s="49">
        <f>AVERAGE('25.10 Katuna-Kabale 24hr'!C101)</f>
        <v>3</v>
      </c>
      <c r="D101" s="49">
        <f>AVERAGE('25.10 Katuna-Kabale 24hr'!D101)</f>
        <v>0</v>
      </c>
      <c r="E101" s="49">
        <f>AVERAGE('25.10 Katuna-Kabale 24hr'!E101)</f>
        <v>0</v>
      </c>
      <c r="F101" s="49">
        <f>AVERAGE('25.10 Katuna-Kabale 24hr'!F101)</f>
        <v>3</v>
      </c>
      <c r="G101" s="49">
        <f>AVERAGE('25.10 Katuna-Kabale 24hr'!G101)</f>
        <v>0</v>
      </c>
      <c r="H101" s="49">
        <f>AVERAGE('25.10 Katuna-Kabale 24hr'!H101)</f>
        <v>0</v>
      </c>
      <c r="I101" s="49">
        <f>AVERAGE('25.10 Katuna-Kabale 24hr'!I101)</f>
        <v>1</v>
      </c>
      <c r="J101" s="49">
        <f>AVERAGE('25.10 Katuna-Kabale 24hr'!J101)</f>
        <v>0</v>
      </c>
      <c r="K101" s="49">
        <f>AVERAGE('25.10 Katuna-Kabale 24hr'!K101)</f>
        <v>0</v>
      </c>
      <c r="L101" s="49">
        <f>AVERAGE('25.10 Katuna-Kabale 24hr'!L101)</f>
        <v>0</v>
      </c>
      <c r="M101" s="49">
        <f>AVERAGE('25.10 Katuna-Kabale 24hr'!M101)</f>
        <v>2</v>
      </c>
      <c r="N101" s="49">
        <f>AVERAGE('25.10 Katuna-Kabale 24hr'!N101)</f>
        <v>0</v>
      </c>
      <c r="O101" s="15">
        <f t="shared" si="35"/>
        <v>7</v>
      </c>
      <c r="P101" s="15">
        <f t="shared" si="36"/>
        <v>9</v>
      </c>
      <c r="R101" s="8"/>
      <c r="T101"/>
    </row>
    <row r="102" spans="2:20" ht="23.1" customHeight="1" x14ac:dyDescent="0.25">
      <c r="B102" s="24" t="s">
        <v>142</v>
      </c>
      <c r="C102" s="49">
        <f>AVERAGE('25.10 Katuna-Kabale 24hr'!C102)</f>
        <v>0</v>
      </c>
      <c r="D102" s="49">
        <f>AVERAGE('25.10 Katuna-Kabale 24hr'!D102)</f>
        <v>4</v>
      </c>
      <c r="E102" s="49">
        <f>AVERAGE('25.10 Katuna-Kabale 24hr'!E102)</f>
        <v>0</v>
      </c>
      <c r="F102" s="49">
        <f>AVERAGE('25.10 Katuna-Kabale 24hr'!F102)</f>
        <v>1</v>
      </c>
      <c r="G102" s="49">
        <f>AVERAGE('25.10 Katuna-Kabale 24hr'!G102)</f>
        <v>1</v>
      </c>
      <c r="H102" s="49">
        <f>AVERAGE('25.10 Katuna-Kabale 24hr'!H102)</f>
        <v>0</v>
      </c>
      <c r="I102" s="49">
        <f>AVERAGE('25.10 Katuna-Kabale 24hr'!I102)</f>
        <v>1</v>
      </c>
      <c r="J102" s="49">
        <f>AVERAGE('25.10 Katuna-Kabale 24hr'!J102)</f>
        <v>0</v>
      </c>
      <c r="K102" s="49">
        <f>AVERAGE('25.10 Katuna-Kabale 24hr'!K102)</f>
        <v>0</v>
      </c>
      <c r="L102" s="49">
        <f>AVERAGE('25.10 Katuna-Kabale 24hr'!L102)</f>
        <v>0</v>
      </c>
      <c r="M102" s="49">
        <f>AVERAGE('25.10 Katuna-Kabale 24hr'!M102)</f>
        <v>3</v>
      </c>
      <c r="N102" s="49">
        <f>AVERAGE('25.10 Katuna-Kabale 24hr'!N102)</f>
        <v>0</v>
      </c>
      <c r="O102" s="15">
        <f t="shared" si="35"/>
        <v>7</v>
      </c>
      <c r="P102" s="15">
        <f t="shared" si="36"/>
        <v>10</v>
      </c>
      <c r="R102" s="8"/>
      <c r="T102"/>
    </row>
    <row r="103" spans="2:20" ht="23.1" customHeight="1" x14ac:dyDescent="0.25">
      <c r="B103" s="23" t="s">
        <v>143</v>
      </c>
      <c r="C103" s="49">
        <f>AVERAGE('25.10 Katuna-Kabale 24hr'!C103)</f>
        <v>0</v>
      </c>
      <c r="D103" s="49">
        <f>AVERAGE('25.10 Katuna-Kabale 24hr'!D103)</f>
        <v>0</v>
      </c>
      <c r="E103" s="49">
        <f>AVERAGE('25.10 Katuna-Kabale 24hr'!E103)</f>
        <v>2</v>
      </c>
      <c r="F103" s="49">
        <f>AVERAGE('25.10 Katuna-Kabale 24hr'!F103)</f>
        <v>0</v>
      </c>
      <c r="G103" s="49">
        <f>AVERAGE('25.10 Katuna-Kabale 24hr'!G103)</f>
        <v>0</v>
      </c>
      <c r="H103" s="49">
        <f>AVERAGE('25.10 Katuna-Kabale 24hr'!H103)</f>
        <v>0</v>
      </c>
      <c r="I103" s="49">
        <f>AVERAGE('25.10 Katuna-Kabale 24hr'!I103)</f>
        <v>3</v>
      </c>
      <c r="J103" s="49">
        <f>AVERAGE('25.10 Katuna-Kabale 24hr'!J103)</f>
        <v>0</v>
      </c>
      <c r="K103" s="49">
        <f>AVERAGE('25.10 Katuna-Kabale 24hr'!K103)</f>
        <v>0</v>
      </c>
      <c r="L103" s="49">
        <f>AVERAGE('25.10 Katuna-Kabale 24hr'!L103)</f>
        <v>0</v>
      </c>
      <c r="M103" s="49">
        <f>AVERAGE('25.10 Katuna-Kabale 24hr'!M103)</f>
        <v>1</v>
      </c>
      <c r="N103" s="49">
        <f>AVERAGE('25.10 Katuna-Kabale 24hr'!N103)</f>
        <v>0</v>
      </c>
      <c r="O103" s="15">
        <f t="shared" si="35"/>
        <v>5</v>
      </c>
      <c r="P103" s="15">
        <f t="shared" si="36"/>
        <v>6</v>
      </c>
      <c r="R103" s="8"/>
      <c r="T103"/>
    </row>
    <row r="104" spans="2:20" ht="23.1" customHeight="1" x14ac:dyDescent="0.25">
      <c r="B104" s="25" t="s">
        <v>144</v>
      </c>
      <c r="C104" s="49">
        <f>AVERAGE('25.10 Katuna-Kabale 24hr'!C104)</f>
        <v>6</v>
      </c>
      <c r="D104" s="49">
        <f>AVERAGE('25.10 Katuna-Kabale 24hr'!D104)</f>
        <v>0</v>
      </c>
      <c r="E104" s="49">
        <f>AVERAGE('25.10 Katuna-Kabale 24hr'!E104)</f>
        <v>0</v>
      </c>
      <c r="F104" s="49">
        <f>AVERAGE('25.10 Katuna-Kabale 24hr'!F104)</f>
        <v>2</v>
      </c>
      <c r="G104" s="49">
        <f>AVERAGE('25.10 Katuna-Kabale 24hr'!G104)</f>
        <v>0</v>
      </c>
      <c r="H104" s="49">
        <f>AVERAGE('25.10 Katuna-Kabale 24hr'!H104)</f>
        <v>0</v>
      </c>
      <c r="I104" s="49">
        <f>AVERAGE('25.10 Katuna-Kabale 24hr'!I104)</f>
        <v>1</v>
      </c>
      <c r="J104" s="49">
        <f>AVERAGE('25.10 Katuna-Kabale 24hr'!J104)</f>
        <v>0</v>
      </c>
      <c r="K104" s="49">
        <f>AVERAGE('25.10 Katuna-Kabale 24hr'!K104)</f>
        <v>0</v>
      </c>
      <c r="L104" s="49">
        <f>AVERAGE('25.10 Katuna-Kabale 24hr'!L104)</f>
        <v>0</v>
      </c>
      <c r="M104" s="49">
        <f>AVERAGE('25.10 Katuna-Kabale 24hr'!M104)</f>
        <v>4</v>
      </c>
      <c r="N104" s="49">
        <f>AVERAGE('25.10 Katuna-Kabale 24hr'!N104)</f>
        <v>0</v>
      </c>
      <c r="O104" s="15">
        <f t="shared" si="35"/>
        <v>9</v>
      </c>
      <c r="P104" s="15">
        <f t="shared" si="36"/>
        <v>13</v>
      </c>
      <c r="R104" s="8"/>
      <c r="T104"/>
    </row>
    <row r="105" spans="2:20" ht="23.1" customHeight="1" x14ac:dyDescent="0.25">
      <c r="B105" s="23" t="s">
        <v>145</v>
      </c>
      <c r="C105" s="49">
        <f>AVERAGE('25.10 Katuna-Kabale 24hr'!C105)</f>
        <v>0</v>
      </c>
      <c r="D105" s="49">
        <f>AVERAGE('25.10 Katuna-Kabale 24hr'!D105)</f>
        <v>2</v>
      </c>
      <c r="E105" s="49">
        <f>AVERAGE('25.10 Katuna-Kabale 24hr'!E105)</f>
        <v>1</v>
      </c>
      <c r="F105" s="49">
        <f>AVERAGE('25.10 Katuna-Kabale 24hr'!F105)</f>
        <v>0</v>
      </c>
      <c r="G105" s="49">
        <f>AVERAGE('25.10 Katuna-Kabale 24hr'!G105)</f>
        <v>1</v>
      </c>
      <c r="H105" s="49">
        <f>AVERAGE('25.10 Katuna-Kabale 24hr'!H105)</f>
        <v>0</v>
      </c>
      <c r="I105" s="49">
        <f>AVERAGE('25.10 Katuna-Kabale 24hr'!I105)</f>
        <v>0</v>
      </c>
      <c r="J105" s="49">
        <f>AVERAGE('25.10 Katuna-Kabale 24hr'!J105)</f>
        <v>0</v>
      </c>
      <c r="K105" s="49">
        <f>AVERAGE('25.10 Katuna-Kabale 24hr'!K105)</f>
        <v>0</v>
      </c>
      <c r="L105" s="49">
        <f>AVERAGE('25.10 Katuna-Kabale 24hr'!L105)</f>
        <v>0</v>
      </c>
      <c r="M105" s="49">
        <f>AVERAGE('25.10 Katuna-Kabale 24hr'!M105)</f>
        <v>8</v>
      </c>
      <c r="N105" s="49">
        <f>AVERAGE('25.10 Katuna-Kabale 24hr'!N105)</f>
        <v>0</v>
      </c>
      <c r="O105" s="15">
        <f t="shared" si="35"/>
        <v>4</v>
      </c>
      <c r="P105" s="15">
        <f t="shared" si="36"/>
        <v>12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224.5</v>
      </c>
      <c r="D106" s="16">
        <f t="shared" ref="D106:P106" si="37">SUM(D10:D105)</f>
        <v>55</v>
      </c>
      <c r="E106" s="16">
        <f t="shared" si="37"/>
        <v>34</v>
      </c>
      <c r="F106" s="16">
        <f t="shared" si="37"/>
        <v>17</v>
      </c>
      <c r="G106" s="16">
        <f t="shared" si="37"/>
        <v>7.5</v>
      </c>
      <c r="H106" s="16">
        <f t="shared" si="37"/>
        <v>3.5</v>
      </c>
      <c r="I106" s="16">
        <f t="shared" si="37"/>
        <v>54.5</v>
      </c>
      <c r="J106" s="16">
        <f t="shared" si="37"/>
        <v>3.5</v>
      </c>
      <c r="K106" s="16">
        <f t="shared" si="37"/>
        <v>0</v>
      </c>
      <c r="L106" s="16">
        <f t="shared" si="37"/>
        <v>0</v>
      </c>
      <c r="M106" s="16">
        <f t="shared" si="37"/>
        <v>352</v>
      </c>
      <c r="N106" s="16">
        <f t="shared" si="37"/>
        <v>0</v>
      </c>
      <c r="O106" s="16">
        <f t="shared" si="37"/>
        <v>399.5</v>
      </c>
      <c r="P106" s="16">
        <f t="shared" si="37"/>
        <v>751.5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0.29873586161011312</v>
      </c>
      <c r="D107" s="43">
        <f t="shared" si="38"/>
        <v>7.318695941450433E-2</v>
      </c>
      <c r="E107" s="43">
        <f t="shared" si="38"/>
        <v>4.5242847638057221E-2</v>
      </c>
      <c r="F107" s="43">
        <f t="shared" si="38"/>
        <v>2.262142381902861E-2</v>
      </c>
      <c r="G107" s="43">
        <f t="shared" si="38"/>
        <v>9.9800399201596807E-3</v>
      </c>
      <c r="H107" s="43">
        <f t="shared" si="38"/>
        <v>4.6573519627411842E-3</v>
      </c>
      <c r="I107" s="43">
        <f t="shared" si="38"/>
        <v>7.2521623419827014E-2</v>
      </c>
      <c r="J107" s="43">
        <f t="shared" si="38"/>
        <v>4.6573519627411842E-3</v>
      </c>
      <c r="K107" s="43">
        <f t="shared" si="38"/>
        <v>0</v>
      </c>
      <c r="L107" s="43">
        <f t="shared" si="38"/>
        <v>0</v>
      </c>
      <c r="M107" s="43">
        <f t="shared" si="38"/>
        <v>0.46839654025282768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0.56195244055068838</v>
      </c>
      <c r="D108" s="44">
        <f t="shared" ref="D108:N108" si="39">D106/$O$106</f>
        <v>0.13767209011264081</v>
      </c>
      <c r="E108" s="44">
        <f t="shared" si="39"/>
        <v>8.5106382978723402E-2</v>
      </c>
      <c r="F108" s="44">
        <f t="shared" si="39"/>
        <v>4.2553191489361701E-2</v>
      </c>
      <c r="G108" s="44">
        <f t="shared" si="39"/>
        <v>1.8773466833541929E-2</v>
      </c>
      <c r="H108" s="44">
        <f t="shared" si="39"/>
        <v>8.7609511889862324E-3</v>
      </c>
      <c r="I108" s="44">
        <f t="shared" si="39"/>
        <v>0.13642052565707133</v>
      </c>
      <c r="J108" s="44">
        <f t="shared" si="39"/>
        <v>8.7609511889862324E-3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H52" zoomScale="60" workbookViewId="0">
      <selection activeCell="AD56" sqref="AD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">
        <v>179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58" t="s">
        <v>176</v>
      </c>
      <c r="H5" s="59"/>
      <c r="I5" s="14"/>
      <c r="J5" s="2" t="s">
        <v>5</v>
      </c>
      <c r="K5" s="58" t="s">
        <v>176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178</v>
      </c>
      <c r="E6" s="59"/>
      <c r="F6" s="2" t="s">
        <v>2</v>
      </c>
      <c r="G6" s="58" t="s">
        <v>177</v>
      </c>
      <c r="H6" s="59"/>
      <c r="J6" s="2" t="s">
        <v>21</v>
      </c>
      <c r="K6" s="58" t="s">
        <v>174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 Kabale-Katuna 24hr'!C10,'26.10  Kabale-Katuna'!C10)</f>
        <v>1</v>
      </c>
      <c r="D10" s="49">
        <f>AVERAGE('25.10 Kabale-Katuna 24hr'!D10,'26.10  Kabale-Katuna'!D10)</f>
        <v>0</v>
      </c>
      <c r="E10" s="49">
        <f>AVERAGE('25.10 Kabale-Katuna 24hr'!E10,'26.10  Kabale-Katuna'!E10)</f>
        <v>0.5</v>
      </c>
      <c r="F10" s="49">
        <f>AVERAGE('25.10 Kabale-Katuna 24hr'!F10,'26.10  Kabale-Katuna'!F10)</f>
        <v>0</v>
      </c>
      <c r="G10" s="49">
        <f>AVERAGE('25.10 Kabale-Katuna 24hr'!G10,'26.10  Kabale-Katuna'!G10)</f>
        <v>0.5</v>
      </c>
      <c r="H10" s="49">
        <f>AVERAGE('25.10 Kabale-Katuna 24hr'!H10,'26.10  Kabale-Katuna'!H10)</f>
        <v>0</v>
      </c>
      <c r="I10" s="49">
        <f>AVERAGE('25.10 Kabale-Katuna 24hr'!I10,'26.10  Kabale-Katuna'!I10)</f>
        <v>0</v>
      </c>
      <c r="J10" s="49">
        <f>AVERAGE('25.10 Kabale-Katuna 24hr'!J10,'26.10  Kabale-Katuna'!J10)</f>
        <v>0</v>
      </c>
      <c r="K10" s="49">
        <f>AVERAGE('25.10 Kabale-Katuna 24hr'!K10,'26.10  Kabale-Katuna'!K10)</f>
        <v>0</v>
      </c>
      <c r="L10" s="49">
        <f>AVERAGE('25.10 Kabale-Katuna 24hr'!L10,'26.10  Kabale-Katuna'!L10)</f>
        <v>0</v>
      </c>
      <c r="M10" s="49">
        <f>AVERAGE('25.10 Kabale-Katuna 24hr'!M10,'26.10  Kabale-Katuna'!M10)</f>
        <v>2.5</v>
      </c>
      <c r="N10" s="49">
        <f>AVERAGE('25.10 Kabale-Katuna 24hr'!N10,'26.10  Kabale-Katuna'!N10)</f>
        <v>0</v>
      </c>
      <c r="O10" s="15">
        <f t="shared" ref="O10:O73" si="0">SUM(C10:L10,N10)</f>
        <v>2</v>
      </c>
      <c r="P10" s="15">
        <f t="shared" ref="P10:P73" si="1">SUM(C10:N10)</f>
        <v>4.5</v>
      </c>
      <c r="R10" s="1" t="s">
        <v>6</v>
      </c>
      <c r="S10" s="17">
        <f t="shared" ref="S10:AF10" si="2">SUM(C10:C13)</f>
        <v>9.5</v>
      </c>
      <c r="T10" s="17">
        <f t="shared" si="2"/>
        <v>0.5</v>
      </c>
      <c r="U10" s="17">
        <f t="shared" si="2"/>
        <v>0.5</v>
      </c>
      <c r="V10" s="17">
        <f t="shared" si="2"/>
        <v>1.5</v>
      </c>
      <c r="W10" s="17">
        <f t="shared" si="2"/>
        <v>0.5</v>
      </c>
      <c r="X10" s="17">
        <f t="shared" si="2"/>
        <v>0</v>
      </c>
      <c r="Y10" s="17">
        <f t="shared" si="2"/>
        <v>1.5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10.5</v>
      </c>
      <c r="AD10" s="17">
        <f t="shared" si="2"/>
        <v>0</v>
      </c>
      <c r="AE10" s="31">
        <f t="shared" si="2"/>
        <v>14</v>
      </c>
      <c r="AF10" s="31">
        <f t="shared" si="2"/>
        <v>24.5</v>
      </c>
    </row>
    <row r="11" spans="2:32" s="6" customFormat="1" ht="23.1" customHeight="1" x14ac:dyDescent="0.25">
      <c r="B11" s="23" t="s">
        <v>38</v>
      </c>
      <c r="C11" s="49">
        <f>AVERAGE('25.10 Kabale-Katuna 24hr'!C11,'26.10  Kabale-Katuna'!C11)</f>
        <v>2.5</v>
      </c>
      <c r="D11" s="49">
        <f>AVERAGE('25.10 Kabale-Katuna 24hr'!D11,'26.10  Kabale-Katuna'!D11)</f>
        <v>0.5</v>
      </c>
      <c r="E11" s="49">
        <f>AVERAGE('25.10 Kabale-Katuna 24hr'!E11,'26.10  Kabale-Katuna'!E11)</f>
        <v>0</v>
      </c>
      <c r="F11" s="49">
        <f>AVERAGE('25.10 Kabale-Katuna 24hr'!F11,'26.10  Kabale-Katuna'!F11)</f>
        <v>0</v>
      </c>
      <c r="G11" s="49">
        <f>AVERAGE('25.10 Kabale-Katuna 24hr'!G11,'26.10  Kabale-Katuna'!G11)</f>
        <v>0</v>
      </c>
      <c r="H11" s="49">
        <f>AVERAGE('25.10 Kabale-Katuna 24hr'!H11,'26.10  Kabale-Katuna'!H11)</f>
        <v>0</v>
      </c>
      <c r="I11" s="49">
        <f>AVERAGE('25.10 Kabale-Katuna 24hr'!I11,'26.10  Kabale-Katuna'!I11)</f>
        <v>1</v>
      </c>
      <c r="J11" s="49">
        <f>AVERAGE('25.10 Kabale-Katuna 24hr'!J11,'26.10  Kabale-Katuna'!J11)</f>
        <v>0</v>
      </c>
      <c r="K11" s="49">
        <f>AVERAGE('25.10 Kabale-Katuna 24hr'!K11,'26.10  Kabale-Katuna'!K11)</f>
        <v>0</v>
      </c>
      <c r="L11" s="49">
        <f>AVERAGE('25.10 Kabale-Katuna 24hr'!L11,'26.10  Kabale-Katuna'!L11)</f>
        <v>0</v>
      </c>
      <c r="M11" s="49">
        <f>AVERAGE('25.10 Kabale-Katuna 24hr'!M11,'26.10  Kabale-Katuna'!M11)</f>
        <v>2.5</v>
      </c>
      <c r="N11" s="49">
        <f>AVERAGE('25.10 Kabale-Katuna 24hr'!N11,'26.10  Kabale-Katuna'!N11)</f>
        <v>0</v>
      </c>
      <c r="O11" s="15">
        <f t="shared" si="0"/>
        <v>4</v>
      </c>
      <c r="P11" s="15">
        <f t="shared" si="1"/>
        <v>6.5</v>
      </c>
      <c r="R11" s="1" t="s">
        <v>7</v>
      </c>
      <c r="S11" s="17">
        <f t="shared" ref="S11:AF11" si="3">SUM(C14:C17)</f>
        <v>6.5</v>
      </c>
      <c r="T11" s="17">
        <f t="shared" si="3"/>
        <v>0</v>
      </c>
      <c r="U11" s="17">
        <f t="shared" si="3"/>
        <v>1.5</v>
      </c>
      <c r="V11" s="17">
        <f t="shared" si="3"/>
        <v>0</v>
      </c>
      <c r="W11" s="17">
        <f t="shared" si="3"/>
        <v>0</v>
      </c>
      <c r="X11" s="17">
        <f t="shared" si="3"/>
        <v>0.5</v>
      </c>
      <c r="Y11" s="17">
        <f t="shared" si="3"/>
        <v>1</v>
      </c>
      <c r="Z11" s="17">
        <f t="shared" si="3"/>
        <v>0.5</v>
      </c>
      <c r="AA11" s="17">
        <f t="shared" si="3"/>
        <v>0</v>
      </c>
      <c r="AB11" s="17">
        <f t="shared" si="3"/>
        <v>0</v>
      </c>
      <c r="AC11" s="17">
        <f t="shared" si="3"/>
        <v>25.5</v>
      </c>
      <c r="AD11" s="17">
        <f t="shared" si="3"/>
        <v>0</v>
      </c>
      <c r="AE11" s="31">
        <f t="shared" si="3"/>
        <v>10</v>
      </c>
      <c r="AF11" s="31">
        <f t="shared" si="3"/>
        <v>35.5</v>
      </c>
    </row>
    <row r="12" spans="2:32" ht="23.1" customHeight="1" x14ac:dyDescent="0.25">
      <c r="B12" s="23" t="s">
        <v>39</v>
      </c>
      <c r="C12" s="49">
        <f>AVERAGE('25.10 Kabale-Katuna 24hr'!C12,'26.10  Kabale-Katuna'!C12)</f>
        <v>4.5</v>
      </c>
      <c r="D12" s="49">
        <f>AVERAGE('25.10 Kabale-Katuna 24hr'!D12,'26.10  Kabale-Katuna'!D12)</f>
        <v>0</v>
      </c>
      <c r="E12" s="49">
        <f>AVERAGE('25.10 Kabale-Katuna 24hr'!E12,'26.10  Kabale-Katuna'!E12)</f>
        <v>0</v>
      </c>
      <c r="F12" s="49">
        <f>AVERAGE('25.10 Kabale-Katuna 24hr'!F12,'26.10  Kabale-Katuna'!F12)</f>
        <v>1.5</v>
      </c>
      <c r="G12" s="49">
        <f>AVERAGE('25.10 Kabale-Katuna 24hr'!G12,'26.10  Kabale-Katuna'!G12)</f>
        <v>0</v>
      </c>
      <c r="H12" s="49">
        <f>AVERAGE('25.10 Kabale-Katuna 24hr'!H12,'26.10  Kabale-Katuna'!H12)</f>
        <v>0</v>
      </c>
      <c r="I12" s="49">
        <f>AVERAGE('25.10 Kabale-Katuna 24hr'!I12,'26.10  Kabale-Katuna'!I12)</f>
        <v>0.5</v>
      </c>
      <c r="J12" s="49">
        <f>AVERAGE('25.10 Kabale-Katuna 24hr'!J12,'26.10  Kabale-Katuna'!J12)</f>
        <v>0</v>
      </c>
      <c r="K12" s="49">
        <f>AVERAGE('25.10 Kabale-Katuna 24hr'!K12,'26.10  Kabale-Katuna'!K12)</f>
        <v>0</v>
      </c>
      <c r="L12" s="49">
        <f>AVERAGE('25.10 Kabale-Katuna 24hr'!L12,'26.10  Kabale-Katuna'!L12)</f>
        <v>0</v>
      </c>
      <c r="M12" s="49">
        <f>AVERAGE('25.10 Kabale-Katuna 24hr'!M12,'26.10  Kabale-Katuna'!M12)</f>
        <v>4.5</v>
      </c>
      <c r="N12" s="49">
        <f>AVERAGE('25.10 Kabale-Katuna 24hr'!N12,'26.10  Kabale-Katuna'!N12)</f>
        <v>0</v>
      </c>
      <c r="O12" s="15">
        <f t="shared" si="0"/>
        <v>6.5</v>
      </c>
      <c r="P12" s="15">
        <f t="shared" si="1"/>
        <v>11</v>
      </c>
      <c r="R12" s="1" t="s">
        <v>8</v>
      </c>
      <c r="S12" s="17">
        <f t="shared" ref="S12:AF12" si="4">SUM(C18:C21)</f>
        <v>11</v>
      </c>
      <c r="T12" s="17">
        <f t="shared" si="4"/>
        <v>0.5</v>
      </c>
      <c r="U12" s="17">
        <f t="shared" si="4"/>
        <v>1.5</v>
      </c>
      <c r="V12" s="17">
        <f t="shared" si="4"/>
        <v>0</v>
      </c>
      <c r="W12" s="17">
        <f t="shared" si="4"/>
        <v>1.5</v>
      </c>
      <c r="X12" s="17">
        <f t="shared" si="4"/>
        <v>0</v>
      </c>
      <c r="Y12" s="17">
        <f t="shared" si="4"/>
        <v>3.5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31.5</v>
      </c>
      <c r="AD12" s="17">
        <f t="shared" si="4"/>
        <v>0</v>
      </c>
      <c r="AE12" s="31">
        <f t="shared" si="4"/>
        <v>18</v>
      </c>
      <c r="AF12" s="31">
        <f t="shared" si="4"/>
        <v>49.5</v>
      </c>
    </row>
    <row r="13" spans="2:32" ht="23.1" customHeight="1" x14ac:dyDescent="0.25">
      <c r="B13" s="23" t="s">
        <v>40</v>
      </c>
      <c r="C13" s="49">
        <f>AVERAGE('25.10 Kabale-Katuna 24hr'!C13,'26.10  Kabale-Katuna'!C13)</f>
        <v>1.5</v>
      </c>
      <c r="D13" s="49">
        <f>AVERAGE('25.10 Kabale-Katuna 24hr'!D13,'26.10  Kabale-Katuna'!D13)</f>
        <v>0</v>
      </c>
      <c r="E13" s="49">
        <f>AVERAGE('25.10 Kabale-Katuna 24hr'!E13,'26.10  Kabale-Katuna'!E13)</f>
        <v>0</v>
      </c>
      <c r="F13" s="49">
        <f>AVERAGE('25.10 Kabale-Katuna 24hr'!F13,'26.10  Kabale-Katuna'!F13)</f>
        <v>0</v>
      </c>
      <c r="G13" s="49">
        <f>AVERAGE('25.10 Kabale-Katuna 24hr'!G13,'26.10  Kabale-Katuna'!G13)</f>
        <v>0</v>
      </c>
      <c r="H13" s="49">
        <f>AVERAGE('25.10 Kabale-Katuna 24hr'!H13,'26.10  Kabale-Katuna'!H13)</f>
        <v>0</v>
      </c>
      <c r="I13" s="49">
        <f>AVERAGE('25.10 Kabale-Katuna 24hr'!I13,'26.10  Kabale-Katuna'!I13)</f>
        <v>0</v>
      </c>
      <c r="J13" s="49">
        <f>AVERAGE('25.10 Kabale-Katuna 24hr'!J13,'26.10  Kabale-Katuna'!J13)</f>
        <v>0</v>
      </c>
      <c r="K13" s="49">
        <f>AVERAGE('25.10 Kabale-Katuna 24hr'!K13,'26.10  Kabale-Katuna'!K13)</f>
        <v>0</v>
      </c>
      <c r="L13" s="49">
        <f>AVERAGE('25.10 Kabale-Katuna 24hr'!L13,'26.10  Kabale-Katuna'!L13)</f>
        <v>0</v>
      </c>
      <c r="M13" s="49">
        <f>AVERAGE('25.10 Kabale-Katuna 24hr'!M13,'26.10  Kabale-Katuna'!M13)</f>
        <v>1</v>
      </c>
      <c r="N13" s="49">
        <f>AVERAGE('25.10 Kabale-Katuna 24hr'!N13,'26.10  Kabale-Katuna'!N13)</f>
        <v>0</v>
      </c>
      <c r="O13" s="15">
        <f t="shared" si="0"/>
        <v>1.5</v>
      </c>
      <c r="P13" s="15">
        <f t="shared" si="1"/>
        <v>2.5</v>
      </c>
      <c r="R13" s="1" t="s">
        <v>9</v>
      </c>
      <c r="S13" s="17">
        <f t="shared" ref="S13:AF13" si="5">SUM(C22:C25)</f>
        <v>10.5</v>
      </c>
      <c r="T13" s="17">
        <f t="shared" si="5"/>
        <v>2</v>
      </c>
      <c r="U13" s="17">
        <f t="shared" si="5"/>
        <v>1.5</v>
      </c>
      <c r="V13" s="17">
        <f t="shared" si="5"/>
        <v>1.5</v>
      </c>
      <c r="W13" s="17">
        <f t="shared" si="5"/>
        <v>0.5</v>
      </c>
      <c r="X13" s="17">
        <f t="shared" si="5"/>
        <v>0</v>
      </c>
      <c r="Y13" s="17">
        <f t="shared" si="5"/>
        <v>2.5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25.5</v>
      </c>
      <c r="AD13" s="17">
        <f t="shared" si="5"/>
        <v>0</v>
      </c>
      <c r="AE13" s="31">
        <f t="shared" si="5"/>
        <v>18.5</v>
      </c>
      <c r="AF13" s="31">
        <f t="shared" si="5"/>
        <v>44</v>
      </c>
    </row>
    <row r="14" spans="2:32" ht="23.1" customHeight="1" x14ac:dyDescent="0.25">
      <c r="B14" s="23" t="s">
        <v>41</v>
      </c>
      <c r="C14" s="49">
        <f>AVERAGE('25.10 Kabale-Katuna 24hr'!C14,'26.10  Kabale-Katuna'!C14)</f>
        <v>1</v>
      </c>
      <c r="D14" s="49">
        <f>AVERAGE('25.10 Kabale-Katuna 24hr'!D14,'26.10  Kabale-Katuna'!D14)</f>
        <v>0</v>
      </c>
      <c r="E14" s="49">
        <f>AVERAGE('25.10 Kabale-Katuna 24hr'!E14,'26.10  Kabale-Katuna'!E14)</f>
        <v>0.5</v>
      </c>
      <c r="F14" s="49">
        <f>AVERAGE('25.10 Kabale-Katuna 24hr'!F14,'26.10  Kabale-Katuna'!F14)</f>
        <v>0</v>
      </c>
      <c r="G14" s="49">
        <f>AVERAGE('25.10 Kabale-Katuna 24hr'!G14,'26.10  Kabale-Katuna'!G14)</f>
        <v>0</v>
      </c>
      <c r="H14" s="49">
        <f>AVERAGE('25.10 Kabale-Katuna 24hr'!H14,'26.10  Kabale-Katuna'!H14)</f>
        <v>0</v>
      </c>
      <c r="I14" s="49">
        <f>AVERAGE('25.10 Kabale-Katuna 24hr'!I14,'26.10  Kabale-Katuna'!I14)</f>
        <v>0</v>
      </c>
      <c r="J14" s="49">
        <f>AVERAGE('25.10 Kabale-Katuna 24hr'!J14,'26.10  Kabale-Katuna'!J14)</f>
        <v>0.5</v>
      </c>
      <c r="K14" s="49">
        <f>AVERAGE('25.10 Kabale-Katuna 24hr'!K14,'26.10  Kabale-Katuna'!K14)</f>
        <v>0</v>
      </c>
      <c r="L14" s="49">
        <f>AVERAGE('25.10 Kabale-Katuna 24hr'!L14,'26.10  Kabale-Katuna'!L14)</f>
        <v>0</v>
      </c>
      <c r="M14" s="49">
        <f>AVERAGE('25.10 Kabale-Katuna 24hr'!M14,'26.10  Kabale-Katuna'!M14)</f>
        <v>4.5</v>
      </c>
      <c r="N14" s="49">
        <f>AVERAGE('25.10 Kabale-Katuna 24hr'!N14,'26.10  Kabale-Katuna'!N14)</f>
        <v>0</v>
      </c>
      <c r="O14" s="15">
        <f t="shared" si="0"/>
        <v>2</v>
      </c>
      <c r="P14" s="15">
        <f t="shared" si="1"/>
        <v>6.5</v>
      </c>
      <c r="R14" s="1" t="s">
        <v>10</v>
      </c>
      <c r="S14" s="17">
        <f t="shared" ref="S14:AF14" si="6">SUM(C26:C29)</f>
        <v>11.5</v>
      </c>
      <c r="T14" s="17">
        <f t="shared" si="6"/>
        <v>3</v>
      </c>
      <c r="U14" s="17">
        <f t="shared" si="6"/>
        <v>1</v>
      </c>
      <c r="V14" s="17">
        <f t="shared" si="6"/>
        <v>1</v>
      </c>
      <c r="W14" s="17">
        <f t="shared" si="6"/>
        <v>0</v>
      </c>
      <c r="X14" s="17">
        <f t="shared" si="6"/>
        <v>0.5</v>
      </c>
      <c r="Y14" s="17">
        <f t="shared" si="6"/>
        <v>1</v>
      </c>
      <c r="Z14" s="17">
        <f t="shared" si="6"/>
        <v>0.5</v>
      </c>
      <c r="AA14" s="17">
        <f t="shared" si="6"/>
        <v>0</v>
      </c>
      <c r="AB14" s="17">
        <f t="shared" si="6"/>
        <v>0</v>
      </c>
      <c r="AC14" s="17">
        <f t="shared" si="6"/>
        <v>22</v>
      </c>
      <c r="AD14" s="17">
        <f t="shared" si="6"/>
        <v>0</v>
      </c>
      <c r="AE14" s="31">
        <f t="shared" si="6"/>
        <v>18.5</v>
      </c>
      <c r="AF14" s="31">
        <f t="shared" si="6"/>
        <v>40.5</v>
      </c>
    </row>
    <row r="15" spans="2:32" ht="23.1" customHeight="1" x14ac:dyDescent="0.25">
      <c r="B15" s="23" t="s">
        <v>42</v>
      </c>
      <c r="C15" s="49">
        <f>AVERAGE('25.10 Kabale-Katuna 24hr'!C15,'26.10  Kabale-Katuna'!C15)</f>
        <v>0.5</v>
      </c>
      <c r="D15" s="49">
        <f>AVERAGE('25.10 Kabale-Katuna 24hr'!D15,'26.10  Kabale-Katuna'!D15)</f>
        <v>0</v>
      </c>
      <c r="E15" s="49">
        <f>AVERAGE('25.10 Kabale-Katuna 24hr'!E15,'26.10  Kabale-Katuna'!E15)</f>
        <v>0.5</v>
      </c>
      <c r="F15" s="49">
        <f>AVERAGE('25.10 Kabale-Katuna 24hr'!F15,'26.10  Kabale-Katuna'!F15)</f>
        <v>0</v>
      </c>
      <c r="G15" s="49">
        <f>AVERAGE('25.10 Kabale-Katuna 24hr'!G15,'26.10  Kabale-Katuna'!G15)</f>
        <v>0</v>
      </c>
      <c r="H15" s="49">
        <f>AVERAGE('25.10 Kabale-Katuna 24hr'!H15,'26.10  Kabale-Katuna'!H15)</f>
        <v>0</v>
      </c>
      <c r="I15" s="49">
        <f>AVERAGE('25.10 Kabale-Katuna 24hr'!I15,'26.10  Kabale-Katuna'!I15)</f>
        <v>0.5</v>
      </c>
      <c r="J15" s="49">
        <f>AVERAGE('25.10 Kabale-Katuna 24hr'!J15,'26.10  Kabale-Katuna'!J15)</f>
        <v>0</v>
      </c>
      <c r="K15" s="49">
        <f>AVERAGE('25.10 Kabale-Katuna 24hr'!K15,'26.10  Kabale-Katuna'!K15)</f>
        <v>0</v>
      </c>
      <c r="L15" s="49">
        <f>AVERAGE('25.10 Kabale-Katuna 24hr'!L15,'26.10  Kabale-Katuna'!L15)</f>
        <v>0</v>
      </c>
      <c r="M15" s="49">
        <f>AVERAGE('25.10 Kabale-Katuna 24hr'!M15,'26.10  Kabale-Katuna'!M15)</f>
        <v>8</v>
      </c>
      <c r="N15" s="49">
        <f>AVERAGE('25.10 Kabale-Katuna 24hr'!N15,'26.10  Kabale-Katuna'!N15)</f>
        <v>0</v>
      </c>
      <c r="O15" s="15">
        <f t="shared" si="0"/>
        <v>1.5</v>
      </c>
      <c r="P15" s="15">
        <f t="shared" si="1"/>
        <v>9.5</v>
      </c>
      <c r="R15" s="1" t="s">
        <v>11</v>
      </c>
      <c r="S15" s="17">
        <f t="shared" ref="S15:AF15" si="7">SUM(C30:C33)</f>
        <v>12.5</v>
      </c>
      <c r="T15" s="17">
        <f t="shared" si="7"/>
        <v>1.5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1</v>
      </c>
      <c r="Y15" s="17">
        <f t="shared" si="7"/>
        <v>1.5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20.5</v>
      </c>
      <c r="AD15" s="17">
        <f t="shared" si="7"/>
        <v>0</v>
      </c>
      <c r="AE15" s="31">
        <f t="shared" si="7"/>
        <v>18.5</v>
      </c>
      <c r="AF15" s="31">
        <f t="shared" si="7"/>
        <v>39</v>
      </c>
    </row>
    <row r="16" spans="2:32" ht="23.1" customHeight="1" x14ac:dyDescent="0.25">
      <c r="B16" s="23" t="s">
        <v>43</v>
      </c>
      <c r="C16" s="49">
        <f>AVERAGE('25.10 Kabale-Katuna 24hr'!C16,'26.10  Kabale-Katuna'!C16)</f>
        <v>3.5</v>
      </c>
      <c r="D16" s="49">
        <f>AVERAGE('25.10 Kabale-Katuna 24hr'!D16,'26.10  Kabale-Katuna'!D16)</f>
        <v>0</v>
      </c>
      <c r="E16" s="49">
        <f>AVERAGE('25.10 Kabale-Katuna 24hr'!E16,'26.10  Kabale-Katuna'!E16)</f>
        <v>0.5</v>
      </c>
      <c r="F16" s="49">
        <f>AVERAGE('25.10 Kabale-Katuna 24hr'!F16,'26.10  Kabale-Katuna'!F16)</f>
        <v>0</v>
      </c>
      <c r="G16" s="49">
        <f>AVERAGE('25.10 Kabale-Katuna 24hr'!G16,'26.10  Kabale-Katuna'!G16)</f>
        <v>0</v>
      </c>
      <c r="H16" s="49">
        <f>AVERAGE('25.10 Kabale-Katuna 24hr'!H16,'26.10  Kabale-Katuna'!H16)</f>
        <v>0.5</v>
      </c>
      <c r="I16" s="49">
        <f>AVERAGE('25.10 Kabale-Katuna 24hr'!I16,'26.10  Kabale-Katuna'!I16)</f>
        <v>0</v>
      </c>
      <c r="J16" s="49">
        <f>AVERAGE('25.10 Kabale-Katuna 24hr'!J16,'26.10  Kabale-Katuna'!J16)</f>
        <v>0</v>
      </c>
      <c r="K16" s="49">
        <f>AVERAGE('25.10 Kabale-Katuna 24hr'!K16,'26.10  Kabale-Katuna'!K16)</f>
        <v>0</v>
      </c>
      <c r="L16" s="49">
        <f>AVERAGE('25.10 Kabale-Katuna 24hr'!L16,'26.10  Kabale-Katuna'!L16)</f>
        <v>0</v>
      </c>
      <c r="M16" s="49">
        <f>AVERAGE('25.10 Kabale-Katuna 24hr'!M16,'26.10  Kabale-Katuna'!M16)</f>
        <v>8.5</v>
      </c>
      <c r="N16" s="49">
        <f>AVERAGE('25.10 Kabale-Katuna 24hr'!N16,'26.10  Kabale-Katuna'!N16)</f>
        <v>0</v>
      </c>
      <c r="O16" s="15">
        <f t="shared" si="0"/>
        <v>4.5</v>
      </c>
      <c r="P16" s="15">
        <f t="shared" si="1"/>
        <v>13</v>
      </c>
      <c r="R16" s="1" t="s">
        <v>12</v>
      </c>
      <c r="S16" s="17">
        <f t="shared" ref="S16:AF16" si="8">SUM(C34:C37)</f>
        <v>11</v>
      </c>
      <c r="T16" s="17">
        <f t="shared" si="8"/>
        <v>2</v>
      </c>
      <c r="U16" s="17">
        <f t="shared" si="8"/>
        <v>1.5</v>
      </c>
      <c r="V16" s="17">
        <f t="shared" si="8"/>
        <v>0.5</v>
      </c>
      <c r="W16" s="17">
        <f t="shared" si="8"/>
        <v>0</v>
      </c>
      <c r="X16" s="17">
        <f t="shared" si="8"/>
        <v>0</v>
      </c>
      <c r="Y16" s="17">
        <f t="shared" si="8"/>
        <v>2.5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27.5</v>
      </c>
      <c r="AD16" s="17">
        <f t="shared" si="8"/>
        <v>0</v>
      </c>
      <c r="AE16" s="31">
        <f t="shared" si="8"/>
        <v>17.5</v>
      </c>
      <c r="AF16" s="31">
        <f t="shared" si="8"/>
        <v>45</v>
      </c>
    </row>
    <row r="17" spans="2:32" ht="23.1" customHeight="1" x14ac:dyDescent="0.25">
      <c r="B17" s="23" t="s">
        <v>44</v>
      </c>
      <c r="C17" s="49">
        <f>AVERAGE('25.10 Kabale-Katuna 24hr'!C17,'26.10  Kabale-Katuna'!C17)</f>
        <v>1.5</v>
      </c>
      <c r="D17" s="49">
        <f>AVERAGE('25.10 Kabale-Katuna 24hr'!D17,'26.10  Kabale-Katuna'!D17)</f>
        <v>0</v>
      </c>
      <c r="E17" s="49">
        <f>AVERAGE('25.10 Kabale-Katuna 24hr'!E17,'26.10  Kabale-Katuna'!E17)</f>
        <v>0</v>
      </c>
      <c r="F17" s="49">
        <f>AVERAGE('25.10 Kabale-Katuna 24hr'!F17,'26.10  Kabale-Katuna'!F17)</f>
        <v>0</v>
      </c>
      <c r="G17" s="49">
        <f>AVERAGE('25.10 Kabale-Katuna 24hr'!G17,'26.10  Kabale-Katuna'!G17)</f>
        <v>0</v>
      </c>
      <c r="H17" s="49">
        <f>AVERAGE('25.10 Kabale-Katuna 24hr'!H17,'26.10  Kabale-Katuna'!H17)</f>
        <v>0</v>
      </c>
      <c r="I17" s="49">
        <f>AVERAGE('25.10 Kabale-Katuna 24hr'!I17,'26.10  Kabale-Katuna'!I17)</f>
        <v>0.5</v>
      </c>
      <c r="J17" s="49">
        <f>AVERAGE('25.10 Kabale-Katuna 24hr'!J17,'26.10  Kabale-Katuna'!J17)</f>
        <v>0</v>
      </c>
      <c r="K17" s="49">
        <f>AVERAGE('25.10 Kabale-Katuna 24hr'!K17,'26.10  Kabale-Katuna'!K17)</f>
        <v>0</v>
      </c>
      <c r="L17" s="49">
        <f>AVERAGE('25.10 Kabale-Katuna 24hr'!L17,'26.10  Kabale-Katuna'!L17)</f>
        <v>0</v>
      </c>
      <c r="M17" s="49">
        <f>AVERAGE('25.10 Kabale-Katuna 24hr'!M17,'26.10  Kabale-Katuna'!M17)</f>
        <v>4.5</v>
      </c>
      <c r="N17" s="49">
        <f>AVERAGE('25.10 Kabale-Katuna 24hr'!N17,'26.10  Kabale-Katuna'!N17)</f>
        <v>0</v>
      </c>
      <c r="O17" s="15">
        <f t="shared" si="0"/>
        <v>2</v>
      </c>
      <c r="P17" s="15">
        <f t="shared" si="1"/>
        <v>6.5</v>
      </c>
      <c r="R17" s="1" t="s">
        <v>13</v>
      </c>
      <c r="S17" s="17">
        <f t="shared" ref="S17:AF17" si="9">SUM(C38:C41)</f>
        <v>19</v>
      </c>
      <c r="T17" s="17">
        <f t="shared" si="9"/>
        <v>1</v>
      </c>
      <c r="U17" s="17">
        <f t="shared" si="9"/>
        <v>2.5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16.5</v>
      </c>
      <c r="AD17" s="17">
        <f t="shared" si="9"/>
        <v>0</v>
      </c>
      <c r="AE17" s="31">
        <f t="shared" si="9"/>
        <v>27.5</v>
      </c>
      <c r="AF17" s="31">
        <f t="shared" si="9"/>
        <v>44</v>
      </c>
    </row>
    <row r="18" spans="2:32" ht="23.1" customHeight="1" x14ac:dyDescent="0.25">
      <c r="B18" s="23" t="s">
        <v>45</v>
      </c>
      <c r="C18" s="49">
        <f>AVERAGE('25.10 Kabale-Katuna 24hr'!C18,'26.10  Kabale-Katuna'!C18)</f>
        <v>2</v>
      </c>
      <c r="D18" s="49">
        <f>AVERAGE('25.10 Kabale-Katuna 24hr'!D18,'26.10  Kabale-Katuna'!D18)</f>
        <v>0</v>
      </c>
      <c r="E18" s="49">
        <f>AVERAGE('25.10 Kabale-Katuna 24hr'!E18,'26.10  Kabale-Katuna'!E18)</f>
        <v>0</v>
      </c>
      <c r="F18" s="49">
        <f>AVERAGE('25.10 Kabale-Katuna 24hr'!F18,'26.10  Kabale-Katuna'!F18)</f>
        <v>0</v>
      </c>
      <c r="G18" s="49">
        <f>AVERAGE('25.10 Kabale-Katuna 24hr'!G18,'26.10  Kabale-Katuna'!G18)</f>
        <v>0</v>
      </c>
      <c r="H18" s="49">
        <f>AVERAGE('25.10 Kabale-Katuna 24hr'!H18,'26.10  Kabale-Katuna'!H18)</f>
        <v>0</v>
      </c>
      <c r="I18" s="49">
        <f>AVERAGE('25.10 Kabale-Katuna 24hr'!I18,'26.10  Kabale-Katuna'!I18)</f>
        <v>0.5</v>
      </c>
      <c r="J18" s="49">
        <f>AVERAGE('25.10 Kabale-Katuna 24hr'!J18,'26.10  Kabale-Katuna'!J18)</f>
        <v>0</v>
      </c>
      <c r="K18" s="49">
        <f>AVERAGE('25.10 Kabale-Katuna 24hr'!K18,'26.10  Kabale-Katuna'!K18)</f>
        <v>0</v>
      </c>
      <c r="L18" s="49">
        <f>AVERAGE('25.10 Kabale-Katuna 24hr'!L18,'26.10  Kabale-Katuna'!L18)</f>
        <v>0</v>
      </c>
      <c r="M18" s="49">
        <f>AVERAGE('25.10 Kabale-Katuna 24hr'!M18,'26.10  Kabale-Katuna'!M18)</f>
        <v>6.5</v>
      </c>
      <c r="N18" s="49">
        <f>AVERAGE('25.10 Kabale-Katuna 24hr'!N18,'26.10  Kabale-Katuna'!N18)</f>
        <v>0</v>
      </c>
      <c r="O18" s="15">
        <f t="shared" si="0"/>
        <v>2.5</v>
      </c>
      <c r="P18" s="15">
        <f t="shared" si="1"/>
        <v>9</v>
      </c>
      <c r="R18" s="1" t="s">
        <v>14</v>
      </c>
      <c r="S18" s="17">
        <f t="shared" ref="S18:AF18" si="10">SUM(C42:C45)</f>
        <v>12.5</v>
      </c>
      <c r="T18" s="17">
        <f t="shared" si="10"/>
        <v>2</v>
      </c>
      <c r="U18" s="17">
        <f t="shared" si="10"/>
        <v>2</v>
      </c>
      <c r="V18" s="17">
        <f t="shared" si="10"/>
        <v>2.5</v>
      </c>
      <c r="W18" s="17">
        <f t="shared" si="10"/>
        <v>0</v>
      </c>
      <c r="X18" s="17">
        <f t="shared" si="10"/>
        <v>0</v>
      </c>
      <c r="Y18" s="17">
        <f t="shared" si="10"/>
        <v>1.5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20.5</v>
      </c>
      <c r="AD18" s="17">
        <f t="shared" si="10"/>
        <v>0</v>
      </c>
      <c r="AE18" s="31">
        <f t="shared" si="10"/>
        <v>20.5</v>
      </c>
      <c r="AF18" s="31">
        <f t="shared" si="10"/>
        <v>41</v>
      </c>
    </row>
    <row r="19" spans="2:32" ht="23.1" customHeight="1" x14ac:dyDescent="0.25">
      <c r="B19" s="23" t="s">
        <v>46</v>
      </c>
      <c r="C19" s="49">
        <f>AVERAGE('25.10 Kabale-Katuna 24hr'!C19,'26.10  Kabale-Katuna'!C19)</f>
        <v>3.5</v>
      </c>
      <c r="D19" s="49">
        <f>AVERAGE('25.10 Kabale-Katuna 24hr'!D19,'26.10  Kabale-Katuna'!D19)</f>
        <v>0</v>
      </c>
      <c r="E19" s="49">
        <f>AVERAGE('25.10 Kabale-Katuna 24hr'!E19,'26.10  Kabale-Katuna'!E19)</f>
        <v>0</v>
      </c>
      <c r="F19" s="49">
        <f>AVERAGE('25.10 Kabale-Katuna 24hr'!F19,'26.10  Kabale-Katuna'!F19)</f>
        <v>0</v>
      </c>
      <c r="G19" s="49">
        <f>AVERAGE('25.10 Kabale-Katuna 24hr'!G19,'26.10  Kabale-Katuna'!G19)</f>
        <v>0.5</v>
      </c>
      <c r="H19" s="49">
        <f>AVERAGE('25.10 Kabale-Katuna 24hr'!H19,'26.10  Kabale-Katuna'!H19)</f>
        <v>0</v>
      </c>
      <c r="I19" s="49">
        <f>AVERAGE('25.10 Kabale-Katuna 24hr'!I19,'26.10  Kabale-Katuna'!I19)</f>
        <v>0.5</v>
      </c>
      <c r="J19" s="49">
        <f>AVERAGE('25.10 Kabale-Katuna 24hr'!J19,'26.10  Kabale-Katuna'!J19)</f>
        <v>0</v>
      </c>
      <c r="K19" s="49">
        <f>AVERAGE('25.10 Kabale-Katuna 24hr'!K19,'26.10  Kabale-Katuna'!K19)</f>
        <v>0</v>
      </c>
      <c r="L19" s="49">
        <f>AVERAGE('25.10 Kabale-Katuna 24hr'!L19,'26.10  Kabale-Katuna'!L19)</f>
        <v>0</v>
      </c>
      <c r="M19" s="49">
        <f>AVERAGE('25.10 Kabale-Katuna 24hr'!M19,'26.10  Kabale-Katuna'!M19)</f>
        <v>7</v>
      </c>
      <c r="N19" s="49">
        <f>AVERAGE('25.10 Kabale-Katuna 24hr'!N19,'26.10  Kabale-Katuna'!N19)</f>
        <v>0</v>
      </c>
      <c r="O19" s="15">
        <f t="shared" si="0"/>
        <v>4.5</v>
      </c>
      <c r="P19" s="15">
        <f t="shared" si="1"/>
        <v>11.5</v>
      </c>
      <c r="R19" s="1" t="s">
        <v>15</v>
      </c>
      <c r="S19" s="17">
        <f t="shared" ref="S19:AF19" si="11">SUM(C46:C49)</f>
        <v>8.5</v>
      </c>
      <c r="T19" s="17">
        <f t="shared" si="11"/>
        <v>1</v>
      </c>
      <c r="U19" s="17">
        <f t="shared" si="11"/>
        <v>0</v>
      </c>
      <c r="V19" s="17">
        <f t="shared" si="11"/>
        <v>1.5</v>
      </c>
      <c r="W19" s="17">
        <f t="shared" si="11"/>
        <v>0</v>
      </c>
      <c r="X19" s="17">
        <f t="shared" si="11"/>
        <v>1</v>
      </c>
      <c r="Y19" s="17">
        <f t="shared" si="11"/>
        <v>3.5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29</v>
      </c>
      <c r="AD19" s="17">
        <f t="shared" si="11"/>
        <v>0</v>
      </c>
      <c r="AE19" s="31">
        <f t="shared" si="11"/>
        <v>15.5</v>
      </c>
      <c r="AF19" s="31">
        <f t="shared" si="11"/>
        <v>44.5</v>
      </c>
    </row>
    <row r="20" spans="2:32" ht="23.1" customHeight="1" x14ac:dyDescent="0.25">
      <c r="B20" s="23" t="s">
        <v>47</v>
      </c>
      <c r="C20" s="49">
        <f>AVERAGE('25.10 Kabale-Katuna 24hr'!C20,'26.10  Kabale-Katuna'!C20)</f>
        <v>2</v>
      </c>
      <c r="D20" s="49">
        <f>AVERAGE('25.10 Kabale-Katuna 24hr'!D20,'26.10  Kabale-Katuna'!D20)</f>
        <v>0.5</v>
      </c>
      <c r="E20" s="49">
        <f>AVERAGE('25.10 Kabale-Katuna 24hr'!E20,'26.10  Kabale-Katuna'!E20)</f>
        <v>1</v>
      </c>
      <c r="F20" s="49">
        <f>AVERAGE('25.10 Kabale-Katuna 24hr'!F20,'26.10  Kabale-Katuna'!F20)</f>
        <v>0</v>
      </c>
      <c r="G20" s="49">
        <f>AVERAGE('25.10 Kabale-Katuna 24hr'!G20,'26.10  Kabale-Katuna'!G20)</f>
        <v>0.5</v>
      </c>
      <c r="H20" s="49">
        <f>AVERAGE('25.10 Kabale-Katuna 24hr'!H20,'26.10  Kabale-Katuna'!H20)</f>
        <v>0</v>
      </c>
      <c r="I20" s="49">
        <f>AVERAGE('25.10 Kabale-Katuna 24hr'!I20,'26.10  Kabale-Katuna'!I20)</f>
        <v>1.5</v>
      </c>
      <c r="J20" s="49">
        <f>AVERAGE('25.10 Kabale-Katuna 24hr'!J20,'26.10  Kabale-Katuna'!J20)</f>
        <v>0</v>
      </c>
      <c r="K20" s="49">
        <f>AVERAGE('25.10 Kabale-Katuna 24hr'!K20,'26.10  Kabale-Katuna'!K20)</f>
        <v>0</v>
      </c>
      <c r="L20" s="49">
        <f>AVERAGE('25.10 Kabale-Katuna 24hr'!L20,'26.10  Kabale-Katuna'!L20)</f>
        <v>0</v>
      </c>
      <c r="M20" s="49">
        <f>AVERAGE('25.10 Kabale-Katuna 24hr'!M20,'26.10  Kabale-Katuna'!M20)</f>
        <v>6.5</v>
      </c>
      <c r="N20" s="49">
        <f>AVERAGE('25.10 Kabale-Katuna 24hr'!N20,'26.10  Kabale-Katuna'!N20)</f>
        <v>0</v>
      </c>
      <c r="O20" s="15">
        <f t="shared" si="0"/>
        <v>5.5</v>
      </c>
      <c r="P20" s="15">
        <f t="shared" si="1"/>
        <v>12</v>
      </c>
      <c r="R20" s="1" t="s">
        <v>16</v>
      </c>
      <c r="S20" s="17">
        <f t="shared" ref="S20:AF20" si="12">SUM(C50:C53)</f>
        <v>13.5</v>
      </c>
      <c r="T20" s="17">
        <f t="shared" si="12"/>
        <v>0.5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1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34.5</v>
      </c>
      <c r="AD20" s="17">
        <f t="shared" si="12"/>
        <v>0</v>
      </c>
      <c r="AE20" s="31">
        <f t="shared" si="12"/>
        <v>20</v>
      </c>
      <c r="AF20" s="31">
        <f t="shared" si="12"/>
        <v>54.5</v>
      </c>
    </row>
    <row r="21" spans="2:32" ht="23.1" customHeight="1" x14ac:dyDescent="0.25">
      <c r="B21" s="23" t="s">
        <v>48</v>
      </c>
      <c r="C21" s="49">
        <f>AVERAGE('25.10 Kabale-Katuna 24hr'!C21,'26.10  Kabale-Katuna'!C21)</f>
        <v>3.5</v>
      </c>
      <c r="D21" s="49">
        <f>AVERAGE('25.10 Kabale-Katuna 24hr'!D21,'26.10  Kabale-Katuna'!D21)</f>
        <v>0</v>
      </c>
      <c r="E21" s="49">
        <f>AVERAGE('25.10 Kabale-Katuna 24hr'!E21,'26.10  Kabale-Katuna'!E21)</f>
        <v>0.5</v>
      </c>
      <c r="F21" s="49">
        <f>AVERAGE('25.10 Kabale-Katuna 24hr'!F21,'26.10  Kabale-Katuna'!F21)</f>
        <v>0</v>
      </c>
      <c r="G21" s="49">
        <f>AVERAGE('25.10 Kabale-Katuna 24hr'!G21,'26.10  Kabale-Katuna'!G21)</f>
        <v>0.5</v>
      </c>
      <c r="H21" s="49">
        <f>AVERAGE('25.10 Kabale-Katuna 24hr'!H21,'26.10  Kabale-Katuna'!H21)</f>
        <v>0</v>
      </c>
      <c r="I21" s="49">
        <f>AVERAGE('25.10 Kabale-Katuna 24hr'!I21,'26.10  Kabale-Katuna'!I21)</f>
        <v>1</v>
      </c>
      <c r="J21" s="49">
        <f>AVERAGE('25.10 Kabale-Katuna 24hr'!J21,'26.10  Kabale-Katuna'!J21)</f>
        <v>0</v>
      </c>
      <c r="K21" s="49">
        <f>AVERAGE('25.10 Kabale-Katuna 24hr'!K21,'26.10  Kabale-Katuna'!K21)</f>
        <v>0</v>
      </c>
      <c r="L21" s="49">
        <f>AVERAGE('25.10 Kabale-Katuna 24hr'!L21,'26.10  Kabale-Katuna'!L21)</f>
        <v>0</v>
      </c>
      <c r="M21" s="49">
        <f>AVERAGE('25.10 Kabale-Katuna 24hr'!M21,'26.10  Kabale-Katuna'!M21)</f>
        <v>11.5</v>
      </c>
      <c r="N21" s="49">
        <f>AVERAGE('25.10 Kabale-Katuna 24hr'!N21,'26.10  Kabale-Katuna'!N21)</f>
        <v>0</v>
      </c>
      <c r="O21" s="15">
        <f t="shared" si="0"/>
        <v>5.5</v>
      </c>
      <c r="P21" s="15">
        <f t="shared" si="1"/>
        <v>17</v>
      </c>
      <c r="R21" s="36" t="s">
        <v>20</v>
      </c>
      <c r="S21" s="34">
        <f t="shared" ref="S21:AF21" si="13">SUM(C54:C57)</f>
        <v>17</v>
      </c>
      <c r="T21" s="17">
        <f t="shared" si="13"/>
        <v>0.5</v>
      </c>
      <c r="U21" s="17">
        <f t="shared" si="13"/>
        <v>0.5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22</v>
      </c>
      <c r="AD21" s="17">
        <f t="shared" si="13"/>
        <v>0</v>
      </c>
      <c r="AE21" s="31">
        <f t="shared" si="13"/>
        <v>20</v>
      </c>
      <c r="AF21" s="31">
        <f t="shared" si="13"/>
        <v>42</v>
      </c>
    </row>
    <row r="22" spans="2:32" ht="23.1" customHeight="1" x14ac:dyDescent="0.25">
      <c r="B22" s="23" t="s">
        <v>49</v>
      </c>
      <c r="C22" s="49">
        <f>AVERAGE('25.10 Kabale-Katuna 24hr'!C22,'26.10  Kabale-Katuna'!C22)</f>
        <v>3</v>
      </c>
      <c r="D22" s="49">
        <f>AVERAGE('25.10 Kabale-Katuna 24hr'!D22,'26.10  Kabale-Katuna'!D22)</f>
        <v>1</v>
      </c>
      <c r="E22" s="49">
        <f>AVERAGE('25.10 Kabale-Katuna 24hr'!E22,'26.10  Kabale-Katuna'!E22)</f>
        <v>0.5</v>
      </c>
      <c r="F22" s="49">
        <f>AVERAGE('25.10 Kabale-Katuna 24hr'!F22,'26.10  Kabale-Katuna'!F22)</f>
        <v>1</v>
      </c>
      <c r="G22" s="49">
        <f>AVERAGE('25.10 Kabale-Katuna 24hr'!G22,'26.10  Kabale-Katuna'!G22)</f>
        <v>0</v>
      </c>
      <c r="H22" s="49">
        <f>AVERAGE('25.10 Kabale-Katuna 24hr'!H22,'26.10  Kabale-Katuna'!H22)</f>
        <v>0</v>
      </c>
      <c r="I22" s="49">
        <f>AVERAGE('25.10 Kabale-Katuna 24hr'!I22,'26.10  Kabale-Katuna'!I22)</f>
        <v>0.5</v>
      </c>
      <c r="J22" s="49">
        <f>AVERAGE('25.10 Kabale-Katuna 24hr'!J22,'26.10  Kabale-Katuna'!J22)</f>
        <v>0</v>
      </c>
      <c r="K22" s="49">
        <f>AVERAGE('25.10 Kabale-Katuna 24hr'!K22,'26.10  Kabale-Katuna'!K22)</f>
        <v>0</v>
      </c>
      <c r="L22" s="49">
        <f>AVERAGE('25.10 Kabale-Katuna 24hr'!L22,'26.10  Kabale-Katuna'!L22)</f>
        <v>0</v>
      </c>
      <c r="M22" s="49">
        <f>AVERAGE('25.10 Kabale-Katuna 24hr'!M22,'26.10  Kabale-Katuna'!M22)</f>
        <v>8</v>
      </c>
      <c r="N22" s="49">
        <f>AVERAGE('25.10 Kabale-Katuna 24hr'!N22,'26.10  Kabale-Katuna'!N22)</f>
        <v>0</v>
      </c>
      <c r="O22" s="15">
        <f t="shared" si="0"/>
        <v>6</v>
      </c>
      <c r="P22" s="15">
        <f t="shared" si="1"/>
        <v>14</v>
      </c>
      <c r="R22" s="1" t="s">
        <v>146</v>
      </c>
      <c r="S22" s="34">
        <f>SUM(C58:C61)</f>
        <v>16</v>
      </c>
      <c r="T22" s="34">
        <f t="shared" ref="T22:AF22" si="14">SUM(D58:D61)</f>
        <v>1</v>
      </c>
      <c r="U22" s="34">
        <f t="shared" si="14"/>
        <v>2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20</v>
      </c>
      <c r="AD22" s="34">
        <f t="shared" si="14"/>
        <v>0</v>
      </c>
      <c r="AE22" s="31">
        <f t="shared" si="14"/>
        <v>21</v>
      </c>
      <c r="AF22" s="31">
        <f t="shared" si="14"/>
        <v>41</v>
      </c>
    </row>
    <row r="23" spans="2:32" ht="23.1" customHeight="1" x14ac:dyDescent="0.25">
      <c r="B23" s="23" t="s">
        <v>50</v>
      </c>
      <c r="C23" s="49">
        <f>AVERAGE('25.10 Kabale-Katuna 24hr'!C23,'26.10  Kabale-Katuna'!C23)</f>
        <v>3</v>
      </c>
      <c r="D23" s="49">
        <f>AVERAGE('25.10 Kabale-Katuna 24hr'!D23,'26.10  Kabale-Katuna'!D23)</f>
        <v>0</v>
      </c>
      <c r="E23" s="49">
        <f>AVERAGE('25.10 Kabale-Katuna 24hr'!E23,'26.10  Kabale-Katuna'!E23)</f>
        <v>0.5</v>
      </c>
      <c r="F23" s="49">
        <f>AVERAGE('25.10 Kabale-Katuna 24hr'!F23,'26.10  Kabale-Katuna'!F23)</f>
        <v>0</v>
      </c>
      <c r="G23" s="49">
        <f>AVERAGE('25.10 Kabale-Katuna 24hr'!G23,'26.10  Kabale-Katuna'!G23)</f>
        <v>0</v>
      </c>
      <c r="H23" s="49">
        <f>AVERAGE('25.10 Kabale-Katuna 24hr'!H23,'26.10  Kabale-Katuna'!H23)</f>
        <v>0</v>
      </c>
      <c r="I23" s="49">
        <f>AVERAGE('25.10 Kabale-Katuna 24hr'!I23,'26.10  Kabale-Katuna'!I23)</f>
        <v>1</v>
      </c>
      <c r="J23" s="49">
        <f>AVERAGE('25.10 Kabale-Katuna 24hr'!J23,'26.10  Kabale-Katuna'!J23)</f>
        <v>0</v>
      </c>
      <c r="K23" s="49">
        <f>AVERAGE('25.10 Kabale-Katuna 24hr'!K23,'26.10  Kabale-Katuna'!K23)</f>
        <v>0</v>
      </c>
      <c r="L23" s="49">
        <f>AVERAGE('25.10 Kabale-Katuna 24hr'!L23,'26.10  Kabale-Katuna'!L23)</f>
        <v>0</v>
      </c>
      <c r="M23" s="49">
        <f>AVERAGE('25.10 Kabale-Katuna 24hr'!M23,'26.10  Kabale-Katuna'!M23)</f>
        <v>4.5</v>
      </c>
      <c r="N23" s="49">
        <f>AVERAGE('25.10 Kabale-Katuna 24hr'!N23,'26.10  Kabale-Katuna'!N23)</f>
        <v>0</v>
      </c>
      <c r="O23" s="15">
        <f t="shared" si="0"/>
        <v>4.5</v>
      </c>
      <c r="P23" s="15">
        <f t="shared" si="1"/>
        <v>9</v>
      </c>
      <c r="R23" s="1" t="s">
        <v>147</v>
      </c>
      <c r="S23" s="34">
        <f>SUM(C62:C65)</f>
        <v>10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15</v>
      </c>
      <c r="AD23" s="34">
        <f t="shared" si="15"/>
        <v>0</v>
      </c>
      <c r="AE23" s="31">
        <f t="shared" si="15"/>
        <v>14</v>
      </c>
      <c r="AF23" s="31">
        <f t="shared" si="15"/>
        <v>29</v>
      </c>
    </row>
    <row r="24" spans="2:32" ht="23.1" customHeight="1" x14ac:dyDescent="0.25">
      <c r="B24" s="23" t="s">
        <v>51</v>
      </c>
      <c r="C24" s="49">
        <f>AVERAGE('25.10 Kabale-Katuna 24hr'!C24,'26.10  Kabale-Katuna'!C24)</f>
        <v>3.5</v>
      </c>
      <c r="D24" s="49">
        <f>AVERAGE('25.10 Kabale-Katuna 24hr'!D24,'26.10  Kabale-Katuna'!D24)</f>
        <v>0.5</v>
      </c>
      <c r="E24" s="49">
        <f>AVERAGE('25.10 Kabale-Katuna 24hr'!E24,'26.10  Kabale-Katuna'!E24)</f>
        <v>0</v>
      </c>
      <c r="F24" s="49">
        <f>AVERAGE('25.10 Kabale-Katuna 24hr'!F24,'26.10  Kabale-Katuna'!F24)</f>
        <v>0</v>
      </c>
      <c r="G24" s="49">
        <f>AVERAGE('25.10 Kabale-Katuna 24hr'!G24,'26.10  Kabale-Katuna'!G24)</f>
        <v>0.5</v>
      </c>
      <c r="H24" s="49">
        <f>AVERAGE('25.10 Kabale-Katuna 24hr'!H24,'26.10  Kabale-Katuna'!H24)</f>
        <v>0</v>
      </c>
      <c r="I24" s="49">
        <f>AVERAGE('25.10 Kabale-Katuna 24hr'!I24,'26.10  Kabale-Katuna'!I24)</f>
        <v>0.5</v>
      </c>
      <c r="J24" s="49">
        <f>AVERAGE('25.10 Kabale-Katuna 24hr'!J24,'26.10  Kabale-Katuna'!J24)</f>
        <v>0</v>
      </c>
      <c r="K24" s="49">
        <f>AVERAGE('25.10 Kabale-Katuna 24hr'!K24,'26.10  Kabale-Katuna'!K24)</f>
        <v>0</v>
      </c>
      <c r="L24" s="49">
        <f>AVERAGE('25.10 Kabale-Katuna 24hr'!L24,'26.10  Kabale-Katuna'!L24)</f>
        <v>0</v>
      </c>
      <c r="M24" s="49">
        <f>AVERAGE('25.10 Kabale-Katuna 24hr'!M24,'26.10  Kabale-Katuna'!M24)</f>
        <v>7.5</v>
      </c>
      <c r="N24" s="49">
        <f>AVERAGE('25.10 Kabale-Katuna 24hr'!N24,'26.10  Kabale-Katuna'!N24)</f>
        <v>0</v>
      </c>
      <c r="O24" s="15">
        <f t="shared" si="0"/>
        <v>5</v>
      </c>
      <c r="P24" s="15">
        <f t="shared" si="1"/>
        <v>12.5</v>
      </c>
      <c r="R24" s="1" t="s">
        <v>148</v>
      </c>
      <c r="S24" s="34">
        <f>SUM(C66:C69)</f>
        <v>6</v>
      </c>
      <c r="T24" s="34">
        <f t="shared" ref="T24:AF24" si="16">SUM(D66:D69)</f>
        <v>0</v>
      </c>
      <c r="U24" s="34">
        <f t="shared" si="16"/>
        <v>1</v>
      </c>
      <c r="V24" s="34">
        <f t="shared" si="16"/>
        <v>1</v>
      </c>
      <c r="W24" s="34">
        <f t="shared" si="16"/>
        <v>0</v>
      </c>
      <c r="X24" s="34">
        <f t="shared" si="16"/>
        <v>1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5</v>
      </c>
      <c r="AD24" s="34">
        <f t="shared" si="16"/>
        <v>0</v>
      </c>
      <c r="AE24" s="31">
        <f t="shared" si="16"/>
        <v>9</v>
      </c>
      <c r="AF24" s="31">
        <f t="shared" si="16"/>
        <v>14</v>
      </c>
    </row>
    <row r="25" spans="2:32" ht="23.1" customHeight="1" x14ac:dyDescent="0.25">
      <c r="B25" s="23" t="s">
        <v>52</v>
      </c>
      <c r="C25" s="49">
        <f>AVERAGE('25.10 Kabale-Katuna 24hr'!C25,'26.10  Kabale-Katuna'!C25)</f>
        <v>1</v>
      </c>
      <c r="D25" s="49">
        <f>AVERAGE('25.10 Kabale-Katuna 24hr'!D25,'26.10  Kabale-Katuna'!D25)</f>
        <v>0.5</v>
      </c>
      <c r="E25" s="49">
        <f>AVERAGE('25.10 Kabale-Katuna 24hr'!E25,'26.10  Kabale-Katuna'!E25)</f>
        <v>0.5</v>
      </c>
      <c r="F25" s="49">
        <f>AVERAGE('25.10 Kabale-Katuna 24hr'!F25,'26.10  Kabale-Katuna'!F25)</f>
        <v>0.5</v>
      </c>
      <c r="G25" s="49">
        <f>AVERAGE('25.10 Kabale-Katuna 24hr'!G25,'26.10  Kabale-Katuna'!G25)</f>
        <v>0</v>
      </c>
      <c r="H25" s="49">
        <f>AVERAGE('25.10 Kabale-Katuna 24hr'!H25,'26.10  Kabale-Katuna'!H25)</f>
        <v>0</v>
      </c>
      <c r="I25" s="49">
        <f>AVERAGE('25.10 Kabale-Katuna 24hr'!I25,'26.10  Kabale-Katuna'!I25)</f>
        <v>0.5</v>
      </c>
      <c r="J25" s="49">
        <f>AVERAGE('25.10 Kabale-Katuna 24hr'!J25,'26.10  Kabale-Katuna'!J25)</f>
        <v>0</v>
      </c>
      <c r="K25" s="49">
        <f>AVERAGE('25.10 Kabale-Katuna 24hr'!K25,'26.10  Kabale-Katuna'!K25)</f>
        <v>0</v>
      </c>
      <c r="L25" s="49">
        <f>AVERAGE('25.10 Kabale-Katuna 24hr'!L25,'26.10  Kabale-Katuna'!L25)</f>
        <v>0</v>
      </c>
      <c r="M25" s="49">
        <f>AVERAGE('25.10 Kabale-Katuna 24hr'!M25,'26.10  Kabale-Katuna'!M25)</f>
        <v>5.5</v>
      </c>
      <c r="N25" s="49">
        <f>AVERAGE('25.10 Kabale-Katuna 24hr'!N25,'26.10  Kabale-Katuna'!N25)</f>
        <v>0</v>
      </c>
      <c r="O25" s="15">
        <f t="shared" si="0"/>
        <v>3</v>
      </c>
      <c r="P25" s="15">
        <f t="shared" si="1"/>
        <v>8.5</v>
      </c>
      <c r="R25" s="1" t="s">
        <v>149</v>
      </c>
      <c r="S25" s="34">
        <f>SUM(C70:C73)</f>
        <v>5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6</v>
      </c>
      <c r="AD25" s="34">
        <f t="shared" si="17"/>
        <v>0</v>
      </c>
      <c r="AE25" s="31">
        <f t="shared" si="17"/>
        <v>6</v>
      </c>
      <c r="AF25" s="31">
        <f t="shared" si="17"/>
        <v>12</v>
      </c>
    </row>
    <row r="26" spans="2:32" ht="23.1" customHeight="1" x14ac:dyDescent="0.25">
      <c r="B26" s="23" t="s">
        <v>53</v>
      </c>
      <c r="C26" s="49">
        <f>AVERAGE('25.10 Kabale-Katuna 24hr'!C26,'26.10  Kabale-Katuna'!C26)</f>
        <v>2</v>
      </c>
      <c r="D26" s="49">
        <f>AVERAGE('25.10 Kabale-Katuna 24hr'!D26,'26.10  Kabale-Katuna'!D26)</f>
        <v>0.5</v>
      </c>
      <c r="E26" s="49">
        <f>AVERAGE('25.10 Kabale-Katuna 24hr'!E26,'26.10  Kabale-Katuna'!E26)</f>
        <v>0.5</v>
      </c>
      <c r="F26" s="49">
        <f>AVERAGE('25.10 Kabale-Katuna 24hr'!F26,'26.10  Kabale-Katuna'!F26)</f>
        <v>0</v>
      </c>
      <c r="G26" s="49">
        <f>AVERAGE('25.10 Kabale-Katuna 24hr'!G26,'26.10  Kabale-Katuna'!G26)</f>
        <v>0</v>
      </c>
      <c r="H26" s="49">
        <f>AVERAGE('25.10 Kabale-Katuna 24hr'!H26,'26.10  Kabale-Katuna'!H26)</f>
        <v>0.5</v>
      </c>
      <c r="I26" s="49">
        <f>AVERAGE('25.10 Kabale-Katuna 24hr'!I26,'26.10  Kabale-Katuna'!I26)</f>
        <v>0</v>
      </c>
      <c r="J26" s="49">
        <f>AVERAGE('25.10 Kabale-Katuna 24hr'!J26,'26.10  Kabale-Katuna'!J26)</f>
        <v>0</v>
      </c>
      <c r="K26" s="49">
        <f>AVERAGE('25.10 Kabale-Katuna 24hr'!K26,'26.10  Kabale-Katuna'!K26)</f>
        <v>0</v>
      </c>
      <c r="L26" s="49">
        <f>AVERAGE('25.10 Kabale-Katuna 24hr'!L26,'26.10  Kabale-Katuna'!L26)</f>
        <v>0</v>
      </c>
      <c r="M26" s="49">
        <f>AVERAGE('25.10 Kabale-Katuna 24hr'!M26,'26.10  Kabale-Katuna'!M26)</f>
        <v>5</v>
      </c>
      <c r="N26" s="49">
        <f>AVERAGE('25.10 Kabale-Katuna 24hr'!N26,'26.10  Kabale-Katuna'!N26)</f>
        <v>0</v>
      </c>
      <c r="O26" s="15">
        <f t="shared" si="0"/>
        <v>3.5</v>
      </c>
      <c r="P26" s="15">
        <f t="shared" si="1"/>
        <v>8.5</v>
      </c>
      <c r="R26" s="1" t="s">
        <v>150</v>
      </c>
      <c r="S26" s="34">
        <f>SUM(C74:C77)</f>
        <v>2</v>
      </c>
      <c r="T26" s="34">
        <f t="shared" ref="T26:AF26" si="18">SUM(D74:D77)</f>
        <v>2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6</v>
      </c>
      <c r="AD26" s="34">
        <f t="shared" si="18"/>
        <v>0</v>
      </c>
      <c r="AE26" s="31">
        <f t="shared" si="18"/>
        <v>5</v>
      </c>
      <c r="AF26" s="31">
        <f t="shared" si="18"/>
        <v>11</v>
      </c>
    </row>
    <row r="27" spans="2:32" ht="23.1" customHeight="1" x14ac:dyDescent="0.25">
      <c r="B27" s="23" t="s">
        <v>54</v>
      </c>
      <c r="C27" s="49">
        <f>AVERAGE('25.10 Kabale-Katuna 24hr'!C27,'26.10  Kabale-Katuna'!C27)</f>
        <v>2</v>
      </c>
      <c r="D27" s="49">
        <f>AVERAGE('25.10 Kabale-Katuna 24hr'!D27,'26.10  Kabale-Katuna'!D27)</f>
        <v>0</v>
      </c>
      <c r="E27" s="49">
        <f>AVERAGE('25.10 Kabale-Katuna 24hr'!E27,'26.10  Kabale-Katuna'!E27)</f>
        <v>0</v>
      </c>
      <c r="F27" s="49">
        <f>AVERAGE('25.10 Kabale-Katuna 24hr'!F27,'26.10  Kabale-Katuna'!F27)</f>
        <v>0.5</v>
      </c>
      <c r="G27" s="49">
        <f>AVERAGE('25.10 Kabale-Katuna 24hr'!G27,'26.10  Kabale-Katuna'!G27)</f>
        <v>0</v>
      </c>
      <c r="H27" s="49">
        <f>AVERAGE('25.10 Kabale-Katuna 24hr'!H27,'26.10  Kabale-Katuna'!H27)</f>
        <v>0</v>
      </c>
      <c r="I27" s="49">
        <f>AVERAGE('25.10 Kabale-Katuna 24hr'!I27,'26.10  Kabale-Katuna'!I27)</f>
        <v>0</v>
      </c>
      <c r="J27" s="49">
        <f>AVERAGE('25.10 Kabale-Katuna 24hr'!J27,'26.10  Kabale-Katuna'!J27)</f>
        <v>0</v>
      </c>
      <c r="K27" s="49">
        <f>AVERAGE('25.10 Kabale-Katuna 24hr'!K27,'26.10  Kabale-Katuna'!K27)</f>
        <v>0</v>
      </c>
      <c r="L27" s="49">
        <f>AVERAGE('25.10 Kabale-Katuna 24hr'!L27,'26.10  Kabale-Katuna'!L27)</f>
        <v>0</v>
      </c>
      <c r="M27" s="49">
        <f>AVERAGE('25.10 Kabale-Katuna 24hr'!M27,'26.10  Kabale-Katuna'!M27)</f>
        <v>5.5</v>
      </c>
      <c r="N27" s="49">
        <f>AVERAGE('25.10 Kabale-Katuna 24hr'!N27,'26.10  Kabale-Katuna'!N27)</f>
        <v>0</v>
      </c>
      <c r="O27" s="15">
        <f t="shared" si="0"/>
        <v>2.5</v>
      </c>
      <c r="P27" s="15">
        <f t="shared" si="1"/>
        <v>8</v>
      </c>
      <c r="R27" s="1" t="s">
        <v>151</v>
      </c>
      <c r="S27" s="34">
        <f>SUM(C78:C81)</f>
        <v>5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9</v>
      </c>
      <c r="AD27" s="34">
        <f t="shared" si="19"/>
        <v>0</v>
      </c>
      <c r="AE27" s="31">
        <f t="shared" si="19"/>
        <v>6</v>
      </c>
      <c r="AF27" s="31">
        <f t="shared" si="19"/>
        <v>15</v>
      </c>
    </row>
    <row r="28" spans="2:32" ht="23.1" customHeight="1" x14ac:dyDescent="0.25">
      <c r="B28" s="23" t="s">
        <v>55</v>
      </c>
      <c r="C28" s="49">
        <f>AVERAGE('25.10 Kabale-Katuna 24hr'!C28,'26.10  Kabale-Katuna'!C28)</f>
        <v>3</v>
      </c>
      <c r="D28" s="49">
        <f>AVERAGE('25.10 Kabale-Katuna 24hr'!D28,'26.10  Kabale-Katuna'!D28)</f>
        <v>2</v>
      </c>
      <c r="E28" s="49">
        <f>AVERAGE('25.10 Kabale-Katuna 24hr'!E28,'26.10  Kabale-Katuna'!E28)</f>
        <v>0.5</v>
      </c>
      <c r="F28" s="49">
        <f>AVERAGE('25.10 Kabale-Katuna 24hr'!F28,'26.10  Kabale-Katuna'!F28)</f>
        <v>0.5</v>
      </c>
      <c r="G28" s="49">
        <f>AVERAGE('25.10 Kabale-Katuna 24hr'!G28,'26.10  Kabale-Katuna'!G28)</f>
        <v>0</v>
      </c>
      <c r="H28" s="49">
        <f>AVERAGE('25.10 Kabale-Katuna 24hr'!H28,'26.10  Kabale-Katuna'!H28)</f>
        <v>0</v>
      </c>
      <c r="I28" s="49">
        <f>AVERAGE('25.10 Kabale-Katuna 24hr'!I28,'26.10  Kabale-Katuna'!I28)</f>
        <v>1</v>
      </c>
      <c r="J28" s="49">
        <f>AVERAGE('25.10 Kabale-Katuna 24hr'!J28,'26.10  Kabale-Katuna'!J28)</f>
        <v>0</v>
      </c>
      <c r="K28" s="49">
        <f>AVERAGE('25.10 Kabale-Katuna 24hr'!K28,'26.10  Kabale-Katuna'!K28)</f>
        <v>0</v>
      </c>
      <c r="L28" s="49">
        <f>AVERAGE('25.10 Kabale-Katuna 24hr'!L28,'26.10  Kabale-Katuna'!L28)</f>
        <v>0</v>
      </c>
      <c r="M28" s="49">
        <f>AVERAGE('25.10 Kabale-Katuna 24hr'!M28,'26.10  Kabale-Katuna'!M28)</f>
        <v>7</v>
      </c>
      <c r="N28" s="49">
        <f>AVERAGE('25.10 Kabale-Katuna 24hr'!N28,'26.10  Kabale-Katuna'!N28)</f>
        <v>0</v>
      </c>
      <c r="O28" s="15">
        <f t="shared" si="0"/>
        <v>7</v>
      </c>
      <c r="P28" s="15">
        <f t="shared" si="1"/>
        <v>14</v>
      </c>
      <c r="R28" s="1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4</v>
      </c>
      <c r="AF28" s="31">
        <f t="shared" si="20"/>
        <v>7</v>
      </c>
    </row>
    <row r="29" spans="2:32" ht="23.1" customHeight="1" x14ac:dyDescent="0.25">
      <c r="B29" s="23" t="s">
        <v>56</v>
      </c>
      <c r="C29" s="49">
        <f>AVERAGE('25.10 Kabale-Katuna 24hr'!C29,'26.10  Kabale-Katuna'!C29)</f>
        <v>4.5</v>
      </c>
      <c r="D29" s="49">
        <f>AVERAGE('25.10 Kabale-Katuna 24hr'!D29,'26.10  Kabale-Katuna'!D29)</f>
        <v>0.5</v>
      </c>
      <c r="E29" s="49">
        <f>AVERAGE('25.10 Kabale-Katuna 24hr'!E29,'26.10  Kabale-Katuna'!E29)</f>
        <v>0</v>
      </c>
      <c r="F29" s="49">
        <f>AVERAGE('25.10 Kabale-Katuna 24hr'!F29,'26.10  Kabale-Katuna'!F29)</f>
        <v>0</v>
      </c>
      <c r="G29" s="49">
        <f>AVERAGE('25.10 Kabale-Katuna 24hr'!G29,'26.10  Kabale-Katuna'!G29)</f>
        <v>0</v>
      </c>
      <c r="H29" s="49">
        <f>AVERAGE('25.10 Kabale-Katuna 24hr'!H29,'26.10  Kabale-Katuna'!H29)</f>
        <v>0</v>
      </c>
      <c r="I29" s="49">
        <f>AVERAGE('25.10 Kabale-Katuna 24hr'!I29,'26.10  Kabale-Katuna'!I29)</f>
        <v>0</v>
      </c>
      <c r="J29" s="49">
        <f>AVERAGE('25.10 Kabale-Katuna 24hr'!J29,'26.10  Kabale-Katuna'!J29)</f>
        <v>0.5</v>
      </c>
      <c r="K29" s="49">
        <f>AVERAGE('25.10 Kabale-Katuna 24hr'!K29,'26.10  Kabale-Katuna'!K29)</f>
        <v>0</v>
      </c>
      <c r="L29" s="49">
        <f>AVERAGE('25.10 Kabale-Katuna 24hr'!L29,'26.10  Kabale-Katuna'!L29)</f>
        <v>0</v>
      </c>
      <c r="M29" s="49">
        <f>AVERAGE('25.10 Kabale-Katuna 24hr'!M29,'26.10  Kabale-Katuna'!M29)</f>
        <v>4.5</v>
      </c>
      <c r="N29" s="49">
        <f>AVERAGE('25.10 Kabale-Katuna 24hr'!N29,'26.10  Kabale-Katuna'!N29)</f>
        <v>0</v>
      </c>
      <c r="O29" s="15">
        <f t="shared" si="0"/>
        <v>5.5</v>
      </c>
      <c r="P29" s="15">
        <f t="shared" si="1"/>
        <v>10</v>
      </c>
      <c r="R29" s="1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1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3</v>
      </c>
      <c r="AF29" s="31">
        <f t="shared" si="21"/>
        <v>3</v>
      </c>
    </row>
    <row r="30" spans="2:32" ht="23.1" customHeight="1" x14ac:dyDescent="0.25">
      <c r="B30" s="23" t="s">
        <v>57</v>
      </c>
      <c r="C30" s="49">
        <f>AVERAGE('25.10 Kabale-Katuna 24hr'!C30,'26.10  Kabale-Katuna'!C30)</f>
        <v>3</v>
      </c>
      <c r="D30" s="49">
        <f>AVERAGE('25.10 Kabale-Katuna 24hr'!D30,'26.10  Kabale-Katuna'!D30)</f>
        <v>0.5</v>
      </c>
      <c r="E30" s="49">
        <f>AVERAGE('25.10 Kabale-Katuna 24hr'!E30,'26.10  Kabale-Katuna'!E30)</f>
        <v>0</v>
      </c>
      <c r="F30" s="49">
        <f>AVERAGE('25.10 Kabale-Katuna 24hr'!F30,'26.10  Kabale-Katuna'!F30)</f>
        <v>0</v>
      </c>
      <c r="G30" s="49">
        <f>AVERAGE('25.10 Kabale-Katuna 24hr'!G30,'26.10  Kabale-Katuna'!G30)</f>
        <v>0</v>
      </c>
      <c r="H30" s="49">
        <f>AVERAGE('25.10 Kabale-Katuna 24hr'!H30,'26.10  Kabale-Katuna'!H30)</f>
        <v>0.5</v>
      </c>
      <c r="I30" s="49">
        <f>AVERAGE('25.10 Kabale-Katuna 24hr'!I30,'26.10  Kabale-Katuna'!I30)</f>
        <v>0.5</v>
      </c>
      <c r="J30" s="49">
        <f>AVERAGE('25.10 Kabale-Katuna 24hr'!J30,'26.10  Kabale-Katuna'!J30)</f>
        <v>0</v>
      </c>
      <c r="K30" s="49">
        <f>AVERAGE('25.10 Kabale-Katuna 24hr'!K30,'26.10  Kabale-Katuna'!K30)</f>
        <v>0</v>
      </c>
      <c r="L30" s="49">
        <f>AVERAGE('25.10 Kabale-Katuna 24hr'!L30,'26.10  Kabale-Katuna'!L30)</f>
        <v>0</v>
      </c>
      <c r="M30" s="49">
        <f>AVERAGE('25.10 Kabale-Katuna 24hr'!M30,'26.10  Kabale-Katuna'!M30)</f>
        <v>3</v>
      </c>
      <c r="N30" s="49">
        <f>AVERAGE('25.10 Kabale-Katuna 24hr'!N30,'26.10  Kabale-Katuna'!N30)</f>
        <v>0</v>
      </c>
      <c r="O30" s="15">
        <f t="shared" si="0"/>
        <v>4.5</v>
      </c>
      <c r="P30" s="15">
        <f t="shared" si="1"/>
        <v>7.5</v>
      </c>
      <c r="R30" s="1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5</v>
      </c>
      <c r="AF30" s="31">
        <f t="shared" si="22"/>
        <v>7</v>
      </c>
    </row>
    <row r="31" spans="2:32" ht="23.1" customHeight="1" x14ac:dyDescent="0.25">
      <c r="B31" s="24" t="s">
        <v>58</v>
      </c>
      <c r="C31" s="49">
        <f>AVERAGE('25.10 Kabale-Katuna 24hr'!C31,'26.10  Kabale-Katuna'!C31)</f>
        <v>2.5</v>
      </c>
      <c r="D31" s="49">
        <f>AVERAGE('25.10 Kabale-Katuna 24hr'!D31,'26.10  Kabale-Katuna'!D31)</f>
        <v>0</v>
      </c>
      <c r="E31" s="49">
        <f>AVERAGE('25.10 Kabale-Katuna 24hr'!E31,'26.10  Kabale-Katuna'!E31)</f>
        <v>0.5</v>
      </c>
      <c r="F31" s="49">
        <f>AVERAGE('25.10 Kabale-Katuna 24hr'!F31,'26.10  Kabale-Katuna'!F31)</f>
        <v>0</v>
      </c>
      <c r="G31" s="49">
        <f>AVERAGE('25.10 Kabale-Katuna 24hr'!G31,'26.10  Kabale-Katuna'!G31)</f>
        <v>0</v>
      </c>
      <c r="H31" s="49">
        <f>AVERAGE('25.10 Kabale-Katuna 24hr'!H31,'26.10  Kabale-Katuna'!H31)</f>
        <v>0</v>
      </c>
      <c r="I31" s="49">
        <f>AVERAGE('25.10 Kabale-Katuna 24hr'!I31,'26.10  Kabale-Katuna'!I31)</f>
        <v>0</v>
      </c>
      <c r="J31" s="49">
        <f>AVERAGE('25.10 Kabale-Katuna 24hr'!J31,'26.10  Kabale-Katuna'!J31)</f>
        <v>0</v>
      </c>
      <c r="K31" s="49">
        <f>AVERAGE('25.10 Kabale-Katuna 24hr'!K31,'26.10  Kabale-Katuna'!K31)</f>
        <v>0</v>
      </c>
      <c r="L31" s="49">
        <f>AVERAGE('25.10 Kabale-Katuna 24hr'!L31,'26.10  Kabale-Katuna'!L31)</f>
        <v>0</v>
      </c>
      <c r="M31" s="49">
        <f>AVERAGE('25.10 Kabale-Katuna 24hr'!M31,'26.10  Kabale-Katuna'!M31)</f>
        <v>7.5</v>
      </c>
      <c r="N31" s="49">
        <f>AVERAGE('25.10 Kabale-Katuna 24hr'!N31,'26.10  Kabale-Katuna'!N31)</f>
        <v>0</v>
      </c>
      <c r="O31" s="15">
        <f t="shared" si="0"/>
        <v>3</v>
      </c>
      <c r="P31" s="15">
        <f t="shared" si="1"/>
        <v>10.5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2</v>
      </c>
      <c r="AF31" s="31">
        <f t="shared" si="23"/>
        <v>3</v>
      </c>
    </row>
    <row r="32" spans="2:32" ht="23.1" customHeight="1" x14ac:dyDescent="0.25">
      <c r="B32" s="24" t="s">
        <v>59</v>
      </c>
      <c r="C32" s="49">
        <f>AVERAGE('25.10 Kabale-Katuna 24hr'!C32,'26.10  Kabale-Katuna'!C32)</f>
        <v>4.5</v>
      </c>
      <c r="D32" s="49">
        <f>AVERAGE('25.10 Kabale-Katuna 24hr'!D32,'26.10  Kabale-Katuna'!D32)</f>
        <v>1</v>
      </c>
      <c r="E32" s="49">
        <f>AVERAGE('25.10 Kabale-Katuna 24hr'!E32,'26.10  Kabale-Katuna'!E32)</f>
        <v>0.5</v>
      </c>
      <c r="F32" s="49">
        <f>AVERAGE('25.10 Kabale-Katuna 24hr'!F32,'26.10  Kabale-Katuna'!F32)</f>
        <v>0</v>
      </c>
      <c r="G32" s="49">
        <f>AVERAGE('25.10 Kabale-Katuna 24hr'!G32,'26.10  Kabale-Katuna'!G32)</f>
        <v>0</v>
      </c>
      <c r="H32" s="49">
        <f>AVERAGE('25.10 Kabale-Katuna 24hr'!H32,'26.10  Kabale-Katuna'!H32)</f>
        <v>0</v>
      </c>
      <c r="I32" s="49">
        <f>AVERAGE('25.10 Kabale-Katuna 24hr'!I32,'26.10  Kabale-Katuna'!I32)</f>
        <v>0.5</v>
      </c>
      <c r="J32" s="49">
        <f>AVERAGE('25.10 Kabale-Katuna 24hr'!J32,'26.10  Kabale-Katuna'!J32)</f>
        <v>1</v>
      </c>
      <c r="K32" s="49">
        <f>AVERAGE('25.10 Kabale-Katuna 24hr'!K32,'26.10  Kabale-Katuna'!K32)</f>
        <v>0</v>
      </c>
      <c r="L32" s="49">
        <f>AVERAGE('25.10 Kabale-Katuna 24hr'!L32,'26.10  Kabale-Katuna'!L32)</f>
        <v>0</v>
      </c>
      <c r="M32" s="49">
        <f>AVERAGE('25.10 Kabale-Katuna 24hr'!M32,'26.10  Kabale-Katuna'!M32)</f>
        <v>6</v>
      </c>
      <c r="N32" s="49">
        <f>AVERAGE('25.10 Kabale-Katuna 24hr'!N32,'26.10  Kabale-Katuna'!N32)</f>
        <v>0</v>
      </c>
      <c r="O32" s="15">
        <f t="shared" si="0"/>
        <v>7.5</v>
      </c>
      <c r="P32" s="15">
        <f t="shared" si="1"/>
        <v>13.5</v>
      </c>
      <c r="R32" s="1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3</v>
      </c>
      <c r="AF32" s="31">
        <f t="shared" si="24"/>
        <v>3</v>
      </c>
    </row>
    <row r="33" spans="2:32" ht="23.1" customHeight="1" x14ac:dyDescent="0.25">
      <c r="B33" s="23" t="s">
        <v>60</v>
      </c>
      <c r="C33" s="49">
        <f>AVERAGE('25.10 Kabale-Katuna 24hr'!C33,'26.10  Kabale-Katuna'!C33)</f>
        <v>2.5</v>
      </c>
      <c r="D33" s="49">
        <f>AVERAGE('25.10 Kabale-Katuna 24hr'!D33,'26.10  Kabale-Katuna'!D33)</f>
        <v>0</v>
      </c>
      <c r="E33" s="49">
        <f>AVERAGE('25.10 Kabale-Katuna 24hr'!E33,'26.10  Kabale-Katuna'!E33)</f>
        <v>0</v>
      </c>
      <c r="F33" s="49">
        <f>AVERAGE('25.10 Kabale-Katuna 24hr'!F33,'26.10  Kabale-Katuna'!F33)</f>
        <v>0</v>
      </c>
      <c r="G33" s="49">
        <f>AVERAGE('25.10 Kabale-Katuna 24hr'!G33,'26.10  Kabale-Katuna'!G33)</f>
        <v>0</v>
      </c>
      <c r="H33" s="49">
        <f>AVERAGE('25.10 Kabale-Katuna 24hr'!H33,'26.10  Kabale-Katuna'!H33)</f>
        <v>0.5</v>
      </c>
      <c r="I33" s="49">
        <f>AVERAGE('25.10 Kabale-Katuna 24hr'!I33,'26.10  Kabale-Katuna'!I33)</f>
        <v>0.5</v>
      </c>
      <c r="J33" s="49">
        <f>AVERAGE('25.10 Kabale-Katuna 24hr'!J33,'26.10  Kabale-Katuna'!J33)</f>
        <v>0</v>
      </c>
      <c r="K33" s="49">
        <f>AVERAGE('25.10 Kabale-Katuna 24hr'!K33,'26.10  Kabale-Katuna'!K33)</f>
        <v>0</v>
      </c>
      <c r="L33" s="49">
        <f>AVERAGE('25.10 Kabale-Katuna 24hr'!L33,'26.10  Kabale-Katuna'!L33)</f>
        <v>0</v>
      </c>
      <c r="M33" s="49">
        <f>AVERAGE('25.10 Kabale-Katuna 24hr'!M33,'26.10  Kabale-Katuna'!M33)</f>
        <v>4</v>
      </c>
      <c r="N33" s="49">
        <f>AVERAGE('25.10 Kabale-Katuna 24hr'!N33,'26.10  Kabale-Katuna'!N33)</f>
        <v>0</v>
      </c>
      <c r="O33" s="15">
        <f t="shared" si="0"/>
        <v>3.5</v>
      </c>
      <c r="P33" s="15">
        <f t="shared" si="1"/>
        <v>7.5</v>
      </c>
      <c r="R33" s="1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</v>
      </c>
      <c r="AD33" s="34">
        <f t="shared" si="25"/>
        <v>0</v>
      </c>
      <c r="AE33" s="31">
        <f t="shared" si="25"/>
        <v>5</v>
      </c>
      <c r="AF33" s="31">
        <f t="shared" si="25"/>
        <v>6</v>
      </c>
    </row>
    <row r="34" spans="2:32" ht="23.1" customHeight="1" x14ac:dyDescent="0.25">
      <c r="B34" s="24" t="s">
        <v>61</v>
      </c>
      <c r="C34" s="49">
        <f>AVERAGE('25.10 Kabale-Katuna 24hr'!C34,'26.10  Kabale-Katuna'!C34)</f>
        <v>2.5</v>
      </c>
      <c r="D34" s="49">
        <f>AVERAGE('25.10 Kabale-Katuna 24hr'!D34,'26.10  Kabale-Katuna'!D34)</f>
        <v>0.5</v>
      </c>
      <c r="E34" s="49">
        <f>AVERAGE('25.10 Kabale-Katuna 24hr'!E34,'26.10  Kabale-Katuna'!E34)</f>
        <v>0</v>
      </c>
      <c r="F34" s="49">
        <f>AVERAGE('25.10 Kabale-Katuna 24hr'!F34,'26.10  Kabale-Katuna'!F34)</f>
        <v>0</v>
      </c>
      <c r="G34" s="49">
        <f>AVERAGE('25.10 Kabale-Katuna 24hr'!G34,'26.10  Kabale-Katuna'!G34)</f>
        <v>0</v>
      </c>
      <c r="H34" s="49">
        <f>AVERAGE('25.10 Kabale-Katuna 24hr'!H34,'26.10  Kabale-Katuna'!H34)</f>
        <v>0</v>
      </c>
      <c r="I34" s="49">
        <f>AVERAGE('25.10 Kabale-Katuna 24hr'!I34,'26.10  Kabale-Katuna'!I34)</f>
        <v>0</v>
      </c>
      <c r="J34" s="49">
        <f>AVERAGE('25.10 Kabale-Katuna 24hr'!J34,'26.10  Kabale-Katuna'!J34)</f>
        <v>0</v>
      </c>
      <c r="K34" s="49">
        <f>AVERAGE('25.10 Kabale-Katuna 24hr'!K34,'26.10  Kabale-Katuna'!K34)</f>
        <v>0</v>
      </c>
      <c r="L34" s="49">
        <f>AVERAGE('25.10 Kabale-Katuna 24hr'!L34,'26.10  Kabale-Katuna'!L34)</f>
        <v>0</v>
      </c>
      <c r="M34" s="49">
        <f>AVERAGE('25.10 Kabale-Katuna 24hr'!M34,'26.10  Kabale-Katuna'!M34)</f>
        <v>7</v>
      </c>
      <c r="N34" s="49">
        <f>AVERAGE('25.10 Kabale-Katuna 24hr'!N34,'26.10  Kabale-Katuna'!N34)</f>
        <v>0</v>
      </c>
      <c r="O34" s="15">
        <f t="shared" si="0"/>
        <v>3</v>
      </c>
      <c r="P34" s="15">
        <f t="shared" si="1"/>
        <v>10</v>
      </c>
      <c r="R34" s="51" t="s">
        <v>90</v>
      </c>
      <c r="S34" s="52">
        <f t="shared" ref="S34:AF34" si="26">MAX(S10:S12)</f>
        <v>11</v>
      </c>
      <c r="T34" s="52">
        <f t="shared" si="26"/>
        <v>0.5</v>
      </c>
      <c r="U34" s="52">
        <f t="shared" si="26"/>
        <v>1.5</v>
      </c>
      <c r="V34" s="52">
        <f t="shared" si="26"/>
        <v>1.5</v>
      </c>
      <c r="W34" s="52">
        <f t="shared" si="26"/>
        <v>1.5</v>
      </c>
      <c r="X34" s="52">
        <f t="shared" si="26"/>
        <v>0.5</v>
      </c>
      <c r="Y34" s="52">
        <f t="shared" si="26"/>
        <v>3.5</v>
      </c>
      <c r="Z34" s="52">
        <f t="shared" si="26"/>
        <v>0.5</v>
      </c>
      <c r="AA34" s="52">
        <f t="shared" si="26"/>
        <v>0</v>
      </c>
      <c r="AB34" s="52">
        <f t="shared" si="26"/>
        <v>0</v>
      </c>
      <c r="AC34" s="52">
        <f t="shared" si="26"/>
        <v>31.5</v>
      </c>
      <c r="AD34" s="52">
        <f t="shared" si="26"/>
        <v>0</v>
      </c>
      <c r="AE34" s="40">
        <f t="shared" si="26"/>
        <v>18</v>
      </c>
      <c r="AF34" s="40">
        <f t="shared" si="26"/>
        <v>49.5</v>
      </c>
    </row>
    <row r="35" spans="2:32" ht="23.1" customHeight="1" x14ac:dyDescent="0.25">
      <c r="B35" s="24" t="s">
        <v>62</v>
      </c>
      <c r="C35" s="49">
        <f>AVERAGE('25.10 Kabale-Katuna 24hr'!C35,'26.10  Kabale-Katuna'!C35)</f>
        <v>4.5</v>
      </c>
      <c r="D35" s="49">
        <f>AVERAGE('25.10 Kabale-Katuna 24hr'!D35,'26.10  Kabale-Katuna'!D35)</f>
        <v>1</v>
      </c>
      <c r="E35" s="49">
        <f>AVERAGE('25.10 Kabale-Katuna 24hr'!E35,'26.10  Kabale-Katuna'!E35)</f>
        <v>0</v>
      </c>
      <c r="F35" s="49">
        <f>AVERAGE('25.10 Kabale-Katuna 24hr'!F35,'26.10  Kabale-Katuna'!F35)</f>
        <v>0</v>
      </c>
      <c r="G35" s="49">
        <f>AVERAGE('25.10 Kabale-Katuna 24hr'!G35,'26.10  Kabale-Katuna'!G35)</f>
        <v>0</v>
      </c>
      <c r="H35" s="49">
        <f>AVERAGE('25.10 Kabale-Katuna 24hr'!H35,'26.10  Kabale-Katuna'!H35)</f>
        <v>0</v>
      </c>
      <c r="I35" s="49">
        <f>AVERAGE('25.10 Kabale-Katuna 24hr'!I35,'26.10  Kabale-Katuna'!I35)</f>
        <v>1</v>
      </c>
      <c r="J35" s="49">
        <f>AVERAGE('25.10 Kabale-Katuna 24hr'!J35,'26.10  Kabale-Katuna'!J35)</f>
        <v>0</v>
      </c>
      <c r="K35" s="49">
        <f>AVERAGE('25.10 Kabale-Katuna 24hr'!K35,'26.10  Kabale-Katuna'!K35)</f>
        <v>0</v>
      </c>
      <c r="L35" s="49">
        <f>AVERAGE('25.10 Kabale-Katuna 24hr'!L35,'26.10  Kabale-Katuna'!L35)</f>
        <v>0</v>
      </c>
      <c r="M35" s="49">
        <f>AVERAGE('25.10 Kabale-Katuna 24hr'!M35,'26.10  Kabale-Katuna'!M35)</f>
        <v>6.5</v>
      </c>
      <c r="N35" s="49">
        <f>AVERAGE('25.10 Kabale-Katuna 24hr'!N35,'26.10  Kabale-Katuna'!N35)</f>
        <v>0</v>
      </c>
      <c r="O35" s="15">
        <f t="shared" si="0"/>
        <v>6.5</v>
      </c>
      <c r="P35" s="15">
        <f t="shared" si="1"/>
        <v>13</v>
      </c>
      <c r="R35" s="51" t="s">
        <v>91</v>
      </c>
      <c r="S35" s="52">
        <f t="shared" ref="S35:AF35" si="27">MAX(S13:S18)</f>
        <v>19</v>
      </c>
      <c r="T35" s="52">
        <f t="shared" si="27"/>
        <v>3</v>
      </c>
      <c r="U35" s="52">
        <f t="shared" si="27"/>
        <v>2.5</v>
      </c>
      <c r="V35" s="52">
        <f t="shared" si="27"/>
        <v>2.5</v>
      </c>
      <c r="W35" s="52">
        <f t="shared" si="27"/>
        <v>0.5</v>
      </c>
      <c r="X35" s="52">
        <f t="shared" si="27"/>
        <v>1</v>
      </c>
      <c r="Y35" s="52">
        <f t="shared" si="27"/>
        <v>4</v>
      </c>
      <c r="Z35" s="52">
        <f t="shared" si="27"/>
        <v>1</v>
      </c>
      <c r="AA35" s="52">
        <f t="shared" si="27"/>
        <v>0</v>
      </c>
      <c r="AB35" s="52">
        <f t="shared" si="27"/>
        <v>0</v>
      </c>
      <c r="AC35" s="52">
        <f t="shared" si="27"/>
        <v>27.5</v>
      </c>
      <c r="AD35" s="52">
        <f t="shared" si="27"/>
        <v>0</v>
      </c>
      <c r="AE35" s="40">
        <f t="shared" si="27"/>
        <v>27.5</v>
      </c>
      <c r="AF35" s="40">
        <f t="shared" si="27"/>
        <v>45</v>
      </c>
    </row>
    <row r="36" spans="2:32" ht="23.1" customHeight="1" x14ac:dyDescent="0.25">
      <c r="B36" s="24" t="s">
        <v>63</v>
      </c>
      <c r="C36" s="49">
        <f>AVERAGE('25.10 Kabale-Katuna 24hr'!C36,'26.10  Kabale-Katuna'!C36)</f>
        <v>3.5</v>
      </c>
      <c r="D36" s="49">
        <f>AVERAGE('25.10 Kabale-Katuna 24hr'!D36,'26.10  Kabale-Katuna'!D36)</f>
        <v>0</v>
      </c>
      <c r="E36" s="49">
        <f>AVERAGE('25.10 Kabale-Katuna 24hr'!E36,'26.10  Kabale-Katuna'!E36)</f>
        <v>0.5</v>
      </c>
      <c r="F36" s="49">
        <f>AVERAGE('25.10 Kabale-Katuna 24hr'!F36,'26.10  Kabale-Katuna'!F36)</f>
        <v>0.5</v>
      </c>
      <c r="G36" s="49">
        <f>AVERAGE('25.10 Kabale-Katuna 24hr'!G36,'26.10  Kabale-Katuna'!G36)</f>
        <v>0</v>
      </c>
      <c r="H36" s="49">
        <f>AVERAGE('25.10 Kabale-Katuna 24hr'!H36,'26.10  Kabale-Katuna'!H36)</f>
        <v>0</v>
      </c>
      <c r="I36" s="49">
        <f>AVERAGE('25.10 Kabale-Katuna 24hr'!I36,'26.10  Kabale-Katuna'!I36)</f>
        <v>0.5</v>
      </c>
      <c r="J36" s="49">
        <f>AVERAGE('25.10 Kabale-Katuna 24hr'!J36,'26.10  Kabale-Katuna'!J36)</f>
        <v>0</v>
      </c>
      <c r="K36" s="49">
        <f>AVERAGE('25.10 Kabale-Katuna 24hr'!K36,'26.10  Kabale-Katuna'!K36)</f>
        <v>0</v>
      </c>
      <c r="L36" s="49">
        <f>AVERAGE('25.10 Kabale-Katuna 24hr'!L36,'26.10  Kabale-Katuna'!L36)</f>
        <v>0</v>
      </c>
      <c r="M36" s="49">
        <f>AVERAGE('25.10 Kabale-Katuna 24hr'!M36,'26.10  Kabale-Katuna'!M36)</f>
        <v>10</v>
      </c>
      <c r="N36" s="49">
        <f>AVERAGE('25.10 Kabale-Katuna 24hr'!N36,'26.10  Kabale-Katuna'!N36)</f>
        <v>0</v>
      </c>
      <c r="O36" s="15">
        <f t="shared" si="0"/>
        <v>5</v>
      </c>
      <c r="P36" s="15">
        <f t="shared" si="1"/>
        <v>15</v>
      </c>
      <c r="R36" s="51" t="s">
        <v>92</v>
      </c>
      <c r="S36" s="52">
        <f t="shared" ref="S36:AF36" si="28">MAX(S19:S21)</f>
        <v>17</v>
      </c>
      <c r="T36" s="52">
        <f t="shared" si="28"/>
        <v>1</v>
      </c>
      <c r="U36" s="52">
        <f t="shared" si="28"/>
        <v>0.5</v>
      </c>
      <c r="V36" s="52">
        <f t="shared" si="28"/>
        <v>1.5</v>
      </c>
      <c r="W36" s="52">
        <f t="shared" si="28"/>
        <v>0</v>
      </c>
      <c r="X36" s="52">
        <f t="shared" si="28"/>
        <v>1</v>
      </c>
      <c r="Y36" s="52">
        <f t="shared" si="28"/>
        <v>5</v>
      </c>
      <c r="Z36" s="52">
        <f t="shared" si="28"/>
        <v>0</v>
      </c>
      <c r="AA36" s="52">
        <f t="shared" si="28"/>
        <v>0</v>
      </c>
      <c r="AB36" s="52">
        <f t="shared" si="28"/>
        <v>0</v>
      </c>
      <c r="AC36" s="52">
        <f t="shared" si="28"/>
        <v>34.5</v>
      </c>
      <c r="AD36" s="52">
        <f t="shared" si="28"/>
        <v>0</v>
      </c>
      <c r="AE36" s="40">
        <f t="shared" si="28"/>
        <v>20</v>
      </c>
      <c r="AF36" s="40">
        <f t="shared" si="28"/>
        <v>54.5</v>
      </c>
    </row>
    <row r="37" spans="2:32" ht="23.1" customHeight="1" x14ac:dyDescent="0.25">
      <c r="B37" s="23" t="s">
        <v>64</v>
      </c>
      <c r="C37" s="49">
        <f>AVERAGE('25.10 Kabale-Katuna 24hr'!C37,'26.10  Kabale-Katuna'!C37)</f>
        <v>0.5</v>
      </c>
      <c r="D37" s="49">
        <f>AVERAGE('25.10 Kabale-Katuna 24hr'!D37,'26.10  Kabale-Katuna'!D37)</f>
        <v>0.5</v>
      </c>
      <c r="E37" s="49">
        <f>AVERAGE('25.10 Kabale-Katuna 24hr'!E37,'26.10  Kabale-Katuna'!E37)</f>
        <v>1</v>
      </c>
      <c r="F37" s="49">
        <f>AVERAGE('25.10 Kabale-Katuna 24hr'!F37,'26.10  Kabale-Katuna'!F37)</f>
        <v>0</v>
      </c>
      <c r="G37" s="49">
        <f>AVERAGE('25.10 Kabale-Katuna 24hr'!G37,'26.10  Kabale-Katuna'!G37)</f>
        <v>0</v>
      </c>
      <c r="H37" s="49">
        <f>AVERAGE('25.10 Kabale-Katuna 24hr'!H37,'26.10  Kabale-Katuna'!H37)</f>
        <v>0</v>
      </c>
      <c r="I37" s="49">
        <f>AVERAGE('25.10 Kabale-Katuna 24hr'!I37,'26.10  Kabale-Katuna'!I37)</f>
        <v>1</v>
      </c>
      <c r="J37" s="49">
        <f>AVERAGE('25.10 Kabale-Katuna 24hr'!J37,'26.10  Kabale-Katuna'!J37)</f>
        <v>0</v>
      </c>
      <c r="K37" s="49">
        <f>AVERAGE('25.10 Kabale-Katuna 24hr'!K37,'26.10  Kabale-Katuna'!K37)</f>
        <v>0</v>
      </c>
      <c r="L37" s="49">
        <f>AVERAGE('25.10 Kabale-Katuna 24hr'!L37,'26.10  Kabale-Katuna'!L37)</f>
        <v>0</v>
      </c>
      <c r="M37" s="49">
        <f>AVERAGE('25.10 Kabale-Katuna 24hr'!M37,'26.10  Kabale-Katuna'!M37)</f>
        <v>4</v>
      </c>
      <c r="N37" s="49">
        <f>AVERAGE('25.10 Kabale-Katuna 24hr'!N37,'26.10  Kabale-Katuna'!N37)</f>
        <v>0</v>
      </c>
      <c r="O37" s="15">
        <f t="shared" si="0"/>
        <v>3</v>
      </c>
      <c r="P37" s="15">
        <f t="shared" si="1"/>
        <v>7</v>
      </c>
      <c r="R37" s="37" t="s">
        <v>85</v>
      </c>
      <c r="S37" s="53">
        <f t="shared" ref="S37:AF37" si="29">SUM(S10:S12)</f>
        <v>27</v>
      </c>
      <c r="T37" s="54">
        <f t="shared" si="29"/>
        <v>1</v>
      </c>
      <c r="U37" s="54">
        <f t="shared" si="29"/>
        <v>3.5</v>
      </c>
      <c r="V37" s="54">
        <f t="shared" si="29"/>
        <v>1.5</v>
      </c>
      <c r="W37" s="54">
        <f t="shared" si="29"/>
        <v>2</v>
      </c>
      <c r="X37" s="54">
        <f t="shared" si="29"/>
        <v>0.5</v>
      </c>
      <c r="Y37" s="54">
        <f t="shared" si="29"/>
        <v>6</v>
      </c>
      <c r="Z37" s="54">
        <f t="shared" si="29"/>
        <v>0.5</v>
      </c>
      <c r="AA37" s="54">
        <f t="shared" si="29"/>
        <v>0</v>
      </c>
      <c r="AB37" s="54">
        <f t="shared" si="29"/>
        <v>0</v>
      </c>
      <c r="AC37" s="54">
        <f t="shared" si="29"/>
        <v>67.5</v>
      </c>
      <c r="AD37" s="54">
        <f t="shared" si="29"/>
        <v>0</v>
      </c>
      <c r="AE37" s="55">
        <f t="shared" si="29"/>
        <v>42</v>
      </c>
      <c r="AF37" s="55">
        <f t="shared" si="29"/>
        <v>109.5</v>
      </c>
    </row>
    <row r="38" spans="2:32" ht="23.1" customHeight="1" x14ac:dyDescent="0.25">
      <c r="B38" s="24" t="s">
        <v>65</v>
      </c>
      <c r="C38" s="49">
        <f>AVERAGE('25.10 Kabale-Katuna 24hr'!C38,'26.10  Kabale-Katuna'!C38)</f>
        <v>2.5</v>
      </c>
      <c r="D38" s="49">
        <f>AVERAGE('25.10 Kabale-Katuna 24hr'!D38,'26.10  Kabale-Katuna'!D38)</f>
        <v>0</v>
      </c>
      <c r="E38" s="49">
        <f>AVERAGE('25.10 Kabale-Katuna 24hr'!E38,'26.10  Kabale-Katuna'!E38)</f>
        <v>0.5</v>
      </c>
      <c r="F38" s="49">
        <f>AVERAGE('25.10 Kabale-Katuna 24hr'!F38,'26.10  Kabale-Katuna'!F38)</f>
        <v>0.5</v>
      </c>
      <c r="G38" s="49">
        <f>AVERAGE('25.10 Kabale-Katuna 24hr'!G38,'26.10  Kabale-Katuna'!G38)</f>
        <v>0</v>
      </c>
      <c r="H38" s="49">
        <f>AVERAGE('25.10 Kabale-Katuna 24hr'!H38,'26.10  Kabale-Katuna'!H38)</f>
        <v>0</v>
      </c>
      <c r="I38" s="49">
        <f>AVERAGE('25.10 Kabale-Katuna 24hr'!I38,'26.10  Kabale-Katuna'!I38)</f>
        <v>1</v>
      </c>
      <c r="J38" s="49">
        <f>AVERAGE('25.10 Kabale-Katuna 24hr'!J38,'26.10  Kabale-Katuna'!J38)</f>
        <v>0</v>
      </c>
      <c r="K38" s="49">
        <f>AVERAGE('25.10 Kabale-Katuna 24hr'!K38,'26.10  Kabale-Katuna'!K38)</f>
        <v>0</v>
      </c>
      <c r="L38" s="49">
        <f>AVERAGE('25.10 Kabale-Katuna 24hr'!L38,'26.10  Kabale-Katuna'!L38)</f>
        <v>0</v>
      </c>
      <c r="M38" s="49">
        <f>AVERAGE('25.10 Kabale-Katuna 24hr'!M38,'26.10  Kabale-Katuna'!M38)</f>
        <v>4.5</v>
      </c>
      <c r="N38" s="49">
        <f>AVERAGE('25.10 Kabale-Katuna 24hr'!N38,'26.10  Kabale-Katuna'!N38)</f>
        <v>0</v>
      </c>
      <c r="O38" s="15">
        <f t="shared" si="0"/>
        <v>4.5</v>
      </c>
      <c r="P38" s="15">
        <f t="shared" si="1"/>
        <v>9</v>
      </c>
      <c r="R38" s="28" t="s">
        <v>86</v>
      </c>
      <c r="S38" s="54">
        <f t="shared" ref="S38:AF38" si="30">SUM(S13:S18)</f>
        <v>77</v>
      </c>
      <c r="T38" s="54">
        <f t="shared" si="30"/>
        <v>11.5</v>
      </c>
      <c r="U38" s="54">
        <f t="shared" si="30"/>
        <v>9.5</v>
      </c>
      <c r="V38" s="54">
        <f t="shared" si="30"/>
        <v>6.5</v>
      </c>
      <c r="W38" s="54">
        <f t="shared" si="30"/>
        <v>0.5</v>
      </c>
      <c r="X38" s="54">
        <f t="shared" si="30"/>
        <v>1.5</v>
      </c>
      <c r="Y38" s="54">
        <f t="shared" si="30"/>
        <v>13</v>
      </c>
      <c r="Z38" s="54">
        <f t="shared" si="30"/>
        <v>1.5</v>
      </c>
      <c r="AA38" s="54">
        <f t="shared" si="30"/>
        <v>0</v>
      </c>
      <c r="AB38" s="54">
        <f t="shared" si="30"/>
        <v>0</v>
      </c>
      <c r="AC38" s="54">
        <f t="shared" si="30"/>
        <v>132.5</v>
      </c>
      <c r="AD38" s="54">
        <f t="shared" si="30"/>
        <v>0</v>
      </c>
      <c r="AE38" s="55">
        <f t="shared" si="30"/>
        <v>121</v>
      </c>
      <c r="AF38" s="55">
        <f t="shared" si="30"/>
        <v>253.5</v>
      </c>
    </row>
    <row r="39" spans="2:32" ht="23.1" customHeight="1" x14ac:dyDescent="0.25">
      <c r="B39" s="24" t="s">
        <v>66</v>
      </c>
      <c r="C39" s="49">
        <f>AVERAGE('25.10 Kabale-Katuna 24hr'!C39,'26.10  Kabale-Katuna'!C39)</f>
        <v>5.5</v>
      </c>
      <c r="D39" s="49">
        <f>AVERAGE('25.10 Kabale-Katuna 24hr'!D39,'26.10  Kabale-Katuna'!D39)</f>
        <v>0.5</v>
      </c>
      <c r="E39" s="49">
        <f>AVERAGE('25.10 Kabale-Katuna 24hr'!E39,'26.10  Kabale-Katuna'!E39)</f>
        <v>1</v>
      </c>
      <c r="F39" s="49">
        <f>AVERAGE('25.10 Kabale-Katuna 24hr'!F39,'26.10  Kabale-Katuna'!F39)</f>
        <v>0</v>
      </c>
      <c r="G39" s="49">
        <f>AVERAGE('25.10 Kabale-Katuna 24hr'!G39,'26.10  Kabale-Katuna'!G39)</f>
        <v>0</v>
      </c>
      <c r="H39" s="49">
        <f>AVERAGE('25.10 Kabale-Katuna 24hr'!H39,'26.10  Kabale-Katuna'!H39)</f>
        <v>0</v>
      </c>
      <c r="I39" s="49">
        <f>AVERAGE('25.10 Kabale-Katuna 24hr'!I39,'26.10  Kabale-Katuna'!I39)</f>
        <v>0</v>
      </c>
      <c r="J39" s="49">
        <f>AVERAGE('25.10 Kabale-Katuna 24hr'!J39,'26.10  Kabale-Katuna'!J39)</f>
        <v>0</v>
      </c>
      <c r="K39" s="49">
        <f>AVERAGE('25.10 Kabale-Katuna 24hr'!K39,'26.10  Kabale-Katuna'!K39)</f>
        <v>0</v>
      </c>
      <c r="L39" s="49">
        <f>AVERAGE('25.10 Kabale-Katuna 24hr'!L39,'26.10  Kabale-Katuna'!L39)</f>
        <v>0</v>
      </c>
      <c r="M39" s="49">
        <f>AVERAGE('25.10 Kabale-Katuna 24hr'!M39,'26.10  Kabale-Katuna'!M39)</f>
        <v>3.5</v>
      </c>
      <c r="N39" s="49">
        <f>AVERAGE('25.10 Kabale-Katuna 24hr'!N39,'26.10  Kabale-Katuna'!N39)</f>
        <v>0</v>
      </c>
      <c r="O39" s="15">
        <f t="shared" si="0"/>
        <v>7</v>
      </c>
      <c r="P39" s="15">
        <f t="shared" si="1"/>
        <v>10.5</v>
      </c>
      <c r="R39" s="29" t="s">
        <v>87</v>
      </c>
      <c r="S39" s="54">
        <f t="shared" ref="S39:AF39" si="31">SUM(S19:S21)</f>
        <v>39</v>
      </c>
      <c r="T39" s="54">
        <f t="shared" si="31"/>
        <v>2</v>
      </c>
      <c r="U39" s="54">
        <f t="shared" si="31"/>
        <v>0.5</v>
      </c>
      <c r="V39" s="54">
        <f t="shared" si="31"/>
        <v>1.5</v>
      </c>
      <c r="W39" s="54">
        <f t="shared" si="31"/>
        <v>0</v>
      </c>
      <c r="X39" s="54">
        <f t="shared" si="31"/>
        <v>2</v>
      </c>
      <c r="Y39" s="54">
        <f t="shared" si="31"/>
        <v>10.5</v>
      </c>
      <c r="Z39" s="54">
        <f t="shared" si="31"/>
        <v>0</v>
      </c>
      <c r="AA39" s="54">
        <f t="shared" si="31"/>
        <v>0</v>
      </c>
      <c r="AB39" s="54">
        <f t="shared" si="31"/>
        <v>0</v>
      </c>
      <c r="AC39" s="54">
        <f t="shared" si="31"/>
        <v>85.5</v>
      </c>
      <c r="AD39" s="54">
        <f t="shared" si="31"/>
        <v>0</v>
      </c>
      <c r="AE39" s="55">
        <f t="shared" si="31"/>
        <v>55.5</v>
      </c>
      <c r="AF39" s="55">
        <f t="shared" si="31"/>
        <v>141</v>
      </c>
    </row>
    <row r="40" spans="2:32" ht="23.1" customHeight="1" x14ac:dyDescent="0.25">
      <c r="B40" s="24" t="s">
        <v>67</v>
      </c>
      <c r="C40" s="49">
        <f>AVERAGE('25.10 Kabale-Katuna 24hr'!C40,'26.10  Kabale-Katuna'!C40)</f>
        <v>6.5</v>
      </c>
      <c r="D40" s="49">
        <f>AVERAGE('25.10 Kabale-Katuna 24hr'!D40,'26.10  Kabale-Katuna'!D40)</f>
        <v>0</v>
      </c>
      <c r="E40" s="49">
        <f>AVERAGE('25.10 Kabale-Katuna 24hr'!E40,'26.10  Kabale-Katuna'!E40)</f>
        <v>0</v>
      </c>
      <c r="F40" s="49">
        <f>AVERAGE('25.10 Kabale-Katuna 24hr'!F40,'26.10  Kabale-Katuna'!F40)</f>
        <v>0</v>
      </c>
      <c r="G40" s="49">
        <f>AVERAGE('25.10 Kabale-Katuna 24hr'!G40,'26.10  Kabale-Katuna'!G40)</f>
        <v>0</v>
      </c>
      <c r="H40" s="49">
        <f>AVERAGE('25.10 Kabale-Katuna 24hr'!H40,'26.10  Kabale-Katuna'!H40)</f>
        <v>0</v>
      </c>
      <c r="I40" s="49">
        <f>AVERAGE('25.10 Kabale-Katuna 24hr'!I40,'26.10  Kabale-Katuna'!I40)</f>
        <v>2.5</v>
      </c>
      <c r="J40" s="49">
        <f>AVERAGE('25.10 Kabale-Katuna 24hr'!J40,'26.10  Kabale-Katuna'!J40)</f>
        <v>0</v>
      </c>
      <c r="K40" s="49">
        <f>AVERAGE('25.10 Kabale-Katuna 24hr'!K40,'26.10  Kabale-Katuna'!K40)</f>
        <v>0</v>
      </c>
      <c r="L40" s="49">
        <f>AVERAGE('25.10 Kabale-Katuna 24hr'!L40,'26.10  Kabale-Katuna'!L40)</f>
        <v>0</v>
      </c>
      <c r="M40" s="49">
        <f>AVERAGE('25.10 Kabale-Katuna 24hr'!M40,'26.10  Kabale-Katuna'!M40)</f>
        <v>5.5</v>
      </c>
      <c r="N40" s="49">
        <f>AVERAGE('25.10 Kabale-Katuna 24hr'!N40,'26.10  Kabale-Katuna'!N40)</f>
        <v>0</v>
      </c>
      <c r="O40" s="15">
        <f t="shared" si="0"/>
        <v>9</v>
      </c>
      <c r="P40" s="15">
        <f t="shared" si="1"/>
        <v>14.5</v>
      </c>
      <c r="R40" s="5" t="s">
        <v>17</v>
      </c>
      <c r="S40" s="54">
        <f t="shared" ref="S40:AF40" si="32">SUM(S10:S21)</f>
        <v>143</v>
      </c>
      <c r="T40" s="54">
        <f t="shared" si="32"/>
        <v>14.5</v>
      </c>
      <c r="U40" s="54">
        <f t="shared" si="32"/>
        <v>13.5</v>
      </c>
      <c r="V40" s="54">
        <f t="shared" si="32"/>
        <v>9.5</v>
      </c>
      <c r="W40" s="54">
        <f t="shared" si="32"/>
        <v>2.5</v>
      </c>
      <c r="X40" s="54">
        <f t="shared" si="32"/>
        <v>4</v>
      </c>
      <c r="Y40" s="54">
        <f t="shared" si="32"/>
        <v>29.5</v>
      </c>
      <c r="Z40" s="54">
        <f t="shared" si="32"/>
        <v>2</v>
      </c>
      <c r="AA40" s="54">
        <f t="shared" si="32"/>
        <v>0</v>
      </c>
      <c r="AB40" s="54">
        <f t="shared" si="32"/>
        <v>0</v>
      </c>
      <c r="AC40" s="54">
        <f t="shared" si="32"/>
        <v>285.5</v>
      </c>
      <c r="AD40" s="54">
        <f t="shared" si="32"/>
        <v>0</v>
      </c>
      <c r="AE40" s="55">
        <f t="shared" si="32"/>
        <v>218.5</v>
      </c>
      <c r="AF40" s="55">
        <f t="shared" si="32"/>
        <v>504</v>
      </c>
    </row>
    <row r="41" spans="2:32" ht="23.1" customHeight="1" x14ac:dyDescent="0.25">
      <c r="B41" s="23" t="s">
        <v>68</v>
      </c>
      <c r="C41" s="49">
        <f>AVERAGE('25.10 Kabale-Katuna 24hr'!C41,'26.10  Kabale-Katuna'!C41)</f>
        <v>4.5</v>
      </c>
      <c r="D41" s="49">
        <f>AVERAGE('25.10 Kabale-Katuna 24hr'!D41,'26.10  Kabale-Katuna'!D41)</f>
        <v>0.5</v>
      </c>
      <c r="E41" s="49">
        <f>AVERAGE('25.10 Kabale-Katuna 24hr'!E41,'26.10  Kabale-Katuna'!E41)</f>
        <v>1</v>
      </c>
      <c r="F41" s="49">
        <f>AVERAGE('25.10 Kabale-Katuna 24hr'!F41,'26.10  Kabale-Katuna'!F41)</f>
        <v>0.5</v>
      </c>
      <c r="G41" s="49">
        <f>AVERAGE('25.10 Kabale-Katuna 24hr'!G41,'26.10  Kabale-Katuna'!G41)</f>
        <v>0</v>
      </c>
      <c r="H41" s="49">
        <f>AVERAGE('25.10 Kabale-Katuna 24hr'!H41,'26.10  Kabale-Katuna'!H41)</f>
        <v>0</v>
      </c>
      <c r="I41" s="49">
        <f>AVERAGE('25.10 Kabale-Katuna 24hr'!I41,'26.10  Kabale-Katuna'!I41)</f>
        <v>0.5</v>
      </c>
      <c r="J41" s="49">
        <f>AVERAGE('25.10 Kabale-Katuna 24hr'!J41,'26.10  Kabale-Katuna'!J41)</f>
        <v>0</v>
      </c>
      <c r="K41" s="49">
        <f>AVERAGE('25.10 Kabale-Katuna 24hr'!K41,'26.10  Kabale-Katuna'!K41)</f>
        <v>0</v>
      </c>
      <c r="L41" s="49">
        <f>AVERAGE('25.10 Kabale-Katuna 24hr'!L41,'26.10  Kabale-Katuna'!L41)</f>
        <v>0</v>
      </c>
      <c r="M41" s="49">
        <f>AVERAGE('25.10 Kabale-Katuna 24hr'!M41,'26.10  Kabale-Katuna'!M41)</f>
        <v>3</v>
      </c>
      <c r="N41" s="49">
        <f>AVERAGE('25.10 Kabale-Katuna 24hr'!N41,'26.10  Kabale-Katuna'!N41)</f>
        <v>0</v>
      </c>
      <c r="O41" s="15">
        <f t="shared" si="0"/>
        <v>7</v>
      </c>
      <c r="P41" s="15">
        <f t="shared" si="1"/>
        <v>10</v>
      </c>
      <c r="R41" s="5" t="s">
        <v>180</v>
      </c>
      <c r="S41" s="54">
        <f>SUM(S10:S33)</f>
        <v>197</v>
      </c>
      <c r="T41" s="54">
        <f t="shared" ref="T41:AD41" si="33">SUM(T10:T33)</f>
        <v>20.5</v>
      </c>
      <c r="U41" s="54">
        <f t="shared" si="33"/>
        <v>19.5</v>
      </c>
      <c r="V41" s="54">
        <f t="shared" si="33"/>
        <v>12.5</v>
      </c>
      <c r="W41" s="54">
        <f t="shared" si="33"/>
        <v>2.5</v>
      </c>
      <c r="X41" s="54">
        <f t="shared" si="33"/>
        <v>6</v>
      </c>
      <c r="Y41" s="54">
        <f t="shared" si="33"/>
        <v>41.5</v>
      </c>
      <c r="Z41" s="54">
        <f t="shared" si="33"/>
        <v>2</v>
      </c>
      <c r="AA41" s="54">
        <f t="shared" si="33"/>
        <v>0</v>
      </c>
      <c r="AB41" s="54">
        <f t="shared" si="33"/>
        <v>0</v>
      </c>
      <c r="AC41" s="54">
        <f t="shared" si="33"/>
        <v>353.5</v>
      </c>
      <c r="AD41" s="54">
        <f t="shared" si="33"/>
        <v>0</v>
      </c>
      <c r="AE41" s="55">
        <f>SUM(AE10:AE33)</f>
        <v>301.5</v>
      </c>
      <c r="AF41" s="55">
        <f>SUM(AF10:AF33)</f>
        <v>655</v>
      </c>
    </row>
    <row r="42" spans="2:32" ht="23.1" customHeight="1" x14ac:dyDescent="0.25">
      <c r="B42" s="24" t="s">
        <v>69</v>
      </c>
      <c r="C42" s="49">
        <f>AVERAGE('25.10 Kabale-Katuna 24hr'!C42,'26.10  Kabale-Katuna'!C42)</f>
        <v>3</v>
      </c>
      <c r="D42" s="49">
        <f>AVERAGE('25.10 Kabale-Katuna 24hr'!D42,'26.10  Kabale-Katuna'!D42)</f>
        <v>0.5</v>
      </c>
      <c r="E42" s="49">
        <f>AVERAGE('25.10 Kabale-Katuna 24hr'!E42,'26.10  Kabale-Katuna'!E42)</f>
        <v>1</v>
      </c>
      <c r="F42" s="49">
        <f>AVERAGE('25.10 Kabale-Katuna 24hr'!F42,'26.10  Kabale-Katuna'!F42)</f>
        <v>1</v>
      </c>
      <c r="G42" s="49">
        <f>AVERAGE('25.10 Kabale-Katuna 24hr'!G42,'26.10  Kabale-Katuna'!G42)</f>
        <v>0</v>
      </c>
      <c r="H42" s="49">
        <f>AVERAGE('25.10 Kabale-Katuna 24hr'!H42,'26.10  Kabale-Katuna'!H42)</f>
        <v>0</v>
      </c>
      <c r="I42" s="49">
        <f>AVERAGE('25.10 Kabale-Katuna 24hr'!I42,'26.10  Kabale-Katuna'!I42)</f>
        <v>0</v>
      </c>
      <c r="J42" s="49">
        <f>AVERAGE('25.10 Kabale-Katuna 24hr'!J42,'26.10  Kabale-Katuna'!J42)</f>
        <v>0</v>
      </c>
      <c r="K42" s="49">
        <f>AVERAGE('25.10 Kabale-Katuna 24hr'!K42,'26.10  Kabale-Katuna'!K42)</f>
        <v>0</v>
      </c>
      <c r="L42" s="49">
        <f>AVERAGE('25.10 Kabale-Katuna 24hr'!L42,'26.10  Kabale-Katuna'!L42)</f>
        <v>0</v>
      </c>
      <c r="M42" s="49">
        <f>AVERAGE('25.10 Kabale-Katuna 24hr'!M42,'26.10  Kabale-Katuna'!M42)</f>
        <v>5</v>
      </c>
      <c r="N42" s="49">
        <f>AVERAGE('25.10 Kabale-Katuna 24hr'!N42,'26.10  Kabale-Katuna'!N42)</f>
        <v>0</v>
      </c>
      <c r="O42" s="15">
        <f t="shared" si="0"/>
        <v>5.5</v>
      </c>
      <c r="P42" s="15">
        <f t="shared" si="1"/>
        <v>10.5</v>
      </c>
      <c r="R42" s="5" t="s">
        <v>160</v>
      </c>
      <c r="S42" s="48">
        <f>S41/S40</f>
        <v>1.3776223776223777</v>
      </c>
      <c r="T42" s="48">
        <f t="shared" ref="T42:AF42" si="34">T41/T40</f>
        <v>1.4137931034482758</v>
      </c>
      <c r="U42" s="48">
        <f t="shared" si="34"/>
        <v>1.4444444444444444</v>
      </c>
      <c r="V42" s="48">
        <f t="shared" si="34"/>
        <v>1.3157894736842106</v>
      </c>
      <c r="W42" s="48">
        <f t="shared" si="34"/>
        <v>1</v>
      </c>
      <c r="X42" s="48">
        <f t="shared" si="34"/>
        <v>1.5</v>
      </c>
      <c r="Y42" s="48">
        <f t="shared" si="34"/>
        <v>1.4067796610169492</v>
      </c>
      <c r="Z42" s="48">
        <f t="shared" si="34"/>
        <v>1</v>
      </c>
      <c r="AA42" s="48">
        <v>0</v>
      </c>
      <c r="AB42" s="48">
        <v>0</v>
      </c>
      <c r="AC42" s="48">
        <f t="shared" si="34"/>
        <v>1.2381786339754817</v>
      </c>
      <c r="AD42" s="48">
        <v>0</v>
      </c>
      <c r="AE42" s="56">
        <f t="shared" si="34"/>
        <v>1.3798627002288331</v>
      </c>
      <c r="AF42" s="56">
        <f t="shared" si="34"/>
        <v>1.2996031746031746</v>
      </c>
    </row>
    <row r="43" spans="2:32" ht="23.1" customHeight="1" x14ac:dyDescent="0.25">
      <c r="B43" s="23" t="s">
        <v>70</v>
      </c>
      <c r="C43" s="49">
        <f>AVERAGE('25.10 Kabale-Katuna 24hr'!C43,'26.10  Kabale-Katuna'!C43)</f>
        <v>2.5</v>
      </c>
      <c r="D43" s="49">
        <f>AVERAGE('25.10 Kabale-Katuna 24hr'!D43,'26.10  Kabale-Katuna'!D43)</f>
        <v>0</v>
      </c>
      <c r="E43" s="49">
        <f>AVERAGE('25.10 Kabale-Katuna 24hr'!E43,'26.10  Kabale-Katuna'!E43)</f>
        <v>0</v>
      </c>
      <c r="F43" s="49">
        <f>AVERAGE('25.10 Kabale-Katuna 24hr'!F43,'26.10  Kabale-Katuna'!F43)</f>
        <v>0.5</v>
      </c>
      <c r="G43" s="49">
        <f>AVERAGE('25.10 Kabale-Katuna 24hr'!G43,'26.10  Kabale-Katuna'!G43)</f>
        <v>0</v>
      </c>
      <c r="H43" s="49">
        <f>AVERAGE('25.10 Kabale-Katuna 24hr'!H43,'26.10  Kabale-Katuna'!H43)</f>
        <v>0</v>
      </c>
      <c r="I43" s="49">
        <f>AVERAGE('25.10 Kabale-Katuna 24hr'!I43,'26.10  Kabale-Katuna'!I43)</f>
        <v>0.5</v>
      </c>
      <c r="J43" s="49">
        <f>AVERAGE('25.10 Kabale-Katuna 24hr'!J43,'26.10  Kabale-Katuna'!J43)</f>
        <v>0</v>
      </c>
      <c r="K43" s="49">
        <f>AVERAGE('25.10 Kabale-Katuna 24hr'!K43,'26.10  Kabale-Katuna'!K43)</f>
        <v>0</v>
      </c>
      <c r="L43" s="49">
        <f>AVERAGE('25.10 Kabale-Katuna 24hr'!L43,'26.10  Kabale-Katuna'!L43)</f>
        <v>0</v>
      </c>
      <c r="M43" s="49">
        <f>AVERAGE('25.10 Kabale-Katuna 24hr'!M43,'26.10  Kabale-Katuna'!M43)</f>
        <v>4.5</v>
      </c>
      <c r="N43" s="49">
        <f>AVERAGE('25.10 Kabale-Katuna 24hr'!N43,'26.10  Kabale-Katuna'!N43)</f>
        <v>0</v>
      </c>
      <c r="O43" s="15">
        <f t="shared" si="0"/>
        <v>3.5</v>
      </c>
      <c r="P43" s="15">
        <f t="shared" si="1"/>
        <v>8</v>
      </c>
    </row>
    <row r="44" spans="2:32" ht="23.1" customHeight="1" x14ac:dyDescent="0.25">
      <c r="B44" s="25" t="s">
        <v>71</v>
      </c>
      <c r="C44" s="49">
        <f>AVERAGE('25.10 Kabale-Katuna 24hr'!C44,'26.10  Kabale-Katuna'!C44)</f>
        <v>2</v>
      </c>
      <c r="D44" s="49">
        <f>AVERAGE('25.10 Kabale-Katuna 24hr'!D44,'26.10  Kabale-Katuna'!D44)</f>
        <v>1.5</v>
      </c>
      <c r="E44" s="49">
        <f>AVERAGE('25.10 Kabale-Katuna 24hr'!E44,'26.10  Kabale-Katuna'!E44)</f>
        <v>0.5</v>
      </c>
      <c r="F44" s="49">
        <f>AVERAGE('25.10 Kabale-Katuna 24hr'!F44,'26.10  Kabale-Katuna'!F44)</f>
        <v>1</v>
      </c>
      <c r="G44" s="49">
        <f>AVERAGE('25.10 Kabale-Katuna 24hr'!G44,'26.10  Kabale-Katuna'!G44)</f>
        <v>0</v>
      </c>
      <c r="H44" s="49">
        <f>AVERAGE('25.10 Kabale-Katuna 24hr'!H44,'26.10  Kabale-Katuna'!H44)</f>
        <v>0</v>
      </c>
      <c r="I44" s="49">
        <f>AVERAGE('25.10 Kabale-Katuna 24hr'!I44,'26.10  Kabale-Katuna'!I44)</f>
        <v>0</v>
      </c>
      <c r="J44" s="49">
        <f>AVERAGE('25.10 Kabale-Katuna 24hr'!J44,'26.10  Kabale-Katuna'!J44)</f>
        <v>0</v>
      </c>
      <c r="K44" s="49">
        <f>AVERAGE('25.10 Kabale-Katuna 24hr'!K44,'26.10  Kabale-Katuna'!K44)</f>
        <v>0</v>
      </c>
      <c r="L44" s="49">
        <f>AVERAGE('25.10 Kabale-Katuna 24hr'!L44,'26.10  Kabale-Katuna'!L44)</f>
        <v>0</v>
      </c>
      <c r="M44" s="49">
        <f>AVERAGE('25.10 Kabale-Katuna 24hr'!M44,'26.10  Kabale-Katuna'!M44)</f>
        <v>3.5</v>
      </c>
      <c r="N44" s="49">
        <f>AVERAGE('25.10 Kabale-Katuna 24hr'!N44,'26.10  Kabale-Katuna'!N44)</f>
        <v>0</v>
      </c>
      <c r="O44" s="15">
        <f t="shared" si="0"/>
        <v>5</v>
      </c>
      <c r="P44" s="15">
        <f t="shared" si="1"/>
        <v>8.5</v>
      </c>
    </row>
    <row r="45" spans="2:32" ht="23.1" customHeight="1" x14ac:dyDescent="0.25">
      <c r="B45" s="23" t="s">
        <v>72</v>
      </c>
      <c r="C45" s="49">
        <f>AVERAGE('25.10 Kabale-Katuna 24hr'!C45,'26.10  Kabale-Katuna'!C45)</f>
        <v>5</v>
      </c>
      <c r="D45" s="49">
        <f>AVERAGE('25.10 Kabale-Katuna 24hr'!D45,'26.10  Kabale-Katuna'!D45)</f>
        <v>0</v>
      </c>
      <c r="E45" s="49">
        <f>AVERAGE('25.10 Kabale-Katuna 24hr'!E45,'26.10  Kabale-Katuna'!E45)</f>
        <v>0.5</v>
      </c>
      <c r="F45" s="49">
        <f>AVERAGE('25.10 Kabale-Katuna 24hr'!F45,'26.10  Kabale-Katuna'!F45)</f>
        <v>0</v>
      </c>
      <c r="G45" s="49">
        <f>AVERAGE('25.10 Kabale-Katuna 24hr'!G45,'26.10  Kabale-Katuna'!G45)</f>
        <v>0</v>
      </c>
      <c r="H45" s="49">
        <f>AVERAGE('25.10 Kabale-Katuna 24hr'!H45,'26.10  Kabale-Katuna'!H45)</f>
        <v>0</v>
      </c>
      <c r="I45" s="49">
        <f>AVERAGE('25.10 Kabale-Katuna 24hr'!I45,'26.10  Kabale-Katuna'!I45)</f>
        <v>1</v>
      </c>
      <c r="J45" s="49">
        <f>AVERAGE('25.10 Kabale-Katuna 24hr'!J45,'26.10  Kabale-Katuna'!J45)</f>
        <v>0</v>
      </c>
      <c r="K45" s="49">
        <f>AVERAGE('25.10 Kabale-Katuna 24hr'!K45,'26.10  Kabale-Katuna'!K45)</f>
        <v>0</v>
      </c>
      <c r="L45" s="49">
        <f>AVERAGE('25.10 Kabale-Katuna 24hr'!L45,'26.10  Kabale-Katuna'!L45)</f>
        <v>0</v>
      </c>
      <c r="M45" s="49">
        <f>AVERAGE('25.10 Kabale-Katuna 24hr'!M45,'26.10  Kabale-Katuna'!M45)</f>
        <v>7.5</v>
      </c>
      <c r="N45" s="49">
        <f>AVERAGE('25.10 Kabale-Katuna 24hr'!N45,'26.10  Kabale-Katuna'!N45)</f>
        <v>0</v>
      </c>
      <c r="O45" s="15">
        <f t="shared" si="0"/>
        <v>6.5</v>
      </c>
      <c r="P45" s="15">
        <f t="shared" si="1"/>
        <v>14</v>
      </c>
    </row>
    <row r="46" spans="2:32" ht="23.1" customHeight="1" x14ac:dyDescent="0.25">
      <c r="B46" s="24" t="s">
        <v>73</v>
      </c>
      <c r="C46" s="49">
        <f>AVERAGE('25.10 Kabale-Katuna 24hr'!C46,'26.10  Kabale-Katuna'!C46)</f>
        <v>3.5</v>
      </c>
      <c r="D46" s="49">
        <f>AVERAGE('25.10 Kabale-Katuna 24hr'!D46,'26.10  Kabale-Katuna'!D46)</f>
        <v>0.5</v>
      </c>
      <c r="E46" s="49">
        <f>AVERAGE('25.10 Kabale-Katuna 24hr'!E46,'26.10  Kabale-Katuna'!E46)</f>
        <v>0</v>
      </c>
      <c r="F46" s="49">
        <f>AVERAGE('25.10 Kabale-Katuna 24hr'!F46,'26.10  Kabale-Katuna'!F46)</f>
        <v>1</v>
      </c>
      <c r="G46" s="49">
        <f>AVERAGE('25.10 Kabale-Katuna 24hr'!G46,'26.10  Kabale-Katuna'!G46)</f>
        <v>0</v>
      </c>
      <c r="H46" s="49">
        <f>AVERAGE('25.10 Kabale-Katuna 24hr'!H46,'26.10  Kabale-Katuna'!H46)</f>
        <v>0</v>
      </c>
      <c r="I46" s="49">
        <f>AVERAGE('25.10 Kabale-Katuna 24hr'!I46,'26.10  Kabale-Katuna'!I46)</f>
        <v>0</v>
      </c>
      <c r="J46" s="49">
        <f>AVERAGE('25.10 Kabale-Katuna 24hr'!J46,'26.10  Kabale-Katuna'!J46)</f>
        <v>0</v>
      </c>
      <c r="K46" s="49">
        <f>AVERAGE('25.10 Kabale-Katuna 24hr'!K46,'26.10  Kabale-Katuna'!K46)</f>
        <v>0</v>
      </c>
      <c r="L46" s="49">
        <f>AVERAGE('25.10 Kabale-Katuna 24hr'!L46,'26.10  Kabale-Katuna'!L46)</f>
        <v>0</v>
      </c>
      <c r="M46" s="49">
        <f>AVERAGE('25.10 Kabale-Katuna 24hr'!M46,'26.10  Kabale-Katuna'!M46)</f>
        <v>7.5</v>
      </c>
      <c r="N46" s="49">
        <f>AVERAGE('25.10 Kabale-Katuna 24hr'!N46,'26.10  Kabale-Katuna'!N46)</f>
        <v>0</v>
      </c>
      <c r="O46" s="15">
        <f t="shared" si="0"/>
        <v>5</v>
      </c>
      <c r="P46" s="15">
        <f t="shared" si="1"/>
        <v>12.5</v>
      </c>
      <c r="R46" s="8"/>
      <c r="T46"/>
    </row>
    <row r="47" spans="2:32" ht="23.1" customHeight="1" x14ac:dyDescent="0.25">
      <c r="B47" s="24" t="s">
        <v>74</v>
      </c>
      <c r="C47" s="49">
        <f>AVERAGE('25.10 Kabale-Katuna 24hr'!C47,'26.10  Kabale-Katuna'!C47)</f>
        <v>2</v>
      </c>
      <c r="D47" s="49">
        <f>AVERAGE('25.10 Kabale-Katuna 24hr'!D47,'26.10  Kabale-Katuna'!D47)</f>
        <v>0</v>
      </c>
      <c r="E47" s="49">
        <f>AVERAGE('25.10 Kabale-Katuna 24hr'!E47,'26.10  Kabale-Katuna'!E47)</f>
        <v>0</v>
      </c>
      <c r="F47" s="49">
        <f>AVERAGE('25.10 Kabale-Katuna 24hr'!F47,'26.10  Kabale-Katuna'!F47)</f>
        <v>0.5</v>
      </c>
      <c r="G47" s="49">
        <f>AVERAGE('25.10 Kabale-Katuna 24hr'!G47,'26.10  Kabale-Katuna'!G47)</f>
        <v>0</v>
      </c>
      <c r="H47" s="49">
        <f>AVERAGE('25.10 Kabale-Katuna 24hr'!H47,'26.10  Kabale-Katuna'!H47)</f>
        <v>0</v>
      </c>
      <c r="I47" s="49">
        <f>AVERAGE('25.10 Kabale-Katuna 24hr'!I47,'26.10  Kabale-Katuna'!I47)</f>
        <v>0.5</v>
      </c>
      <c r="J47" s="49">
        <f>AVERAGE('25.10 Kabale-Katuna 24hr'!J47,'26.10  Kabale-Katuna'!J47)</f>
        <v>0</v>
      </c>
      <c r="K47" s="49">
        <f>AVERAGE('25.10 Kabale-Katuna 24hr'!K47,'26.10  Kabale-Katuna'!K47)</f>
        <v>0</v>
      </c>
      <c r="L47" s="49">
        <f>AVERAGE('25.10 Kabale-Katuna 24hr'!L47,'26.10  Kabale-Katuna'!L47)</f>
        <v>0</v>
      </c>
      <c r="M47" s="49">
        <f>AVERAGE('25.10 Kabale-Katuna 24hr'!M47,'26.10  Kabale-Katuna'!M47)</f>
        <v>8</v>
      </c>
      <c r="N47" s="49">
        <f>AVERAGE('25.10 Kabale-Katuna 24hr'!N47,'26.10  Kabale-Katuna'!N47)</f>
        <v>0</v>
      </c>
      <c r="O47" s="15">
        <f t="shared" si="0"/>
        <v>3</v>
      </c>
      <c r="P47" s="15">
        <f t="shared" si="1"/>
        <v>11</v>
      </c>
      <c r="R47" s="8"/>
      <c r="T47"/>
    </row>
    <row r="48" spans="2:32" ht="23.1" customHeight="1" x14ac:dyDescent="0.25">
      <c r="B48" s="24" t="s">
        <v>75</v>
      </c>
      <c r="C48" s="49">
        <f>AVERAGE('25.10 Kabale-Katuna 24hr'!C48,'26.10  Kabale-Katuna'!C48)</f>
        <v>1.5</v>
      </c>
      <c r="D48" s="49">
        <f>AVERAGE('25.10 Kabale-Katuna 24hr'!D48,'26.10  Kabale-Katuna'!D48)</f>
        <v>0</v>
      </c>
      <c r="E48" s="49">
        <f>AVERAGE('25.10 Kabale-Katuna 24hr'!E48,'26.10  Kabale-Katuna'!E48)</f>
        <v>0</v>
      </c>
      <c r="F48" s="49">
        <f>AVERAGE('25.10 Kabale-Katuna 24hr'!F48,'26.10  Kabale-Katuna'!F48)</f>
        <v>0</v>
      </c>
      <c r="G48" s="49">
        <f>AVERAGE('25.10 Kabale-Katuna 24hr'!G48,'26.10  Kabale-Katuna'!G48)</f>
        <v>0</v>
      </c>
      <c r="H48" s="49">
        <f>AVERAGE('25.10 Kabale-Katuna 24hr'!H48,'26.10  Kabale-Katuna'!H48)</f>
        <v>1</v>
      </c>
      <c r="I48" s="49">
        <f>AVERAGE('25.10 Kabale-Katuna 24hr'!I48,'26.10  Kabale-Katuna'!I48)</f>
        <v>0.5</v>
      </c>
      <c r="J48" s="49">
        <f>AVERAGE('25.10 Kabale-Katuna 24hr'!J48,'26.10  Kabale-Katuna'!J48)</f>
        <v>0</v>
      </c>
      <c r="K48" s="49">
        <f>AVERAGE('25.10 Kabale-Katuna 24hr'!K48,'26.10  Kabale-Katuna'!K48)</f>
        <v>0</v>
      </c>
      <c r="L48" s="49">
        <f>AVERAGE('25.10 Kabale-Katuna 24hr'!L48,'26.10  Kabale-Katuna'!L48)</f>
        <v>0</v>
      </c>
      <c r="M48" s="49">
        <f>AVERAGE('25.10 Kabale-Katuna 24hr'!M48,'26.10  Kabale-Katuna'!M48)</f>
        <v>7</v>
      </c>
      <c r="N48" s="49">
        <f>AVERAGE('25.10 Kabale-Katuna 24hr'!N48,'26.10  Kabale-Katuna'!N48)</f>
        <v>0</v>
      </c>
      <c r="O48" s="15">
        <f t="shared" si="0"/>
        <v>3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49">
        <f>AVERAGE('25.10 Kabale-Katuna 24hr'!C49,'26.10  Kabale-Katuna'!C49)</f>
        <v>1.5</v>
      </c>
      <c r="D49" s="49">
        <f>AVERAGE('25.10 Kabale-Katuna 24hr'!D49,'26.10  Kabale-Katuna'!D49)</f>
        <v>0.5</v>
      </c>
      <c r="E49" s="49">
        <f>AVERAGE('25.10 Kabale-Katuna 24hr'!E49,'26.10  Kabale-Katuna'!E49)</f>
        <v>0</v>
      </c>
      <c r="F49" s="49">
        <f>AVERAGE('25.10 Kabale-Katuna 24hr'!F49,'26.10  Kabale-Katuna'!F49)</f>
        <v>0</v>
      </c>
      <c r="G49" s="49">
        <f>AVERAGE('25.10 Kabale-Katuna 24hr'!G49,'26.10  Kabale-Katuna'!G49)</f>
        <v>0</v>
      </c>
      <c r="H49" s="49">
        <f>AVERAGE('25.10 Kabale-Katuna 24hr'!H49,'26.10  Kabale-Katuna'!H49)</f>
        <v>0</v>
      </c>
      <c r="I49" s="49">
        <f>AVERAGE('25.10 Kabale-Katuna 24hr'!I49,'26.10  Kabale-Katuna'!I49)</f>
        <v>2.5</v>
      </c>
      <c r="J49" s="49">
        <f>AVERAGE('25.10 Kabale-Katuna 24hr'!J49,'26.10  Kabale-Katuna'!J49)</f>
        <v>0</v>
      </c>
      <c r="K49" s="49">
        <f>AVERAGE('25.10 Kabale-Katuna 24hr'!K49,'26.10  Kabale-Katuna'!K49)</f>
        <v>0</v>
      </c>
      <c r="L49" s="49">
        <f>AVERAGE('25.10 Kabale-Katuna 24hr'!L49,'26.10  Kabale-Katuna'!L49)</f>
        <v>0</v>
      </c>
      <c r="M49" s="49">
        <f>AVERAGE('25.10 Kabale-Katuna 24hr'!M49,'26.10  Kabale-Katuna'!M49)</f>
        <v>6.5</v>
      </c>
      <c r="N49" s="49">
        <f>AVERAGE('25.10 Kabale-Katuna 24hr'!N49,'26.10  Kabale-Katuna'!N49)</f>
        <v>0</v>
      </c>
      <c r="O49" s="15">
        <f t="shared" si="0"/>
        <v>4.5</v>
      </c>
      <c r="P49" s="15">
        <f t="shared" si="1"/>
        <v>11</v>
      </c>
      <c r="R49" s="8"/>
      <c r="T49"/>
    </row>
    <row r="50" spans="2:20" ht="23.1" customHeight="1" x14ac:dyDescent="0.25">
      <c r="B50" s="24" t="s">
        <v>77</v>
      </c>
      <c r="C50" s="49">
        <f>AVERAGE('25.10 Kabale-Katuna 24hr'!C50,'26.10  Kabale-Katuna'!C50)</f>
        <v>3</v>
      </c>
      <c r="D50" s="49">
        <f>AVERAGE('25.10 Kabale-Katuna 24hr'!D50,'26.10  Kabale-Katuna'!D50)</f>
        <v>0</v>
      </c>
      <c r="E50" s="49">
        <f>AVERAGE('25.10 Kabale-Katuna 24hr'!E50,'26.10  Kabale-Katuna'!E50)</f>
        <v>0</v>
      </c>
      <c r="F50" s="49">
        <f>AVERAGE('25.10 Kabale-Katuna 24hr'!F50,'26.10  Kabale-Katuna'!F50)</f>
        <v>0</v>
      </c>
      <c r="G50" s="49">
        <f>AVERAGE('25.10 Kabale-Katuna 24hr'!G50,'26.10  Kabale-Katuna'!G50)</f>
        <v>0</v>
      </c>
      <c r="H50" s="49">
        <f>AVERAGE('25.10 Kabale-Katuna 24hr'!H50,'26.10  Kabale-Katuna'!H50)</f>
        <v>1</v>
      </c>
      <c r="I50" s="49">
        <f>AVERAGE('25.10 Kabale-Katuna 24hr'!I50,'26.10  Kabale-Katuna'!I50)</f>
        <v>2</v>
      </c>
      <c r="J50" s="49">
        <f>AVERAGE('25.10 Kabale-Katuna 24hr'!J50,'26.10  Kabale-Katuna'!J50)</f>
        <v>0</v>
      </c>
      <c r="K50" s="49">
        <f>AVERAGE('25.10 Kabale-Katuna 24hr'!K50,'26.10  Kabale-Katuna'!K50)</f>
        <v>0</v>
      </c>
      <c r="L50" s="49">
        <f>AVERAGE('25.10 Kabale-Katuna 24hr'!L50,'26.10  Kabale-Katuna'!L50)</f>
        <v>0</v>
      </c>
      <c r="M50" s="49">
        <f>AVERAGE('25.10 Kabale-Katuna 24hr'!M50,'26.10  Kabale-Katuna'!M50)</f>
        <v>7.5</v>
      </c>
      <c r="N50" s="49">
        <f>AVERAGE('25.10 Kabale-Katuna 24hr'!N50,'26.10  Kabale-Katuna'!N50)</f>
        <v>0</v>
      </c>
      <c r="O50" s="15">
        <f t="shared" si="0"/>
        <v>6</v>
      </c>
      <c r="P50" s="15">
        <f t="shared" si="1"/>
        <v>13.5</v>
      </c>
      <c r="R50" s="8"/>
      <c r="T50"/>
    </row>
    <row r="51" spans="2:20" ht="23.1" customHeight="1" x14ac:dyDescent="0.25">
      <c r="B51" s="24" t="s">
        <v>78</v>
      </c>
      <c r="C51" s="49">
        <f>AVERAGE('25.10 Kabale-Katuna 24hr'!C51,'26.10  Kabale-Katuna'!C51)</f>
        <v>1.5</v>
      </c>
      <c r="D51" s="49">
        <f>AVERAGE('25.10 Kabale-Katuna 24hr'!D51,'26.10  Kabale-Katuna'!D51)</f>
        <v>0</v>
      </c>
      <c r="E51" s="49">
        <f>AVERAGE('25.10 Kabale-Katuna 24hr'!E51,'26.10  Kabale-Katuna'!E51)</f>
        <v>0</v>
      </c>
      <c r="F51" s="49">
        <f>AVERAGE('25.10 Kabale-Katuna 24hr'!F51,'26.10  Kabale-Katuna'!F51)</f>
        <v>0</v>
      </c>
      <c r="G51" s="49">
        <f>AVERAGE('25.10 Kabale-Katuna 24hr'!G51,'26.10  Kabale-Katuna'!G51)</f>
        <v>0</v>
      </c>
      <c r="H51" s="49">
        <f>AVERAGE('25.10 Kabale-Katuna 24hr'!H51,'26.10  Kabale-Katuna'!H51)</f>
        <v>0</v>
      </c>
      <c r="I51" s="49">
        <f>AVERAGE('25.10 Kabale-Katuna 24hr'!I51,'26.10  Kabale-Katuna'!I51)</f>
        <v>1</v>
      </c>
      <c r="J51" s="49">
        <f>AVERAGE('25.10 Kabale-Katuna 24hr'!J51,'26.10  Kabale-Katuna'!J51)</f>
        <v>0</v>
      </c>
      <c r="K51" s="49">
        <f>AVERAGE('25.10 Kabale-Katuna 24hr'!K51,'26.10  Kabale-Katuna'!K51)</f>
        <v>0</v>
      </c>
      <c r="L51" s="49">
        <f>AVERAGE('25.10 Kabale-Katuna 24hr'!L51,'26.10  Kabale-Katuna'!L51)</f>
        <v>0</v>
      </c>
      <c r="M51" s="49">
        <f>AVERAGE('25.10 Kabale-Katuna 24hr'!M51,'26.10  Kabale-Katuna'!M51)</f>
        <v>10</v>
      </c>
      <c r="N51" s="49">
        <f>AVERAGE('25.10 Kabale-Katuna 24hr'!N51,'26.10  Kabale-Katuna'!N51)</f>
        <v>0</v>
      </c>
      <c r="O51" s="15">
        <f t="shared" si="0"/>
        <v>2.5</v>
      </c>
      <c r="P51" s="15">
        <f t="shared" si="1"/>
        <v>12.5</v>
      </c>
      <c r="R51" s="8"/>
      <c r="T51"/>
    </row>
    <row r="52" spans="2:20" ht="23.1" customHeight="1" x14ac:dyDescent="0.25">
      <c r="B52" s="24" t="s">
        <v>79</v>
      </c>
      <c r="C52" s="49">
        <f>AVERAGE('25.10 Kabale-Katuna 24hr'!C52,'26.10  Kabale-Katuna'!C52)</f>
        <v>6</v>
      </c>
      <c r="D52" s="49">
        <f>AVERAGE('25.10 Kabale-Katuna 24hr'!D52,'26.10  Kabale-Katuna'!D52)</f>
        <v>0.5</v>
      </c>
      <c r="E52" s="49">
        <f>AVERAGE('25.10 Kabale-Katuna 24hr'!E52,'26.10  Kabale-Katuna'!E52)</f>
        <v>0</v>
      </c>
      <c r="F52" s="49">
        <f>AVERAGE('25.10 Kabale-Katuna 24hr'!F52,'26.10  Kabale-Katuna'!F52)</f>
        <v>0</v>
      </c>
      <c r="G52" s="49">
        <f>AVERAGE('25.10 Kabale-Katuna 24hr'!G52,'26.10  Kabale-Katuna'!G52)</f>
        <v>0</v>
      </c>
      <c r="H52" s="49">
        <f>AVERAGE('25.10 Kabale-Katuna 24hr'!H52,'26.10  Kabale-Katuna'!H52)</f>
        <v>0</v>
      </c>
      <c r="I52" s="49">
        <f>AVERAGE('25.10 Kabale-Katuna 24hr'!I52,'26.10  Kabale-Katuna'!I52)</f>
        <v>1</v>
      </c>
      <c r="J52" s="49">
        <f>AVERAGE('25.10 Kabale-Katuna 24hr'!J52,'26.10  Kabale-Katuna'!J52)</f>
        <v>0</v>
      </c>
      <c r="K52" s="49">
        <f>AVERAGE('25.10 Kabale-Katuna 24hr'!K52,'26.10  Kabale-Katuna'!K52)</f>
        <v>0</v>
      </c>
      <c r="L52" s="49">
        <f>AVERAGE('25.10 Kabale-Katuna 24hr'!L52,'26.10  Kabale-Katuna'!L52)</f>
        <v>0</v>
      </c>
      <c r="M52" s="49">
        <f>AVERAGE('25.10 Kabale-Katuna 24hr'!M52,'26.10  Kabale-Katuna'!M52)</f>
        <v>8.5</v>
      </c>
      <c r="N52" s="49">
        <f>AVERAGE('25.10 Kabale-Katuna 24hr'!N52,'26.10  Kabale-Katuna'!N52)</f>
        <v>0</v>
      </c>
      <c r="O52" s="15">
        <f t="shared" si="0"/>
        <v>7.5</v>
      </c>
      <c r="P52" s="15">
        <f t="shared" si="1"/>
        <v>16</v>
      </c>
      <c r="R52" s="8"/>
      <c r="T52"/>
    </row>
    <row r="53" spans="2:20" ht="23.1" customHeight="1" x14ac:dyDescent="0.25">
      <c r="B53" s="23" t="s">
        <v>80</v>
      </c>
      <c r="C53" s="49">
        <f>AVERAGE('25.10 Kabale-Katuna 24hr'!C53,'26.10  Kabale-Katuna'!C53)</f>
        <v>3</v>
      </c>
      <c r="D53" s="49">
        <f>AVERAGE('25.10 Kabale-Katuna 24hr'!D53,'26.10  Kabale-Katuna'!D53)</f>
        <v>0</v>
      </c>
      <c r="E53" s="49">
        <f>AVERAGE('25.10 Kabale-Katuna 24hr'!E53,'26.10  Kabale-Katuna'!E53)</f>
        <v>0</v>
      </c>
      <c r="F53" s="49">
        <f>AVERAGE('25.10 Kabale-Katuna 24hr'!F53,'26.10  Kabale-Katuna'!F53)</f>
        <v>0</v>
      </c>
      <c r="G53" s="49">
        <f>AVERAGE('25.10 Kabale-Katuna 24hr'!G53,'26.10  Kabale-Katuna'!G53)</f>
        <v>0</v>
      </c>
      <c r="H53" s="49">
        <f>AVERAGE('25.10 Kabale-Katuna 24hr'!H53,'26.10  Kabale-Katuna'!H53)</f>
        <v>0</v>
      </c>
      <c r="I53" s="49">
        <f>AVERAGE('25.10 Kabale-Katuna 24hr'!I53,'26.10  Kabale-Katuna'!I53)</f>
        <v>1</v>
      </c>
      <c r="J53" s="49">
        <f>AVERAGE('25.10 Kabale-Katuna 24hr'!J53,'26.10  Kabale-Katuna'!J53)</f>
        <v>0</v>
      </c>
      <c r="K53" s="49">
        <f>AVERAGE('25.10 Kabale-Katuna 24hr'!K53,'26.10  Kabale-Katuna'!K53)</f>
        <v>0</v>
      </c>
      <c r="L53" s="49">
        <f>AVERAGE('25.10 Kabale-Katuna 24hr'!L53,'26.10  Kabale-Katuna'!L53)</f>
        <v>0</v>
      </c>
      <c r="M53" s="49">
        <f>AVERAGE('25.10 Kabale-Katuna 24hr'!M53,'26.10  Kabale-Katuna'!M53)</f>
        <v>8.5</v>
      </c>
      <c r="N53" s="49">
        <f>AVERAGE('25.10 Kabale-Katuna 24hr'!N53,'26.10  Kabale-Katuna'!N53)</f>
        <v>0</v>
      </c>
      <c r="O53" s="15">
        <f t="shared" si="0"/>
        <v>4</v>
      </c>
      <c r="P53" s="15">
        <f t="shared" si="1"/>
        <v>12.5</v>
      </c>
      <c r="R53" s="8"/>
      <c r="T53"/>
    </row>
    <row r="54" spans="2:20" ht="23.1" customHeight="1" x14ac:dyDescent="0.25">
      <c r="B54" s="23" t="s">
        <v>81</v>
      </c>
      <c r="C54" s="49">
        <f>AVERAGE('25.10 Kabale-Katuna 24hr'!C54,'26.10  Kabale-Katuna'!C54)</f>
        <v>4</v>
      </c>
      <c r="D54" s="49">
        <f>AVERAGE('25.10 Kabale-Katuna 24hr'!D54,'26.10  Kabale-Katuna'!D54)</f>
        <v>0.5</v>
      </c>
      <c r="E54" s="49">
        <f>AVERAGE('25.10 Kabale-Katuna 24hr'!E54,'26.10  Kabale-Katuna'!E54)</f>
        <v>0</v>
      </c>
      <c r="F54" s="49">
        <f>AVERAGE('25.10 Kabale-Katuna 24hr'!F54,'26.10  Kabale-Katuna'!F54)</f>
        <v>0</v>
      </c>
      <c r="G54" s="49">
        <f>AVERAGE('25.10 Kabale-Katuna 24hr'!G54,'26.10  Kabale-Katuna'!G54)</f>
        <v>0</v>
      </c>
      <c r="H54" s="49">
        <f>AVERAGE('25.10 Kabale-Katuna 24hr'!H54,'26.10  Kabale-Katuna'!H54)</f>
        <v>0</v>
      </c>
      <c r="I54" s="49">
        <f>AVERAGE('25.10 Kabale-Katuna 24hr'!I54,'26.10  Kabale-Katuna'!I54)</f>
        <v>1</v>
      </c>
      <c r="J54" s="49">
        <f>AVERAGE('25.10 Kabale-Katuna 24hr'!J54,'26.10  Kabale-Katuna'!J54)</f>
        <v>0</v>
      </c>
      <c r="K54" s="49">
        <f>AVERAGE('25.10 Kabale-Katuna 24hr'!K54,'26.10  Kabale-Katuna'!K54)</f>
        <v>0</v>
      </c>
      <c r="L54" s="49">
        <f>AVERAGE('25.10 Kabale-Katuna 24hr'!L54,'26.10  Kabale-Katuna'!L54)</f>
        <v>0</v>
      </c>
      <c r="M54" s="49">
        <f>AVERAGE('25.10 Kabale-Katuna 24hr'!M54,'26.10  Kabale-Katuna'!M54)</f>
        <v>6</v>
      </c>
      <c r="N54" s="49">
        <f>AVERAGE('25.10 Kabale-Katuna 24hr'!N54,'26.10  Kabale-Katuna'!N54)</f>
        <v>0</v>
      </c>
      <c r="O54" s="15">
        <f t="shared" si="0"/>
        <v>5.5</v>
      </c>
      <c r="P54" s="15">
        <f t="shared" si="1"/>
        <v>11.5</v>
      </c>
      <c r="R54" s="8"/>
      <c r="T54"/>
    </row>
    <row r="55" spans="2:20" ht="23.1" customHeight="1" x14ac:dyDescent="0.25">
      <c r="B55" s="23" t="s">
        <v>82</v>
      </c>
      <c r="C55" s="49">
        <f>AVERAGE('25.10 Kabale-Katuna 24hr'!C55,'26.10  Kabale-Katuna'!C55)</f>
        <v>3</v>
      </c>
      <c r="D55" s="49">
        <f>AVERAGE('25.10 Kabale-Katuna 24hr'!D55,'26.10  Kabale-Katuna'!D55)</f>
        <v>0</v>
      </c>
      <c r="E55" s="49">
        <f>AVERAGE('25.10 Kabale-Katuna 24hr'!E55,'26.10  Kabale-Katuna'!E55)</f>
        <v>0</v>
      </c>
      <c r="F55" s="49">
        <f>AVERAGE('25.10 Kabale-Katuna 24hr'!F55,'26.10  Kabale-Katuna'!F55)</f>
        <v>0</v>
      </c>
      <c r="G55" s="49">
        <f>AVERAGE('25.10 Kabale-Katuna 24hr'!G55,'26.10  Kabale-Katuna'!G55)</f>
        <v>0</v>
      </c>
      <c r="H55" s="49">
        <f>AVERAGE('25.10 Kabale-Katuna 24hr'!H55,'26.10  Kabale-Katuna'!H55)</f>
        <v>0</v>
      </c>
      <c r="I55" s="49">
        <f>AVERAGE('25.10 Kabale-Katuna 24hr'!I55,'26.10  Kabale-Katuna'!I55)</f>
        <v>0</v>
      </c>
      <c r="J55" s="49">
        <f>AVERAGE('25.10 Kabale-Katuna 24hr'!J55,'26.10  Kabale-Katuna'!J55)</f>
        <v>0</v>
      </c>
      <c r="K55" s="49">
        <f>AVERAGE('25.10 Kabale-Katuna 24hr'!K55,'26.10  Kabale-Katuna'!K55)</f>
        <v>0</v>
      </c>
      <c r="L55" s="49">
        <f>AVERAGE('25.10 Kabale-Katuna 24hr'!L55,'26.10  Kabale-Katuna'!L55)</f>
        <v>0</v>
      </c>
      <c r="M55" s="49">
        <f>AVERAGE('25.10 Kabale-Katuna 24hr'!M55,'26.10  Kabale-Katuna'!M55)</f>
        <v>5.5</v>
      </c>
      <c r="N55" s="49">
        <f>AVERAGE('25.10 Kabale-Katuna 24hr'!N55,'26.10  Kabale-Katuna'!N55)</f>
        <v>0</v>
      </c>
      <c r="O55" s="15">
        <f t="shared" si="0"/>
        <v>3</v>
      </c>
      <c r="P55" s="15">
        <f t="shared" si="1"/>
        <v>8.5</v>
      </c>
      <c r="R55" s="8"/>
      <c r="T55"/>
    </row>
    <row r="56" spans="2:20" ht="23.1" customHeight="1" x14ac:dyDescent="0.25">
      <c r="B56" s="23" t="s">
        <v>83</v>
      </c>
      <c r="C56" s="49">
        <f>AVERAGE('25.10 Kabale-Katuna 24hr'!C56,'26.10  Kabale-Katuna'!C56)</f>
        <v>5.5</v>
      </c>
      <c r="D56" s="49">
        <f>AVERAGE('25.10 Kabale-Katuna 24hr'!D56,'26.10  Kabale-Katuna'!D56)</f>
        <v>0</v>
      </c>
      <c r="E56" s="49">
        <f>AVERAGE('25.10 Kabale-Katuna 24hr'!E56,'26.10  Kabale-Katuna'!E56)</f>
        <v>0</v>
      </c>
      <c r="F56" s="49">
        <f>AVERAGE('25.10 Kabale-Katuna 24hr'!F56,'26.10  Kabale-Katuna'!F56)</f>
        <v>0</v>
      </c>
      <c r="G56" s="49">
        <f>AVERAGE('25.10 Kabale-Katuna 24hr'!G56,'26.10  Kabale-Katuna'!G56)</f>
        <v>0</v>
      </c>
      <c r="H56" s="49">
        <f>AVERAGE('25.10 Kabale-Katuna 24hr'!H56,'26.10  Kabale-Katuna'!H56)</f>
        <v>0</v>
      </c>
      <c r="I56" s="49">
        <f>AVERAGE('25.10 Kabale-Katuna 24hr'!I56,'26.10  Kabale-Katuna'!I56)</f>
        <v>0.5</v>
      </c>
      <c r="J56" s="49">
        <f>AVERAGE('25.10 Kabale-Katuna 24hr'!J56,'26.10  Kabale-Katuna'!J56)</f>
        <v>0</v>
      </c>
      <c r="K56" s="49">
        <f>AVERAGE('25.10 Kabale-Katuna 24hr'!K56,'26.10  Kabale-Katuna'!K56)</f>
        <v>0</v>
      </c>
      <c r="L56" s="49">
        <f>AVERAGE('25.10 Kabale-Katuna 24hr'!L56,'26.10  Kabale-Katuna'!L56)</f>
        <v>0</v>
      </c>
      <c r="M56" s="49">
        <f>AVERAGE('25.10 Kabale-Katuna 24hr'!M56,'26.10  Kabale-Katuna'!M56)</f>
        <v>6</v>
      </c>
      <c r="N56" s="49">
        <f>AVERAGE('25.10 Kabale-Katuna 24hr'!N56,'26.10  Kabale-Katuna'!N56)</f>
        <v>0</v>
      </c>
      <c r="O56" s="15">
        <f t="shared" si="0"/>
        <v>6</v>
      </c>
      <c r="P56" s="15">
        <f t="shared" si="1"/>
        <v>12</v>
      </c>
      <c r="R56" s="8"/>
      <c r="T56"/>
    </row>
    <row r="57" spans="2:20" ht="23.1" customHeight="1" x14ac:dyDescent="0.25">
      <c r="B57" s="23" t="s">
        <v>84</v>
      </c>
      <c r="C57" s="49">
        <f>AVERAGE('25.10 Kabale-Katuna 24hr'!C57,'26.10  Kabale-Katuna'!C57)</f>
        <v>4.5</v>
      </c>
      <c r="D57" s="49">
        <f>AVERAGE('25.10 Kabale-Katuna 24hr'!D57,'26.10  Kabale-Katuna'!D57)</f>
        <v>0</v>
      </c>
      <c r="E57" s="49">
        <f>AVERAGE('25.10 Kabale-Katuna 24hr'!E57,'26.10  Kabale-Katuna'!E57)</f>
        <v>0.5</v>
      </c>
      <c r="F57" s="49">
        <f>AVERAGE('25.10 Kabale-Katuna 24hr'!F57,'26.10  Kabale-Katuna'!F57)</f>
        <v>0</v>
      </c>
      <c r="G57" s="49">
        <f>AVERAGE('25.10 Kabale-Katuna 24hr'!G57,'26.10  Kabale-Katuna'!G57)</f>
        <v>0</v>
      </c>
      <c r="H57" s="49">
        <f>AVERAGE('25.10 Kabale-Katuna 24hr'!H57,'26.10  Kabale-Katuna'!H57)</f>
        <v>0</v>
      </c>
      <c r="I57" s="49">
        <f>AVERAGE('25.10 Kabale-Katuna 24hr'!I57,'26.10  Kabale-Katuna'!I57)</f>
        <v>0.5</v>
      </c>
      <c r="J57" s="49">
        <f>AVERAGE('25.10 Kabale-Katuna 24hr'!J57,'26.10  Kabale-Katuna'!J57)</f>
        <v>0</v>
      </c>
      <c r="K57" s="49">
        <f>AVERAGE('25.10 Kabale-Katuna 24hr'!K57,'26.10  Kabale-Katuna'!K57)</f>
        <v>0</v>
      </c>
      <c r="L57" s="49">
        <f>AVERAGE('25.10 Kabale-Katuna 24hr'!L57,'26.10  Kabale-Katuna'!L57)</f>
        <v>0</v>
      </c>
      <c r="M57" s="49">
        <f>AVERAGE('25.10 Kabale-Katuna 24hr'!M57,'26.10  Kabale-Katuna'!M57)</f>
        <v>4.5</v>
      </c>
      <c r="N57" s="49">
        <f>AVERAGE('25.10 Kabale-Katuna 24hr'!N57,'26.10  Kabale-Katuna'!N57)</f>
        <v>0</v>
      </c>
      <c r="O57" s="15">
        <f t="shared" si="0"/>
        <v>5.5</v>
      </c>
      <c r="P57" s="15">
        <f t="shared" si="1"/>
        <v>10</v>
      </c>
      <c r="R57" s="8"/>
      <c r="T57"/>
    </row>
    <row r="58" spans="2:20" ht="23.1" customHeight="1" x14ac:dyDescent="0.25">
      <c r="B58" s="23" t="s">
        <v>99</v>
      </c>
      <c r="C58" s="49">
        <f>AVERAGE('25.10 Kabale-Katuna 24hr'!C58)</f>
        <v>2</v>
      </c>
      <c r="D58" s="49">
        <f>AVERAGE('25.10 Kabale-Katuna 24hr'!D58)</f>
        <v>0</v>
      </c>
      <c r="E58" s="49">
        <f>AVERAGE('25.10 Kabale-Katuna 24hr'!E58)</f>
        <v>0</v>
      </c>
      <c r="F58" s="49">
        <f>AVERAGE('25.10 Kabale-Katuna 24hr'!F58)</f>
        <v>0</v>
      </c>
      <c r="G58" s="49">
        <f>AVERAGE('25.10 Kabale-Katuna 24hr'!G58)</f>
        <v>0</v>
      </c>
      <c r="H58" s="49">
        <f>AVERAGE('25.10 Kabale-Katuna 24hr'!H58)</f>
        <v>0</v>
      </c>
      <c r="I58" s="49">
        <f>AVERAGE('25.10 Kabale-Katuna 24hr'!I58)</f>
        <v>0</v>
      </c>
      <c r="J58" s="49">
        <f>AVERAGE('25.10 Kabale-Katuna 24hr'!J58)</f>
        <v>0</v>
      </c>
      <c r="K58" s="49">
        <f>AVERAGE('25.10 Kabale-Katuna 24hr'!K58)</f>
        <v>0</v>
      </c>
      <c r="L58" s="49">
        <f>AVERAGE('25.10 Kabale-Katuna 24hr'!L58)</f>
        <v>0</v>
      </c>
      <c r="M58" s="49">
        <f>AVERAGE('25.10 Kabale-Katuna 24hr'!M58)</f>
        <v>6</v>
      </c>
      <c r="N58" s="49">
        <f>AVERAGE('25.10 Kabale-Katuna 24hr'!N58)</f>
        <v>0</v>
      </c>
      <c r="O58" s="15">
        <f t="shared" si="0"/>
        <v>2</v>
      </c>
      <c r="P58" s="15">
        <f t="shared" si="1"/>
        <v>8</v>
      </c>
      <c r="R58" s="8"/>
      <c r="T58"/>
    </row>
    <row r="59" spans="2:20" ht="23.1" customHeight="1" x14ac:dyDescent="0.25">
      <c r="B59" s="23" t="s">
        <v>100</v>
      </c>
      <c r="C59" s="49">
        <f>AVERAGE('25.10 Kabale-Katuna 24hr'!C59)</f>
        <v>3</v>
      </c>
      <c r="D59" s="49">
        <f>AVERAGE('25.10 Kabale-Katuna 24hr'!D59)</f>
        <v>0</v>
      </c>
      <c r="E59" s="49">
        <f>AVERAGE('25.10 Kabale-Katuna 24hr'!E59)</f>
        <v>0</v>
      </c>
      <c r="F59" s="49">
        <f>AVERAGE('25.10 Kabale-Katuna 24hr'!F59)</f>
        <v>0</v>
      </c>
      <c r="G59" s="49">
        <f>AVERAGE('25.10 Kabale-Katuna 24hr'!G59)</f>
        <v>0</v>
      </c>
      <c r="H59" s="49">
        <f>AVERAGE('25.10 Kabale-Katuna 24hr'!H59)</f>
        <v>0</v>
      </c>
      <c r="I59" s="49">
        <f>AVERAGE('25.10 Kabale-Katuna 24hr'!I59)</f>
        <v>1</v>
      </c>
      <c r="J59" s="49">
        <f>AVERAGE('25.10 Kabale-Katuna 24hr'!J59)</f>
        <v>0</v>
      </c>
      <c r="K59" s="49">
        <f>AVERAGE('25.10 Kabale-Katuna 24hr'!K59)</f>
        <v>0</v>
      </c>
      <c r="L59" s="49">
        <f>AVERAGE('25.10 Kabale-Katuna 24hr'!L59)</f>
        <v>0</v>
      </c>
      <c r="M59" s="49">
        <f>AVERAGE('25.10 Kabale-Katuna 24hr'!M59)</f>
        <v>3</v>
      </c>
      <c r="N59" s="49">
        <f>AVERAGE('25.10 Kabale-Katuna 24hr'!N59)</f>
        <v>0</v>
      </c>
      <c r="O59" s="15">
        <f t="shared" si="0"/>
        <v>4</v>
      </c>
      <c r="P59" s="15">
        <f t="shared" si="1"/>
        <v>7</v>
      </c>
      <c r="R59" s="8"/>
      <c r="T59"/>
    </row>
    <row r="60" spans="2:20" ht="23.1" customHeight="1" x14ac:dyDescent="0.25">
      <c r="B60" s="23" t="s">
        <v>101</v>
      </c>
      <c r="C60" s="49">
        <f>AVERAGE('25.10 Kabale-Katuna 24hr'!C60)</f>
        <v>6</v>
      </c>
      <c r="D60" s="49">
        <f>AVERAGE('25.10 Kabale-Katuna 24hr'!D60)</f>
        <v>0</v>
      </c>
      <c r="E60" s="49">
        <f>AVERAGE('25.10 Kabale-Katuna 24hr'!E60)</f>
        <v>2</v>
      </c>
      <c r="F60" s="49">
        <f>AVERAGE('25.10 Kabale-Katuna 24hr'!F60)</f>
        <v>1</v>
      </c>
      <c r="G60" s="49">
        <f>AVERAGE('25.10 Kabale-Katuna 24hr'!G60)</f>
        <v>0</v>
      </c>
      <c r="H60" s="49">
        <f>AVERAGE('25.10 Kabale-Katuna 24hr'!H60)</f>
        <v>0</v>
      </c>
      <c r="I60" s="49">
        <f>AVERAGE('25.10 Kabale-Katuna 24hr'!I60)</f>
        <v>0</v>
      </c>
      <c r="J60" s="49">
        <f>AVERAGE('25.10 Kabale-Katuna 24hr'!J60)</f>
        <v>0</v>
      </c>
      <c r="K60" s="49">
        <f>AVERAGE('25.10 Kabale-Katuna 24hr'!K60)</f>
        <v>0</v>
      </c>
      <c r="L60" s="49">
        <f>AVERAGE('25.10 Kabale-Katuna 24hr'!L60)</f>
        <v>0</v>
      </c>
      <c r="M60" s="49">
        <f>AVERAGE('25.10 Kabale-Katuna 24hr'!M60)</f>
        <v>5</v>
      </c>
      <c r="N60" s="49">
        <f>AVERAGE('25.10 Kabale-Katuna 24hr'!N60)</f>
        <v>0</v>
      </c>
      <c r="O60" s="15">
        <f t="shared" si="0"/>
        <v>9</v>
      </c>
      <c r="P60" s="15">
        <f t="shared" si="1"/>
        <v>14</v>
      </c>
      <c r="R60" s="8"/>
      <c r="T60"/>
    </row>
    <row r="61" spans="2:20" ht="23.1" customHeight="1" x14ac:dyDescent="0.25">
      <c r="B61" s="23" t="s">
        <v>102</v>
      </c>
      <c r="C61" s="49">
        <f>AVERAGE('25.10 Kabale-Katuna 24hr'!C61)</f>
        <v>5</v>
      </c>
      <c r="D61" s="49">
        <f>AVERAGE('25.10 Kabale-Katuna 24hr'!D61)</f>
        <v>1</v>
      </c>
      <c r="E61" s="49">
        <f>AVERAGE('25.10 Kabale-Katuna 24hr'!E61)</f>
        <v>0</v>
      </c>
      <c r="F61" s="49">
        <f>AVERAGE('25.10 Kabale-Katuna 24hr'!F61)</f>
        <v>0</v>
      </c>
      <c r="G61" s="49">
        <f>AVERAGE('25.10 Kabale-Katuna 24hr'!G61)</f>
        <v>0</v>
      </c>
      <c r="H61" s="49">
        <f>AVERAGE('25.10 Kabale-Katuna 24hr'!H61)</f>
        <v>0</v>
      </c>
      <c r="I61" s="49">
        <f>AVERAGE('25.10 Kabale-Katuna 24hr'!I61)</f>
        <v>0</v>
      </c>
      <c r="J61" s="49">
        <f>AVERAGE('25.10 Kabale-Katuna 24hr'!J61)</f>
        <v>0</v>
      </c>
      <c r="K61" s="49">
        <f>AVERAGE('25.10 Kabale-Katuna 24hr'!K61)</f>
        <v>0</v>
      </c>
      <c r="L61" s="49">
        <f>AVERAGE('25.10 Kabale-Katuna 24hr'!L61)</f>
        <v>0</v>
      </c>
      <c r="M61" s="49">
        <f>AVERAGE('25.10 Kabale-Katuna 24hr'!M61)</f>
        <v>6</v>
      </c>
      <c r="N61" s="49">
        <f>AVERAGE('25.10 Kabale-Katuna 24hr'!N61)</f>
        <v>0</v>
      </c>
      <c r="O61" s="15">
        <f t="shared" si="0"/>
        <v>6</v>
      </c>
      <c r="P61" s="15">
        <f t="shared" si="1"/>
        <v>12</v>
      </c>
      <c r="R61" s="8"/>
      <c r="T61"/>
    </row>
    <row r="62" spans="2:20" ht="23.1" customHeight="1" x14ac:dyDescent="0.25">
      <c r="B62" s="23" t="s">
        <v>107</v>
      </c>
      <c r="C62" s="49">
        <f>AVERAGE('25.10 Kabale-Katuna 24hr'!C62)</f>
        <v>2</v>
      </c>
      <c r="D62" s="49">
        <f>AVERAGE('25.10 Kabale-Katuna 24hr'!D62)</f>
        <v>0</v>
      </c>
      <c r="E62" s="49">
        <f>AVERAGE('25.10 Kabale-Katuna 24hr'!E62)</f>
        <v>0</v>
      </c>
      <c r="F62" s="49">
        <f>AVERAGE('25.10 Kabale-Katuna 24hr'!F62)</f>
        <v>1</v>
      </c>
      <c r="G62" s="49">
        <f>AVERAGE('25.10 Kabale-Katuna 24hr'!G62)</f>
        <v>0</v>
      </c>
      <c r="H62" s="49">
        <f>AVERAGE('25.10 Kabale-Katuna 24hr'!H62)</f>
        <v>0</v>
      </c>
      <c r="I62" s="49">
        <f>AVERAGE('25.10 Kabale-Katuna 24hr'!I62)</f>
        <v>0</v>
      </c>
      <c r="J62" s="49">
        <f>AVERAGE('25.10 Kabale-Katuna 24hr'!J62)</f>
        <v>0</v>
      </c>
      <c r="K62" s="49">
        <f>AVERAGE('25.10 Kabale-Katuna 24hr'!K62)</f>
        <v>0</v>
      </c>
      <c r="L62" s="49">
        <f>AVERAGE('25.10 Kabale-Katuna 24hr'!L62)</f>
        <v>0</v>
      </c>
      <c r="M62" s="49">
        <f>AVERAGE('25.10 Kabale-Katuna 24hr'!M62)</f>
        <v>4</v>
      </c>
      <c r="N62" s="49">
        <f>AVERAGE('25.10 Kabale-Katuna 24hr'!N62)</f>
        <v>0</v>
      </c>
      <c r="O62" s="15">
        <f t="shared" si="0"/>
        <v>3</v>
      </c>
      <c r="P62" s="15">
        <f t="shared" si="1"/>
        <v>7</v>
      </c>
      <c r="R62" s="8"/>
      <c r="T62"/>
    </row>
    <row r="63" spans="2:20" ht="23.1" customHeight="1" x14ac:dyDescent="0.25">
      <c r="B63" s="23" t="s">
        <v>108</v>
      </c>
      <c r="C63" s="49">
        <f>AVERAGE('25.10 Kabale-Katuna 24hr'!C63)</f>
        <v>4</v>
      </c>
      <c r="D63" s="49">
        <f>AVERAGE('25.10 Kabale-Katuna 24hr'!D63)</f>
        <v>0</v>
      </c>
      <c r="E63" s="49">
        <f>AVERAGE('25.10 Kabale-Katuna 24hr'!E63)</f>
        <v>0</v>
      </c>
      <c r="F63" s="49">
        <f>AVERAGE('25.10 Kabale-Katuna 24hr'!F63)</f>
        <v>0</v>
      </c>
      <c r="G63" s="49">
        <f>AVERAGE('25.10 Kabale-Katuna 24hr'!G63)</f>
        <v>0</v>
      </c>
      <c r="H63" s="49">
        <f>AVERAGE('25.10 Kabale-Katuna 24hr'!H63)</f>
        <v>0</v>
      </c>
      <c r="I63" s="49">
        <f>AVERAGE('25.10 Kabale-Katuna 24hr'!I63)</f>
        <v>0</v>
      </c>
      <c r="J63" s="49">
        <f>AVERAGE('25.10 Kabale-Katuna 24hr'!J63)</f>
        <v>0</v>
      </c>
      <c r="K63" s="49">
        <f>AVERAGE('25.10 Kabale-Katuna 24hr'!K63)</f>
        <v>0</v>
      </c>
      <c r="L63" s="49">
        <f>AVERAGE('25.10 Kabale-Katuna 24hr'!L63)</f>
        <v>0</v>
      </c>
      <c r="M63" s="49">
        <f>AVERAGE('25.10 Kabale-Katuna 24hr'!M63)</f>
        <v>3</v>
      </c>
      <c r="N63" s="49">
        <f>AVERAGE('25.10 Kabale-Katuna 24hr'!N63)</f>
        <v>0</v>
      </c>
      <c r="O63" s="15">
        <f t="shared" si="0"/>
        <v>4</v>
      </c>
      <c r="P63" s="15">
        <f t="shared" si="1"/>
        <v>7</v>
      </c>
      <c r="R63" s="8"/>
      <c r="T63"/>
    </row>
    <row r="64" spans="2:20" ht="23.1" customHeight="1" x14ac:dyDescent="0.25">
      <c r="B64" s="23" t="s">
        <v>109</v>
      </c>
      <c r="C64" s="49">
        <f>AVERAGE('25.10 Kabale-Katuna 24hr'!C64)</f>
        <v>3</v>
      </c>
      <c r="D64" s="49">
        <f>AVERAGE('25.10 Kabale-Katuna 24hr'!D64)</f>
        <v>1</v>
      </c>
      <c r="E64" s="49">
        <f>AVERAGE('25.10 Kabale-Katuna 24hr'!E64)</f>
        <v>0</v>
      </c>
      <c r="F64" s="49">
        <f>AVERAGE('25.10 Kabale-Katuna 24hr'!F64)</f>
        <v>0</v>
      </c>
      <c r="G64" s="49">
        <f>AVERAGE('25.10 Kabale-Katuna 24hr'!G64)</f>
        <v>0</v>
      </c>
      <c r="H64" s="49">
        <f>AVERAGE('25.10 Kabale-Katuna 24hr'!H64)</f>
        <v>0</v>
      </c>
      <c r="I64" s="49">
        <f>AVERAGE('25.10 Kabale-Katuna 24hr'!I64)</f>
        <v>1</v>
      </c>
      <c r="J64" s="49">
        <f>AVERAGE('25.10 Kabale-Katuna 24hr'!J64)</f>
        <v>0</v>
      </c>
      <c r="K64" s="49">
        <f>AVERAGE('25.10 Kabale-Katuna 24hr'!K64)</f>
        <v>0</v>
      </c>
      <c r="L64" s="49">
        <f>AVERAGE('25.10 Kabale-Katuna 24hr'!L64)</f>
        <v>0</v>
      </c>
      <c r="M64" s="49">
        <f>AVERAGE('25.10 Kabale-Katuna 24hr'!M64)</f>
        <v>4</v>
      </c>
      <c r="N64" s="49">
        <f>AVERAGE('25.10 Kabale-Katuna 24hr'!N64)</f>
        <v>0</v>
      </c>
      <c r="O64" s="15">
        <f t="shared" si="0"/>
        <v>5</v>
      </c>
      <c r="P64" s="15">
        <f t="shared" si="1"/>
        <v>9</v>
      </c>
      <c r="R64" s="8"/>
      <c r="T64"/>
    </row>
    <row r="65" spans="2:20" ht="23.1" customHeight="1" x14ac:dyDescent="0.25">
      <c r="B65" s="23" t="s">
        <v>158</v>
      </c>
      <c r="C65" s="49">
        <f>AVERAGE('25.10 Kabale-Katuna 24hr'!C65)</f>
        <v>1</v>
      </c>
      <c r="D65" s="49">
        <f>AVERAGE('25.10 Kabale-Katuna 24hr'!D65)</f>
        <v>0</v>
      </c>
      <c r="E65" s="49">
        <f>AVERAGE('25.10 Kabale-Katuna 24hr'!E65)</f>
        <v>0</v>
      </c>
      <c r="F65" s="49">
        <f>AVERAGE('25.10 Kabale-Katuna 24hr'!F65)</f>
        <v>0</v>
      </c>
      <c r="G65" s="49">
        <f>AVERAGE('25.10 Kabale-Katuna 24hr'!G65)</f>
        <v>0</v>
      </c>
      <c r="H65" s="49">
        <f>AVERAGE('25.10 Kabale-Katuna 24hr'!H65)</f>
        <v>0</v>
      </c>
      <c r="I65" s="49">
        <f>AVERAGE('25.10 Kabale-Katuna 24hr'!I65)</f>
        <v>1</v>
      </c>
      <c r="J65" s="49">
        <f>AVERAGE('25.10 Kabale-Katuna 24hr'!J65)</f>
        <v>0</v>
      </c>
      <c r="K65" s="49">
        <f>AVERAGE('25.10 Kabale-Katuna 24hr'!K65)</f>
        <v>0</v>
      </c>
      <c r="L65" s="49">
        <f>AVERAGE('25.10 Kabale-Katuna 24hr'!L65)</f>
        <v>0</v>
      </c>
      <c r="M65" s="49">
        <f>AVERAGE('25.10 Kabale-Katuna 24hr'!M65)</f>
        <v>4</v>
      </c>
      <c r="N65" s="49">
        <f>AVERAGE('25.10 Kabale-Katuna 24hr'!N65)</f>
        <v>0</v>
      </c>
      <c r="O65" s="15">
        <f t="shared" si="0"/>
        <v>2</v>
      </c>
      <c r="P65" s="15">
        <f t="shared" si="1"/>
        <v>6</v>
      </c>
      <c r="R65" s="8"/>
      <c r="T65"/>
    </row>
    <row r="66" spans="2:20" ht="23.1" customHeight="1" x14ac:dyDescent="0.25">
      <c r="B66" s="23" t="s">
        <v>103</v>
      </c>
      <c r="C66" s="49">
        <f>AVERAGE('25.10 Kabale-Katuna 24hr'!C66)</f>
        <v>2</v>
      </c>
      <c r="D66" s="49">
        <f>AVERAGE('25.10 Kabale-Katuna 24hr'!D66)</f>
        <v>0</v>
      </c>
      <c r="E66" s="49">
        <f>AVERAGE('25.10 Kabale-Katuna 24hr'!E66)</f>
        <v>0</v>
      </c>
      <c r="F66" s="49">
        <f>AVERAGE('25.10 Kabale-Katuna 24hr'!F66)</f>
        <v>0</v>
      </c>
      <c r="G66" s="49">
        <f>AVERAGE('25.10 Kabale-Katuna 24hr'!G66)</f>
        <v>0</v>
      </c>
      <c r="H66" s="49">
        <f>AVERAGE('25.10 Kabale-Katuna 24hr'!H66)</f>
        <v>0</v>
      </c>
      <c r="I66" s="49">
        <f>AVERAGE('25.10 Kabale-Katuna 24hr'!I66)</f>
        <v>0</v>
      </c>
      <c r="J66" s="49">
        <f>AVERAGE('25.10 Kabale-Katuna 24hr'!J66)</f>
        <v>0</v>
      </c>
      <c r="K66" s="49">
        <f>AVERAGE('25.10 Kabale-Katuna 24hr'!K66)</f>
        <v>0</v>
      </c>
      <c r="L66" s="49">
        <f>AVERAGE('25.10 Kabale-Katuna 24hr'!L66)</f>
        <v>0</v>
      </c>
      <c r="M66" s="49">
        <f>AVERAGE('25.10 Kabale-Katuna 24hr'!M66)</f>
        <v>5</v>
      </c>
      <c r="N66" s="49">
        <f>AVERAGE('25.10 Kabale-Katuna 24hr'!N66)</f>
        <v>0</v>
      </c>
      <c r="O66" s="15">
        <f t="shared" si="0"/>
        <v>2</v>
      </c>
      <c r="P66" s="15">
        <f t="shared" si="1"/>
        <v>7</v>
      </c>
      <c r="R66" s="8"/>
      <c r="T66"/>
    </row>
    <row r="67" spans="2:20" ht="23.1" customHeight="1" x14ac:dyDescent="0.25">
      <c r="B67" s="23" t="s">
        <v>104</v>
      </c>
      <c r="C67" s="49">
        <f>AVERAGE('25.10 Kabale-Katuna 24hr'!C67)</f>
        <v>1</v>
      </c>
      <c r="D67" s="49">
        <f>AVERAGE('25.10 Kabale-Katuna 24hr'!D67)</f>
        <v>0</v>
      </c>
      <c r="E67" s="49">
        <f>AVERAGE('25.10 Kabale-Katuna 24hr'!E67)</f>
        <v>0</v>
      </c>
      <c r="F67" s="49">
        <f>AVERAGE('25.10 Kabale-Katuna 24hr'!F67)</f>
        <v>1</v>
      </c>
      <c r="G67" s="49">
        <f>AVERAGE('25.10 Kabale-Katuna 24hr'!G67)</f>
        <v>0</v>
      </c>
      <c r="H67" s="49">
        <f>AVERAGE('25.10 Kabale-Katuna 24hr'!H67)</f>
        <v>1</v>
      </c>
      <c r="I67" s="49">
        <f>AVERAGE('25.10 Kabale-Katuna 24hr'!I67)</f>
        <v>0</v>
      </c>
      <c r="J67" s="49">
        <f>AVERAGE('25.10 Kabale-Katuna 24hr'!J67)</f>
        <v>0</v>
      </c>
      <c r="K67" s="49">
        <f>AVERAGE('25.10 Kabale-Katuna 24hr'!K67)</f>
        <v>0</v>
      </c>
      <c r="L67" s="49">
        <f>AVERAGE('25.10 Kabale-Katuna 24hr'!L67)</f>
        <v>0</v>
      </c>
      <c r="M67" s="49">
        <f>AVERAGE('25.10 Kabale-Katuna 24hr'!M67)</f>
        <v>0</v>
      </c>
      <c r="N67" s="49">
        <f>AVERAGE('25.10 Kabale-Katuna 24hr'!N67)</f>
        <v>0</v>
      </c>
      <c r="O67" s="15">
        <f t="shared" si="0"/>
        <v>3</v>
      </c>
      <c r="P67" s="15">
        <f t="shared" si="1"/>
        <v>3</v>
      </c>
      <c r="R67" s="8"/>
      <c r="T67"/>
    </row>
    <row r="68" spans="2:20" ht="23.1" customHeight="1" x14ac:dyDescent="0.25">
      <c r="B68" s="23" t="s">
        <v>105</v>
      </c>
      <c r="C68" s="49">
        <f>AVERAGE('25.10 Kabale-Katuna 24hr'!C68)</f>
        <v>2</v>
      </c>
      <c r="D68" s="49">
        <f>AVERAGE('25.10 Kabale-Katuna 24hr'!D68)</f>
        <v>0</v>
      </c>
      <c r="E68" s="49">
        <f>AVERAGE('25.10 Kabale-Katuna 24hr'!E68)</f>
        <v>1</v>
      </c>
      <c r="F68" s="49">
        <f>AVERAGE('25.10 Kabale-Katuna 24hr'!F68)</f>
        <v>0</v>
      </c>
      <c r="G68" s="49">
        <f>AVERAGE('25.10 Kabale-Katuna 24hr'!G68)</f>
        <v>0</v>
      </c>
      <c r="H68" s="49">
        <f>AVERAGE('25.10 Kabale-Katuna 24hr'!H68)</f>
        <v>0</v>
      </c>
      <c r="I68" s="49">
        <f>AVERAGE('25.10 Kabale-Katuna 24hr'!I68)</f>
        <v>0</v>
      </c>
      <c r="J68" s="49">
        <f>AVERAGE('25.10 Kabale-Katuna 24hr'!J68)</f>
        <v>0</v>
      </c>
      <c r="K68" s="49">
        <f>AVERAGE('25.10 Kabale-Katuna 24hr'!K68)</f>
        <v>0</v>
      </c>
      <c r="L68" s="49">
        <f>AVERAGE('25.10 Kabale-Katuna 24hr'!L68)</f>
        <v>0</v>
      </c>
      <c r="M68" s="49">
        <f>AVERAGE('25.10 Kabale-Katuna 24hr'!M68)</f>
        <v>0</v>
      </c>
      <c r="N68" s="49">
        <f>AVERAGE('25.10 Kabale-Katuna 24hr'!N68)</f>
        <v>0</v>
      </c>
      <c r="O68" s="15">
        <f t="shared" si="0"/>
        <v>3</v>
      </c>
      <c r="P68" s="15">
        <f t="shared" si="1"/>
        <v>3</v>
      </c>
      <c r="R68" s="8"/>
      <c r="T68"/>
    </row>
    <row r="69" spans="2:20" ht="23.1" customHeight="1" x14ac:dyDescent="0.25">
      <c r="B69" s="23" t="s">
        <v>106</v>
      </c>
      <c r="C69" s="49">
        <f>AVERAGE('25.10 Kabale-Katuna 24hr'!C69)</f>
        <v>1</v>
      </c>
      <c r="D69" s="49">
        <f>AVERAGE('25.10 Kabale-Katuna 24hr'!D69)</f>
        <v>0</v>
      </c>
      <c r="E69" s="49">
        <f>AVERAGE('25.10 Kabale-Katuna 24hr'!E69)</f>
        <v>0</v>
      </c>
      <c r="F69" s="49">
        <f>AVERAGE('25.10 Kabale-Katuna 24hr'!F69)</f>
        <v>0</v>
      </c>
      <c r="G69" s="49">
        <f>AVERAGE('25.10 Kabale-Katuna 24hr'!G69)</f>
        <v>0</v>
      </c>
      <c r="H69" s="49">
        <f>AVERAGE('25.10 Kabale-Katuna 24hr'!H69)</f>
        <v>0</v>
      </c>
      <c r="I69" s="49">
        <f>AVERAGE('25.10 Kabale-Katuna 24hr'!I69)</f>
        <v>0</v>
      </c>
      <c r="J69" s="49">
        <f>AVERAGE('25.10 Kabale-Katuna 24hr'!J69)</f>
        <v>0</v>
      </c>
      <c r="K69" s="49">
        <f>AVERAGE('25.10 Kabale-Katuna 24hr'!K69)</f>
        <v>0</v>
      </c>
      <c r="L69" s="49">
        <f>AVERAGE('25.10 Kabale-Katuna 24hr'!L69)</f>
        <v>0</v>
      </c>
      <c r="M69" s="49">
        <f>AVERAGE('25.10 Kabale-Katuna 24hr'!M69)</f>
        <v>0</v>
      </c>
      <c r="N69" s="49">
        <f>AVERAGE('25.10 Kabale-Katuna 24hr'!N69)</f>
        <v>0</v>
      </c>
      <c r="O69" s="15">
        <f t="shared" si="0"/>
        <v>1</v>
      </c>
      <c r="P69" s="15">
        <f t="shared" si="1"/>
        <v>1</v>
      </c>
      <c r="R69" s="8"/>
      <c r="T69"/>
    </row>
    <row r="70" spans="2:20" ht="23.1" customHeight="1" x14ac:dyDescent="0.25">
      <c r="B70" s="23" t="s">
        <v>110</v>
      </c>
      <c r="C70" s="49">
        <f>AVERAGE('25.10 Kabale-Katuna 24hr'!C70)</f>
        <v>1</v>
      </c>
      <c r="D70" s="49">
        <f>AVERAGE('25.10 Kabale-Katuna 24hr'!D70)</f>
        <v>0</v>
      </c>
      <c r="E70" s="49">
        <f>AVERAGE('25.10 Kabale-Katuna 24hr'!E70)</f>
        <v>0</v>
      </c>
      <c r="F70" s="49">
        <f>AVERAGE('25.10 Kabale-Katuna 24hr'!F70)</f>
        <v>0</v>
      </c>
      <c r="G70" s="49">
        <f>AVERAGE('25.10 Kabale-Katuna 24hr'!G70)</f>
        <v>0</v>
      </c>
      <c r="H70" s="49">
        <f>AVERAGE('25.10 Kabale-Katuna 24hr'!H70)</f>
        <v>0</v>
      </c>
      <c r="I70" s="49">
        <f>AVERAGE('25.10 Kabale-Katuna 24hr'!I70)</f>
        <v>0</v>
      </c>
      <c r="J70" s="49">
        <f>AVERAGE('25.10 Kabale-Katuna 24hr'!J70)</f>
        <v>0</v>
      </c>
      <c r="K70" s="49">
        <f>AVERAGE('25.10 Kabale-Katuna 24hr'!K70)</f>
        <v>0</v>
      </c>
      <c r="L70" s="49">
        <f>AVERAGE('25.10 Kabale-Katuna 24hr'!L70)</f>
        <v>0</v>
      </c>
      <c r="M70" s="49">
        <f>AVERAGE('25.10 Kabale-Katuna 24hr'!M70)</f>
        <v>1</v>
      </c>
      <c r="N70" s="49">
        <f>AVERAGE('25.10 Kabale-Katuna 24hr'!N70)</f>
        <v>0</v>
      </c>
      <c r="O70" s="15">
        <f t="shared" si="0"/>
        <v>1</v>
      </c>
      <c r="P70" s="15">
        <f t="shared" si="1"/>
        <v>2</v>
      </c>
      <c r="R70" s="8"/>
      <c r="T70"/>
    </row>
    <row r="71" spans="2:20" ht="23.1" customHeight="1" x14ac:dyDescent="0.25">
      <c r="B71" s="23" t="s">
        <v>111</v>
      </c>
      <c r="C71" s="49">
        <f>AVERAGE('25.10 Kabale-Katuna 24hr'!C71)</f>
        <v>1</v>
      </c>
      <c r="D71" s="49">
        <f>AVERAGE('25.10 Kabale-Katuna 24hr'!D71)</f>
        <v>0</v>
      </c>
      <c r="E71" s="49">
        <f>AVERAGE('25.10 Kabale-Katuna 24hr'!E71)</f>
        <v>0</v>
      </c>
      <c r="F71" s="49">
        <f>AVERAGE('25.10 Kabale-Katuna 24hr'!F71)</f>
        <v>0</v>
      </c>
      <c r="G71" s="49">
        <f>AVERAGE('25.10 Kabale-Katuna 24hr'!G71)</f>
        <v>0</v>
      </c>
      <c r="H71" s="49">
        <f>AVERAGE('25.10 Kabale-Katuna 24hr'!H71)</f>
        <v>0</v>
      </c>
      <c r="I71" s="49">
        <f>AVERAGE('25.10 Kabale-Katuna 24hr'!I71)</f>
        <v>0</v>
      </c>
      <c r="J71" s="49">
        <f>AVERAGE('25.10 Kabale-Katuna 24hr'!J71)</f>
        <v>0</v>
      </c>
      <c r="K71" s="49">
        <f>AVERAGE('25.10 Kabale-Katuna 24hr'!K71)</f>
        <v>0</v>
      </c>
      <c r="L71" s="49">
        <f>AVERAGE('25.10 Kabale-Katuna 24hr'!L71)</f>
        <v>0</v>
      </c>
      <c r="M71" s="49">
        <f>AVERAGE('25.10 Kabale-Katuna 24hr'!M71)</f>
        <v>1</v>
      </c>
      <c r="N71" s="49">
        <f>AVERAGE('25.10 Kabale-Katuna 24hr'!N71)</f>
        <v>0</v>
      </c>
      <c r="O71" s="15">
        <f t="shared" si="0"/>
        <v>1</v>
      </c>
      <c r="P71" s="15">
        <f t="shared" si="1"/>
        <v>2</v>
      </c>
      <c r="R71" s="8"/>
      <c r="T71"/>
    </row>
    <row r="72" spans="2:20" ht="23.1" customHeight="1" x14ac:dyDescent="0.25">
      <c r="B72" s="23" t="s">
        <v>112</v>
      </c>
      <c r="C72" s="49">
        <f>AVERAGE('25.10 Kabale-Katuna 24hr'!C72)</f>
        <v>3</v>
      </c>
      <c r="D72" s="49">
        <f>AVERAGE('25.10 Kabale-Katuna 24hr'!D72)</f>
        <v>0</v>
      </c>
      <c r="E72" s="49">
        <f>AVERAGE('25.10 Kabale-Katuna 24hr'!E72)</f>
        <v>0</v>
      </c>
      <c r="F72" s="49">
        <f>AVERAGE('25.10 Kabale-Katuna 24hr'!F72)</f>
        <v>0</v>
      </c>
      <c r="G72" s="49">
        <f>AVERAGE('25.10 Kabale-Katuna 24hr'!G72)</f>
        <v>0</v>
      </c>
      <c r="H72" s="49">
        <f>AVERAGE('25.10 Kabale-Katuna 24hr'!H72)</f>
        <v>0</v>
      </c>
      <c r="I72" s="49">
        <f>AVERAGE('25.10 Kabale-Katuna 24hr'!I72)</f>
        <v>0</v>
      </c>
      <c r="J72" s="49">
        <f>AVERAGE('25.10 Kabale-Katuna 24hr'!J72)</f>
        <v>0</v>
      </c>
      <c r="K72" s="49">
        <f>AVERAGE('25.10 Kabale-Katuna 24hr'!K72)</f>
        <v>0</v>
      </c>
      <c r="L72" s="49">
        <f>AVERAGE('25.10 Kabale-Katuna 24hr'!L72)</f>
        <v>0</v>
      </c>
      <c r="M72" s="49">
        <f>AVERAGE('25.10 Kabale-Katuna 24hr'!M72)</f>
        <v>2</v>
      </c>
      <c r="N72" s="49">
        <f>AVERAGE('25.10 Kabale-Katuna 24hr'!N72)</f>
        <v>0</v>
      </c>
      <c r="O72" s="15">
        <f t="shared" si="0"/>
        <v>3</v>
      </c>
      <c r="P72" s="15">
        <f t="shared" si="1"/>
        <v>5</v>
      </c>
      <c r="R72" s="8"/>
      <c r="T72"/>
    </row>
    <row r="73" spans="2:20" ht="23.1" customHeight="1" x14ac:dyDescent="0.25">
      <c r="B73" s="23" t="s">
        <v>113</v>
      </c>
      <c r="C73" s="49">
        <f>AVERAGE('25.10 Kabale-Katuna 24hr'!C73)</f>
        <v>0</v>
      </c>
      <c r="D73" s="49">
        <f>AVERAGE('25.10 Kabale-Katuna 24hr'!D73)</f>
        <v>1</v>
      </c>
      <c r="E73" s="49">
        <f>AVERAGE('25.10 Kabale-Katuna 24hr'!E73)</f>
        <v>0</v>
      </c>
      <c r="F73" s="49">
        <f>AVERAGE('25.10 Kabale-Katuna 24hr'!F73)</f>
        <v>0</v>
      </c>
      <c r="G73" s="49">
        <f>AVERAGE('25.10 Kabale-Katuna 24hr'!G73)</f>
        <v>0</v>
      </c>
      <c r="H73" s="49">
        <f>AVERAGE('25.10 Kabale-Katuna 24hr'!H73)</f>
        <v>0</v>
      </c>
      <c r="I73" s="49">
        <f>AVERAGE('25.10 Kabale-Katuna 24hr'!I73)</f>
        <v>0</v>
      </c>
      <c r="J73" s="49">
        <f>AVERAGE('25.10 Kabale-Katuna 24hr'!J73)</f>
        <v>0</v>
      </c>
      <c r="K73" s="49">
        <f>AVERAGE('25.10 Kabale-Katuna 24hr'!K73)</f>
        <v>0</v>
      </c>
      <c r="L73" s="49">
        <f>AVERAGE('25.10 Kabale-Katuna 24hr'!L73)</f>
        <v>0</v>
      </c>
      <c r="M73" s="49">
        <f>AVERAGE('25.10 Kabale-Katuna 24hr'!M73)</f>
        <v>2</v>
      </c>
      <c r="N73" s="49">
        <f>AVERAGE('25.10 Kabale-Katuna 24hr'!N73)</f>
        <v>0</v>
      </c>
      <c r="O73" s="15">
        <f t="shared" si="0"/>
        <v>1</v>
      </c>
      <c r="P73" s="15">
        <f t="shared" si="1"/>
        <v>3</v>
      </c>
      <c r="R73" s="8"/>
      <c r="T73"/>
    </row>
    <row r="74" spans="2:20" ht="23.1" customHeight="1" x14ac:dyDescent="0.25">
      <c r="B74" s="23" t="s">
        <v>114</v>
      </c>
      <c r="C74" s="49">
        <f>AVERAGE('25.10 Kabale-Katuna 24hr'!C74)</f>
        <v>1</v>
      </c>
      <c r="D74" s="49">
        <f>AVERAGE('25.10 Kabale-Katuna 24hr'!D74)</f>
        <v>0</v>
      </c>
      <c r="E74" s="49">
        <f>AVERAGE('25.10 Kabale-Katuna 24hr'!E74)</f>
        <v>0</v>
      </c>
      <c r="F74" s="49">
        <f>AVERAGE('25.10 Kabale-Katuna 24hr'!F74)</f>
        <v>0</v>
      </c>
      <c r="G74" s="49">
        <f>AVERAGE('25.10 Kabale-Katuna 24hr'!G74)</f>
        <v>0</v>
      </c>
      <c r="H74" s="49">
        <f>AVERAGE('25.10 Kabale-Katuna 24hr'!H74)</f>
        <v>0</v>
      </c>
      <c r="I74" s="49">
        <f>AVERAGE('25.10 Kabale-Katuna 24hr'!I74)</f>
        <v>1</v>
      </c>
      <c r="J74" s="49">
        <f>AVERAGE('25.10 Kabale-Katuna 24hr'!J74)</f>
        <v>0</v>
      </c>
      <c r="K74" s="49">
        <f>AVERAGE('25.10 Kabale-Katuna 24hr'!K74)</f>
        <v>0</v>
      </c>
      <c r="L74" s="49">
        <f>AVERAGE('25.10 Kabale-Katuna 24hr'!L74)</f>
        <v>0</v>
      </c>
      <c r="M74" s="49">
        <f>AVERAGE('25.10 Kabale-Katuna 24hr'!M74)</f>
        <v>0</v>
      </c>
      <c r="N74" s="49">
        <f>AVERAGE('25.10 Kabale-Katuna 24hr'!N74)</f>
        <v>0</v>
      </c>
      <c r="O74" s="15">
        <f t="shared" ref="O74:O105" si="35">SUM(C74:L74,N74)</f>
        <v>2</v>
      </c>
      <c r="P74" s="15">
        <f t="shared" ref="P74:P105" si="36">SUM(C74:N74)</f>
        <v>2</v>
      </c>
      <c r="R74" s="8"/>
      <c r="T74"/>
    </row>
    <row r="75" spans="2:20" ht="23.1" customHeight="1" x14ac:dyDescent="0.25">
      <c r="B75" s="23" t="s">
        <v>115</v>
      </c>
      <c r="C75" s="49">
        <f>AVERAGE('25.10 Kabale-Katuna 24hr'!C75)</f>
        <v>1</v>
      </c>
      <c r="D75" s="49">
        <f>AVERAGE('25.10 Kabale-Katuna 24hr'!D75)</f>
        <v>1</v>
      </c>
      <c r="E75" s="49">
        <f>AVERAGE('25.10 Kabale-Katuna 24hr'!E75)</f>
        <v>0</v>
      </c>
      <c r="F75" s="49">
        <f>AVERAGE('25.10 Kabale-Katuna 24hr'!F75)</f>
        <v>0</v>
      </c>
      <c r="G75" s="49">
        <f>AVERAGE('25.10 Kabale-Katuna 24hr'!G75)</f>
        <v>0</v>
      </c>
      <c r="H75" s="49">
        <f>AVERAGE('25.10 Kabale-Katuna 24hr'!H75)</f>
        <v>0</v>
      </c>
      <c r="I75" s="49">
        <f>AVERAGE('25.10 Kabale-Katuna 24hr'!I75)</f>
        <v>0</v>
      </c>
      <c r="J75" s="49">
        <f>AVERAGE('25.10 Kabale-Katuna 24hr'!J75)</f>
        <v>0</v>
      </c>
      <c r="K75" s="49">
        <f>AVERAGE('25.10 Kabale-Katuna 24hr'!K75)</f>
        <v>0</v>
      </c>
      <c r="L75" s="49">
        <f>AVERAGE('25.10 Kabale-Katuna 24hr'!L75)</f>
        <v>0</v>
      </c>
      <c r="M75" s="49">
        <f>AVERAGE('25.10 Kabale-Katuna 24hr'!M75)</f>
        <v>2</v>
      </c>
      <c r="N75" s="49">
        <f>AVERAGE('25.10 Kabale-Katuna 24hr'!N75)</f>
        <v>0</v>
      </c>
      <c r="O75" s="15">
        <f t="shared" si="35"/>
        <v>2</v>
      </c>
      <c r="P75" s="15">
        <f t="shared" si="36"/>
        <v>4</v>
      </c>
      <c r="R75" s="8"/>
      <c r="T75"/>
    </row>
    <row r="76" spans="2:20" ht="23.1" customHeight="1" x14ac:dyDescent="0.25">
      <c r="B76" s="23" t="s">
        <v>116</v>
      </c>
      <c r="C76" s="49">
        <f>AVERAGE('25.10 Kabale-Katuna 24hr'!C76)</f>
        <v>0</v>
      </c>
      <c r="D76" s="49">
        <f>AVERAGE('25.10 Kabale-Katuna 24hr'!D76)</f>
        <v>1</v>
      </c>
      <c r="E76" s="49">
        <f>AVERAGE('25.10 Kabale-Katuna 24hr'!E76)</f>
        <v>0</v>
      </c>
      <c r="F76" s="49">
        <f>AVERAGE('25.10 Kabale-Katuna 24hr'!F76)</f>
        <v>0</v>
      </c>
      <c r="G76" s="49">
        <f>AVERAGE('25.10 Kabale-Katuna 24hr'!G76)</f>
        <v>0</v>
      </c>
      <c r="H76" s="49">
        <f>AVERAGE('25.10 Kabale-Katuna 24hr'!H76)</f>
        <v>0</v>
      </c>
      <c r="I76" s="49">
        <f>AVERAGE('25.10 Kabale-Katuna 24hr'!I76)</f>
        <v>0</v>
      </c>
      <c r="J76" s="49">
        <f>AVERAGE('25.10 Kabale-Katuna 24hr'!J76)</f>
        <v>0</v>
      </c>
      <c r="K76" s="49">
        <f>AVERAGE('25.10 Kabale-Katuna 24hr'!K76)</f>
        <v>0</v>
      </c>
      <c r="L76" s="49">
        <f>AVERAGE('25.10 Kabale-Katuna 24hr'!L76)</f>
        <v>0</v>
      </c>
      <c r="M76" s="49">
        <f>AVERAGE('25.10 Kabale-Katuna 24hr'!M76)</f>
        <v>4</v>
      </c>
      <c r="N76" s="49">
        <f>AVERAGE('25.10 Kabale-Katuna 24hr'!N76)</f>
        <v>0</v>
      </c>
      <c r="O76" s="15">
        <f t="shared" si="35"/>
        <v>1</v>
      </c>
      <c r="P76" s="15">
        <f t="shared" si="36"/>
        <v>5</v>
      </c>
      <c r="R76" s="8"/>
      <c r="T76"/>
    </row>
    <row r="77" spans="2:20" ht="23.1" customHeight="1" x14ac:dyDescent="0.25">
      <c r="B77" s="23" t="s">
        <v>117</v>
      </c>
      <c r="C77" s="49">
        <f>AVERAGE('25.10 Kabale-Katuna 24hr'!C77)</f>
        <v>0</v>
      </c>
      <c r="D77" s="49">
        <f>AVERAGE('25.10 Kabale-Katuna 24hr'!D77)</f>
        <v>0</v>
      </c>
      <c r="E77" s="49">
        <f>AVERAGE('25.10 Kabale-Katuna 24hr'!E77)</f>
        <v>0</v>
      </c>
      <c r="F77" s="49">
        <f>AVERAGE('25.10 Kabale-Katuna 24hr'!F77)</f>
        <v>0</v>
      </c>
      <c r="G77" s="49">
        <f>AVERAGE('25.10 Kabale-Katuna 24hr'!G77)</f>
        <v>0</v>
      </c>
      <c r="H77" s="49">
        <f>AVERAGE('25.10 Kabale-Katuna 24hr'!H77)</f>
        <v>0</v>
      </c>
      <c r="I77" s="49">
        <f>AVERAGE('25.10 Kabale-Katuna 24hr'!I77)</f>
        <v>0</v>
      </c>
      <c r="J77" s="49">
        <f>AVERAGE('25.10 Kabale-Katuna 24hr'!J77)</f>
        <v>0</v>
      </c>
      <c r="K77" s="49">
        <f>AVERAGE('25.10 Kabale-Katuna 24hr'!K77)</f>
        <v>0</v>
      </c>
      <c r="L77" s="49">
        <f>AVERAGE('25.10 Kabale-Katuna 24hr'!L77)</f>
        <v>0</v>
      </c>
      <c r="M77" s="49">
        <f>AVERAGE('25.10 Kabale-Katuna 24hr'!M77)</f>
        <v>0</v>
      </c>
      <c r="N77" s="49">
        <f>AVERAGE('25.10 Kabale-Katuna 24hr'!N77)</f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24" t="s">
        <v>118</v>
      </c>
      <c r="C78" s="49">
        <f>AVERAGE('25.10 Kabale-Katuna 24hr'!C78)</f>
        <v>1</v>
      </c>
      <c r="D78" s="49">
        <f>AVERAGE('25.10 Kabale-Katuna 24hr'!D78)</f>
        <v>1</v>
      </c>
      <c r="E78" s="49">
        <f>AVERAGE('25.10 Kabale-Katuna 24hr'!E78)</f>
        <v>0</v>
      </c>
      <c r="F78" s="49">
        <f>AVERAGE('25.10 Kabale-Katuna 24hr'!F78)</f>
        <v>0</v>
      </c>
      <c r="G78" s="49">
        <f>AVERAGE('25.10 Kabale-Katuna 24hr'!G78)</f>
        <v>0</v>
      </c>
      <c r="H78" s="49">
        <f>AVERAGE('25.10 Kabale-Katuna 24hr'!H78)</f>
        <v>0</v>
      </c>
      <c r="I78" s="49">
        <f>AVERAGE('25.10 Kabale-Katuna 24hr'!I78)</f>
        <v>0</v>
      </c>
      <c r="J78" s="49">
        <f>AVERAGE('25.10 Kabale-Katuna 24hr'!J78)</f>
        <v>0</v>
      </c>
      <c r="K78" s="49">
        <f>AVERAGE('25.10 Kabale-Katuna 24hr'!K78)</f>
        <v>0</v>
      </c>
      <c r="L78" s="49">
        <f>AVERAGE('25.10 Kabale-Katuna 24hr'!L78)</f>
        <v>0</v>
      </c>
      <c r="M78" s="49">
        <f>AVERAGE('25.10 Kabale-Katuna 24hr'!M78)</f>
        <v>2</v>
      </c>
      <c r="N78" s="49">
        <f>AVERAGE('25.10 Kabale-Katuna 24hr'!N78)</f>
        <v>0</v>
      </c>
      <c r="O78" s="15">
        <f t="shared" si="35"/>
        <v>2</v>
      </c>
      <c r="P78" s="15">
        <f t="shared" si="36"/>
        <v>4</v>
      </c>
      <c r="R78" s="8"/>
      <c r="T78"/>
    </row>
    <row r="79" spans="2:20" ht="23.1" customHeight="1" x14ac:dyDescent="0.25">
      <c r="B79" s="23" t="s">
        <v>119</v>
      </c>
      <c r="C79" s="49">
        <f>AVERAGE('25.10 Kabale-Katuna 24hr'!C79)</f>
        <v>0</v>
      </c>
      <c r="D79" s="49">
        <f>AVERAGE('25.10 Kabale-Katuna 24hr'!D79)</f>
        <v>0</v>
      </c>
      <c r="E79" s="49">
        <f>AVERAGE('25.10 Kabale-Katuna 24hr'!E79)</f>
        <v>0</v>
      </c>
      <c r="F79" s="49">
        <f>AVERAGE('25.10 Kabale-Katuna 24hr'!F79)</f>
        <v>0</v>
      </c>
      <c r="G79" s="49">
        <f>AVERAGE('25.10 Kabale-Katuna 24hr'!G79)</f>
        <v>0</v>
      </c>
      <c r="H79" s="49">
        <f>AVERAGE('25.10 Kabale-Katuna 24hr'!H79)</f>
        <v>0</v>
      </c>
      <c r="I79" s="49">
        <f>AVERAGE('25.10 Kabale-Katuna 24hr'!I79)</f>
        <v>0</v>
      </c>
      <c r="J79" s="49">
        <f>AVERAGE('25.10 Kabale-Katuna 24hr'!J79)</f>
        <v>0</v>
      </c>
      <c r="K79" s="49">
        <f>AVERAGE('25.10 Kabale-Katuna 24hr'!K79)</f>
        <v>0</v>
      </c>
      <c r="L79" s="49">
        <f>AVERAGE('25.10 Kabale-Katuna 24hr'!L79)</f>
        <v>0</v>
      </c>
      <c r="M79" s="49">
        <f>AVERAGE('25.10 Kabale-Katuna 24hr'!M79)</f>
        <v>1</v>
      </c>
      <c r="N79" s="49">
        <f>AVERAGE('25.10 Kabale-Katuna 24hr'!N79)</f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25" t="s">
        <v>120</v>
      </c>
      <c r="C80" s="49">
        <f>AVERAGE('25.10 Kabale-Katuna 24hr'!C80)</f>
        <v>1</v>
      </c>
      <c r="D80" s="49">
        <f>AVERAGE('25.10 Kabale-Katuna 24hr'!D80)</f>
        <v>0</v>
      </c>
      <c r="E80" s="49">
        <f>AVERAGE('25.10 Kabale-Katuna 24hr'!E80)</f>
        <v>0</v>
      </c>
      <c r="F80" s="49">
        <f>AVERAGE('25.10 Kabale-Katuna 24hr'!F80)</f>
        <v>0</v>
      </c>
      <c r="G80" s="49">
        <f>AVERAGE('25.10 Kabale-Katuna 24hr'!G80)</f>
        <v>0</v>
      </c>
      <c r="H80" s="49">
        <f>AVERAGE('25.10 Kabale-Katuna 24hr'!H80)</f>
        <v>0</v>
      </c>
      <c r="I80" s="49">
        <f>AVERAGE('25.10 Kabale-Katuna 24hr'!I80)</f>
        <v>0</v>
      </c>
      <c r="J80" s="49">
        <f>AVERAGE('25.10 Kabale-Katuna 24hr'!J80)</f>
        <v>0</v>
      </c>
      <c r="K80" s="49">
        <f>AVERAGE('25.10 Kabale-Katuna 24hr'!K80)</f>
        <v>0</v>
      </c>
      <c r="L80" s="49">
        <f>AVERAGE('25.10 Kabale-Katuna 24hr'!L80)</f>
        <v>0</v>
      </c>
      <c r="M80" s="49">
        <f>AVERAGE('25.10 Kabale-Katuna 24hr'!M80)</f>
        <v>2</v>
      </c>
      <c r="N80" s="49">
        <f>AVERAGE('25.10 Kabale-Katuna 24hr'!N80)</f>
        <v>0</v>
      </c>
      <c r="O80" s="15">
        <f t="shared" si="35"/>
        <v>1</v>
      </c>
      <c r="P80" s="15">
        <f t="shared" si="36"/>
        <v>3</v>
      </c>
      <c r="R80" s="8"/>
      <c r="T80"/>
    </row>
    <row r="81" spans="2:20" ht="23.1" customHeight="1" x14ac:dyDescent="0.25">
      <c r="B81" s="23" t="s">
        <v>121</v>
      </c>
      <c r="C81" s="49">
        <f>AVERAGE('25.10 Kabale-Katuna 24hr'!C81)</f>
        <v>3</v>
      </c>
      <c r="D81" s="49">
        <f>AVERAGE('25.10 Kabale-Katuna 24hr'!D81)</f>
        <v>0</v>
      </c>
      <c r="E81" s="49">
        <f>AVERAGE('25.10 Kabale-Katuna 24hr'!E81)</f>
        <v>0</v>
      </c>
      <c r="F81" s="49">
        <f>AVERAGE('25.10 Kabale-Katuna 24hr'!F81)</f>
        <v>0</v>
      </c>
      <c r="G81" s="49">
        <f>AVERAGE('25.10 Kabale-Katuna 24hr'!G81)</f>
        <v>0</v>
      </c>
      <c r="H81" s="49">
        <f>AVERAGE('25.10 Kabale-Katuna 24hr'!H81)</f>
        <v>0</v>
      </c>
      <c r="I81" s="49">
        <f>AVERAGE('25.10 Kabale-Katuna 24hr'!I81)</f>
        <v>0</v>
      </c>
      <c r="J81" s="49">
        <f>AVERAGE('25.10 Kabale-Katuna 24hr'!J81)</f>
        <v>0</v>
      </c>
      <c r="K81" s="49">
        <f>AVERAGE('25.10 Kabale-Katuna 24hr'!K81)</f>
        <v>0</v>
      </c>
      <c r="L81" s="49">
        <f>AVERAGE('25.10 Kabale-Katuna 24hr'!L81)</f>
        <v>0</v>
      </c>
      <c r="M81" s="49">
        <f>AVERAGE('25.10 Kabale-Katuna 24hr'!M81)</f>
        <v>4</v>
      </c>
      <c r="N81" s="49">
        <f>AVERAGE('25.10 Kabale-Katuna 24hr'!N81)</f>
        <v>0</v>
      </c>
      <c r="O81" s="15">
        <f t="shared" si="35"/>
        <v>3</v>
      </c>
      <c r="P81" s="15">
        <f t="shared" si="36"/>
        <v>7</v>
      </c>
      <c r="R81" s="8"/>
      <c r="T81"/>
    </row>
    <row r="82" spans="2:20" ht="23.1" customHeight="1" x14ac:dyDescent="0.25">
      <c r="B82" s="24" t="s">
        <v>122</v>
      </c>
      <c r="C82" s="49">
        <f>AVERAGE('25.10 Kabale-Katuna 24hr'!C82)</f>
        <v>0</v>
      </c>
      <c r="D82" s="49">
        <f>AVERAGE('25.10 Kabale-Katuna 24hr'!D82)</f>
        <v>0</v>
      </c>
      <c r="E82" s="49">
        <f>AVERAGE('25.10 Kabale-Katuna 24hr'!E82)</f>
        <v>0</v>
      </c>
      <c r="F82" s="49">
        <f>AVERAGE('25.10 Kabale-Katuna 24hr'!F82)</f>
        <v>0</v>
      </c>
      <c r="G82" s="49">
        <f>AVERAGE('25.10 Kabale-Katuna 24hr'!G82)</f>
        <v>0</v>
      </c>
      <c r="H82" s="49">
        <f>AVERAGE('25.10 Kabale-Katuna 24hr'!H82)</f>
        <v>0</v>
      </c>
      <c r="I82" s="49">
        <f>AVERAGE('25.10 Kabale-Katuna 24hr'!I82)</f>
        <v>1</v>
      </c>
      <c r="J82" s="49">
        <f>AVERAGE('25.10 Kabale-Katuna 24hr'!J82)</f>
        <v>0</v>
      </c>
      <c r="K82" s="49">
        <f>AVERAGE('25.10 Kabale-Katuna 24hr'!K82)</f>
        <v>0</v>
      </c>
      <c r="L82" s="49">
        <f>AVERAGE('25.10 Kabale-Katuna 24hr'!L82)</f>
        <v>0</v>
      </c>
      <c r="M82" s="49">
        <f>AVERAGE('25.10 Kabale-Katuna 24hr'!M82)</f>
        <v>2</v>
      </c>
      <c r="N82" s="49">
        <f>AVERAGE('25.10 Kabale-Katuna 24hr'!N82)</f>
        <v>0</v>
      </c>
      <c r="O82" s="15">
        <f t="shared" si="35"/>
        <v>1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AVERAGE('25.10 Kabale-Katuna 24hr'!C83)</f>
        <v>0</v>
      </c>
      <c r="D83" s="49">
        <f>AVERAGE('25.10 Kabale-Katuna 24hr'!D83)</f>
        <v>0</v>
      </c>
      <c r="E83" s="49">
        <f>AVERAGE('25.10 Kabale-Katuna 24hr'!E83)</f>
        <v>0</v>
      </c>
      <c r="F83" s="49">
        <f>AVERAGE('25.10 Kabale-Katuna 24hr'!F83)</f>
        <v>0</v>
      </c>
      <c r="G83" s="49">
        <f>AVERAGE('25.10 Kabale-Katuna 24hr'!G83)</f>
        <v>0</v>
      </c>
      <c r="H83" s="49">
        <f>AVERAGE('25.10 Kabale-Katuna 24hr'!H83)</f>
        <v>0</v>
      </c>
      <c r="I83" s="49">
        <f>AVERAGE('25.10 Kabale-Katuna 24hr'!I83)</f>
        <v>0</v>
      </c>
      <c r="J83" s="49">
        <f>AVERAGE('25.10 Kabale-Katuna 24hr'!J83)</f>
        <v>0</v>
      </c>
      <c r="K83" s="49">
        <f>AVERAGE('25.10 Kabale-Katuna 24hr'!K83)</f>
        <v>0</v>
      </c>
      <c r="L83" s="49">
        <f>AVERAGE('25.10 Kabale-Katuna 24hr'!L83)</f>
        <v>0</v>
      </c>
      <c r="M83" s="49">
        <f>AVERAGE('25.10 Kabale-Katuna 24hr'!M83)</f>
        <v>0</v>
      </c>
      <c r="N83" s="49">
        <f>AVERAGE('25.10 Kabale-Katuna 24hr'!N83)</f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25" t="s">
        <v>124</v>
      </c>
      <c r="C84" s="49">
        <f>AVERAGE('25.10 Kabale-Katuna 24hr'!C84)</f>
        <v>0</v>
      </c>
      <c r="D84" s="49">
        <f>AVERAGE('25.10 Kabale-Katuna 24hr'!D84)</f>
        <v>0</v>
      </c>
      <c r="E84" s="49">
        <f>AVERAGE('25.10 Kabale-Katuna 24hr'!E84)</f>
        <v>1</v>
      </c>
      <c r="F84" s="49">
        <f>AVERAGE('25.10 Kabale-Katuna 24hr'!F84)</f>
        <v>0</v>
      </c>
      <c r="G84" s="49">
        <f>AVERAGE('25.10 Kabale-Katuna 24hr'!G84)</f>
        <v>0</v>
      </c>
      <c r="H84" s="49">
        <f>AVERAGE('25.10 Kabale-Katuna 24hr'!H84)</f>
        <v>0</v>
      </c>
      <c r="I84" s="49">
        <f>AVERAGE('25.10 Kabale-Katuna 24hr'!I84)</f>
        <v>0</v>
      </c>
      <c r="J84" s="49">
        <f>AVERAGE('25.10 Kabale-Katuna 24hr'!J84)</f>
        <v>0</v>
      </c>
      <c r="K84" s="49">
        <f>AVERAGE('25.10 Kabale-Katuna 24hr'!K84)</f>
        <v>0</v>
      </c>
      <c r="L84" s="49">
        <f>AVERAGE('25.10 Kabale-Katuna 24hr'!L84)</f>
        <v>0</v>
      </c>
      <c r="M84" s="49">
        <f>AVERAGE('25.10 Kabale-Katuna 24hr'!M84)</f>
        <v>0</v>
      </c>
      <c r="N84" s="49">
        <f>AVERAGE('25.10 Kabale-Katuna 24hr'!N84)</f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23" t="s">
        <v>125</v>
      </c>
      <c r="C85" s="49">
        <f>AVERAGE('25.10 Kabale-Katuna 24hr'!C85)</f>
        <v>2</v>
      </c>
      <c r="D85" s="49">
        <f>AVERAGE('25.10 Kabale-Katuna 24hr'!D85)</f>
        <v>0</v>
      </c>
      <c r="E85" s="49">
        <f>AVERAGE('25.10 Kabale-Katuna 24hr'!E85)</f>
        <v>0</v>
      </c>
      <c r="F85" s="49">
        <f>AVERAGE('25.10 Kabale-Katuna 24hr'!F85)</f>
        <v>0</v>
      </c>
      <c r="G85" s="49">
        <f>AVERAGE('25.10 Kabale-Katuna 24hr'!G85)</f>
        <v>0</v>
      </c>
      <c r="H85" s="49">
        <f>AVERAGE('25.10 Kabale-Katuna 24hr'!H85)</f>
        <v>0</v>
      </c>
      <c r="I85" s="49">
        <f>AVERAGE('25.10 Kabale-Katuna 24hr'!I85)</f>
        <v>0</v>
      </c>
      <c r="J85" s="49">
        <f>AVERAGE('25.10 Kabale-Katuna 24hr'!J85)</f>
        <v>0</v>
      </c>
      <c r="K85" s="49">
        <f>AVERAGE('25.10 Kabale-Katuna 24hr'!K85)</f>
        <v>0</v>
      </c>
      <c r="L85" s="49">
        <f>AVERAGE('25.10 Kabale-Katuna 24hr'!L85)</f>
        <v>0</v>
      </c>
      <c r="M85" s="49">
        <f>AVERAGE('25.10 Kabale-Katuna 24hr'!M85)</f>
        <v>1</v>
      </c>
      <c r="N85" s="49">
        <f>AVERAGE('25.10 Kabale-Katuna 24hr'!N85)</f>
        <v>0</v>
      </c>
      <c r="O85" s="15">
        <f t="shared" si="35"/>
        <v>2</v>
      </c>
      <c r="P85" s="15">
        <f t="shared" si="36"/>
        <v>3</v>
      </c>
      <c r="R85" s="8"/>
      <c r="T85"/>
    </row>
    <row r="86" spans="2:20" ht="23.1" customHeight="1" x14ac:dyDescent="0.25">
      <c r="B86" s="24" t="s">
        <v>126</v>
      </c>
      <c r="C86" s="49">
        <f>AVERAGE('25.10 Kabale-Katuna 24hr'!C86)</f>
        <v>1</v>
      </c>
      <c r="D86" s="49">
        <f>AVERAGE('25.10 Kabale-Katuna 24hr'!D86)</f>
        <v>0</v>
      </c>
      <c r="E86" s="49">
        <f>AVERAGE('25.10 Kabale-Katuna 24hr'!E86)</f>
        <v>0</v>
      </c>
      <c r="F86" s="49">
        <f>AVERAGE('25.10 Kabale-Katuna 24hr'!F86)</f>
        <v>0</v>
      </c>
      <c r="G86" s="49">
        <f>AVERAGE('25.10 Kabale-Katuna 24hr'!G86)</f>
        <v>0</v>
      </c>
      <c r="H86" s="49">
        <f>AVERAGE('25.10 Kabale-Katuna 24hr'!H86)</f>
        <v>0</v>
      </c>
      <c r="I86" s="49">
        <f>AVERAGE('25.10 Kabale-Katuna 24hr'!I86)</f>
        <v>0</v>
      </c>
      <c r="J86" s="49">
        <f>AVERAGE('25.10 Kabale-Katuna 24hr'!J86)</f>
        <v>0</v>
      </c>
      <c r="K86" s="49">
        <f>AVERAGE('25.10 Kabale-Katuna 24hr'!K86)</f>
        <v>0</v>
      </c>
      <c r="L86" s="49">
        <f>AVERAGE('25.10 Kabale-Katuna 24hr'!L86)</f>
        <v>0</v>
      </c>
      <c r="M86" s="49">
        <f>AVERAGE('25.10 Kabale-Katuna 24hr'!M86)</f>
        <v>0</v>
      </c>
      <c r="N86" s="49">
        <f>AVERAGE('25.10 Kabale-Katuna 24hr'!N86)</f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23" t="s">
        <v>127</v>
      </c>
      <c r="C87" s="49">
        <f>AVERAGE('25.10 Kabale-Katuna 24hr'!C87)</f>
        <v>0</v>
      </c>
      <c r="D87" s="49">
        <f>AVERAGE('25.10 Kabale-Katuna 24hr'!D87)</f>
        <v>0</v>
      </c>
      <c r="E87" s="49">
        <f>AVERAGE('25.10 Kabale-Katuna 24hr'!E87)</f>
        <v>0</v>
      </c>
      <c r="F87" s="49">
        <f>AVERAGE('25.10 Kabale-Katuna 24hr'!F87)</f>
        <v>0</v>
      </c>
      <c r="G87" s="49">
        <f>AVERAGE('25.10 Kabale-Katuna 24hr'!G87)</f>
        <v>0</v>
      </c>
      <c r="H87" s="49">
        <f>AVERAGE('25.10 Kabale-Katuna 24hr'!H87)</f>
        <v>1</v>
      </c>
      <c r="I87" s="49">
        <f>AVERAGE('25.10 Kabale-Katuna 24hr'!I87)</f>
        <v>0</v>
      </c>
      <c r="J87" s="49">
        <f>AVERAGE('25.10 Kabale-Katuna 24hr'!J87)</f>
        <v>0</v>
      </c>
      <c r="K87" s="49">
        <f>AVERAGE('25.10 Kabale-Katuna 24hr'!K87)</f>
        <v>0</v>
      </c>
      <c r="L87" s="49">
        <f>AVERAGE('25.10 Kabale-Katuna 24hr'!L87)</f>
        <v>0</v>
      </c>
      <c r="M87" s="49">
        <f>AVERAGE('25.10 Kabale-Katuna 24hr'!M87)</f>
        <v>0</v>
      </c>
      <c r="N87" s="49">
        <f>AVERAGE('25.10 Kabale-Katuna 24hr'!N87)</f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25" t="s">
        <v>128</v>
      </c>
      <c r="C88" s="49">
        <f>AVERAGE('25.10 Kabale-Katuna 24hr'!C88)</f>
        <v>0</v>
      </c>
      <c r="D88" s="49">
        <f>AVERAGE('25.10 Kabale-Katuna 24hr'!D88)</f>
        <v>0</v>
      </c>
      <c r="E88" s="49">
        <f>AVERAGE('25.10 Kabale-Katuna 24hr'!E88)</f>
        <v>0</v>
      </c>
      <c r="F88" s="49">
        <f>AVERAGE('25.10 Kabale-Katuna 24hr'!F88)</f>
        <v>0</v>
      </c>
      <c r="G88" s="49">
        <f>AVERAGE('25.10 Kabale-Katuna 24hr'!G88)</f>
        <v>0</v>
      </c>
      <c r="H88" s="49">
        <f>AVERAGE('25.10 Kabale-Katuna 24hr'!H88)</f>
        <v>0</v>
      </c>
      <c r="I88" s="49">
        <f>AVERAGE('25.10 Kabale-Katuna 24hr'!I88)</f>
        <v>1</v>
      </c>
      <c r="J88" s="49">
        <f>AVERAGE('25.10 Kabale-Katuna 24hr'!J88)</f>
        <v>0</v>
      </c>
      <c r="K88" s="49">
        <f>AVERAGE('25.10 Kabale-Katuna 24hr'!K88)</f>
        <v>0</v>
      </c>
      <c r="L88" s="49">
        <f>AVERAGE('25.10 Kabale-Katuna 24hr'!L88)</f>
        <v>0</v>
      </c>
      <c r="M88" s="49">
        <f>AVERAGE('25.10 Kabale-Katuna 24hr'!M88)</f>
        <v>0</v>
      </c>
      <c r="N88" s="49">
        <f>AVERAGE('25.10 Kabale-Katuna 24hr'!N88)</f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23" t="s">
        <v>129</v>
      </c>
      <c r="C89" s="49">
        <f>AVERAGE('25.10 Kabale-Katuna 24hr'!C89)</f>
        <v>0</v>
      </c>
      <c r="D89" s="49">
        <f>AVERAGE('25.10 Kabale-Katuna 24hr'!D89)</f>
        <v>0</v>
      </c>
      <c r="E89" s="49">
        <f>AVERAGE('25.10 Kabale-Katuna 24hr'!E89)</f>
        <v>0</v>
      </c>
      <c r="F89" s="49">
        <f>AVERAGE('25.10 Kabale-Katuna 24hr'!F89)</f>
        <v>0</v>
      </c>
      <c r="G89" s="49">
        <f>AVERAGE('25.10 Kabale-Katuna 24hr'!G89)</f>
        <v>0</v>
      </c>
      <c r="H89" s="49">
        <f>AVERAGE('25.10 Kabale-Katuna 24hr'!H89)</f>
        <v>0</v>
      </c>
      <c r="I89" s="49">
        <f>AVERAGE('25.10 Kabale-Katuna 24hr'!I89)</f>
        <v>0</v>
      </c>
      <c r="J89" s="49">
        <f>AVERAGE('25.10 Kabale-Katuna 24hr'!J89)</f>
        <v>0</v>
      </c>
      <c r="K89" s="49">
        <f>AVERAGE('25.10 Kabale-Katuna 24hr'!K89)</f>
        <v>0</v>
      </c>
      <c r="L89" s="49">
        <f>AVERAGE('25.10 Kabale-Katuna 24hr'!L89)</f>
        <v>0</v>
      </c>
      <c r="M89" s="49">
        <f>AVERAGE('25.10 Kabale-Katuna 24hr'!M89)</f>
        <v>0</v>
      </c>
      <c r="N89" s="49">
        <f>AVERAGE('25.10 Kabale-Katuna 24hr'!N89)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AVERAGE('25.10 Kabale-Katuna 24hr'!C90)</f>
        <v>1</v>
      </c>
      <c r="D90" s="49">
        <f>AVERAGE('25.10 Kabale-Katuna 24hr'!D90)</f>
        <v>0</v>
      </c>
      <c r="E90" s="49">
        <f>AVERAGE('25.10 Kabale-Katuna 24hr'!E90)</f>
        <v>1</v>
      </c>
      <c r="F90" s="49">
        <f>AVERAGE('25.10 Kabale-Katuna 24hr'!F90)</f>
        <v>0</v>
      </c>
      <c r="G90" s="49">
        <f>AVERAGE('25.10 Kabale-Katuna 24hr'!G90)</f>
        <v>0</v>
      </c>
      <c r="H90" s="49">
        <f>AVERAGE('25.10 Kabale-Katuna 24hr'!H90)</f>
        <v>0</v>
      </c>
      <c r="I90" s="49">
        <f>AVERAGE('25.10 Kabale-Katuna 24hr'!I90)</f>
        <v>0</v>
      </c>
      <c r="J90" s="49">
        <f>AVERAGE('25.10 Kabale-Katuna 24hr'!J90)</f>
        <v>0</v>
      </c>
      <c r="K90" s="49">
        <f>AVERAGE('25.10 Kabale-Katuna 24hr'!K90)</f>
        <v>0</v>
      </c>
      <c r="L90" s="49">
        <f>AVERAGE('25.10 Kabale-Katuna 24hr'!L90)</f>
        <v>0</v>
      </c>
      <c r="M90" s="49">
        <f>AVERAGE('25.10 Kabale-Katuna 24hr'!M90)</f>
        <v>0</v>
      </c>
      <c r="N90" s="49">
        <f>AVERAGE('25.10 Kabale-Katuna 24hr'!N90)</f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23" t="s">
        <v>131</v>
      </c>
      <c r="C91" s="49">
        <f>AVERAGE('25.10 Kabale-Katuna 24hr'!C91)</f>
        <v>0</v>
      </c>
      <c r="D91" s="49">
        <f>AVERAGE('25.10 Kabale-Katuna 24hr'!D91)</f>
        <v>0</v>
      </c>
      <c r="E91" s="49">
        <f>AVERAGE('25.10 Kabale-Katuna 24hr'!E91)</f>
        <v>0</v>
      </c>
      <c r="F91" s="49">
        <f>AVERAGE('25.10 Kabale-Katuna 24hr'!F91)</f>
        <v>0</v>
      </c>
      <c r="G91" s="49">
        <f>AVERAGE('25.10 Kabale-Katuna 24hr'!G91)</f>
        <v>0</v>
      </c>
      <c r="H91" s="49">
        <f>AVERAGE('25.10 Kabale-Katuna 24hr'!H91)</f>
        <v>0</v>
      </c>
      <c r="I91" s="49">
        <f>AVERAGE('25.10 Kabale-Katuna 24hr'!I91)</f>
        <v>0</v>
      </c>
      <c r="J91" s="49">
        <f>AVERAGE('25.10 Kabale-Katuna 24hr'!J91)</f>
        <v>0</v>
      </c>
      <c r="K91" s="49">
        <f>AVERAGE('25.10 Kabale-Katuna 24hr'!K91)</f>
        <v>0</v>
      </c>
      <c r="L91" s="49">
        <f>AVERAGE('25.10 Kabale-Katuna 24hr'!L91)</f>
        <v>0</v>
      </c>
      <c r="M91" s="49">
        <f>AVERAGE('25.10 Kabale-Katuna 24hr'!M91)</f>
        <v>0</v>
      </c>
      <c r="N91" s="49">
        <f>AVERAGE('25.10 Kabale-Katuna 24hr'!N91)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49">
        <f>AVERAGE('25.10 Kabale-Katuna 24hr'!C92)</f>
        <v>2</v>
      </c>
      <c r="D92" s="49">
        <f>AVERAGE('25.10 Kabale-Katuna 24hr'!D92)</f>
        <v>0</v>
      </c>
      <c r="E92" s="49">
        <f>AVERAGE('25.10 Kabale-Katuna 24hr'!E92)</f>
        <v>0</v>
      </c>
      <c r="F92" s="49">
        <f>AVERAGE('25.10 Kabale-Katuna 24hr'!F92)</f>
        <v>0</v>
      </c>
      <c r="G92" s="49">
        <f>AVERAGE('25.10 Kabale-Katuna 24hr'!G92)</f>
        <v>0</v>
      </c>
      <c r="H92" s="49">
        <f>AVERAGE('25.10 Kabale-Katuna 24hr'!H92)</f>
        <v>0</v>
      </c>
      <c r="I92" s="49">
        <f>AVERAGE('25.10 Kabale-Katuna 24hr'!I92)</f>
        <v>1</v>
      </c>
      <c r="J92" s="49">
        <f>AVERAGE('25.10 Kabale-Katuna 24hr'!J92)</f>
        <v>0</v>
      </c>
      <c r="K92" s="49">
        <f>AVERAGE('25.10 Kabale-Katuna 24hr'!K92)</f>
        <v>0</v>
      </c>
      <c r="L92" s="49">
        <f>AVERAGE('25.10 Kabale-Katuna 24hr'!L92)</f>
        <v>0</v>
      </c>
      <c r="M92" s="49">
        <f>AVERAGE('25.10 Kabale-Katuna 24hr'!M92)</f>
        <v>0</v>
      </c>
      <c r="N92" s="49">
        <f>AVERAGE('25.10 Kabale-Katuna 24hr'!N92)</f>
        <v>0</v>
      </c>
      <c r="O92" s="15">
        <f t="shared" si="35"/>
        <v>3</v>
      </c>
      <c r="P92" s="15">
        <f t="shared" si="36"/>
        <v>3</v>
      </c>
      <c r="R92" s="8"/>
      <c r="T92"/>
    </row>
    <row r="93" spans="2:20" ht="23.1" customHeight="1" x14ac:dyDescent="0.25">
      <c r="B93" s="23" t="s">
        <v>133</v>
      </c>
      <c r="C93" s="49">
        <f>AVERAGE('25.10 Kabale-Katuna 24hr'!C93)</f>
        <v>0</v>
      </c>
      <c r="D93" s="49">
        <f>AVERAGE('25.10 Kabale-Katuna 24hr'!D93)</f>
        <v>0</v>
      </c>
      <c r="E93" s="49">
        <f>AVERAGE('25.10 Kabale-Katuna 24hr'!E93)</f>
        <v>0</v>
      </c>
      <c r="F93" s="49">
        <f>AVERAGE('25.10 Kabale-Katuna 24hr'!F93)</f>
        <v>0</v>
      </c>
      <c r="G93" s="49">
        <f>AVERAGE('25.10 Kabale-Katuna 24hr'!G93)</f>
        <v>0</v>
      </c>
      <c r="H93" s="49">
        <f>AVERAGE('25.10 Kabale-Katuna 24hr'!H93)</f>
        <v>0</v>
      </c>
      <c r="I93" s="49">
        <f>AVERAGE('25.10 Kabale-Katuna 24hr'!I93)</f>
        <v>0</v>
      </c>
      <c r="J93" s="49">
        <f>AVERAGE('25.10 Kabale-Katuna 24hr'!J93)</f>
        <v>0</v>
      </c>
      <c r="K93" s="49">
        <f>AVERAGE('25.10 Kabale-Katuna 24hr'!K93)</f>
        <v>0</v>
      </c>
      <c r="L93" s="49">
        <f>AVERAGE('25.10 Kabale-Katuna 24hr'!L93)</f>
        <v>0</v>
      </c>
      <c r="M93" s="49">
        <f>AVERAGE('25.10 Kabale-Katuna 24hr'!M93)</f>
        <v>2</v>
      </c>
      <c r="N93" s="49">
        <f>AVERAGE('25.10 Kabale-Katuna 24hr'!N93)</f>
        <v>0</v>
      </c>
      <c r="O93" s="15">
        <f t="shared" si="35"/>
        <v>0</v>
      </c>
      <c r="P93" s="15">
        <f t="shared" si="36"/>
        <v>2</v>
      </c>
      <c r="R93" s="8"/>
      <c r="T93"/>
    </row>
    <row r="94" spans="2:20" ht="23.1" customHeight="1" x14ac:dyDescent="0.25">
      <c r="B94" s="24" t="s">
        <v>134</v>
      </c>
      <c r="C94" s="49">
        <f>AVERAGE('25.10 Kabale-Katuna 24hr'!C94)</f>
        <v>0</v>
      </c>
      <c r="D94" s="49">
        <f>AVERAGE('25.10 Kabale-Katuna 24hr'!D94)</f>
        <v>0</v>
      </c>
      <c r="E94" s="49">
        <f>AVERAGE('25.10 Kabale-Katuna 24hr'!E94)</f>
        <v>0</v>
      </c>
      <c r="F94" s="49">
        <f>AVERAGE('25.10 Kabale-Katuna 24hr'!F94)</f>
        <v>0</v>
      </c>
      <c r="G94" s="49">
        <f>AVERAGE('25.10 Kabale-Katuna 24hr'!G94)</f>
        <v>0</v>
      </c>
      <c r="H94" s="49">
        <f>AVERAGE('25.10 Kabale-Katuna 24hr'!H94)</f>
        <v>0</v>
      </c>
      <c r="I94" s="49">
        <f>AVERAGE('25.10 Kabale-Katuna 24hr'!I94)</f>
        <v>1</v>
      </c>
      <c r="J94" s="49">
        <f>AVERAGE('25.10 Kabale-Katuna 24hr'!J94)</f>
        <v>0</v>
      </c>
      <c r="K94" s="49">
        <f>AVERAGE('25.10 Kabale-Katuna 24hr'!K94)</f>
        <v>0</v>
      </c>
      <c r="L94" s="49">
        <f>AVERAGE('25.10 Kabale-Katuna 24hr'!L94)</f>
        <v>0</v>
      </c>
      <c r="M94" s="49">
        <f>AVERAGE('25.10 Kabale-Katuna 24hr'!M94)</f>
        <v>1</v>
      </c>
      <c r="N94" s="49">
        <f>AVERAGE('25.10 Kabale-Katuna 24hr'!N94)</f>
        <v>0</v>
      </c>
      <c r="O94" s="15">
        <f t="shared" si="35"/>
        <v>1</v>
      </c>
      <c r="P94" s="15">
        <f t="shared" si="36"/>
        <v>2</v>
      </c>
      <c r="R94" s="8"/>
      <c r="T94"/>
    </row>
    <row r="95" spans="2:20" ht="23.1" customHeight="1" x14ac:dyDescent="0.25">
      <c r="B95" s="23" t="s">
        <v>135</v>
      </c>
      <c r="C95" s="49">
        <f>AVERAGE('25.10 Kabale-Katuna 24hr'!C95)</f>
        <v>0</v>
      </c>
      <c r="D95" s="49">
        <f>AVERAGE('25.10 Kabale-Katuna 24hr'!D95)</f>
        <v>0</v>
      </c>
      <c r="E95" s="49">
        <f>AVERAGE('25.10 Kabale-Katuna 24hr'!E95)</f>
        <v>0</v>
      </c>
      <c r="F95" s="49">
        <f>AVERAGE('25.10 Kabale-Katuna 24hr'!F95)</f>
        <v>0</v>
      </c>
      <c r="G95" s="49">
        <f>AVERAGE('25.10 Kabale-Katuna 24hr'!G95)</f>
        <v>0</v>
      </c>
      <c r="H95" s="49">
        <f>AVERAGE('25.10 Kabale-Katuna 24hr'!H95)</f>
        <v>0</v>
      </c>
      <c r="I95" s="49">
        <f>AVERAGE('25.10 Kabale-Katuna 24hr'!I95)</f>
        <v>0</v>
      </c>
      <c r="J95" s="49">
        <f>AVERAGE('25.10 Kabale-Katuna 24hr'!J95)</f>
        <v>0</v>
      </c>
      <c r="K95" s="49">
        <f>AVERAGE('25.10 Kabale-Katuna 24hr'!K95)</f>
        <v>0</v>
      </c>
      <c r="L95" s="49">
        <f>AVERAGE('25.10 Kabale-Katuna 24hr'!L95)</f>
        <v>0</v>
      </c>
      <c r="M95" s="49">
        <f>AVERAGE('25.10 Kabale-Katuna 24hr'!M95)</f>
        <v>0</v>
      </c>
      <c r="N95" s="49">
        <f>AVERAGE('25.10 Kabale-Katuna 24hr'!N95)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AVERAGE('25.10 Kabale-Katuna 24hr'!C96)</f>
        <v>0</v>
      </c>
      <c r="D96" s="49">
        <f>AVERAGE('25.10 Kabale-Katuna 24hr'!D96)</f>
        <v>0</v>
      </c>
      <c r="E96" s="49">
        <f>AVERAGE('25.10 Kabale-Katuna 24hr'!E96)</f>
        <v>0</v>
      </c>
      <c r="F96" s="49">
        <f>AVERAGE('25.10 Kabale-Katuna 24hr'!F96)</f>
        <v>0</v>
      </c>
      <c r="G96" s="49">
        <f>AVERAGE('25.10 Kabale-Katuna 24hr'!G96)</f>
        <v>0</v>
      </c>
      <c r="H96" s="49">
        <f>AVERAGE('25.10 Kabale-Katuna 24hr'!H96)</f>
        <v>0</v>
      </c>
      <c r="I96" s="49">
        <f>AVERAGE('25.10 Kabale-Katuna 24hr'!I96)</f>
        <v>1</v>
      </c>
      <c r="J96" s="49">
        <f>AVERAGE('25.10 Kabale-Katuna 24hr'!J96)</f>
        <v>0</v>
      </c>
      <c r="K96" s="49">
        <f>AVERAGE('25.10 Kabale-Katuna 24hr'!K96)</f>
        <v>0</v>
      </c>
      <c r="L96" s="49">
        <f>AVERAGE('25.10 Kabale-Katuna 24hr'!L96)</f>
        <v>0</v>
      </c>
      <c r="M96" s="49">
        <f>AVERAGE('25.10 Kabale-Katuna 24hr'!M96)</f>
        <v>0</v>
      </c>
      <c r="N96" s="49">
        <f>AVERAGE('25.10 Kabale-Katuna 24hr'!N96)</f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23" t="s">
        <v>137</v>
      </c>
      <c r="C97" s="49">
        <f>AVERAGE('25.10 Kabale-Katuna 24hr'!C97)</f>
        <v>0</v>
      </c>
      <c r="D97" s="49">
        <f>AVERAGE('25.10 Kabale-Katuna 24hr'!D97)</f>
        <v>0</v>
      </c>
      <c r="E97" s="49">
        <f>AVERAGE('25.10 Kabale-Katuna 24hr'!E97)</f>
        <v>0</v>
      </c>
      <c r="F97" s="49">
        <f>AVERAGE('25.10 Kabale-Katuna 24hr'!F97)</f>
        <v>0</v>
      </c>
      <c r="G97" s="49">
        <f>AVERAGE('25.10 Kabale-Katuna 24hr'!G97)</f>
        <v>0</v>
      </c>
      <c r="H97" s="49">
        <f>AVERAGE('25.10 Kabale-Katuna 24hr'!H97)</f>
        <v>0</v>
      </c>
      <c r="I97" s="49">
        <f>AVERAGE('25.10 Kabale-Katuna 24hr'!I97)</f>
        <v>0</v>
      </c>
      <c r="J97" s="49">
        <f>AVERAGE('25.10 Kabale-Katuna 24hr'!J97)</f>
        <v>0</v>
      </c>
      <c r="K97" s="49">
        <f>AVERAGE('25.10 Kabale-Katuna 24hr'!K97)</f>
        <v>0</v>
      </c>
      <c r="L97" s="49">
        <f>AVERAGE('25.10 Kabale-Katuna 24hr'!L97)</f>
        <v>0</v>
      </c>
      <c r="M97" s="49">
        <f>AVERAGE('25.10 Kabale-Katuna 24hr'!M97)</f>
        <v>0</v>
      </c>
      <c r="N97" s="49">
        <f>AVERAGE('25.10 Kabale-Katuna 24hr'!N97)</f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24" t="s">
        <v>138</v>
      </c>
      <c r="C98" s="49">
        <f>AVERAGE('25.10 Kabale-Katuna 24hr'!C98)</f>
        <v>0</v>
      </c>
      <c r="D98" s="49">
        <f>AVERAGE('25.10 Kabale-Katuna 24hr'!D98)</f>
        <v>0</v>
      </c>
      <c r="E98" s="49">
        <f>AVERAGE('25.10 Kabale-Katuna 24hr'!E98)</f>
        <v>0</v>
      </c>
      <c r="F98" s="49">
        <f>AVERAGE('25.10 Kabale-Katuna 24hr'!F98)</f>
        <v>0</v>
      </c>
      <c r="G98" s="49">
        <f>AVERAGE('25.10 Kabale-Katuna 24hr'!G98)</f>
        <v>0</v>
      </c>
      <c r="H98" s="49">
        <f>AVERAGE('25.10 Kabale-Katuna 24hr'!H98)</f>
        <v>0</v>
      </c>
      <c r="I98" s="49">
        <f>AVERAGE('25.10 Kabale-Katuna 24hr'!I98)</f>
        <v>0</v>
      </c>
      <c r="J98" s="49">
        <f>AVERAGE('25.10 Kabale-Katuna 24hr'!J98)</f>
        <v>0</v>
      </c>
      <c r="K98" s="49">
        <f>AVERAGE('25.10 Kabale-Katuna 24hr'!K98)</f>
        <v>0</v>
      </c>
      <c r="L98" s="49">
        <f>AVERAGE('25.10 Kabale-Katuna 24hr'!L98)</f>
        <v>0</v>
      </c>
      <c r="M98" s="49">
        <f>AVERAGE('25.10 Kabale-Katuna 24hr'!M98)</f>
        <v>0</v>
      </c>
      <c r="N98" s="49">
        <f>AVERAGE('25.10 Kabale-Katuna 24hr'!N98)</f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23" t="s">
        <v>139</v>
      </c>
      <c r="C99" s="49">
        <f>AVERAGE('25.10 Kabale-Katuna 24hr'!C99)</f>
        <v>0</v>
      </c>
      <c r="D99" s="49">
        <f>AVERAGE('25.10 Kabale-Katuna 24hr'!D99)</f>
        <v>0</v>
      </c>
      <c r="E99" s="49">
        <f>AVERAGE('25.10 Kabale-Katuna 24hr'!E99)</f>
        <v>0</v>
      </c>
      <c r="F99" s="49">
        <f>AVERAGE('25.10 Kabale-Katuna 24hr'!F99)</f>
        <v>0</v>
      </c>
      <c r="G99" s="49">
        <f>AVERAGE('25.10 Kabale-Katuna 24hr'!G99)</f>
        <v>0</v>
      </c>
      <c r="H99" s="49">
        <f>AVERAGE('25.10 Kabale-Katuna 24hr'!H99)</f>
        <v>0</v>
      </c>
      <c r="I99" s="49">
        <f>AVERAGE('25.10 Kabale-Katuna 24hr'!I99)</f>
        <v>0</v>
      </c>
      <c r="J99" s="49">
        <f>AVERAGE('25.10 Kabale-Katuna 24hr'!J99)</f>
        <v>0</v>
      </c>
      <c r="K99" s="49">
        <f>AVERAGE('25.10 Kabale-Katuna 24hr'!K99)</f>
        <v>0</v>
      </c>
      <c r="L99" s="49">
        <f>AVERAGE('25.10 Kabale-Katuna 24hr'!L99)</f>
        <v>0</v>
      </c>
      <c r="M99" s="49">
        <f>AVERAGE('25.10 Kabale-Katuna 24hr'!M99)</f>
        <v>0</v>
      </c>
      <c r="N99" s="49">
        <f>AVERAGE('25.10 Kabale-Katuna 24hr'!N99)</f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25" t="s">
        <v>140</v>
      </c>
      <c r="C100" s="49">
        <f>AVERAGE('25.10 Kabale-Katuna 24hr'!C100)</f>
        <v>0</v>
      </c>
      <c r="D100" s="49">
        <f>AVERAGE('25.10 Kabale-Katuna 24hr'!D100)</f>
        <v>0</v>
      </c>
      <c r="E100" s="49">
        <f>AVERAGE('25.10 Kabale-Katuna 24hr'!E100)</f>
        <v>0</v>
      </c>
      <c r="F100" s="49">
        <f>AVERAGE('25.10 Kabale-Katuna 24hr'!F100)</f>
        <v>0</v>
      </c>
      <c r="G100" s="49">
        <f>AVERAGE('25.10 Kabale-Katuna 24hr'!G100)</f>
        <v>0</v>
      </c>
      <c r="H100" s="49">
        <f>AVERAGE('25.10 Kabale-Katuna 24hr'!H100)</f>
        <v>0</v>
      </c>
      <c r="I100" s="49">
        <f>AVERAGE('25.10 Kabale-Katuna 24hr'!I100)</f>
        <v>1</v>
      </c>
      <c r="J100" s="49">
        <f>AVERAGE('25.10 Kabale-Katuna 24hr'!J100)</f>
        <v>0</v>
      </c>
      <c r="K100" s="49">
        <f>AVERAGE('25.10 Kabale-Katuna 24hr'!K100)</f>
        <v>0</v>
      </c>
      <c r="L100" s="49">
        <f>AVERAGE('25.10 Kabale-Katuna 24hr'!L100)</f>
        <v>0</v>
      </c>
      <c r="M100" s="49">
        <f>AVERAGE('25.10 Kabale-Katuna 24hr'!M100)</f>
        <v>0</v>
      </c>
      <c r="N100" s="49">
        <f>AVERAGE('25.10 Kabale-Katuna 24hr'!N100)</f>
        <v>0</v>
      </c>
      <c r="O100" s="15">
        <f t="shared" si="35"/>
        <v>1</v>
      </c>
      <c r="P100" s="15">
        <f t="shared" si="36"/>
        <v>1</v>
      </c>
      <c r="R100" s="8"/>
      <c r="T100"/>
    </row>
    <row r="101" spans="2:20" ht="23.1" customHeight="1" x14ac:dyDescent="0.25">
      <c r="B101" s="23" t="s">
        <v>141</v>
      </c>
      <c r="C101" s="49">
        <f>AVERAGE('25.10 Kabale-Katuna 24hr'!C101)</f>
        <v>2</v>
      </c>
      <c r="D101" s="49">
        <f>AVERAGE('25.10 Kabale-Katuna 24hr'!D101)</f>
        <v>0</v>
      </c>
      <c r="E101" s="49">
        <f>AVERAGE('25.10 Kabale-Katuna 24hr'!E101)</f>
        <v>0</v>
      </c>
      <c r="F101" s="49">
        <f>AVERAGE('25.10 Kabale-Katuna 24hr'!F101)</f>
        <v>0</v>
      </c>
      <c r="G101" s="49">
        <f>AVERAGE('25.10 Kabale-Katuna 24hr'!G101)</f>
        <v>0</v>
      </c>
      <c r="H101" s="49">
        <f>AVERAGE('25.10 Kabale-Katuna 24hr'!H101)</f>
        <v>0</v>
      </c>
      <c r="I101" s="49">
        <f>AVERAGE('25.10 Kabale-Katuna 24hr'!I101)</f>
        <v>0</v>
      </c>
      <c r="J101" s="49">
        <f>AVERAGE('25.10 Kabale-Katuna 24hr'!J101)</f>
        <v>0</v>
      </c>
      <c r="K101" s="49">
        <f>AVERAGE('25.10 Kabale-Katuna 24hr'!K101)</f>
        <v>0</v>
      </c>
      <c r="L101" s="49">
        <f>AVERAGE('25.10 Kabale-Katuna 24hr'!L101)</f>
        <v>0</v>
      </c>
      <c r="M101" s="49">
        <f>AVERAGE('25.10 Kabale-Katuna 24hr'!M101)</f>
        <v>0</v>
      </c>
      <c r="N101" s="49">
        <f>AVERAGE('25.10 Kabale-Katuna 24hr'!N101)</f>
        <v>0</v>
      </c>
      <c r="O101" s="15">
        <f t="shared" si="35"/>
        <v>2</v>
      </c>
      <c r="P101" s="15">
        <f t="shared" si="36"/>
        <v>2</v>
      </c>
      <c r="R101" s="8"/>
      <c r="T101"/>
    </row>
    <row r="102" spans="2:20" ht="23.1" customHeight="1" x14ac:dyDescent="0.25">
      <c r="B102" s="24" t="s">
        <v>142</v>
      </c>
      <c r="C102" s="49">
        <f>AVERAGE('25.10 Kabale-Katuna 24hr'!C102)</f>
        <v>0</v>
      </c>
      <c r="D102" s="49">
        <f>AVERAGE('25.10 Kabale-Katuna 24hr'!D102)</f>
        <v>0</v>
      </c>
      <c r="E102" s="49">
        <f>AVERAGE('25.10 Kabale-Katuna 24hr'!E102)</f>
        <v>0</v>
      </c>
      <c r="F102" s="49">
        <f>AVERAGE('25.10 Kabale-Katuna 24hr'!F102)</f>
        <v>0</v>
      </c>
      <c r="G102" s="49">
        <f>AVERAGE('25.10 Kabale-Katuna 24hr'!G102)</f>
        <v>0</v>
      </c>
      <c r="H102" s="49">
        <f>AVERAGE('25.10 Kabale-Katuna 24hr'!H102)</f>
        <v>0</v>
      </c>
      <c r="I102" s="49">
        <f>AVERAGE('25.10 Kabale-Katuna 24hr'!I102)</f>
        <v>0</v>
      </c>
      <c r="J102" s="49">
        <f>AVERAGE('25.10 Kabale-Katuna 24hr'!J102)</f>
        <v>0</v>
      </c>
      <c r="K102" s="49">
        <f>AVERAGE('25.10 Kabale-Katuna 24hr'!K102)</f>
        <v>0</v>
      </c>
      <c r="L102" s="49">
        <f>AVERAGE('25.10 Kabale-Katuna 24hr'!L102)</f>
        <v>0</v>
      </c>
      <c r="M102" s="49">
        <f>AVERAGE('25.10 Kabale-Katuna 24hr'!M102)</f>
        <v>1</v>
      </c>
      <c r="N102" s="49">
        <f>AVERAGE('25.10 Kabale-Katuna 24hr'!N102)</f>
        <v>0</v>
      </c>
      <c r="O102" s="15">
        <f t="shared" si="35"/>
        <v>0</v>
      </c>
      <c r="P102" s="15">
        <f t="shared" si="36"/>
        <v>1</v>
      </c>
      <c r="R102" s="8"/>
      <c r="T102"/>
    </row>
    <row r="103" spans="2:20" ht="23.1" customHeight="1" x14ac:dyDescent="0.25">
      <c r="B103" s="23" t="s">
        <v>143</v>
      </c>
      <c r="C103" s="49">
        <f>AVERAGE('25.10 Kabale-Katuna 24hr'!C103)</f>
        <v>0</v>
      </c>
      <c r="D103" s="49">
        <f>AVERAGE('25.10 Kabale-Katuna 24hr'!D103)</f>
        <v>0</v>
      </c>
      <c r="E103" s="49">
        <f>AVERAGE('25.10 Kabale-Katuna 24hr'!E103)</f>
        <v>0</v>
      </c>
      <c r="F103" s="49">
        <f>AVERAGE('25.10 Kabale-Katuna 24hr'!F103)</f>
        <v>0</v>
      </c>
      <c r="G103" s="49">
        <f>AVERAGE('25.10 Kabale-Katuna 24hr'!G103)</f>
        <v>0</v>
      </c>
      <c r="H103" s="49">
        <f>AVERAGE('25.10 Kabale-Katuna 24hr'!H103)</f>
        <v>0</v>
      </c>
      <c r="I103" s="49">
        <f>AVERAGE('25.10 Kabale-Katuna 24hr'!I103)</f>
        <v>0</v>
      </c>
      <c r="J103" s="49">
        <f>AVERAGE('25.10 Kabale-Katuna 24hr'!J103)</f>
        <v>0</v>
      </c>
      <c r="K103" s="49">
        <f>AVERAGE('25.10 Kabale-Katuna 24hr'!K103)</f>
        <v>0</v>
      </c>
      <c r="L103" s="49">
        <f>AVERAGE('25.10 Kabale-Katuna 24hr'!L103)</f>
        <v>0</v>
      </c>
      <c r="M103" s="49">
        <f>AVERAGE('25.10 Kabale-Katuna 24hr'!M103)</f>
        <v>0</v>
      </c>
      <c r="N103" s="49">
        <f>AVERAGE('25.10 Kabale-Katuna 24hr'!N103)</f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25" t="s">
        <v>144</v>
      </c>
      <c r="C104" s="49">
        <f>AVERAGE('25.10 Kabale-Katuna 24hr'!C104)</f>
        <v>0</v>
      </c>
      <c r="D104" s="49">
        <f>AVERAGE('25.10 Kabale-Katuna 24hr'!D104)</f>
        <v>0</v>
      </c>
      <c r="E104" s="49">
        <f>AVERAGE('25.10 Kabale-Katuna 24hr'!E104)</f>
        <v>0</v>
      </c>
      <c r="F104" s="49">
        <f>AVERAGE('25.10 Kabale-Katuna 24hr'!F104)</f>
        <v>0</v>
      </c>
      <c r="G104" s="49">
        <f>AVERAGE('25.10 Kabale-Katuna 24hr'!G104)</f>
        <v>0</v>
      </c>
      <c r="H104" s="49">
        <f>AVERAGE('25.10 Kabale-Katuna 24hr'!H104)</f>
        <v>0</v>
      </c>
      <c r="I104" s="49">
        <f>AVERAGE('25.10 Kabale-Katuna 24hr'!I104)</f>
        <v>2</v>
      </c>
      <c r="J104" s="49">
        <f>AVERAGE('25.10 Kabale-Katuna 24hr'!J104)</f>
        <v>0</v>
      </c>
      <c r="K104" s="49">
        <f>AVERAGE('25.10 Kabale-Katuna 24hr'!K104)</f>
        <v>0</v>
      </c>
      <c r="L104" s="49">
        <f>AVERAGE('25.10 Kabale-Katuna 24hr'!L104)</f>
        <v>0</v>
      </c>
      <c r="M104" s="49">
        <f>AVERAGE('25.10 Kabale-Katuna 24hr'!M104)</f>
        <v>0</v>
      </c>
      <c r="N104" s="49">
        <f>AVERAGE('25.10 Kabale-Katuna 24hr'!N104)</f>
        <v>0</v>
      </c>
      <c r="O104" s="15">
        <f t="shared" si="35"/>
        <v>2</v>
      </c>
      <c r="P104" s="15">
        <f t="shared" si="36"/>
        <v>2</v>
      </c>
      <c r="R104" s="8"/>
      <c r="T104"/>
    </row>
    <row r="105" spans="2:20" ht="23.1" customHeight="1" x14ac:dyDescent="0.25">
      <c r="B105" s="23" t="s">
        <v>145</v>
      </c>
      <c r="C105" s="49">
        <f>AVERAGE('25.10 Kabale-Katuna 24hr'!C105)</f>
        <v>2</v>
      </c>
      <c r="D105" s="49">
        <f>AVERAGE('25.10 Kabale-Katuna 24hr'!D105)</f>
        <v>0</v>
      </c>
      <c r="E105" s="49">
        <f>AVERAGE('25.10 Kabale-Katuna 24hr'!E105)</f>
        <v>1</v>
      </c>
      <c r="F105" s="49">
        <f>AVERAGE('25.10 Kabale-Katuna 24hr'!F105)</f>
        <v>0</v>
      </c>
      <c r="G105" s="49">
        <f>AVERAGE('25.10 Kabale-Katuna 24hr'!G105)</f>
        <v>0</v>
      </c>
      <c r="H105" s="49">
        <f>AVERAGE('25.10 Kabale-Katuna 24hr'!H105)</f>
        <v>0</v>
      </c>
      <c r="I105" s="49">
        <f>AVERAGE('25.10 Kabale-Katuna 24hr'!I105)</f>
        <v>0</v>
      </c>
      <c r="J105" s="49">
        <f>AVERAGE('25.10 Kabale-Katuna 24hr'!J105)</f>
        <v>0</v>
      </c>
      <c r="K105" s="49">
        <f>AVERAGE('25.10 Kabale-Katuna 24hr'!K105)</f>
        <v>0</v>
      </c>
      <c r="L105" s="49">
        <f>AVERAGE('25.10 Kabale-Katuna 24hr'!L105)</f>
        <v>0</v>
      </c>
      <c r="M105" s="49">
        <f>AVERAGE('25.10 Kabale-Katuna 24hr'!M105)</f>
        <v>0</v>
      </c>
      <c r="N105" s="49">
        <f>AVERAGE('25.10 Kabale-Katuna 24hr'!N105)</f>
        <v>0</v>
      </c>
      <c r="O105" s="15">
        <f t="shared" si="35"/>
        <v>3</v>
      </c>
      <c r="P105" s="15">
        <f t="shared" si="36"/>
        <v>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197</v>
      </c>
      <c r="D106" s="16">
        <f t="shared" ref="D106:P106" si="37">SUM(D10:D105)</f>
        <v>20.5</v>
      </c>
      <c r="E106" s="16">
        <f t="shared" si="37"/>
        <v>19.5</v>
      </c>
      <c r="F106" s="16">
        <f t="shared" si="37"/>
        <v>12.5</v>
      </c>
      <c r="G106" s="16">
        <f t="shared" si="37"/>
        <v>2.5</v>
      </c>
      <c r="H106" s="16">
        <f t="shared" si="37"/>
        <v>6</v>
      </c>
      <c r="I106" s="16">
        <f t="shared" si="37"/>
        <v>41.5</v>
      </c>
      <c r="J106" s="16">
        <f t="shared" si="37"/>
        <v>2</v>
      </c>
      <c r="K106" s="16">
        <f t="shared" si="37"/>
        <v>0</v>
      </c>
      <c r="L106" s="16">
        <f t="shared" si="37"/>
        <v>0</v>
      </c>
      <c r="M106" s="16">
        <f t="shared" si="37"/>
        <v>353.5</v>
      </c>
      <c r="N106" s="16">
        <f t="shared" si="37"/>
        <v>0</v>
      </c>
      <c r="O106" s="16">
        <f t="shared" si="37"/>
        <v>301.5</v>
      </c>
      <c r="P106" s="16">
        <f t="shared" si="37"/>
        <v>655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0.30076335877862598</v>
      </c>
      <c r="D107" s="43">
        <f t="shared" si="38"/>
        <v>3.1297709923664124E-2</v>
      </c>
      <c r="E107" s="43">
        <f t="shared" si="38"/>
        <v>2.9770992366412213E-2</v>
      </c>
      <c r="F107" s="43">
        <f t="shared" si="38"/>
        <v>1.9083969465648856E-2</v>
      </c>
      <c r="G107" s="43">
        <f t="shared" si="38"/>
        <v>3.8167938931297708E-3</v>
      </c>
      <c r="H107" s="43">
        <f t="shared" si="38"/>
        <v>9.1603053435114507E-3</v>
      </c>
      <c r="I107" s="43">
        <f t="shared" si="38"/>
        <v>6.3358778625954196E-2</v>
      </c>
      <c r="J107" s="43">
        <f t="shared" si="38"/>
        <v>3.0534351145038168E-3</v>
      </c>
      <c r="K107" s="43">
        <f t="shared" si="38"/>
        <v>0</v>
      </c>
      <c r="L107" s="43">
        <f t="shared" si="38"/>
        <v>0</v>
      </c>
      <c r="M107" s="43">
        <f t="shared" si="38"/>
        <v>0.53969465648854964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0.65339966832504148</v>
      </c>
      <c r="D108" s="44">
        <f t="shared" ref="D108:N108" si="39">D106/$O$106</f>
        <v>6.7993366500829183E-2</v>
      </c>
      <c r="E108" s="44">
        <f t="shared" si="39"/>
        <v>6.4676616915422883E-2</v>
      </c>
      <c r="F108" s="44">
        <f t="shared" si="39"/>
        <v>4.1459369817578771E-2</v>
      </c>
      <c r="G108" s="44">
        <f t="shared" si="39"/>
        <v>8.291873963515755E-3</v>
      </c>
      <c r="H108" s="44">
        <f t="shared" si="39"/>
        <v>1.9900497512437811E-2</v>
      </c>
      <c r="I108" s="44">
        <f t="shared" si="39"/>
        <v>0.13764510779436154</v>
      </c>
      <c r="J108" s="44">
        <f t="shared" si="39"/>
        <v>6.6334991708126038E-3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F61" zoomScale="60" workbookViewId="0">
      <selection activeCell="AF74" sqref="AF7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e">
        <f>#REF!</f>
        <v>#REF!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58" t="s">
        <v>175</v>
      </c>
      <c r="H5" s="59"/>
      <c r="I5" s="14"/>
      <c r="J5" s="2" t="s">
        <v>5</v>
      </c>
      <c r="K5" s="58" t="s">
        <v>174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58" t="str">
        <f>'Avg Week Kabale-Katuna'!K6:L6</f>
        <v>XXXXXX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Katuna-Kabale'!C10+'Avg Week Kabale-Katuna'!C10</f>
        <v>1.5</v>
      </c>
      <c r="D10" s="49">
        <f>'Avg Week Katuna-Kabale'!D10+'Avg Week Kabale-Katuna'!D10</f>
        <v>0</v>
      </c>
      <c r="E10" s="49">
        <f>'Avg Week Katuna-Kabale'!E10+'Avg Week Kabale-Katuna'!E10</f>
        <v>0.5</v>
      </c>
      <c r="F10" s="49">
        <f>'Avg Week Katuna-Kabale'!F10+'Avg Week Kabale-Katuna'!F10</f>
        <v>0</v>
      </c>
      <c r="G10" s="49">
        <f>'Avg Week Katuna-Kabale'!G10+'Avg Week Kabale-Katuna'!G10</f>
        <v>0.5</v>
      </c>
      <c r="H10" s="49">
        <f>'Avg Week Katuna-Kabale'!H10+'Avg Week Kabale-Katuna'!H10</f>
        <v>0</v>
      </c>
      <c r="I10" s="49">
        <f>'Avg Week Katuna-Kabale'!I10+'Avg Week Kabale-Katuna'!I10</f>
        <v>0</v>
      </c>
      <c r="J10" s="49">
        <f>'Avg Week Katuna-Kabale'!J10+'Avg Week Kabale-Katuna'!J10</f>
        <v>0</v>
      </c>
      <c r="K10" s="49">
        <f>'Avg Week Katuna-Kabale'!K10+'Avg Week Kabale-Katuna'!K10</f>
        <v>0</v>
      </c>
      <c r="L10" s="49">
        <f>'Avg Week Katuna-Kabale'!L10+'Avg Week Kabale-Katuna'!L10</f>
        <v>0</v>
      </c>
      <c r="M10" s="49">
        <f>'Avg Week Katuna-Kabale'!M10+'Avg Week Kabale-Katuna'!M10</f>
        <v>5</v>
      </c>
      <c r="N10" s="49">
        <f>'Avg Week Katuna-Kabale'!N10+'Avg Week Kabale-Katuna'!N10</f>
        <v>0</v>
      </c>
      <c r="O10" s="15">
        <f t="shared" ref="O10:O73" si="0">SUM(C10:L10,N10)</f>
        <v>2.5</v>
      </c>
      <c r="P10" s="15">
        <f t="shared" ref="P10:P73" si="1">SUM(C10:N10)</f>
        <v>7.5</v>
      </c>
      <c r="R10" s="1" t="s">
        <v>6</v>
      </c>
      <c r="S10" s="17">
        <f t="shared" ref="S10:AF10" si="2">SUM(C10:C13)</f>
        <v>13.5</v>
      </c>
      <c r="T10" s="17">
        <f t="shared" si="2"/>
        <v>1</v>
      </c>
      <c r="U10" s="17">
        <f t="shared" si="2"/>
        <v>0.5</v>
      </c>
      <c r="V10" s="17">
        <f t="shared" si="2"/>
        <v>1.5</v>
      </c>
      <c r="W10" s="17">
        <f t="shared" si="2"/>
        <v>0.5</v>
      </c>
      <c r="X10" s="17">
        <f t="shared" si="2"/>
        <v>0</v>
      </c>
      <c r="Y10" s="17">
        <f t="shared" si="2"/>
        <v>1.5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19.5</v>
      </c>
      <c r="AD10" s="17">
        <f t="shared" si="2"/>
        <v>0</v>
      </c>
      <c r="AE10" s="31">
        <f t="shared" si="2"/>
        <v>18.5</v>
      </c>
      <c r="AF10" s="31">
        <f t="shared" si="2"/>
        <v>38</v>
      </c>
    </row>
    <row r="11" spans="2:32" s="6" customFormat="1" ht="23.1" customHeight="1" x14ac:dyDescent="0.25">
      <c r="B11" s="23" t="s">
        <v>38</v>
      </c>
      <c r="C11" s="49">
        <f>'Avg Week Katuna-Kabale'!C11+'Avg Week Kabale-Katuna'!C11</f>
        <v>3.5</v>
      </c>
      <c r="D11" s="49">
        <f>'Avg Week Katuna-Kabale'!D11+'Avg Week Kabale-Katuna'!D11</f>
        <v>0.5</v>
      </c>
      <c r="E11" s="49">
        <f>'Avg Week Katuna-Kabale'!E11+'Avg Week Kabale-Katuna'!E11</f>
        <v>0</v>
      </c>
      <c r="F11" s="49">
        <f>'Avg Week Katuna-Kabale'!F11+'Avg Week Kabale-Katuna'!F11</f>
        <v>0</v>
      </c>
      <c r="G11" s="49">
        <f>'Avg Week Katuna-Kabale'!G11+'Avg Week Kabale-Katuna'!G11</f>
        <v>0</v>
      </c>
      <c r="H11" s="49">
        <f>'Avg Week Katuna-Kabale'!H11+'Avg Week Kabale-Katuna'!H11</f>
        <v>0</v>
      </c>
      <c r="I11" s="49">
        <f>'Avg Week Katuna-Kabale'!I11+'Avg Week Kabale-Katuna'!I11</f>
        <v>1</v>
      </c>
      <c r="J11" s="49">
        <f>'Avg Week Katuna-Kabale'!J11+'Avg Week Kabale-Katuna'!J11</f>
        <v>0</v>
      </c>
      <c r="K11" s="49">
        <f>'Avg Week Katuna-Kabale'!K11+'Avg Week Kabale-Katuna'!K11</f>
        <v>0</v>
      </c>
      <c r="L11" s="49">
        <f>'Avg Week Katuna-Kabale'!L11+'Avg Week Kabale-Katuna'!L11</f>
        <v>0</v>
      </c>
      <c r="M11" s="49">
        <f>'Avg Week Katuna-Kabale'!M11+'Avg Week Kabale-Katuna'!M11</f>
        <v>3</v>
      </c>
      <c r="N11" s="49">
        <f>'Avg Week Katuna-Kabale'!N11+'Avg Week Kabale-Katuna'!N11</f>
        <v>0</v>
      </c>
      <c r="O11" s="15">
        <f t="shared" si="0"/>
        <v>5</v>
      </c>
      <c r="P11" s="15">
        <f t="shared" si="1"/>
        <v>8</v>
      </c>
      <c r="R11" s="1" t="s">
        <v>7</v>
      </c>
      <c r="S11" s="17">
        <f t="shared" ref="S11:AF11" si="3">SUM(C14:C17)</f>
        <v>21.5</v>
      </c>
      <c r="T11" s="17">
        <f t="shared" si="3"/>
        <v>1.5</v>
      </c>
      <c r="U11" s="17">
        <f t="shared" si="3"/>
        <v>2.5</v>
      </c>
      <c r="V11" s="17">
        <f t="shared" si="3"/>
        <v>0.5</v>
      </c>
      <c r="W11" s="17">
        <f t="shared" si="3"/>
        <v>0</v>
      </c>
      <c r="X11" s="17">
        <f t="shared" si="3"/>
        <v>0.5</v>
      </c>
      <c r="Y11" s="17">
        <f t="shared" si="3"/>
        <v>3</v>
      </c>
      <c r="Z11" s="17">
        <f t="shared" si="3"/>
        <v>0.5</v>
      </c>
      <c r="AA11" s="17">
        <f t="shared" si="3"/>
        <v>0</v>
      </c>
      <c r="AB11" s="17">
        <f t="shared" si="3"/>
        <v>0</v>
      </c>
      <c r="AC11" s="17">
        <f t="shared" si="3"/>
        <v>43</v>
      </c>
      <c r="AD11" s="17">
        <f t="shared" si="3"/>
        <v>0</v>
      </c>
      <c r="AE11" s="31">
        <f t="shared" si="3"/>
        <v>30</v>
      </c>
      <c r="AF11" s="31">
        <f t="shared" si="3"/>
        <v>73</v>
      </c>
    </row>
    <row r="12" spans="2:32" ht="23.1" customHeight="1" x14ac:dyDescent="0.25">
      <c r="B12" s="23" t="s">
        <v>39</v>
      </c>
      <c r="C12" s="49">
        <f>'Avg Week Katuna-Kabale'!C12+'Avg Week Kabale-Katuna'!C12</f>
        <v>6</v>
      </c>
      <c r="D12" s="49">
        <f>'Avg Week Katuna-Kabale'!D12+'Avg Week Kabale-Katuna'!D12</f>
        <v>0</v>
      </c>
      <c r="E12" s="49">
        <f>'Avg Week Katuna-Kabale'!E12+'Avg Week Kabale-Katuna'!E12</f>
        <v>0</v>
      </c>
      <c r="F12" s="49">
        <f>'Avg Week Katuna-Kabale'!F12+'Avg Week Kabale-Katuna'!F12</f>
        <v>1.5</v>
      </c>
      <c r="G12" s="49">
        <f>'Avg Week Katuna-Kabale'!G12+'Avg Week Kabale-Katuna'!G12</f>
        <v>0</v>
      </c>
      <c r="H12" s="49">
        <f>'Avg Week Katuna-Kabale'!H12+'Avg Week Kabale-Katuna'!H12</f>
        <v>0</v>
      </c>
      <c r="I12" s="49">
        <f>'Avg Week Katuna-Kabale'!I12+'Avg Week Kabale-Katuna'!I12</f>
        <v>0.5</v>
      </c>
      <c r="J12" s="49">
        <f>'Avg Week Katuna-Kabale'!J12+'Avg Week Kabale-Katuna'!J12</f>
        <v>0</v>
      </c>
      <c r="K12" s="49">
        <f>'Avg Week Katuna-Kabale'!K12+'Avg Week Kabale-Katuna'!K12</f>
        <v>0</v>
      </c>
      <c r="L12" s="49">
        <f>'Avg Week Katuna-Kabale'!L12+'Avg Week Kabale-Katuna'!L12</f>
        <v>0</v>
      </c>
      <c r="M12" s="49">
        <f>'Avg Week Katuna-Kabale'!M12+'Avg Week Kabale-Katuna'!M12</f>
        <v>7</v>
      </c>
      <c r="N12" s="49">
        <f>'Avg Week Katuna-Kabale'!N12+'Avg Week Kabale-Katuna'!N12</f>
        <v>0</v>
      </c>
      <c r="O12" s="15">
        <f t="shared" si="0"/>
        <v>8</v>
      </c>
      <c r="P12" s="15">
        <f t="shared" si="1"/>
        <v>15</v>
      </c>
      <c r="R12" s="1" t="s">
        <v>8</v>
      </c>
      <c r="S12" s="17">
        <f t="shared" ref="S12:AF12" si="4">SUM(C18:C21)</f>
        <v>24</v>
      </c>
      <c r="T12" s="17">
        <f t="shared" si="4"/>
        <v>1</v>
      </c>
      <c r="U12" s="17">
        <f t="shared" si="4"/>
        <v>4.5</v>
      </c>
      <c r="V12" s="17">
        <f t="shared" si="4"/>
        <v>0.5</v>
      </c>
      <c r="W12" s="17">
        <f t="shared" si="4"/>
        <v>1.5</v>
      </c>
      <c r="X12" s="17">
        <f t="shared" si="4"/>
        <v>0</v>
      </c>
      <c r="Y12" s="17">
        <f t="shared" si="4"/>
        <v>7.5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55.5</v>
      </c>
      <c r="AD12" s="17">
        <f t="shared" si="4"/>
        <v>0</v>
      </c>
      <c r="AE12" s="31">
        <f t="shared" si="4"/>
        <v>39</v>
      </c>
      <c r="AF12" s="31">
        <f t="shared" si="4"/>
        <v>94.5</v>
      </c>
    </row>
    <row r="13" spans="2:32" ht="23.1" customHeight="1" x14ac:dyDescent="0.25">
      <c r="B13" s="23" t="s">
        <v>40</v>
      </c>
      <c r="C13" s="49">
        <f>'Avg Week Katuna-Kabale'!C13+'Avg Week Kabale-Katuna'!C13</f>
        <v>2.5</v>
      </c>
      <c r="D13" s="49">
        <f>'Avg Week Katuna-Kabale'!D13+'Avg Week Kabale-Katuna'!D13</f>
        <v>0.5</v>
      </c>
      <c r="E13" s="49">
        <f>'Avg Week Katuna-Kabale'!E13+'Avg Week Kabale-Katuna'!E13</f>
        <v>0</v>
      </c>
      <c r="F13" s="49">
        <f>'Avg Week Katuna-Kabale'!F13+'Avg Week Kabale-Katuna'!F13</f>
        <v>0</v>
      </c>
      <c r="G13" s="49">
        <f>'Avg Week Katuna-Kabale'!G13+'Avg Week Kabale-Katuna'!G13</f>
        <v>0</v>
      </c>
      <c r="H13" s="49">
        <f>'Avg Week Katuna-Kabale'!H13+'Avg Week Kabale-Katuna'!H13</f>
        <v>0</v>
      </c>
      <c r="I13" s="49">
        <f>'Avg Week Katuna-Kabale'!I13+'Avg Week Kabale-Katuna'!I13</f>
        <v>0</v>
      </c>
      <c r="J13" s="49">
        <f>'Avg Week Katuna-Kabale'!J13+'Avg Week Kabale-Katuna'!J13</f>
        <v>0</v>
      </c>
      <c r="K13" s="49">
        <f>'Avg Week Katuna-Kabale'!K13+'Avg Week Kabale-Katuna'!K13</f>
        <v>0</v>
      </c>
      <c r="L13" s="49">
        <f>'Avg Week Katuna-Kabale'!L13+'Avg Week Kabale-Katuna'!L13</f>
        <v>0</v>
      </c>
      <c r="M13" s="49">
        <f>'Avg Week Katuna-Kabale'!M13+'Avg Week Kabale-Katuna'!M13</f>
        <v>4.5</v>
      </c>
      <c r="N13" s="49">
        <f>'Avg Week Katuna-Kabale'!N13+'Avg Week Kabale-Katuna'!N13</f>
        <v>0</v>
      </c>
      <c r="O13" s="15">
        <f t="shared" si="0"/>
        <v>3</v>
      </c>
      <c r="P13" s="15">
        <f t="shared" si="1"/>
        <v>7.5</v>
      </c>
      <c r="R13" s="1" t="s">
        <v>9</v>
      </c>
      <c r="S13" s="17">
        <f t="shared" ref="S13:AF13" si="5">SUM(C22:C25)</f>
        <v>29.5</v>
      </c>
      <c r="T13" s="17">
        <f t="shared" si="5"/>
        <v>2.5</v>
      </c>
      <c r="U13" s="17">
        <f t="shared" si="5"/>
        <v>2.5</v>
      </c>
      <c r="V13" s="17">
        <f t="shared" si="5"/>
        <v>2</v>
      </c>
      <c r="W13" s="17">
        <f t="shared" si="5"/>
        <v>0.5</v>
      </c>
      <c r="X13" s="17">
        <f t="shared" si="5"/>
        <v>0</v>
      </c>
      <c r="Y13" s="17">
        <f t="shared" si="5"/>
        <v>7.5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54</v>
      </c>
      <c r="AD13" s="17">
        <f t="shared" si="5"/>
        <v>0</v>
      </c>
      <c r="AE13" s="31">
        <f t="shared" si="5"/>
        <v>44.5</v>
      </c>
      <c r="AF13" s="31">
        <f t="shared" si="5"/>
        <v>98.5</v>
      </c>
    </row>
    <row r="14" spans="2:32" ht="23.1" customHeight="1" x14ac:dyDescent="0.25">
      <c r="B14" s="23" t="s">
        <v>41</v>
      </c>
      <c r="C14" s="49">
        <f>'Avg Week Katuna-Kabale'!C14+'Avg Week Kabale-Katuna'!C14</f>
        <v>4.5</v>
      </c>
      <c r="D14" s="49">
        <f>'Avg Week Katuna-Kabale'!D14+'Avg Week Kabale-Katuna'!D14</f>
        <v>0</v>
      </c>
      <c r="E14" s="49">
        <f>'Avg Week Katuna-Kabale'!E14+'Avg Week Kabale-Katuna'!E14</f>
        <v>1</v>
      </c>
      <c r="F14" s="49">
        <f>'Avg Week Katuna-Kabale'!F14+'Avg Week Kabale-Katuna'!F14</f>
        <v>0</v>
      </c>
      <c r="G14" s="49">
        <f>'Avg Week Katuna-Kabale'!G14+'Avg Week Kabale-Katuna'!G14</f>
        <v>0</v>
      </c>
      <c r="H14" s="49">
        <f>'Avg Week Katuna-Kabale'!H14+'Avg Week Kabale-Katuna'!H14</f>
        <v>0</v>
      </c>
      <c r="I14" s="49">
        <f>'Avg Week Katuna-Kabale'!I14+'Avg Week Kabale-Katuna'!I14</f>
        <v>0</v>
      </c>
      <c r="J14" s="49">
        <f>'Avg Week Katuna-Kabale'!J14+'Avg Week Kabale-Katuna'!J14</f>
        <v>0.5</v>
      </c>
      <c r="K14" s="49">
        <f>'Avg Week Katuna-Kabale'!K14+'Avg Week Kabale-Katuna'!K14</f>
        <v>0</v>
      </c>
      <c r="L14" s="49">
        <f>'Avg Week Katuna-Kabale'!L14+'Avg Week Kabale-Katuna'!L14</f>
        <v>0</v>
      </c>
      <c r="M14" s="49">
        <f>'Avg Week Katuna-Kabale'!M14+'Avg Week Kabale-Katuna'!M14</f>
        <v>7</v>
      </c>
      <c r="N14" s="49">
        <f>'Avg Week Katuna-Kabale'!N14+'Avg Week Kabale-Katuna'!N14</f>
        <v>0</v>
      </c>
      <c r="O14" s="15">
        <f t="shared" si="0"/>
        <v>6</v>
      </c>
      <c r="P14" s="15">
        <f t="shared" si="1"/>
        <v>13</v>
      </c>
      <c r="R14" s="1" t="s">
        <v>10</v>
      </c>
      <c r="S14" s="17">
        <f t="shared" ref="S14:AF14" si="6">SUM(C26:C29)</f>
        <v>28.5</v>
      </c>
      <c r="T14" s="17">
        <f t="shared" si="6"/>
        <v>6</v>
      </c>
      <c r="U14" s="17">
        <f t="shared" si="6"/>
        <v>1.5</v>
      </c>
      <c r="V14" s="17">
        <f t="shared" si="6"/>
        <v>1.5</v>
      </c>
      <c r="W14" s="17">
        <f t="shared" si="6"/>
        <v>0.5</v>
      </c>
      <c r="X14" s="17">
        <f t="shared" si="6"/>
        <v>1</v>
      </c>
      <c r="Y14" s="17">
        <f t="shared" si="6"/>
        <v>3</v>
      </c>
      <c r="Z14" s="17">
        <f t="shared" si="6"/>
        <v>0.5</v>
      </c>
      <c r="AA14" s="17">
        <f t="shared" si="6"/>
        <v>0</v>
      </c>
      <c r="AB14" s="17">
        <f t="shared" si="6"/>
        <v>0</v>
      </c>
      <c r="AC14" s="17">
        <f t="shared" si="6"/>
        <v>42.5</v>
      </c>
      <c r="AD14" s="17">
        <f t="shared" si="6"/>
        <v>0</v>
      </c>
      <c r="AE14" s="31">
        <f t="shared" si="6"/>
        <v>42.5</v>
      </c>
      <c r="AF14" s="31">
        <f t="shared" si="6"/>
        <v>85</v>
      </c>
    </row>
    <row r="15" spans="2:32" ht="23.1" customHeight="1" x14ac:dyDescent="0.25">
      <c r="B15" s="23" t="s">
        <v>42</v>
      </c>
      <c r="C15" s="49">
        <f>'Avg Week Katuna-Kabale'!C15+'Avg Week Kabale-Katuna'!C15</f>
        <v>4</v>
      </c>
      <c r="D15" s="49">
        <f>'Avg Week Katuna-Kabale'!D15+'Avg Week Kabale-Katuna'!D15</f>
        <v>0.5</v>
      </c>
      <c r="E15" s="49">
        <f>'Avg Week Katuna-Kabale'!E15+'Avg Week Kabale-Katuna'!E15</f>
        <v>0.5</v>
      </c>
      <c r="F15" s="49">
        <f>'Avg Week Katuna-Kabale'!F15+'Avg Week Kabale-Katuna'!F15</f>
        <v>0</v>
      </c>
      <c r="G15" s="49">
        <f>'Avg Week Katuna-Kabale'!G15+'Avg Week Kabale-Katuna'!G15</f>
        <v>0</v>
      </c>
      <c r="H15" s="49">
        <f>'Avg Week Katuna-Kabale'!H15+'Avg Week Kabale-Katuna'!H15</f>
        <v>0</v>
      </c>
      <c r="I15" s="49">
        <f>'Avg Week Katuna-Kabale'!I15+'Avg Week Kabale-Katuna'!I15</f>
        <v>0.5</v>
      </c>
      <c r="J15" s="49">
        <f>'Avg Week Katuna-Kabale'!J15+'Avg Week Kabale-Katuna'!J15</f>
        <v>0</v>
      </c>
      <c r="K15" s="49">
        <f>'Avg Week Katuna-Kabale'!K15+'Avg Week Kabale-Katuna'!K15</f>
        <v>0</v>
      </c>
      <c r="L15" s="49">
        <f>'Avg Week Katuna-Kabale'!L15+'Avg Week Kabale-Katuna'!L15</f>
        <v>0</v>
      </c>
      <c r="M15" s="49">
        <f>'Avg Week Katuna-Kabale'!M15+'Avg Week Kabale-Katuna'!M15</f>
        <v>11</v>
      </c>
      <c r="N15" s="49">
        <f>'Avg Week Katuna-Kabale'!N15+'Avg Week Kabale-Katuna'!N15</f>
        <v>0</v>
      </c>
      <c r="O15" s="15">
        <f t="shared" si="0"/>
        <v>5.5</v>
      </c>
      <c r="P15" s="15">
        <f t="shared" si="1"/>
        <v>16.5</v>
      </c>
      <c r="R15" s="1" t="s">
        <v>11</v>
      </c>
      <c r="S15" s="17">
        <f t="shared" ref="S15:AF15" si="7">SUM(C30:C33)</f>
        <v>25</v>
      </c>
      <c r="T15" s="17">
        <f t="shared" si="7"/>
        <v>7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2</v>
      </c>
      <c r="Y15" s="17">
        <f t="shared" si="7"/>
        <v>5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46</v>
      </c>
      <c r="AD15" s="17">
        <f t="shared" si="7"/>
        <v>0</v>
      </c>
      <c r="AE15" s="31">
        <f t="shared" si="7"/>
        <v>41</v>
      </c>
      <c r="AF15" s="31">
        <f t="shared" si="7"/>
        <v>87</v>
      </c>
    </row>
    <row r="16" spans="2:32" ht="23.1" customHeight="1" x14ac:dyDescent="0.25">
      <c r="B16" s="23" t="s">
        <v>43</v>
      </c>
      <c r="C16" s="49">
        <f>'Avg Week Katuna-Kabale'!C16+'Avg Week Kabale-Katuna'!C16</f>
        <v>4.5</v>
      </c>
      <c r="D16" s="49">
        <f>'Avg Week Katuna-Kabale'!D16+'Avg Week Kabale-Katuna'!D16</f>
        <v>0.5</v>
      </c>
      <c r="E16" s="49">
        <f>'Avg Week Katuna-Kabale'!E16+'Avg Week Kabale-Katuna'!E16</f>
        <v>0.5</v>
      </c>
      <c r="F16" s="49">
        <f>'Avg Week Katuna-Kabale'!F16+'Avg Week Kabale-Katuna'!F16</f>
        <v>0</v>
      </c>
      <c r="G16" s="49">
        <f>'Avg Week Katuna-Kabale'!G16+'Avg Week Kabale-Katuna'!G16</f>
        <v>0</v>
      </c>
      <c r="H16" s="49">
        <f>'Avg Week Katuna-Kabale'!H16+'Avg Week Kabale-Katuna'!H16</f>
        <v>0.5</v>
      </c>
      <c r="I16" s="49">
        <f>'Avg Week Katuna-Kabale'!I16+'Avg Week Kabale-Katuna'!I16</f>
        <v>0.5</v>
      </c>
      <c r="J16" s="49">
        <f>'Avg Week Katuna-Kabale'!J16+'Avg Week Kabale-Katuna'!J16</f>
        <v>0</v>
      </c>
      <c r="K16" s="49">
        <f>'Avg Week Katuna-Kabale'!K16+'Avg Week Kabale-Katuna'!K16</f>
        <v>0</v>
      </c>
      <c r="L16" s="49">
        <f>'Avg Week Katuna-Kabale'!L16+'Avg Week Kabale-Katuna'!L16</f>
        <v>0</v>
      </c>
      <c r="M16" s="49">
        <f>'Avg Week Katuna-Kabale'!M16+'Avg Week Kabale-Katuna'!M16</f>
        <v>14</v>
      </c>
      <c r="N16" s="49">
        <f>'Avg Week Katuna-Kabale'!N16+'Avg Week Kabale-Katuna'!N16</f>
        <v>0</v>
      </c>
      <c r="O16" s="15">
        <f t="shared" si="0"/>
        <v>6.5</v>
      </c>
      <c r="P16" s="15">
        <f t="shared" si="1"/>
        <v>20.5</v>
      </c>
      <c r="R16" s="1" t="s">
        <v>12</v>
      </c>
      <c r="S16" s="17">
        <f t="shared" ref="S16:AF16" si="8">SUM(C34:C37)</f>
        <v>23</v>
      </c>
      <c r="T16" s="17">
        <f t="shared" si="8"/>
        <v>3</v>
      </c>
      <c r="U16" s="17">
        <f t="shared" si="8"/>
        <v>2</v>
      </c>
      <c r="V16" s="17">
        <f t="shared" si="8"/>
        <v>1</v>
      </c>
      <c r="W16" s="17">
        <f t="shared" si="8"/>
        <v>1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48</v>
      </c>
      <c r="AD16" s="17">
        <f t="shared" si="8"/>
        <v>0</v>
      </c>
      <c r="AE16" s="31">
        <f t="shared" si="8"/>
        <v>33</v>
      </c>
      <c r="AF16" s="31">
        <f t="shared" si="8"/>
        <v>81</v>
      </c>
    </row>
    <row r="17" spans="2:32" ht="23.1" customHeight="1" x14ac:dyDescent="0.25">
      <c r="B17" s="23" t="s">
        <v>44</v>
      </c>
      <c r="C17" s="49">
        <f>'Avg Week Katuna-Kabale'!C17+'Avg Week Kabale-Katuna'!C17</f>
        <v>8.5</v>
      </c>
      <c r="D17" s="49">
        <f>'Avg Week Katuna-Kabale'!D17+'Avg Week Kabale-Katuna'!D17</f>
        <v>0.5</v>
      </c>
      <c r="E17" s="49">
        <f>'Avg Week Katuna-Kabale'!E17+'Avg Week Kabale-Katuna'!E17</f>
        <v>0.5</v>
      </c>
      <c r="F17" s="49">
        <f>'Avg Week Katuna-Kabale'!F17+'Avg Week Kabale-Katuna'!F17</f>
        <v>0.5</v>
      </c>
      <c r="G17" s="49">
        <f>'Avg Week Katuna-Kabale'!G17+'Avg Week Kabale-Katuna'!G17</f>
        <v>0</v>
      </c>
      <c r="H17" s="49">
        <f>'Avg Week Katuna-Kabale'!H17+'Avg Week Kabale-Katuna'!H17</f>
        <v>0</v>
      </c>
      <c r="I17" s="49">
        <f>'Avg Week Katuna-Kabale'!I17+'Avg Week Kabale-Katuna'!I17</f>
        <v>2</v>
      </c>
      <c r="J17" s="49">
        <f>'Avg Week Katuna-Kabale'!J17+'Avg Week Kabale-Katuna'!J17</f>
        <v>0</v>
      </c>
      <c r="K17" s="49">
        <f>'Avg Week Katuna-Kabale'!K17+'Avg Week Kabale-Katuna'!K17</f>
        <v>0</v>
      </c>
      <c r="L17" s="49">
        <f>'Avg Week Katuna-Kabale'!L17+'Avg Week Kabale-Katuna'!L17</f>
        <v>0</v>
      </c>
      <c r="M17" s="49">
        <f>'Avg Week Katuna-Kabale'!M17+'Avg Week Kabale-Katuna'!M17</f>
        <v>11</v>
      </c>
      <c r="N17" s="49">
        <f>'Avg Week Katuna-Kabale'!N17+'Avg Week Kabale-Katuna'!N17</f>
        <v>0</v>
      </c>
      <c r="O17" s="15">
        <f t="shared" si="0"/>
        <v>12</v>
      </c>
      <c r="P17" s="15">
        <f t="shared" si="1"/>
        <v>23</v>
      </c>
      <c r="R17" s="1" t="s">
        <v>13</v>
      </c>
      <c r="S17" s="17">
        <f t="shared" ref="S17:AF17" si="9">SUM(C38:C41)</f>
        <v>27.5</v>
      </c>
      <c r="T17" s="17">
        <f t="shared" si="9"/>
        <v>1.5</v>
      </c>
      <c r="U17" s="17">
        <f t="shared" si="9"/>
        <v>3.5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0.5</v>
      </c>
      <c r="AA17" s="17">
        <f t="shared" si="9"/>
        <v>0</v>
      </c>
      <c r="AB17" s="17">
        <f t="shared" si="9"/>
        <v>0</v>
      </c>
      <c r="AC17" s="17">
        <f t="shared" si="9"/>
        <v>37.5</v>
      </c>
      <c r="AD17" s="17">
        <f t="shared" si="9"/>
        <v>0</v>
      </c>
      <c r="AE17" s="31">
        <f t="shared" si="9"/>
        <v>40</v>
      </c>
      <c r="AF17" s="31">
        <f t="shared" si="9"/>
        <v>77.5</v>
      </c>
    </row>
    <row r="18" spans="2:32" ht="23.1" customHeight="1" x14ac:dyDescent="0.25">
      <c r="B18" s="23" t="s">
        <v>45</v>
      </c>
      <c r="C18" s="49">
        <f>'Avg Week Katuna-Kabale'!C18+'Avg Week Kabale-Katuna'!C18</f>
        <v>6</v>
      </c>
      <c r="D18" s="49">
        <f>'Avg Week Katuna-Kabale'!D18+'Avg Week Kabale-Katuna'!D18</f>
        <v>0</v>
      </c>
      <c r="E18" s="49">
        <f>'Avg Week Katuna-Kabale'!E18+'Avg Week Kabale-Katuna'!E18</f>
        <v>1</v>
      </c>
      <c r="F18" s="49">
        <f>'Avg Week Katuna-Kabale'!F18+'Avg Week Kabale-Katuna'!F18</f>
        <v>0</v>
      </c>
      <c r="G18" s="49">
        <f>'Avg Week Katuna-Kabale'!G18+'Avg Week Kabale-Katuna'!G18</f>
        <v>0</v>
      </c>
      <c r="H18" s="49">
        <f>'Avg Week Katuna-Kabale'!H18+'Avg Week Kabale-Katuna'!H18</f>
        <v>0</v>
      </c>
      <c r="I18" s="49">
        <f>'Avg Week Katuna-Kabale'!I18+'Avg Week Kabale-Katuna'!I18</f>
        <v>2</v>
      </c>
      <c r="J18" s="49">
        <f>'Avg Week Katuna-Kabale'!J18+'Avg Week Kabale-Katuna'!J18</f>
        <v>0</v>
      </c>
      <c r="K18" s="49">
        <f>'Avg Week Katuna-Kabale'!K18+'Avg Week Kabale-Katuna'!K18</f>
        <v>0</v>
      </c>
      <c r="L18" s="49">
        <f>'Avg Week Katuna-Kabale'!L18+'Avg Week Kabale-Katuna'!L18</f>
        <v>0</v>
      </c>
      <c r="M18" s="49">
        <f>'Avg Week Katuna-Kabale'!M18+'Avg Week Kabale-Katuna'!M18</f>
        <v>11</v>
      </c>
      <c r="N18" s="49">
        <f>'Avg Week Katuna-Kabale'!N18+'Avg Week Kabale-Katuna'!N18</f>
        <v>0</v>
      </c>
      <c r="O18" s="15">
        <f t="shared" si="0"/>
        <v>9</v>
      </c>
      <c r="P18" s="15">
        <f t="shared" si="1"/>
        <v>20</v>
      </c>
      <c r="R18" s="1" t="s">
        <v>14</v>
      </c>
      <c r="S18" s="17">
        <f t="shared" ref="S18:AF18" si="10">SUM(C42:C45)</f>
        <v>23</v>
      </c>
      <c r="T18" s="17">
        <f t="shared" si="10"/>
        <v>3</v>
      </c>
      <c r="U18" s="17">
        <f t="shared" si="10"/>
        <v>4</v>
      </c>
      <c r="V18" s="17">
        <f t="shared" si="10"/>
        <v>3.5</v>
      </c>
      <c r="W18" s="17">
        <f t="shared" si="10"/>
        <v>0</v>
      </c>
      <c r="X18" s="17">
        <f t="shared" si="10"/>
        <v>0.5</v>
      </c>
      <c r="Y18" s="17">
        <f t="shared" si="10"/>
        <v>5.5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36.5</v>
      </c>
      <c r="AD18" s="17">
        <f t="shared" si="10"/>
        <v>0</v>
      </c>
      <c r="AE18" s="31">
        <f t="shared" si="10"/>
        <v>40.5</v>
      </c>
      <c r="AF18" s="31">
        <f t="shared" si="10"/>
        <v>77</v>
      </c>
    </row>
    <row r="19" spans="2:32" ht="23.1" customHeight="1" x14ac:dyDescent="0.25">
      <c r="B19" s="23" t="s">
        <v>46</v>
      </c>
      <c r="C19" s="49">
        <f>'Avg Week Katuna-Kabale'!C19+'Avg Week Kabale-Katuna'!C19</f>
        <v>6.5</v>
      </c>
      <c r="D19" s="49">
        <f>'Avg Week Katuna-Kabale'!D19+'Avg Week Kabale-Katuna'!D19</f>
        <v>0</v>
      </c>
      <c r="E19" s="49">
        <f>'Avg Week Katuna-Kabale'!E19+'Avg Week Kabale-Katuna'!E19</f>
        <v>1</v>
      </c>
      <c r="F19" s="49">
        <f>'Avg Week Katuna-Kabale'!F19+'Avg Week Kabale-Katuna'!F19</f>
        <v>0.5</v>
      </c>
      <c r="G19" s="49">
        <f>'Avg Week Katuna-Kabale'!G19+'Avg Week Kabale-Katuna'!G19</f>
        <v>0.5</v>
      </c>
      <c r="H19" s="49">
        <f>'Avg Week Katuna-Kabale'!H19+'Avg Week Kabale-Katuna'!H19</f>
        <v>0</v>
      </c>
      <c r="I19" s="49">
        <f>'Avg Week Katuna-Kabale'!I19+'Avg Week Kabale-Katuna'!I19</f>
        <v>1.5</v>
      </c>
      <c r="J19" s="49">
        <f>'Avg Week Katuna-Kabale'!J19+'Avg Week Kabale-Katuna'!J19</f>
        <v>0</v>
      </c>
      <c r="K19" s="49">
        <f>'Avg Week Katuna-Kabale'!K19+'Avg Week Kabale-Katuna'!K19</f>
        <v>0</v>
      </c>
      <c r="L19" s="49">
        <f>'Avg Week Katuna-Kabale'!L19+'Avg Week Kabale-Katuna'!L19</f>
        <v>0</v>
      </c>
      <c r="M19" s="49">
        <f>'Avg Week Katuna-Kabale'!M19+'Avg Week Kabale-Katuna'!M19</f>
        <v>16.5</v>
      </c>
      <c r="N19" s="49">
        <f>'Avg Week Katuna-Kabale'!N19+'Avg Week Kabale-Katuna'!N19</f>
        <v>0</v>
      </c>
      <c r="O19" s="15">
        <f t="shared" si="0"/>
        <v>10</v>
      </c>
      <c r="P19" s="15">
        <f t="shared" si="1"/>
        <v>26.5</v>
      </c>
      <c r="R19" s="1" t="s">
        <v>15</v>
      </c>
      <c r="S19" s="17">
        <f t="shared" ref="S19:AF19" si="11">SUM(C46:C49)</f>
        <v>16</v>
      </c>
      <c r="T19" s="17">
        <f t="shared" si="11"/>
        <v>1.5</v>
      </c>
      <c r="U19" s="17">
        <f t="shared" si="11"/>
        <v>1.5</v>
      </c>
      <c r="V19" s="17">
        <f t="shared" si="11"/>
        <v>2</v>
      </c>
      <c r="W19" s="17">
        <f t="shared" si="11"/>
        <v>0</v>
      </c>
      <c r="X19" s="17">
        <f t="shared" si="11"/>
        <v>1.5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53</v>
      </c>
      <c r="AD19" s="17">
        <f t="shared" si="11"/>
        <v>0</v>
      </c>
      <c r="AE19" s="31">
        <f t="shared" si="11"/>
        <v>26.5</v>
      </c>
      <c r="AF19" s="31">
        <f t="shared" si="11"/>
        <v>79.5</v>
      </c>
    </row>
    <row r="20" spans="2:32" ht="23.1" customHeight="1" x14ac:dyDescent="0.25">
      <c r="B20" s="23" t="s">
        <v>47</v>
      </c>
      <c r="C20" s="49">
        <f>'Avg Week Katuna-Kabale'!C20+'Avg Week Kabale-Katuna'!C20</f>
        <v>3.5</v>
      </c>
      <c r="D20" s="49">
        <f>'Avg Week Katuna-Kabale'!D20+'Avg Week Kabale-Katuna'!D20</f>
        <v>0.5</v>
      </c>
      <c r="E20" s="49">
        <f>'Avg Week Katuna-Kabale'!E20+'Avg Week Kabale-Katuna'!E20</f>
        <v>1</v>
      </c>
      <c r="F20" s="49">
        <f>'Avg Week Katuna-Kabale'!F20+'Avg Week Kabale-Katuna'!F20</f>
        <v>0</v>
      </c>
      <c r="G20" s="49">
        <f>'Avg Week Katuna-Kabale'!G20+'Avg Week Kabale-Katuna'!G20</f>
        <v>0.5</v>
      </c>
      <c r="H20" s="49">
        <f>'Avg Week Katuna-Kabale'!H20+'Avg Week Kabale-Katuna'!H20</f>
        <v>0</v>
      </c>
      <c r="I20" s="49">
        <f>'Avg Week Katuna-Kabale'!I20+'Avg Week Kabale-Katuna'!I20</f>
        <v>2</v>
      </c>
      <c r="J20" s="49">
        <f>'Avg Week Katuna-Kabale'!J20+'Avg Week Kabale-Katuna'!J20</f>
        <v>0</v>
      </c>
      <c r="K20" s="49">
        <f>'Avg Week Katuna-Kabale'!K20+'Avg Week Kabale-Katuna'!K20</f>
        <v>0</v>
      </c>
      <c r="L20" s="49">
        <f>'Avg Week Katuna-Kabale'!L20+'Avg Week Kabale-Katuna'!L20</f>
        <v>0</v>
      </c>
      <c r="M20" s="49">
        <f>'Avg Week Katuna-Kabale'!M20+'Avg Week Kabale-Katuna'!M20</f>
        <v>10.5</v>
      </c>
      <c r="N20" s="49">
        <f>'Avg Week Katuna-Kabale'!N20+'Avg Week Kabale-Katuna'!N20</f>
        <v>0</v>
      </c>
      <c r="O20" s="15">
        <f t="shared" si="0"/>
        <v>7.5</v>
      </c>
      <c r="P20" s="15">
        <f t="shared" si="1"/>
        <v>18</v>
      </c>
      <c r="R20" s="1" t="s">
        <v>16</v>
      </c>
      <c r="S20" s="17">
        <f t="shared" ref="S20:AF20" si="12">SUM(C50:C53)</f>
        <v>27</v>
      </c>
      <c r="T20" s="17">
        <f t="shared" si="12"/>
        <v>4</v>
      </c>
      <c r="U20" s="17">
        <f t="shared" si="12"/>
        <v>0.5</v>
      </c>
      <c r="V20" s="17">
        <f t="shared" si="12"/>
        <v>0.5</v>
      </c>
      <c r="W20" s="17">
        <f t="shared" si="12"/>
        <v>0</v>
      </c>
      <c r="X20" s="17">
        <f t="shared" si="12"/>
        <v>1</v>
      </c>
      <c r="Y20" s="17">
        <f t="shared" si="12"/>
        <v>6.5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67.5</v>
      </c>
      <c r="AD20" s="17">
        <f t="shared" si="12"/>
        <v>0</v>
      </c>
      <c r="AE20" s="31">
        <f t="shared" si="12"/>
        <v>39.5</v>
      </c>
      <c r="AF20" s="31">
        <f t="shared" si="12"/>
        <v>107</v>
      </c>
    </row>
    <row r="21" spans="2:32" ht="23.1" customHeight="1" x14ac:dyDescent="0.25">
      <c r="B21" s="23" t="s">
        <v>48</v>
      </c>
      <c r="C21" s="49">
        <f>'Avg Week Katuna-Kabale'!C21+'Avg Week Kabale-Katuna'!C21</f>
        <v>8</v>
      </c>
      <c r="D21" s="49">
        <f>'Avg Week Katuna-Kabale'!D21+'Avg Week Kabale-Katuna'!D21</f>
        <v>0.5</v>
      </c>
      <c r="E21" s="49">
        <f>'Avg Week Katuna-Kabale'!E21+'Avg Week Kabale-Katuna'!E21</f>
        <v>1.5</v>
      </c>
      <c r="F21" s="49">
        <f>'Avg Week Katuna-Kabale'!F21+'Avg Week Kabale-Katuna'!F21</f>
        <v>0</v>
      </c>
      <c r="G21" s="49">
        <f>'Avg Week Katuna-Kabale'!G21+'Avg Week Kabale-Katuna'!G21</f>
        <v>0.5</v>
      </c>
      <c r="H21" s="49">
        <f>'Avg Week Katuna-Kabale'!H21+'Avg Week Kabale-Katuna'!H21</f>
        <v>0</v>
      </c>
      <c r="I21" s="49">
        <f>'Avg Week Katuna-Kabale'!I21+'Avg Week Kabale-Katuna'!I21</f>
        <v>2</v>
      </c>
      <c r="J21" s="49">
        <f>'Avg Week Katuna-Kabale'!J21+'Avg Week Kabale-Katuna'!J21</f>
        <v>0</v>
      </c>
      <c r="K21" s="49">
        <f>'Avg Week Katuna-Kabale'!K21+'Avg Week Kabale-Katuna'!K21</f>
        <v>0</v>
      </c>
      <c r="L21" s="49">
        <f>'Avg Week Katuna-Kabale'!L21+'Avg Week Kabale-Katuna'!L21</f>
        <v>0</v>
      </c>
      <c r="M21" s="49">
        <f>'Avg Week Katuna-Kabale'!M21+'Avg Week Kabale-Katuna'!M21</f>
        <v>17.5</v>
      </c>
      <c r="N21" s="49">
        <f>'Avg Week Katuna-Kabale'!N21+'Avg Week Kabale-Katuna'!N21</f>
        <v>0</v>
      </c>
      <c r="O21" s="15">
        <f t="shared" si="0"/>
        <v>12.5</v>
      </c>
      <c r="P21" s="15">
        <f t="shared" si="1"/>
        <v>30</v>
      </c>
      <c r="R21" s="36" t="s">
        <v>20</v>
      </c>
      <c r="S21" s="34">
        <f t="shared" ref="S21:AF21" si="13">SUM(C54:C57)</f>
        <v>35</v>
      </c>
      <c r="T21" s="17">
        <f t="shared" si="13"/>
        <v>5.5</v>
      </c>
      <c r="U21" s="17">
        <f t="shared" si="13"/>
        <v>2.5</v>
      </c>
      <c r="V21" s="17">
        <f t="shared" si="13"/>
        <v>0.5</v>
      </c>
      <c r="W21" s="17">
        <f t="shared" si="13"/>
        <v>0</v>
      </c>
      <c r="X21" s="17">
        <f t="shared" si="13"/>
        <v>0</v>
      </c>
      <c r="Y21" s="17">
        <f t="shared" si="13"/>
        <v>7.5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46.5</v>
      </c>
      <c r="AD21" s="17">
        <f t="shared" si="13"/>
        <v>0</v>
      </c>
      <c r="AE21" s="31">
        <f t="shared" si="13"/>
        <v>51</v>
      </c>
      <c r="AF21" s="31">
        <f t="shared" si="13"/>
        <v>97.5</v>
      </c>
    </row>
    <row r="22" spans="2:32" ht="23.1" customHeight="1" x14ac:dyDescent="0.25">
      <c r="B22" s="23" t="s">
        <v>49</v>
      </c>
      <c r="C22" s="49">
        <f>'Avg Week Katuna-Kabale'!C22+'Avg Week Kabale-Katuna'!C22</f>
        <v>5.5</v>
      </c>
      <c r="D22" s="49">
        <f>'Avg Week Katuna-Kabale'!D22+'Avg Week Kabale-Katuna'!D22</f>
        <v>1</v>
      </c>
      <c r="E22" s="49">
        <f>'Avg Week Katuna-Kabale'!E22+'Avg Week Kabale-Katuna'!E22</f>
        <v>0.5</v>
      </c>
      <c r="F22" s="49">
        <f>'Avg Week Katuna-Kabale'!F22+'Avg Week Kabale-Katuna'!F22</f>
        <v>1.5</v>
      </c>
      <c r="G22" s="49">
        <f>'Avg Week Katuna-Kabale'!G22+'Avg Week Kabale-Katuna'!G22</f>
        <v>0</v>
      </c>
      <c r="H22" s="49">
        <f>'Avg Week Katuna-Kabale'!H22+'Avg Week Kabale-Katuna'!H22</f>
        <v>0</v>
      </c>
      <c r="I22" s="49">
        <f>'Avg Week Katuna-Kabale'!I22+'Avg Week Kabale-Katuna'!I22</f>
        <v>2</v>
      </c>
      <c r="J22" s="49">
        <f>'Avg Week Katuna-Kabale'!J22+'Avg Week Kabale-Katuna'!J22</f>
        <v>0</v>
      </c>
      <c r="K22" s="49">
        <f>'Avg Week Katuna-Kabale'!K22+'Avg Week Kabale-Katuna'!K22</f>
        <v>0</v>
      </c>
      <c r="L22" s="49">
        <f>'Avg Week Katuna-Kabale'!L22+'Avg Week Kabale-Katuna'!L22</f>
        <v>0</v>
      </c>
      <c r="M22" s="49">
        <f>'Avg Week Katuna-Kabale'!M22+'Avg Week Kabale-Katuna'!M22</f>
        <v>13.5</v>
      </c>
      <c r="N22" s="49">
        <f>'Avg Week Katuna-Kabale'!N22+'Avg Week Kabale-Katuna'!N22</f>
        <v>0</v>
      </c>
      <c r="O22" s="15">
        <f t="shared" si="0"/>
        <v>10.5</v>
      </c>
      <c r="P22" s="15">
        <f t="shared" si="1"/>
        <v>24</v>
      </c>
      <c r="R22" s="1" t="s">
        <v>146</v>
      </c>
      <c r="S22" s="34">
        <f>SUM(C58:C61)</f>
        <v>31</v>
      </c>
      <c r="T22" s="34">
        <f t="shared" ref="T22:AF22" si="14">SUM(D58:D61)</f>
        <v>7</v>
      </c>
      <c r="U22" s="34">
        <f t="shared" si="14"/>
        <v>4</v>
      </c>
      <c r="V22" s="34">
        <f t="shared" si="14"/>
        <v>1</v>
      </c>
      <c r="W22" s="34">
        <f t="shared" si="14"/>
        <v>0</v>
      </c>
      <c r="X22" s="34">
        <f t="shared" si="14"/>
        <v>1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31</v>
      </c>
      <c r="AD22" s="34">
        <f t="shared" si="14"/>
        <v>0</v>
      </c>
      <c r="AE22" s="31">
        <f t="shared" si="14"/>
        <v>45</v>
      </c>
      <c r="AF22" s="31">
        <f t="shared" si="14"/>
        <v>76</v>
      </c>
    </row>
    <row r="23" spans="2:32" ht="23.1" customHeight="1" x14ac:dyDescent="0.25">
      <c r="B23" s="23" t="s">
        <v>50</v>
      </c>
      <c r="C23" s="49">
        <f>'Avg Week Katuna-Kabale'!C23+'Avg Week Kabale-Katuna'!C23</f>
        <v>8</v>
      </c>
      <c r="D23" s="49">
        <f>'Avg Week Katuna-Kabale'!D23+'Avg Week Kabale-Katuna'!D23</f>
        <v>0</v>
      </c>
      <c r="E23" s="49">
        <f>'Avg Week Katuna-Kabale'!E23+'Avg Week Kabale-Katuna'!E23</f>
        <v>0.5</v>
      </c>
      <c r="F23" s="49">
        <f>'Avg Week Katuna-Kabale'!F23+'Avg Week Kabale-Katuna'!F23</f>
        <v>0</v>
      </c>
      <c r="G23" s="49">
        <f>'Avg Week Katuna-Kabale'!G23+'Avg Week Kabale-Katuna'!G23</f>
        <v>0</v>
      </c>
      <c r="H23" s="49">
        <f>'Avg Week Katuna-Kabale'!H23+'Avg Week Kabale-Katuna'!H23</f>
        <v>0</v>
      </c>
      <c r="I23" s="49">
        <f>'Avg Week Katuna-Kabale'!I23+'Avg Week Kabale-Katuna'!I23</f>
        <v>1.5</v>
      </c>
      <c r="J23" s="49">
        <f>'Avg Week Katuna-Kabale'!J23+'Avg Week Kabale-Katuna'!J23</f>
        <v>0</v>
      </c>
      <c r="K23" s="49">
        <f>'Avg Week Katuna-Kabale'!K23+'Avg Week Kabale-Katuna'!K23</f>
        <v>0</v>
      </c>
      <c r="L23" s="49">
        <f>'Avg Week Katuna-Kabale'!L23+'Avg Week Kabale-Katuna'!L23</f>
        <v>0</v>
      </c>
      <c r="M23" s="49">
        <f>'Avg Week Katuna-Kabale'!M23+'Avg Week Kabale-Katuna'!M23</f>
        <v>15.5</v>
      </c>
      <c r="N23" s="49">
        <f>'Avg Week Katuna-Kabale'!N23+'Avg Week Kabale-Katuna'!N23</f>
        <v>0</v>
      </c>
      <c r="O23" s="15">
        <f t="shared" si="0"/>
        <v>10</v>
      </c>
      <c r="P23" s="15">
        <f t="shared" si="1"/>
        <v>25.5</v>
      </c>
      <c r="R23" s="1" t="s">
        <v>147</v>
      </c>
      <c r="S23" s="34">
        <f>SUM(C62:C65)</f>
        <v>25</v>
      </c>
      <c r="T23" s="34">
        <f t="shared" ref="T23:AF23" si="15">SUM(D62:D65)</f>
        <v>8</v>
      </c>
      <c r="U23" s="34">
        <f t="shared" si="15"/>
        <v>3</v>
      </c>
      <c r="V23" s="34">
        <f t="shared" si="15"/>
        <v>5</v>
      </c>
      <c r="W23" s="34">
        <f t="shared" si="15"/>
        <v>1</v>
      </c>
      <c r="X23" s="34">
        <f t="shared" si="15"/>
        <v>0</v>
      </c>
      <c r="Y23" s="34">
        <f t="shared" si="15"/>
        <v>5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40</v>
      </c>
      <c r="AD23" s="34">
        <f t="shared" si="15"/>
        <v>0</v>
      </c>
      <c r="AE23" s="31">
        <f t="shared" si="15"/>
        <v>47</v>
      </c>
      <c r="AF23" s="31">
        <f t="shared" si="15"/>
        <v>87</v>
      </c>
    </row>
    <row r="24" spans="2:32" ht="23.1" customHeight="1" x14ac:dyDescent="0.25">
      <c r="B24" s="23" t="s">
        <v>51</v>
      </c>
      <c r="C24" s="49">
        <f>'Avg Week Katuna-Kabale'!C24+'Avg Week Kabale-Katuna'!C24</f>
        <v>8</v>
      </c>
      <c r="D24" s="49">
        <f>'Avg Week Katuna-Kabale'!D24+'Avg Week Kabale-Katuna'!D24</f>
        <v>1</v>
      </c>
      <c r="E24" s="49">
        <f>'Avg Week Katuna-Kabale'!E24+'Avg Week Kabale-Katuna'!E24</f>
        <v>0</v>
      </c>
      <c r="F24" s="49">
        <f>'Avg Week Katuna-Kabale'!F24+'Avg Week Kabale-Katuna'!F24</f>
        <v>0</v>
      </c>
      <c r="G24" s="49">
        <f>'Avg Week Katuna-Kabale'!G24+'Avg Week Kabale-Katuna'!G24</f>
        <v>0.5</v>
      </c>
      <c r="H24" s="49">
        <f>'Avg Week Katuna-Kabale'!H24+'Avg Week Kabale-Katuna'!H24</f>
        <v>0</v>
      </c>
      <c r="I24" s="49">
        <f>'Avg Week Katuna-Kabale'!I24+'Avg Week Kabale-Katuna'!I24</f>
        <v>2</v>
      </c>
      <c r="J24" s="49">
        <f>'Avg Week Katuna-Kabale'!J24+'Avg Week Kabale-Katuna'!J24</f>
        <v>0</v>
      </c>
      <c r="K24" s="49">
        <f>'Avg Week Katuna-Kabale'!K24+'Avg Week Kabale-Katuna'!K24</f>
        <v>0</v>
      </c>
      <c r="L24" s="49">
        <f>'Avg Week Katuna-Kabale'!L24+'Avg Week Kabale-Katuna'!L24</f>
        <v>0</v>
      </c>
      <c r="M24" s="49">
        <f>'Avg Week Katuna-Kabale'!M24+'Avg Week Kabale-Katuna'!M24</f>
        <v>12.5</v>
      </c>
      <c r="N24" s="49">
        <f>'Avg Week Katuna-Kabale'!N24+'Avg Week Kabale-Katuna'!N24</f>
        <v>0</v>
      </c>
      <c r="O24" s="15">
        <f t="shared" si="0"/>
        <v>11.5</v>
      </c>
      <c r="P24" s="15">
        <f t="shared" si="1"/>
        <v>24</v>
      </c>
      <c r="R24" s="1" t="s">
        <v>148</v>
      </c>
      <c r="S24" s="34">
        <f>SUM(C66:C69)</f>
        <v>14</v>
      </c>
      <c r="T24" s="34">
        <f t="shared" ref="T24:AF24" si="16">SUM(D66:D69)</f>
        <v>1</v>
      </c>
      <c r="U24" s="34">
        <f t="shared" si="16"/>
        <v>2</v>
      </c>
      <c r="V24" s="34">
        <f t="shared" si="16"/>
        <v>3</v>
      </c>
      <c r="W24" s="34">
        <f t="shared" si="16"/>
        <v>0</v>
      </c>
      <c r="X24" s="34">
        <f t="shared" si="16"/>
        <v>1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15</v>
      </c>
      <c r="AD24" s="34">
        <f t="shared" si="16"/>
        <v>0</v>
      </c>
      <c r="AE24" s="31">
        <f t="shared" si="16"/>
        <v>23</v>
      </c>
      <c r="AF24" s="31">
        <f t="shared" si="16"/>
        <v>38</v>
      </c>
    </row>
    <row r="25" spans="2:32" ht="23.1" customHeight="1" x14ac:dyDescent="0.25">
      <c r="B25" s="23" t="s">
        <v>52</v>
      </c>
      <c r="C25" s="49">
        <f>'Avg Week Katuna-Kabale'!C25+'Avg Week Kabale-Katuna'!C25</f>
        <v>8</v>
      </c>
      <c r="D25" s="49">
        <f>'Avg Week Katuna-Kabale'!D25+'Avg Week Kabale-Katuna'!D25</f>
        <v>0.5</v>
      </c>
      <c r="E25" s="49">
        <f>'Avg Week Katuna-Kabale'!E25+'Avg Week Kabale-Katuna'!E25</f>
        <v>1.5</v>
      </c>
      <c r="F25" s="49">
        <f>'Avg Week Katuna-Kabale'!F25+'Avg Week Kabale-Katuna'!F25</f>
        <v>0.5</v>
      </c>
      <c r="G25" s="49">
        <f>'Avg Week Katuna-Kabale'!G25+'Avg Week Kabale-Katuna'!G25</f>
        <v>0</v>
      </c>
      <c r="H25" s="49">
        <f>'Avg Week Katuna-Kabale'!H25+'Avg Week Kabale-Katuna'!H25</f>
        <v>0</v>
      </c>
      <c r="I25" s="49">
        <f>'Avg Week Katuna-Kabale'!I25+'Avg Week Kabale-Katuna'!I25</f>
        <v>2</v>
      </c>
      <c r="J25" s="49">
        <f>'Avg Week Katuna-Kabale'!J25+'Avg Week Kabale-Katuna'!J25</f>
        <v>0</v>
      </c>
      <c r="K25" s="49">
        <f>'Avg Week Katuna-Kabale'!K25+'Avg Week Kabale-Katuna'!K25</f>
        <v>0</v>
      </c>
      <c r="L25" s="49">
        <f>'Avg Week Katuna-Kabale'!L25+'Avg Week Kabale-Katuna'!L25</f>
        <v>0</v>
      </c>
      <c r="M25" s="49">
        <f>'Avg Week Katuna-Kabale'!M25+'Avg Week Kabale-Katuna'!M25</f>
        <v>12.5</v>
      </c>
      <c r="N25" s="49">
        <f>'Avg Week Katuna-Kabale'!N25+'Avg Week Kabale-Katuna'!N25</f>
        <v>0</v>
      </c>
      <c r="O25" s="15">
        <f t="shared" si="0"/>
        <v>12.5</v>
      </c>
      <c r="P25" s="15">
        <f t="shared" si="1"/>
        <v>25</v>
      </c>
      <c r="R25" s="1" t="s">
        <v>149</v>
      </c>
      <c r="S25" s="34">
        <f>SUM(C70:C73)</f>
        <v>9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13</v>
      </c>
      <c r="AD25" s="34">
        <f t="shared" si="17"/>
        <v>0</v>
      </c>
      <c r="AE25" s="31">
        <f t="shared" si="17"/>
        <v>11</v>
      </c>
      <c r="AF25" s="31">
        <f t="shared" si="17"/>
        <v>24</v>
      </c>
    </row>
    <row r="26" spans="2:32" ht="23.1" customHeight="1" x14ac:dyDescent="0.25">
      <c r="B26" s="23" t="s">
        <v>53</v>
      </c>
      <c r="C26" s="49">
        <f>'Avg Week Katuna-Kabale'!C26+'Avg Week Kabale-Katuna'!C26</f>
        <v>4</v>
      </c>
      <c r="D26" s="49">
        <f>'Avg Week Katuna-Kabale'!D26+'Avg Week Kabale-Katuna'!D26</f>
        <v>1</v>
      </c>
      <c r="E26" s="49">
        <f>'Avg Week Katuna-Kabale'!E26+'Avg Week Kabale-Katuna'!E26</f>
        <v>1</v>
      </c>
      <c r="F26" s="49">
        <f>'Avg Week Katuna-Kabale'!F26+'Avg Week Kabale-Katuna'!F26</f>
        <v>0</v>
      </c>
      <c r="G26" s="49">
        <f>'Avg Week Katuna-Kabale'!G26+'Avg Week Kabale-Katuna'!G26</f>
        <v>0</v>
      </c>
      <c r="H26" s="49">
        <f>'Avg Week Katuna-Kabale'!H26+'Avg Week Kabale-Katuna'!H26</f>
        <v>1</v>
      </c>
      <c r="I26" s="49">
        <f>'Avg Week Katuna-Kabale'!I26+'Avg Week Kabale-Katuna'!I26</f>
        <v>0.5</v>
      </c>
      <c r="J26" s="49">
        <f>'Avg Week Katuna-Kabale'!J26+'Avg Week Kabale-Katuna'!J26</f>
        <v>0</v>
      </c>
      <c r="K26" s="49">
        <f>'Avg Week Katuna-Kabale'!K26+'Avg Week Kabale-Katuna'!K26</f>
        <v>0</v>
      </c>
      <c r="L26" s="49">
        <f>'Avg Week Katuna-Kabale'!L26+'Avg Week Kabale-Katuna'!L26</f>
        <v>0</v>
      </c>
      <c r="M26" s="49">
        <f>'Avg Week Katuna-Kabale'!M26+'Avg Week Kabale-Katuna'!M26</f>
        <v>10</v>
      </c>
      <c r="N26" s="49">
        <f>'Avg Week Katuna-Kabale'!N26+'Avg Week Kabale-Katuna'!N26</f>
        <v>0</v>
      </c>
      <c r="O26" s="15">
        <f t="shared" si="0"/>
        <v>7.5</v>
      </c>
      <c r="P26" s="15">
        <f t="shared" si="1"/>
        <v>17.5</v>
      </c>
      <c r="R26" s="1" t="s">
        <v>150</v>
      </c>
      <c r="S26" s="34">
        <f>SUM(C74:C77)</f>
        <v>6</v>
      </c>
      <c r="T26" s="34">
        <f t="shared" ref="T26:AF26" si="18">SUM(D74:D77)</f>
        <v>2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8</v>
      </c>
      <c r="AD26" s="34">
        <f t="shared" si="18"/>
        <v>0</v>
      </c>
      <c r="AE26" s="31">
        <f t="shared" si="18"/>
        <v>10</v>
      </c>
      <c r="AF26" s="31">
        <f t="shared" si="18"/>
        <v>18</v>
      </c>
    </row>
    <row r="27" spans="2:32" ht="23.1" customHeight="1" x14ac:dyDescent="0.25">
      <c r="B27" s="23" t="s">
        <v>54</v>
      </c>
      <c r="C27" s="49">
        <f>'Avg Week Katuna-Kabale'!C27+'Avg Week Kabale-Katuna'!C27</f>
        <v>6</v>
      </c>
      <c r="D27" s="49">
        <f>'Avg Week Katuna-Kabale'!D27+'Avg Week Kabale-Katuna'!D27</f>
        <v>1.5</v>
      </c>
      <c r="E27" s="49">
        <f>'Avg Week Katuna-Kabale'!E27+'Avg Week Kabale-Katuna'!E27</f>
        <v>0</v>
      </c>
      <c r="F27" s="49">
        <f>'Avg Week Katuna-Kabale'!F27+'Avg Week Kabale-Katuna'!F27</f>
        <v>0.5</v>
      </c>
      <c r="G27" s="49">
        <f>'Avg Week Katuna-Kabale'!G27+'Avg Week Kabale-Katuna'!G27</f>
        <v>0</v>
      </c>
      <c r="H27" s="49">
        <f>'Avg Week Katuna-Kabale'!H27+'Avg Week Kabale-Katuna'!H27</f>
        <v>0</v>
      </c>
      <c r="I27" s="49">
        <f>'Avg Week Katuna-Kabale'!I27+'Avg Week Kabale-Katuna'!I27</f>
        <v>0</v>
      </c>
      <c r="J27" s="49">
        <f>'Avg Week Katuna-Kabale'!J27+'Avg Week Kabale-Katuna'!J27</f>
        <v>0</v>
      </c>
      <c r="K27" s="49">
        <f>'Avg Week Katuna-Kabale'!K27+'Avg Week Kabale-Katuna'!K27</f>
        <v>0</v>
      </c>
      <c r="L27" s="49">
        <f>'Avg Week Katuna-Kabale'!L27+'Avg Week Kabale-Katuna'!L27</f>
        <v>0</v>
      </c>
      <c r="M27" s="49">
        <f>'Avg Week Katuna-Kabale'!M27+'Avg Week Kabale-Katuna'!M27</f>
        <v>8.5</v>
      </c>
      <c r="N27" s="49">
        <f>'Avg Week Katuna-Kabale'!N27+'Avg Week Kabale-Katuna'!N27</f>
        <v>0</v>
      </c>
      <c r="O27" s="15">
        <f t="shared" si="0"/>
        <v>8</v>
      </c>
      <c r="P27" s="15">
        <f t="shared" si="1"/>
        <v>16.5</v>
      </c>
      <c r="R27" s="1" t="s">
        <v>151</v>
      </c>
      <c r="S27" s="34">
        <f>SUM(C78:C81)</f>
        <v>9</v>
      </c>
      <c r="T27" s="34">
        <f t="shared" ref="T27:AF27" si="19">SUM(D78:D81)</f>
        <v>3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10</v>
      </c>
      <c r="AD27" s="34">
        <f t="shared" si="19"/>
        <v>0</v>
      </c>
      <c r="AE27" s="31">
        <f t="shared" si="19"/>
        <v>14</v>
      </c>
      <c r="AF27" s="31">
        <f t="shared" si="19"/>
        <v>24</v>
      </c>
    </row>
    <row r="28" spans="2:32" ht="23.1" customHeight="1" x14ac:dyDescent="0.25">
      <c r="B28" s="23" t="s">
        <v>55</v>
      </c>
      <c r="C28" s="49">
        <f>'Avg Week Katuna-Kabale'!C28+'Avg Week Kabale-Katuna'!C28</f>
        <v>8</v>
      </c>
      <c r="D28" s="49">
        <f>'Avg Week Katuna-Kabale'!D28+'Avg Week Kabale-Katuna'!D28</f>
        <v>2.5</v>
      </c>
      <c r="E28" s="49">
        <f>'Avg Week Katuna-Kabale'!E28+'Avg Week Kabale-Katuna'!E28</f>
        <v>0.5</v>
      </c>
      <c r="F28" s="49">
        <f>'Avg Week Katuna-Kabale'!F28+'Avg Week Kabale-Katuna'!F28</f>
        <v>1</v>
      </c>
      <c r="G28" s="49">
        <f>'Avg Week Katuna-Kabale'!G28+'Avg Week Kabale-Katuna'!G28</f>
        <v>0.5</v>
      </c>
      <c r="H28" s="49">
        <f>'Avg Week Katuna-Kabale'!H28+'Avg Week Kabale-Katuna'!H28</f>
        <v>0</v>
      </c>
      <c r="I28" s="49">
        <f>'Avg Week Katuna-Kabale'!I28+'Avg Week Kabale-Katuna'!I28</f>
        <v>1.5</v>
      </c>
      <c r="J28" s="49">
        <f>'Avg Week Katuna-Kabale'!J28+'Avg Week Kabale-Katuna'!J28</f>
        <v>0</v>
      </c>
      <c r="K28" s="49">
        <f>'Avg Week Katuna-Kabale'!K28+'Avg Week Kabale-Katuna'!K28</f>
        <v>0</v>
      </c>
      <c r="L28" s="49">
        <f>'Avg Week Katuna-Kabale'!L28+'Avg Week Kabale-Katuna'!L28</f>
        <v>0</v>
      </c>
      <c r="M28" s="49">
        <f>'Avg Week Katuna-Kabale'!M28+'Avg Week Kabale-Katuna'!M28</f>
        <v>14.5</v>
      </c>
      <c r="N28" s="49">
        <f>'Avg Week Katuna-Kabale'!N28+'Avg Week Kabale-Katuna'!N28</f>
        <v>0</v>
      </c>
      <c r="O28" s="15">
        <f t="shared" si="0"/>
        <v>14</v>
      </c>
      <c r="P28" s="15">
        <f t="shared" si="1"/>
        <v>28.5</v>
      </c>
      <c r="R28" s="1" t="s">
        <v>152</v>
      </c>
      <c r="S28" s="34">
        <f>SUM(C82:C85)</f>
        <v>3</v>
      </c>
      <c r="T28" s="34">
        <f t="shared" ref="T28:AF28" si="20">SUM(D82:D85)</f>
        <v>1</v>
      </c>
      <c r="U28" s="34">
        <f t="shared" si="20"/>
        <v>4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6</v>
      </c>
      <c r="AD28" s="34">
        <f t="shared" si="20"/>
        <v>0</v>
      </c>
      <c r="AE28" s="31">
        <f t="shared" si="20"/>
        <v>11</v>
      </c>
      <c r="AF28" s="31">
        <f t="shared" si="20"/>
        <v>17</v>
      </c>
    </row>
    <row r="29" spans="2:32" ht="23.1" customHeight="1" x14ac:dyDescent="0.25">
      <c r="B29" s="23" t="s">
        <v>56</v>
      </c>
      <c r="C29" s="49">
        <f>'Avg Week Katuna-Kabale'!C29+'Avg Week Kabale-Katuna'!C29</f>
        <v>10.5</v>
      </c>
      <c r="D29" s="49">
        <f>'Avg Week Katuna-Kabale'!D29+'Avg Week Kabale-Katuna'!D29</f>
        <v>1</v>
      </c>
      <c r="E29" s="49">
        <f>'Avg Week Katuna-Kabale'!E29+'Avg Week Kabale-Katuna'!E29</f>
        <v>0</v>
      </c>
      <c r="F29" s="49">
        <f>'Avg Week Katuna-Kabale'!F29+'Avg Week Kabale-Katuna'!F29</f>
        <v>0</v>
      </c>
      <c r="G29" s="49">
        <f>'Avg Week Katuna-Kabale'!G29+'Avg Week Kabale-Katuna'!G29</f>
        <v>0</v>
      </c>
      <c r="H29" s="49">
        <f>'Avg Week Katuna-Kabale'!H29+'Avg Week Kabale-Katuna'!H29</f>
        <v>0</v>
      </c>
      <c r="I29" s="49">
        <f>'Avg Week Katuna-Kabale'!I29+'Avg Week Kabale-Katuna'!I29</f>
        <v>1</v>
      </c>
      <c r="J29" s="49">
        <f>'Avg Week Katuna-Kabale'!J29+'Avg Week Kabale-Katuna'!J29</f>
        <v>0.5</v>
      </c>
      <c r="K29" s="49">
        <f>'Avg Week Katuna-Kabale'!K29+'Avg Week Kabale-Katuna'!K29</f>
        <v>0</v>
      </c>
      <c r="L29" s="49">
        <f>'Avg Week Katuna-Kabale'!L29+'Avg Week Kabale-Katuna'!L29</f>
        <v>0</v>
      </c>
      <c r="M29" s="49">
        <f>'Avg Week Katuna-Kabale'!M29+'Avg Week Kabale-Katuna'!M29</f>
        <v>9.5</v>
      </c>
      <c r="N29" s="49">
        <f>'Avg Week Katuna-Kabale'!N29+'Avg Week Kabale-Katuna'!N29</f>
        <v>0</v>
      </c>
      <c r="O29" s="15">
        <f t="shared" si="0"/>
        <v>13</v>
      </c>
      <c r="P29" s="15">
        <f t="shared" si="1"/>
        <v>22.5</v>
      </c>
      <c r="R29" s="1" t="s">
        <v>153</v>
      </c>
      <c r="S29" s="34">
        <f>SUM(C86:C89)</f>
        <v>7</v>
      </c>
      <c r="T29" s="34">
        <f t="shared" ref="T29:AF29" si="21">SUM(D86:D89)</f>
        <v>2</v>
      </c>
      <c r="U29" s="34">
        <f t="shared" si="21"/>
        <v>2</v>
      </c>
      <c r="V29" s="34">
        <f t="shared" si="21"/>
        <v>0</v>
      </c>
      <c r="W29" s="34">
        <f t="shared" si="21"/>
        <v>1</v>
      </c>
      <c r="X29" s="34">
        <f t="shared" si="21"/>
        <v>1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16</v>
      </c>
      <c r="AF29" s="31">
        <f t="shared" si="21"/>
        <v>17</v>
      </c>
    </row>
    <row r="30" spans="2:32" ht="23.1" customHeight="1" x14ac:dyDescent="0.25">
      <c r="B30" s="23" t="s">
        <v>57</v>
      </c>
      <c r="C30" s="49">
        <f>'Avg Week Katuna-Kabale'!C30+'Avg Week Kabale-Katuna'!C30</f>
        <v>5.5</v>
      </c>
      <c r="D30" s="49">
        <f>'Avg Week Katuna-Kabale'!D30+'Avg Week Kabale-Katuna'!D30</f>
        <v>4</v>
      </c>
      <c r="E30" s="49">
        <f>'Avg Week Katuna-Kabale'!E30+'Avg Week Kabale-Katuna'!E30</f>
        <v>0</v>
      </c>
      <c r="F30" s="49">
        <f>'Avg Week Katuna-Kabale'!F30+'Avg Week Kabale-Katuna'!F30</f>
        <v>0</v>
      </c>
      <c r="G30" s="49">
        <f>'Avg Week Katuna-Kabale'!G30+'Avg Week Kabale-Katuna'!G30</f>
        <v>0</v>
      </c>
      <c r="H30" s="49">
        <f>'Avg Week Katuna-Kabale'!H30+'Avg Week Kabale-Katuna'!H30</f>
        <v>1</v>
      </c>
      <c r="I30" s="49">
        <f>'Avg Week Katuna-Kabale'!I30+'Avg Week Kabale-Katuna'!I30</f>
        <v>1</v>
      </c>
      <c r="J30" s="49">
        <f>'Avg Week Katuna-Kabale'!J30+'Avg Week Kabale-Katuna'!J30</f>
        <v>0</v>
      </c>
      <c r="K30" s="49">
        <f>'Avg Week Katuna-Kabale'!K30+'Avg Week Kabale-Katuna'!K30</f>
        <v>0</v>
      </c>
      <c r="L30" s="49">
        <f>'Avg Week Katuna-Kabale'!L30+'Avg Week Kabale-Katuna'!L30</f>
        <v>0</v>
      </c>
      <c r="M30" s="49">
        <f>'Avg Week Katuna-Kabale'!M30+'Avg Week Kabale-Katuna'!M30</f>
        <v>9.5</v>
      </c>
      <c r="N30" s="49">
        <f>'Avg Week Katuna-Kabale'!N30+'Avg Week Kabale-Katuna'!N30</f>
        <v>0</v>
      </c>
      <c r="O30" s="15">
        <f t="shared" si="0"/>
        <v>11.5</v>
      </c>
      <c r="P30" s="15">
        <f t="shared" si="1"/>
        <v>21</v>
      </c>
      <c r="R30" s="1" t="s">
        <v>154</v>
      </c>
      <c r="S30" s="34">
        <f>SUM(C90:C93)</f>
        <v>9</v>
      </c>
      <c r="T30" s="34">
        <f t="shared" ref="T30:AF30" si="22">SUM(D90:D93)</f>
        <v>2</v>
      </c>
      <c r="U30" s="34">
        <f t="shared" si="22"/>
        <v>4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</v>
      </c>
      <c r="AD30" s="34">
        <f t="shared" si="22"/>
        <v>0</v>
      </c>
      <c r="AE30" s="31">
        <f t="shared" si="22"/>
        <v>18</v>
      </c>
      <c r="AF30" s="31">
        <f t="shared" si="22"/>
        <v>21</v>
      </c>
    </row>
    <row r="31" spans="2:32" ht="23.1" customHeight="1" x14ac:dyDescent="0.25">
      <c r="B31" s="24" t="s">
        <v>58</v>
      </c>
      <c r="C31" s="49">
        <f>'Avg Week Katuna-Kabale'!C31+'Avg Week Kabale-Katuna'!C31</f>
        <v>6.5</v>
      </c>
      <c r="D31" s="49">
        <f>'Avg Week Katuna-Kabale'!D31+'Avg Week Kabale-Katuna'!D31</f>
        <v>1</v>
      </c>
      <c r="E31" s="49">
        <f>'Avg Week Katuna-Kabale'!E31+'Avg Week Kabale-Katuna'!E31</f>
        <v>0.5</v>
      </c>
      <c r="F31" s="49">
        <f>'Avg Week Katuna-Kabale'!F31+'Avg Week Kabale-Katuna'!F31</f>
        <v>0</v>
      </c>
      <c r="G31" s="49">
        <f>'Avg Week Katuna-Kabale'!G31+'Avg Week Kabale-Katuna'!G31</f>
        <v>0</v>
      </c>
      <c r="H31" s="49">
        <f>'Avg Week Katuna-Kabale'!H31+'Avg Week Kabale-Katuna'!H31</f>
        <v>0</v>
      </c>
      <c r="I31" s="49">
        <f>'Avg Week Katuna-Kabale'!I31+'Avg Week Kabale-Katuna'!I31</f>
        <v>1.5</v>
      </c>
      <c r="J31" s="49">
        <f>'Avg Week Katuna-Kabale'!J31+'Avg Week Kabale-Katuna'!J31</f>
        <v>0</v>
      </c>
      <c r="K31" s="49">
        <f>'Avg Week Katuna-Kabale'!K31+'Avg Week Kabale-Katuna'!K31</f>
        <v>0</v>
      </c>
      <c r="L31" s="49">
        <f>'Avg Week Katuna-Kabale'!L31+'Avg Week Kabale-Katuna'!L31</f>
        <v>0</v>
      </c>
      <c r="M31" s="49">
        <f>'Avg Week Katuna-Kabale'!M31+'Avg Week Kabale-Katuna'!M31</f>
        <v>15.5</v>
      </c>
      <c r="N31" s="49">
        <f>'Avg Week Katuna-Kabale'!N31+'Avg Week Kabale-Katuna'!N31</f>
        <v>0</v>
      </c>
      <c r="O31" s="15">
        <f t="shared" si="0"/>
        <v>9.5</v>
      </c>
      <c r="P31" s="15">
        <f t="shared" si="1"/>
        <v>25</v>
      </c>
      <c r="R31" s="1" t="s">
        <v>155</v>
      </c>
      <c r="S31" s="34">
        <f>SUM(C94:C97)</f>
        <v>1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0</v>
      </c>
      <c r="W31" s="34">
        <f t="shared" si="23"/>
        <v>2</v>
      </c>
      <c r="X31" s="34">
        <f t="shared" si="23"/>
        <v>0</v>
      </c>
      <c r="Y31" s="34">
        <f t="shared" si="23"/>
        <v>3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5</v>
      </c>
      <c r="AD31" s="34">
        <f t="shared" si="23"/>
        <v>0</v>
      </c>
      <c r="AE31" s="31">
        <f t="shared" si="23"/>
        <v>9</v>
      </c>
      <c r="AF31" s="31">
        <f t="shared" si="23"/>
        <v>14</v>
      </c>
    </row>
    <row r="32" spans="2:32" ht="23.1" customHeight="1" x14ac:dyDescent="0.25">
      <c r="B32" s="24" t="s">
        <v>59</v>
      </c>
      <c r="C32" s="49">
        <f>'Avg Week Katuna-Kabale'!C32+'Avg Week Kabale-Katuna'!C32</f>
        <v>8</v>
      </c>
      <c r="D32" s="49">
        <f>'Avg Week Katuna-Kabale'!D32+'Avg Week Kabale-Katuna'!D32</f>
        <v>2</v>
      </c>
      <c r="E32" s="49">
        <f>'Avg Week Katuna-Kabale'!E32+'Avg Week Kabale-Katuna'!E32</f>
        <v>0.5</v>
      </c>
      <c r="F32" s="49">
        <f>'Avg Week Katuna-Kabale'!F32+'Avg Week Kabale-Katuna'!F32</f>
        <v>0</v>
      </c>
      <c r="G32" s="49">
        <f>'Avg Week Katuna-Kabale'!G32+'Avg Week Kabale-Katuna'!G32</f>
        <v>0</v>
      </c>
      <c r="H32" s="49">
        <f>'Avg Week Katuna-Kabale'!H32+'Avg Week Kabale-Katuna'!H32</f>
        <v>0</v>
      </c>
      <c r="I32" s="49">
        <f>'Avg Week Katuna-Kabale'!I32+'Avg Week Kabale-Katuna'!I32</f>
        <v>1</v>
      </c>
      <c r="J32" s="49">
        <f>'Avg Week Katuna-Kabale'!J32+'Avg Week Kabale-Katuna'!J32</f>
        <v>1</v>
      </c>
      <c r="K32" s="49">
        <f>'Avg Week Katuna-Kabale'!K32+'Avg Week Kabale-Katuna'!K32</f>
        <v>0</v>
      </c>
      <c r="L32" s="49">
        <f>'Avg Week Katuna-Kabale'!L32+'Avg Week Kabale-Katuna'!L32</f>
        <v>0</v>
      </c>
      <c r="M32" s="49">
        <f>'Avg Week Katuna-Kabale'!M32+'Avg Week Kabale-Katuna'!M32</f>
        <v>9.5</v>
      </c>
      <c r="N32" s="49">
        <f>'Avg Week Katuna-Kabale'!N32+'Avg Week Kabale-Katuna'!N32</f>
        <v>0</v>
      </c>
      <c r="O32" s="15">
        <f t="shared" si="0"/>
        <v>12.5</v>
      </c>
      <c r="P32" s="15">
        <f t="shared" si="1"/>
        <v>22</v>
      </c>
      <c r="R32" s="1" t="s">
        <v>156</v>
      </c>
      <c r="S32" s="34">
        <f>SUM(C98:C101)</f>
        <v>6</v>
      </c>
      <c r="T32" s="34">
        <f t="shared" ref="T32:AF32" si="24">SUM(D98:D101)</f>
        <v>4</v>
      </c>
      <c r="U32" s="34">
        <f t="shared" si="24"/>
        <v>1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7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7</v>
      </c>
      <c r="AD32" s="34">
        <f t="shared" si="24"/>
        <v>0</v>
      </c>
      <c r="AE32" s="31">
        <f t="shared" si="24"/>
        <v>21</v>
      </c>
      <c r="AF32" s="31">
        <f t="shared" si="24"/>
        <v>28</v>
      </c>
    </row>
    <row r="33" spans="2:32" ht="23.1" customHeight="1" x14ac:dyDescent="0.25">
      <c r="B33" s="23" t="s">
        <v>60</v>
      </c>
      <c r="C33" s="49">
        <f>'Avg Week Katuna-Kabale'!C33+'Avg Week Kabale-Katuna'!C33</f>
        <v>5</v>
      </c>
      <c r="D33" s="49">
        <f>'Avg Week Katuna-Kabale'!D33+'Avg Week Kabale-Katuna'!D33</f>
        <v>0</v>
      </c>
      <c r="E33" s="49">
        <f>'Avg Week Katuna-Kabale'!E33+'Avg Week Kabale-Katuna'!E33</f>
        <v>0</v>
      </c>
      <c r="F33" s="49">
        <f>'Avg Week Katuna-Kabale'!F33+'Avg Week Kabale-Katuna'!F33</f>
        <v>0</v>
      </c>
      <c r="G33" s="49">
        <f>'Avg Week Katuna-Kabale'!G33+'Avg Week Kabale-Katuna'!G33</f>
        <v>0</v>
      </c>
      <c r="H33" s="49">
        <f>'Avg Week Katuna-Kabale'!H33+'Avg Week Kabale-Katuna'!H33</f>
        <v>1</v>
      </c>
      <c r="I33" s="49">
        <f>'Avg Week Katuna-Kabale'!I33+'Avg Week Kabale-Katuna'!I33</f>
        <v>1.5</v>
      </c>
      <c r="J33" s="49">
        <f>'Avg Week Katuna-Kabale'!J33+'Avg Week Kabale-Katuna'!J33</f>
        <v>0</v>
      </c>
      <c r="K33" s="49">
        <f>'Avg Week Katuna-Kabale'!K33+'Avg Week Kabale-Katuna'!K33</f>
        <v>0</v>
      </c>
      <c r="L33" s="49">
        <f>'Avg Week Katuna-Kabale'!L33+'Avg Week Kabale-Katuna'!L33</f>
        <v>0</v>
      </c>
      <c r="M33" s="49">
        <f>'Avg Week Katuna-Kabale'!M33+'Avg Week Kabale-Katuna'!M33</f>
        <v>11.5</v>
      </c>
      <c r="N33" s="49">
        <f>'Avg Week Katuna-Kabale'!N33+'Avg Week Kabale-Katuna'!N33</f>
        <v>0</v>
      </c>
      <c r="O33" s="15">
        <f t="shared" si="0"/>
        <v>7.5</v>
      </c>
      <c r="P33" s="15">
        <f t="shared" si="1"/>
        <v>19</v>
      </c>
      <c r="R33" s="1" t="s">
        <v>157</v>
      </c>
      <c r="S33" s="34">
        <f>SUM(C102:C105)</f>
        <v>8</v>
      </c>
      <c r="T33" s="34">
        <f t="shared" ref="T33:AF33" si="25">SUM(D102:D105)</f>
        <v>6</v>
      </c>
      <c r="U33" s="34">
        <f t="shared" si="25"/>
        <v>4</v>
      </c>
      <c r="V33" s="34">
        <f t="shared" si="25"/>
        <v>3</v>
      </c>
      <c r="W33" s="34">
        <f t="shared" si="25"/>
        <v>2</v>
      </c>
      <c r="X33" s="34">
        <f t="shared" si="25"/>
        <v>0</v>
      </c>
      <c r="Y33" s="34">
        <f t="shared" si="25"/>
        <v>7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17</v>
      </c>
      <c r="AD33" s="34">
        <f t="shared" si="25"/>
        <v>0</v>
      </c>
      <c r="AE33" s="31">
        <f t="shared" si="25"/>
        <v>30</v>
      </c>
      <c r="AF33" s="31">
        <f t="shared" si="25"/>
        <v>47</v>
      </c>
    </row>
    <row r="34" spans="2:32" ht="23.1" customHeight="1" x14ac:dyDescent="0.25">
      <c r="B34" s="24" t="s">
        <v>61</v>
      </c>
      <c r="C34" s="49">
        <f>'Avg Week Katuna-Kabale'!C34+'Avg Week Kabale-Katuna'!C34</f>
        <v>6</v>
      </c>
      <c r="D34" s="49">
        <f>'Avg Week Katuna-Kabale'!D34+'Avg Week Kabale-Katuna'!D34</f>
        <v>0.5</v>
      </c>
      <c r="E34" s="49">
        <f>'Avg Week Katuna-Kabale'!E34+'Avg Week Kabale-Katuna'!E34</f>
        <v>0</v>
      </c>
      <c r="F34" s="49">
        <f>'Avg Week Katuna-Kabale'!F34+'Avg Week Kabale-Katuna'!F34</f>
        <v>0</v>
      </c>
      <c r="G34" s="49">
        <f>'Avg Week Katuna-Kabale'!G34+'Avg Week Kabale-Katuna'!G34</f>
        <v>0</v>
      </c>
      <c r="H34" s="49">
        <f>'Avg Week Katuna-Kabale'!H34+'Avg Week Kabale-Katuna'!H34</f>
        <v>0</v>
      </c>
      <c r="I34" s="49">
        <f>'Avg Week Katuna-Kabale'!I34+'Avg Week Kabale-Katuna'!I34</f>
        <v>0</v>
      </c>
      <c r="J34" s="49">
        <f>'Avg Week Katuna-Kabale'!J34+'Avg Week Kabale-Katuna'!J34</f>
        <v>0</v>
      </c>
      <c r="K34" s="49">
        <f>'Avg Week Katuna-Kabale'!K34+'Avg Week Kabale-Katuna'!K34</f>
        <v>0</v>
      </c>
      <c r="L34" s="49">
        <f>'Avg Week Katuna-Kabale'!L34+'Avg Week Kabale-Katuna'!L34</f>
        <v>0</v>
      </c>
      <c r="M34" s="49">
        <f>'Avg Week Katuna-Kabale'!M34+'Avg Week Kabale-Katuna'!M34</f>
        <v>11.5</v>
      </c>
      <c r="N34" s="49">
        <f>'Avg Week Katuna-Kabale'!N34+'Avg Week Kabale-Katuna'!N34</f>
        <v>0</v>
      </c>
      <c r="O34" s="15">
        <f t="shared" si="0"/>
        <v>6.5</v>
      </c>
      <c r="P34" s="15">
        <f t="shared" si="1"/>
        <v>18</v>
      </c>
      <c r="R34" s="51" t="s">
        <v>90</v>
      </c>
      <c r="S34" s="52">
        <f t="shared" ref="S34:AF34" si="26">MAX(S10:S12)</f>
        <v>24</v>
      </c>
      <c r="T34" s="52">
        <f t="shared" si="26"/>
        <v>1.5</v>
      </c>
      <c r="U34" s="52">
        <f t="shared" si="26"/>
        <v>4.5</v>
      </c>
      <c r="V34" s="52">
        <f t="shared" si="26"/>
        <v>1.5</v>
      </c>
      <c r="W34" s="52">
        <f t="shared" si="26"/>
        <v>1.5</v>
      </c>
      <c r="X34" s="52">
        <f t="shared" si="26"/>
        <v>0.5</v>
      </c>
      <c r="Y34" s="52">
        <f t="shared" si="26"/>
        <v>7.5</v>
      </c>
      <c r="Z34" s="52">
        <f t="shared" si="26"/>
        <v>0.5</v>
      </c>
      <c r="AA34" s="52">
        <f t="shared" si="26"/>
        <v>0</v>
      </c>
      <c r="AB34" s="52">
        <f t="shared" si="26"/>
        <v>0</v>
      </c>
      <c r="AC34" s="52">
        <f t="shared" si="26"/>
        <v>55.5</v>
      </c>
      <c r="AD34" s="52">
        <f t="shared" si="26"/>
        <v>0</v>
      </c>
      <c r="AE34" s="40">
        <f t="shared" si="26"/>
        <v>39</v>
      </c>
      <c r="AF34" s="40">
        <f t="shared" si="26"/>
        <v>94.5</v>
      </c>
    </row>
    <row r="35" spans="2:32" ht="23.1" customHeight="1" x14ac:dyDescent="0.25">
      <c r="B35" s="24" t="s">
        <v>62</v>
      </c>
      <c r="C35" s="49">
        <f>'Avg Week Katuna-Kabale'!C35+'Avg Week Kabale-Katuna'!C35</f>
        <v>7</v>
      </c>
      <c r="D35" s="49">
        <f>'Avg Week Katuna-Kabale'!D35+'Avg Week Kabale-Katuna'!D35</f>
        <v>1</v>
      </c>
      <c r="E35" s="49">
        <f>'Avg Week Katuna-Kabale'!E35+'Avg Week Kabale-Katuna'!E35</f>
        <v>0.5</v>
      </c>
      <c r="F35" s="49">
        <f>'Avg Week Katuna-Kabale'!F35+'Avg Week Kabale-Katuna'!F35</f>
        <v>0</v>
      </c>
      <c r="G35" s="49">
        <f>'Avg Week Katuna-Kabale'!G35+'Avg Week Kabale-Katuna'!G35</f>
        <v>0</v>
      </c>
      <c r="H35" s="49">
        <f>'Avg Week Katuna-Kabale'!H35+'Avg Week Kabale-Katuna'!H35</f>
        <v>0</v>
      </c>
      <c r="I35" s="49">
        <f>'Avg Week Katuna-Kabale'!I35+'Avg Week Kabale-Katuna'!I35</f>
        <v>1</v>
      </c>
      <c r="J35" s="49">
        <f>'Avg Week Katuna-Kabale'!J35+'Avg Week Kabale-Katuna'!J35</f>
        <v>0</v>
      </c>
      <c r="K35" s="49">
        <f>'Avg Week Katuna-Kabale'!K35+'Avg Week Kabale-Katuna'!K35</f>
        <v>0</v>
      </c>
      <c r="L35" s="49">
        <f>'Avg Week Katuna-Kabale'!L35+'Avg Week Kabale-Katuna'!L35</f>
        <v>0</v>
      </c>
      <c r="M35" s="49">
        <f>'Avg Week Katuna-Kabale'!M35+'Avg Week Kabale-Katuna'!M35</f>
        <v>11</v>
      </c>
      <c r="N35" s="49">
        <f>'Avg Week Katuna-Kabale'!N35+'Avg Week Kabale-Katuna'!N35</f>
        <v>0</v>
      </c>
      <c r="O35" s="15">
        <f t="shared" si="0"/>
        <v>9.5</v>
      </c>
      <c r="P35" s="15">
        <f t="shared" si="1"/>
        <v>20.5</v>
      </c>
      <c r="R35" s="51" t="s">
        <v>91</v>
      </c>
      <c r="S35" s="52">
        <f t="shared" ref="S35:AF35" si="27">MAX(S13:S18)</f>
        <v>29.5</v>
      </c>
      <c r="T35" s="52">
        <f t="shared" si="27"/>
        <v>7</v>
      </c>
      <c r="U35" s="52">
        <f t="shared" si="27"/>
        <v>4</v>
      </c>
      <c r="V35" s="52">
        <f t="shared" si="27"/>
        <v>3.5</v>
      </c>
      <c r="W35" s="52">
        <f t="shared" si="27"/>
        <v>1</v>
      </c>
      <c r="X35" s="52">
        <f t="shared" si="27"/>
        <v>2</v>
      </c>
      <c r="Y35" s="52">
        <f t="shared" si="27"/>
        <v>7.5</v>
      </c>
      <c r="Z35" s="52">
        <f t="shared" si="27"/>
        <v>1</v>
      </c>
      <c r="AA35" s="52">
        <f t="shared" si="27"/>
        <v>0</v>
      </c>
      <c r="AB35" s="52">
        <f t="shared" si="27"/>
        <v>0</v>
      </c>
      <c r="AC35" s="52">
        <f t="shared" si="27"/>
        <v>54</v>
      </c>
      <c r="AD35" s="52">
        <f t="shared" si="27"/>
        <v>0</v>
      </c>
      <c r="AE35" s="40">
        <f t="shared" si="27"/>
        <v>44.5</v>
      </c>
      <c r="AF35" s="40">
        <f t="shared" si="27"/>
        <v>98.5</v>
      </c>
    </row>
    <row r="36" spans="2:32" ht="23.1" customHeight="1" x14ac:dyDescent="0.25">
      <c r="B36" s="24" t="s">
        <v>63</v>
      </c>
      <c r="C36" s="49">
        <f>'Avg Week Katuna-Kabale'!C36+'Avg Week Kabale-Katuna'!C36</f>
        <v>7.5</v>
      </c>
      <c r="D36" s="49">
        <f>'Avg Week Katuna-Kabale'!D36+'Avg Week Kabale-Katuna'!D36</f>
        <v>0</v>
      </c>
      <c r="E36" s="49">
        <f>'Avg Week Katuna-Kabale'!E36+'Avg Week Kabale-Katuna'!E36</f>
        <v>0.5</v>
      </c>
      <c r="F36" s="49">
        <f>'Avg Week Katuna-Kabale'!F36+'Avg Week Kabale-Katuna'!F36</f>
        <v>1</v>
      </c>
      <c r="G36" s="49">
        <f>'Avg Week Katuna-Kabale'!G36+'Avg Week Kabale-Katuna'!G36</f>
        <v>1</v>
      </c>
      <c r="H36" s="49">
        <f>'Avg Week Katuna-Kabale'!H36+'Avg Week Kabale-Katuna'!H36</f>
        <v>0</v>
      </c>
      <c r="I36" s="49">
        <f>'Avg Week Katuna-Kabale'!I36+'Avg Week Kabale-Katuna'!I36</f>
        <v>0.5</v>
      </c>
      <c r="J36" s="49">
        <f>'Avg Week Katuna-Kabale'!J36+'Avg Week Kabale-Katuna'!J36</f>
        <v>0</v>
      </c>
      <c r="K36" s="49">
        <f>'Avg Week Katuna-Kabale'!K36+'Avg Week Kabale-Katuna'!K36</f>
        <v>0</v>
      </c>
      <c r="L36" s="49">
        <f>'Avg Week Katuna-Kabale'!L36+'Avg Week Kabale-Katuna'!L36</f>
        <v>0</v>
      </c>
      <c r="M36" s="49">
        <f>'Avg Week Katuna-Kabale'!M36+'Avg Week Kabale-Katuna'!M36</f>
        <v>16</v>
      </c>
      <c r="N36" s="49">
        <f>'Avg Week Katuna-Kabale'!N36+'Avg Week Kabale-Katuna'!N36</f>
        <v>0</v>
      </c>
      <c r="O36" s="15">
        <f t="shared" si="0"/>
        <v>10.5</v>
      </c>
      <c r="P36" s="15">
        <f t="shared" si="1"/>
        <v>26.5</v>
      </c>
      <c r="R36" s="51" t="s">
        <v>92</v>
      </c>
      <c r="S36" s="52">
        <f t="shared" ref="S36:AF36" si="28">MAX(S19:S21)</f>
        <v>35</v>
      </c>
      <c r="T36" s="52">
        <f t="shared" si="28"/>
        <v>5.5</v>
      </c>
      <c r="U36" s="52">
        <f t="shared" si="28"/>
        <v>2.5</v>
      </c>
      <c r="V36" s="52">
        <f t="shared" si="28"/>
        <v>2</v>
      </c>
      <c r="W36" s="52">
        <f t="shared" si="28"/>
        <v>0</v>
      </c>
      <c r="X36" s="52">
        <f t="shared" si="28"/>
        <v>1.5</v>
      </c>
      <c r="Y36" s="52">
        <f t="shared" si="28"/>
        <v>7.5</v>
      </c>
      <c r="Z36" s="52">
        <f t="shared" si="28"/>
        <v>0</v>
      </c>
      <c r="AA36" s="52">
        <f t="shared" si="28"/>
        <v>0</v>
      </c>
      <c r="AB36" s="52">
        <f t="shared" si="28"/>
        <v>0</v>
      </c>
      <c r="AC36" s="52">
        <f t="shared" si="28"/>
        <v>67.5</v>
      </c>
      <c r="AD36" s="52">
        <f t="shared" si="28"/>
        <v>0</v>
      </c>
      <c r="AE36" s="40">
        <f t="shared" si="28"/>
        <v>51</v>
      </c>
      <c r="AF36" s="40">
        <f t="shared" si="28"/>
        <v>107</v>
      </c>
    </row>
    <row r="37" spans="2:32" ht="23.1" customHeight="1" x14ac:dyDescent="0.25">
      <c r="B37" s="23" t="s">
        <v>64</v>
      </c>
      <c r="C37" s="49">
        <f>'Avg Week Katuna-Kabale'!C37+'Avg Week Kabale-Katuna'!C37</f>
        <v>2.5</v>
      </c>
      <c r="D37" s="49">
        <f>'Avg Week Katuna-Kabale'!D37+'Avg Week Kabale-Katuna'!D37</f>
        <v>1.5</v>
      </c>
      <c r="E37" s="49">
        <f>'Avg Week Katuna-Kabale'!E37+'Avg Week Kabale-Katuna'!E37</f>
        <v>1</v>
      </c>
      <c r="F37" s="49">
        <f>'Avg Week Katuna-Kabale'!F37+'Avg Week Kabale-Katuna'!F37</f>
        <v>0</v>
      </c>
      <c r="G37" s="49">
        <f>'Avg Week Katuna-Kabale'!G37+'Avg Week Kabale-Katuna'!G37</f>
        <v>0</v>
      </c>
      <c r="H37" s="49">
        <f>'Avg Week Katuna-Kabale'!H37+'Avg Week Kabale-Katuna'!H37</f>
        <v>0</v>
      </c>
      <c r="I37" s="49">
        <f>'Avg Week Katuna-Kabale'!I37+'Avg Week Kabale-Katuna'!I37</f>
        <v>1.5</v>
      </c>
      <c r="J37" s="49">
        <f>'Avg Week Katuna-Kabale'!J37+'Avg Week Kabale-Katuna'!J37</f>
        <v>0</v>
      </c>
      <c r="K37" s="49">
        <f>'Avg Week Katuna-Kabale'!K37+'Avg Week Kabale-Katuna'!K37</f>
        <v>0</v>
      </c>
      <c r="L37" s="49">
        <f>'Avg Week Katuna-Kabale'!L37+'Avg Week Kabale-Katuna'!L37</f>
        <v>0</v>
      </c>
      <c r="M37" s="49">
        <f>'Avg Week Katuna-Kabale'!M37+'Avg Week Kabale-Katuna'!M37</f>
        <v>9.5</v>
      </c>
      <c r="N37" s="49">
        <f>'Avg Week Katuna-Kabale'!N37+'Avg Week Kabale-Katuna'!N37</f>
        <v>0</v>
      </c>
      <c r="O37" s="15">
        <f t="shared" si="0"/>
        <v>6.5</v>
      </c>
      <c r="P37" s="15">
        <f t="shared" si="1"/>
        <v>16</v>
      </c>
      <c r="R37" s="37" t="s">
        <v>85</v>
      </c>
      <c r="S37" s="53">
        <f t="shared" ref="S37:AF37" si="29">SUM(S10:S12)</f>
        <v>59</v>
      </c>
      <c r="T37" s="54">
        <f t="shared" si="29"/>
        <v>3.5</v>
      </c>
      <c r="U37" s="54">
        <f t="shared" si="29"/>
        <v>7.5</v>
      </c>
      <c r="V37" s="54">
        <f t="shared" si="29"/>
        <v>2.5</v>
      </c>
      <c r="W37" s="54">
        <f t="shared" si="29"/>
        <v>2</v>
      </c>
      <c r="X37" s="54">
        <f t="shared" si="29"/>
        <v>0.5</v>
      </c>
      <c r="Y37" s="54">
        <f t="shared" si="29"/>
        <v>12</v>
      </c>
      <c r="Z37" s="54">
        <f t="shared" si="29"/>
        <v>0.5</v>
      </c>
      <c r="AA37" s="54">
        <f t="shared" si="29"/>
        <v>0</v>
      </c>
      <c r="AB37" s="54">
        <f t="shared" si="29"/>
        <v>0</v>
      </c>
      <c r="AC37" s="54">
        <f t="shared" si="29"/>
        <v>118</v>
      </c>
      <c r="AD37" s="54">
        <f t="shared" si="29"/>
        <v>0</v>
      </c>
      <c r="AE37" s="55">
        <f t="shared" si="29"/>
        <v>87.5</v>
      </c>
      <c r="AF37" s="55">
        <f t="shared" si="29"/>
        <v>205.5</v>
      </c>
    </row>
    <row r="38" spans="2:32" ht="23.1" customHeight="1" x14ac:dyDescent="0.25">
      <c r="B38" s="24" t="s">
        <v>65</v>
      </c>
      <c r="C38" s="49">
        <f>'Avg Week Katuna-Kabale'!C38+'Avg Week Kabale-Katuna'!C38</f>
        <v>4.5</v>
      </c>
      <c r="D38" s="49">
        <f>'Avg Week Katuna-Kabale'!D38+'Avg Week Kabale-Katuna'!D38</f>
        <v>0</v>
      </c>
      <c r="E38" s="49">
        <f>'Avg Week Katuna-Kabale'!E38+'Avg Week Kabale-Katuna'!E38</f>
        <v>1.5</v>
      </c>
      <c r="F38" s="49">
        <f>'Avg Week Katuna-Kabale'!F38+'Avg Week Kabale-Katuna'!F38</f>
        <v>0.5</v>
      </c>
      <c r="G38" s="49">
        <f>'Avg Week Katuna-Kabale'!G38+'Avg Week Kabale-Katuna'!G38</f>
        <v>0</v>
      </c>
      <c r="H38" s="49">
        <f>'Avg Week Katuna-Kabale'!H38+'Avg Week Kabale-Katuna'!H38</f>
        <v>0</v>
      </c>
      <c r="I38" s="49">
        <f>'Avg Week Katuna-Kabale'!I38+'Avg Week Kabale-Katuna'!I38</f>
        <v>2.5</v>
      </c>
      <c r="J38" s="49">
        <f>'Avg Week Katuna-Kabale'!J38+'Avg Week Kabale-Katuna'!J38</f>
        <v>0.5</v>
      </c>
      <c r="K38" s="49">
        <f>'Avg Week Katuna-Kabale'!K38+'Avg Week Kabale-Katuna'!K38</f>
        <v>0</v>
      </c>
      <c r="L38" s="49">
        <f>'Avg Week Katuna-Kabale'!L38+'Avg Week Kabale-Katuna'!L38</f>
        <v>0</v>
      </c>
      <c r="M38" s="49">
        <f>'Avg Week Katuna-Kabale'!M38+'Avg Week Kabale-Katuna'!M38</f>
        <v>10.5</v>
      </c>
      <c r="N38" s="49">
        <f>'Avg Week Katuna-Kabale'!N38+'Avg Week Kabale-Katuna'!N38</f>
        <v>0</v>
      </c>
      <c r="O38" s="15">
        <f t="shared" si="0"/>
        <v>9.5</v>
      </c>
      <c r="P38" s="15">
        <f t="shared" si="1"/>
        <v>20</v>
      </c>
      <c r="R38" s="28" t="s">
        <v>86</v>
      </c>
      <c r="S38" s="54">
        <f t="shared" ref="S38:AF38" si="30">SUM(S13:S18)</f>
        <v>156.5</v>
      </c>
      <c r="T38" s="54">
        <f t="shared" si="30"/>
        <v>23</v>
      </c>
      <c r="U38" s="54">
        <f t="shared" si="30"/>
        <v>14.5</v>
      </c>
      <c r="V38" s="54">
        <f t="shared" si="30"/>
        <v>9</v>
      </c>
      <c r="W38" s="54">
        <f t="shared" si="30"/>
        <v>2</v>
      </c>
      <c r="X38" s="54">
        <f t="shared" si="30"/>
        <v>3.5</v>
      </c>
      <c r="Y38" s="54">
        <f t="shared" si="30"/>
        <v>30</v>
      </c>
      <c r="Z38" s="54">
        <f t="shared" si="30"/>
        <v>3</v>
      </c>
      <c r="AA38" s="54">
        <f t="shared" si="30"/>
        <v>0</v>
      </c>
      <c r="AB38" s="54">
        <f t="shared" si="30"/>
        <v>0</v>
      </c>
      <c r="AC38" s="54">
        <f t="shared" si="30"/>
        <v>264.5</v>
      </c>
      <c r="AD38" s="54">
        <f t="shared" si="30"/>
        <v>0</v>
      </c>
      <c r="AE38" s="55">
        <f t="shared" si="30"/>
        <v>241.5</v>
      </c>
      <c r="AF38" s="55">
        <f t="shared" si="30"/>
        <v>506</v>
      </c>
    </row>
    <row r="39" spans="2:32" ht="23.1" customHeight="1" x14ac:dyDescent="0.25">
      <c r="B39" s="24" t="s">
        <v>66</v>
      </c>
      <c r="C39" s="49">
        <f>'Avg Week Katuna-Kabale'!C39+'Avg Week Kabale-Katuna'!C39</f>
        <v>7.5</v>
      </c>
      <c r="D39" s="49">
        <f>'Avg Week Katuna-Kabale'!D39+'Avg Week Kabale-Katuna'!D39</f>
        <v>1</v>
      </c>
      <c r="E39" s="49">
        <f>'Avg Week Katuna-Kabale'!E39+'Avg Week Kabale-Katuna'!E39</f>
        <v>1</v>
      </c>
      <c r="F39" s="49">
        <f>'Avg Week Katuna-Kabale'!F39+'Avg Week Kabale-Katuna'!F39</f>
        <v>0</v>
      </c>
      <c r="G39" s="49">
        <f>'Avg Week Katuna-Kabale'!G39+'Avg Week Kabale-Katuna'!G39</f>
        <v>0</v>
      </c>
      <c r="H39" s="49">
        <f>'Avg Week Katuna-Kabale'!H39+'Avg Week Kabale-Katuna'!H39</f>
        <v>0</v>
      </c>
      <c r="I39" s="49">
        <f>'Avg Week Katuna-Kabale'!I39+'Avg Week Kabale-Katuna'!I39</f>
        <v>0</v>
      </c>
      <c r="J39" s="49">
        <f>'Avg Week Katuna-Kabale'!J39+'Avg Week Kabale-Katuna'!J39</f>
        <v>0</v>
      </c>
      <c r="K39" s="49">
        <f>'Avg Week Katuna-Kabale'!K39+'Avg Week Kabale-Katuna'!K39</f>
        <v>0</v>
      </c>
      <c r="L39" s="49">
        <f>'Avg Week Katuna-Kabale'!L39+'Avg Week Kabale-Katuna'!L39</f>
        <v>0</v>
      </c>
      <c r="M39" s="49">
        <f>'Avg Week Katuna-Kabale'!M39+'Avg Week Kabale-Katuna'!M39</f>
        <v>8.5</v>
      </c>
      <c r="N39" s="49">
        <f>'Avg Week Katuna-Kabale'!N39+'Avg Week Kabale-Katuna'!N39</f>
        <v>0</v>
      </c>
      <c r="O39" s="15">
        <f t="shared" si="0"/>
        <v>9.5</v>
      </c>
      <c r="P39" s="15">
        <f t="shared" si="1"/>
        <v>18</v>
      </c>
      <c r="R39" s="29" t="s">
        <v>87</v>
      </c>
      <c r="S39" s="54">
        <f t="shared" ref="S39:AF39" si="31">SUM(S19:S21)</f>
        <v>78</v>
      </c>
      <c r="T39" s="54">
        <f t="shared" si="31"/>
        <v>11</v>
      </c>
      <c r="U39" s="54">
        <f t="shared" si="31"/>
        <v>4.5</v>
      </c>
      <c r="V39" s="54">
        <f t="shared" si="31"/>
        <v>3</v>
      </c>
      <c r="W39" s="54">
        <f t="shared" si="31"/>
        <v>0</v>
      </c>
      <c r="X39" s="54">
        <f t="shared" si="31"/>
        <v>2.5</v>
      </c>
      <c r="Y39" s="54">
        <f t="shared" si="31"/>
        <v>18</v>
      </c>
      <c r="Z39" s="54">
        <f t="shared" si="31"/>
        <v>0</v>
      </c>
      <c r="AA39" s="54">
        <f t="shared" si="31"/>
        <v>0</v>
      </c>
      <c r="AB39" s="54">
        <f t="shared" si="31"/>
        <v>0</v>
      </c>
      <c r="AC39" s="54">
        <f t="shared" si="31"/>
        <v>167</v>
      </c>
      <c r="AD39" s="54">
        <f t="shared" si="31"/>
        <v>0</v>
      </c>
      <c r="AE39" s="55">
        <f t="shared" si="31"/>
        <v>117</v>
      </c>
      <c r="AF39" s="55">
        <f t="shared" si="31"/>
        <v>284</v>
      </c>
    </row>
    <row r="40" spans="2:32" ht="23.1" customHeight="1" x14ac:dyDescent="0.25">
      <c r="B40" s="24" t="s">
        <v>67</v>
      </c>
      <c r="C40" s="49">
        <f>'Avg Week Katuna-Kabale'!C40+'Avg Week Kabale-Katuna'!C40</f>
        <v>10</v>
      </c>
      <c r="D40" s="49">
        <f>'Avg Week Katuna-Kabale'!D40+'Avg Week Kabale-Katuna'!D40</f>
        <v>0</v>
      </c>
      <c r="E40" s="49">
        <f>'Avg Week Katuna-Kabale'!E40+'Avg Week Kabale-Katuna'!E40</f>
        <v>0</v>
      </c>
      <c r="F40" s="49">
        <f>'Avg Week Katuna-Kabale'!F40+'Avg Week Kabale-Katuna'!F40</f>
        <v>0</v>
      </c>
      <c r="G40" s="49">
        <f>'Avg Week Katuna-Kabale'!G40+'Avg Week Kabale-Katuna'!G40</f>
        <v>0</v>
      </c>
      <c r="H40" s="49">
        <f>'Avg Week Katuna-Kabale'!H40+'Avg Week Kabale-Katuna'!H40</f>
        <v>0</v>
      </c>
      <c r="I40" s="49">
        <f>'Avg Week Katuna-Kabale'!I40+'Avg Week Kabale-Katuna'!I40</f>
        <v>2.5</v>
      </c>
      <c r="J40" s="49">
        <f>'Avg Week Katuna-Kabale'!J40+'Avg Week Kabale-Katuna'!J40</f>
        <v>0</v>
      </c>
      <c r="K40" s="49">
        <f>'Avg Week Katuna-Kabale'!K40+'Avg Week Kabale-Katuna'!K40</f>
        <v>0</v>
      </c>
      <c r="L40" s="49">
        <f>'Avg Week Katuna-Kabale'!L40+'Avg Week Kabale-Katuna'!L40</f>
        <v>0</v>
      </c>
      <c r="M40" s="49">
        <f>'Avg Week Katuna-Kabale'!M40+'Avg Week Kabale-Katuna'!M40</f>
        <v>12</v>
      </c>
      <c r="N40" s="49">
        <f>'Avg Week Katuna-Kabale'!N40+'Avg Week Kabale-Katuna'!N40</f>
        <v>0</v>
      </c>
      <c r="O40" s="15">
        <f t="shared" si="0"/>
        <v>12.5</v>
      </c>
      <c r="P40" s="15">
        <f t="shared" si="1"/>
        <v>24.5</v>
      </c>
      <c r="R40" s="5" t="s">
        <v>17</v>
      </c>
      <c r="S40" s="54">
        <f t="shared" ref="S40:AF40" si="32">SUM(S10:S21)</f>
        <v>293.5</v>
      </c>
      <c r="T40" s="54">
        <f t="shared" si="32"/>
        <v>37.5</v>
      </c>
      <c r="U40" s="54">
        <f t="shared" si="32"/>
        <v>26.5</v>
      </c>
      <c r="V40" s="54">
        <f t="shared" si="32"/>
        <v>14.5</v>
      </c>
      <c r="W40" s="54">
        <f t="shared" si="32"/>
        <v>4</v>
      </c>
      <c r="X40" s="54">
        <f t="shared" si="32"/>
        <v>6.5</v>
      </c>
      <c r="Y40" s="54">
        <f t="shared" si="32"/>
        <v>60</v>
      </c>
      <c r="Z40" s="54">
        <f t="shared" si="32"/>
        <v>3.5</v>
      </c>
      <c r="AA40" s="54">
        <f t="shared" si="32"/>
        <v>0</v>
      </c>
      <c r="AB40" s="54">
        <f t="shared" si="32"/>
        <v>0</v>
      </c>
      <c r="AC40" s="54">
        <f t="shared" si="32"/>
        <v>549.5</v>
      </c>
      <c r="AD40" s="54">
        <f t="shared" si="32"/>
        <v>0</v>
      </c>
      <c r="AE40" s="55">
        <f t="shared" si="32"/>
        <v>446</v>
      </c>
      <c r="AF40" s="55">
        <f t="shared" si="32"/>
        <v>995.5</v>
      </c>
    </row>
    <row r="41" spans="2:32" ht="23.1" customHeight="1" x14ac:dyDescent="0.25">
      <c r="B41" s="23" t="s">
        <v>68</v>
      </c>
      <c r="C41" s="49">
        <f>'Avg Week Katuna-Kabale'!C41+'Avg Week Kabale-Katuna'!C41</f>
        <v>5.5</v>
      </c>
      <c r="D41" s="49">
        <f>'Avg Week Katuna-Kabale'!D41+'Avg Week Kabale-Katuna'!D41</f>
        <v>0.5</v>
      </c>
      <c r="E41" s="49">
        <f>'Avg Week Katuna-Kabale'!E41+'Avg Week Kabale-Katuna'!E41</f>
        <v>1</v>
      </c>
      <c r="F41" s="49">
        <f>'Avg Week Katuna-Kabale'!F41+'Avg Week Kabale-Katuna'!F41</f>
        <v>0.5</v>
      </c>
      <c r="G41" s="49">
        <f>'Avg Week Katuna-Kabale'!G41+'Avg Week Kabale-Katuna'!G41</f>
        <v>0</v>
      </c>
      <c r="H41" s="49">
        <f>'Avg Week Katuna-Kabale'!H41+'Avg Week Kabale-Katuna'!H41</f>
        <v>0</v>
      </c>
      <c r="I41" s="49">
        <f>'Avg Week Katuna-Kabale'!I41+'Avg Week Kabale-Katuna'!I41</f>
        <v>1</v>
      </c>
      <c r="J41" s="49">
        <f>'Avg Week Katuna-Kabale'!J41+'Avg Week Kabale-Katuna'!J41</f>
        <v>0</v>
      </c>
      <c r="K41" s="49">
        <f>'Avg Week Katuna-Kabale'!K41+'Avg Week Kabale-Katuna'!K41</f>
        <v>0</v>
      </c>
      <c r="L41" s="49">
        <f>'Avg Week Katuna-Kabale'!L41+'Avg Week Kabale-Katuna'!L41</f>
        <v>0</v>
      </c>
      <c r="M41" s="49">
        <f>'Avg Week Katuna-Kabale'!M41+'Avg Week Kabale-Katuna'!M41</f>
        <v>6.5</v>
      </c>
      <c r="N41" s="49">
        <f>'Avg Week Katuna-Kabale'!N41+'Avg Week Kabale-Katuna'!N41</f>
        <v>0</v>
      </c>
      <c r="O41" s="15">
        <f t="shared" si="0"/>
        <v>8.5</v>
      </c>
      <c r="P41" s="15">
        <f t="shared" si="1"/>
        <v>15</v>
      </c>
      <c r="R41" s="5" t="s">
        <v>180</v>
      </c>
      <c r="S41" s="54">
        <f>SUM(S10:S33)</f>
        <v>421.5</v>
      </c>
      <c r="T41" s="54">
        <f t="shared" ref="T41:AD41" si="33">SUM(T10:T33)</f>
        <v>75.5</v>
      </c>
      <c r="U41" s="54">
        <f t="shared" si="33"/>
        <v>53.5</v>
      </c>
      <c r="V41" s="54">
        <f t="shared" si="33"/>
        <v>29.5</v>
      </c>
      <c r="W41" s="54">
        <f t="shared" si="33"/>
        <v>10</v>
      </c>
      <c r="X41" s="54">
        <f t="shared" si="33"/>
        <v>9.5</v>
      </c>
      <c r="Y41" s="54">
        <f t="shared" si="33"/>
        <v>96</v>
      </c>
      <c r="Z41" s="54">
        <f t="shared" si="33"/>
        <v>5.5</v>
      </c>
      <c r="AA41" s="54">
        <f t="shared" si="33"/>
        <v>0</v>
      </c>
      <c r="AB41" s="54">
        <f t="shared" si="33"/>
        <v>0</v>
      </c>
      <c r="AC41" s="54">
        <f t="shared" si="33"/>
        <v>705.5</v>
      </c>
      <c r="AD41" s="54">
        <f t="shared" si="33"/>
        <v>0</v>
      </c>
      <c r="AE41" s="55">
        <f>SUM(AE10:AE33)</f>
        <v>701</v>
      </c>
      <c r="AF41" s="55">
        <f>SUM(AF10:AF33)</f>
        <v>1406.5</v>
      </c>
    </row>
    <row r="42" spans="2:32" ht="23.1" customHeight="1" x14ac:dyDescent="0.25">
      <c r="B42" s="24" t="s">
        <v>69</v>
      </c>
      <c r="C42" s="49">
        <f>'Avg Week Katuna-Kabale'!C42+'Avg Week Kabale-Katuna'!C42</f>
        <v>6.5</v>
      </c>
      <c r="D42" s="49">
        <f>'Avg Week Katuna-Kabale'!D42+'Avg Week Kabale-Katuna'!D42</f>
        <v>1</v>
      </c>
      <c r="E42" s="49">
        <f>'Avg Week Katuna-Kabale'!E42+'Avg Week Kabale-Katuna'!E42</f>
        <v>1.5</v>
      </c>
      <c r="F42" s="49">
        <f>'Avg Week Katuna-Kabale'!F42+'Avg Week Kabale-Katuna'!F42</f>
        <v>1</v>
      </c>
      <c r="G42" s="49">
        <f>'Avg Week Katuna-Kabale'!G42+'Avg Week Kabale-Katuna'!G42</f>
        <v>0</v>
      </c>
      <c r="H42" s="49">
        <f>'Avg Week Katuna-Kabale'!H42+'Avg Week Kabale-Katuna'!H42</f>
        <v>0</v>
      </c>
      <c r="I42" s="49">
        <f>'Avg Week Katuna-Kabale'!I42+'Avg Week Kabale-Katuna'!I42</f>
        <v>1.5</v>
      </c>
      <c r="J42" s="49">
        <f>'Avg Week Katuna-Kabale'!J42+'Avg Week Kabale-Katuna'!J42</f>
        <v>0.5</v>
      </c>
      <c r="K42" s="49">
        <f>'Avg Week Katuna-Kabale'!K42+'Avg Week Kabale-Katuna'!K42</f>
        <v>0</v>
      </c>
      <c r="L42" s="49">
        <f>'Avg Week Katuna-Kabale'!L42+'Avg Week Kabale-Katuna'!L42</f>
        <v>0</v>
      </c>
      <c r="M42" s="49">
        <f>'Avg Week Katuna-Kabale'!M42+'Avg Week Kabale-Katuna'!M42</f>
        <v>9.5</v>
      </c>
      <c r="N42" s="49">
        <f>'Avg Week Katuna-Kabale'!N42+'Avg Week Kabale-Katuna'!N42</f>
        <v>0</v>
      </c>
      <c r="O42" s="15">
        <f t="shared" si="0"/>
        <v>12</v>
      </c>
      <c r="P42" s="15">
        <f t="shared" si="1"/>
        <v>21.5</v>
      </c>
      <c r="R42" s="5" t="s">
        <v>160</v>
      </c>
      <c r="S42" s="48">
        <f>S41/S40</f>
        <v>1.4361158432708687</v>
      </c>
      <c r="T42" s="48">
        <f t="shared" ref="T42:AF42" si="34">T41/T40</f>
        <v>2.0133333333333332</v>
      </c>
      <c r="U42" s="48">
        <f t="shared" si="34"/>
        <v>2.0188679245283021</v>
      </c>
      <c r="V42" s="48">
        <f t="shared" si="34"/>
        <v>2.0344827586206895</v>
      </c>
      <c r="W42" s="48">
        <f t="shared" si="34"/>
        <v>2.5</v>
      </c>
      <c r="X42" s="48">
        <f t="shared" si="34"/>
        <v>1.4615384615384615</v>
      </c>
      <c r="Y42" s="48">
        <f t="shared" si="34"/>
        <v>1.6</v>
      </c>
      <c r="Z42" s="48">
        <f t="shared" si="34"/>
        <v>1.5714285714285714</v>
      </c>
      <c r="AA42" s="48">
        <v>0</v>
      </c>
      <c r="AB42" s="48">
        <v>0</v>
      </c>
      <c r="AC42" s="48">
        <f t="shared" si="34"/>
        <v>1.283894449499545</v>
      </c>
      <c r="AD42" s="48">
        <v>0</v>
      </c>
      <c r="AE42" s="56">
        <f t="shared" si="34"/>
        <v>1.5717488789237668</v>
      </c>
      <c r="AF42" s="56">
        <f t="shared" si="34"/>
        <v>1.4128578603716726</v>
      </c>
    </row>
    <row r="43" spans="2:32" ht="23.1" customHeight="1" x14ac:dyDescent="0.25">
      <c r="B43" s="23" t="s">
        <v>70</v>
      </c>
      <c r="C43" s="49">
        <f>'Avg Week Katuna-Kabale'!C43+'Avg Week Kabale-Katuna'!C43</f>
        <v>3.5</v>
      </c>
      <c r="D43" s="49">
        <f>'Avg Week Katuna-Kabale'!D43+'Avg Week Kabale-Katuna'!D43</f>
        <v>0</v>
      </c>
      <c r="E43" s="49">
        <f>'Avg Week Katuna-Kabale'!E43+'Avg Week Kabale-Katuna'!E43</f>
        <v>0</v>
      </c>
      <c r="F43" s="49">
        <f>'Avg Week Katuna-Kabale'!F43+'Avg Week Kabale-Katuna'!F43</f>
        <v>1.5</v>
      </c>
      <c r="G43" s="49">
        <f>'Avg Week Katuna-Kabale'!G43+'Avg Week Kabale-Katuna'!G43</f>
        <v>0</v>
      </c>
      <c r="H43" s="49">
        <f>'Avg Week Katuna-Kabale'!H43+'Avg Week Kabale-Katuna'!H43</f>
        <v>0.5</v>
      </c>
      <c r="I43" s="49">
        <f>'Avg Week Katuna-Kabale'!I43+'Avg Week Kabale-Katuna'!I43</f>
        <v>2</v>
      </c>
      <c r="J43" s="49">
        <f>'Avg Week Katuna-Kabale'!J43+'Avg Week Kabale-Katuna'!J43</f>
        <v>0</v>
      </c>
      <c r="K43" s="49">
        <f>'Avg Week Katuna-Kabale'!K43+'Avg Week Kabale-Katuna'!K43</f>
        <v>0</v>
      </c>
      <c r="L43" s="49">
        <f>'Avg Week Katuna-Kabale'!L43+'Avg Week Kabale-Katuna'!L43</f>
        <v>0</v>
      </c>
      <c r="M43" s="49">
        <f>'Avg Week Katuna-Kabale'!M43+'Avg Week Kabale-Katuna'!M43</f>
        <v>8</v>
      </c>
      <c r="N43" s="49">
        <f>'Avg Week Katuna-Kabale'!N43+'Avg Week Kabale-Katuna'!N43</f>
        <v>0</v>
      </c>
      <c r="O43" s="15">
        <f t="shared" si="0"/>
        <v>7.5</v>
      </c>
      <c r="P43" s="15">
        <f t="shared" si="1"/>
        <v>15.5</v>
      </c>
    </row>
    <row r="44" spans="2:32" ht="23.1" customHeight="1" x14ac:dyDescent="0.25">
      <c r="B44" s="25" t="s">
        <v>71</v>
      </c>
      <c r="C44" s="49">
        <f>'Avg Week Katuna-Kabale'!C44+'Avg Week Kabale-Katuna'!C44</f>
        <v>4.5</v>
      </c>
      <c r="D44" s="49">
        <f>'Avg Week Katuna-Kabale'!D44+'Avg Week Kabale-Katuna'!D44</f>
        <v>2</v>
      </c>
      <c r="E44" s="49">
        <f>'Avg Week Katuna-Kabale'!E44+'Avg Week Kabale-Katuna'!E44</f>
        <v>1.5</v>
      </c>
      <c r="F44" s="49">
        <f>'Avg Week Katuna-Kabale'!F44+'Avg Week Kabale-Katuna'!F44</f>
        <v>1</v>
      </c>
      <c r="G44" s="49">
        <f>'Avg Week Katuna-Kabale'!G44+'Avg Week Kabale-Katuna'!G44</f>
        <v>0</v>
      </c>
      <c r="H44" s="49">
        <f>'Avg Week Katuna-Kabale'!H44+'Avg Week Kabale-Katuna'!H44</f>
        <v>0</v>
      </c>
      <c r="I44" s="49">
        <f>'Avg Week Katuna-Kabale'!I44+'Avg Week Kabale-Katuna'!I44</f>
        <v>0</v>
      </c>
      <c r="J44" s="49">
        <f>'Avg Week Katuna-Kabale'!J44+'Avg Week Kabale-Katuna'!J44</f>
        <v>0</v>
      </c>
      <c r="K44" s="49">
        <f>'Avg Week Katuna-Kabale'!K44+'Avg Week Kabale-Katuna'!K44</f>
        <v>0</v>
      </c>
      <c r="L44" s="49">
        <f>'Avg Week Katuna-Kabale'!L44+'Avg Week Kabale-Katuna'!L44</f>
        <v>0</v>
      </c>
      <c r="M44" s="49">
        <f>'Avg Week Katuna-Kabale'!M44+'Avg Week Kabale-Katuna'!M44</f>
        <v>5</v>
      </c>
      <c r="N44" s="49">
        <f>'Avg Week Katuna-Kabale'!N44+'Avg Week Kabale-Katuna'!N44</f>
        <v>0</v>
      </c>
      <c r="O44" s="15">
        <f t="shared" si="0"/>
        <v>9</v>
      </c>
      <c r="P44" s="15">
        <f t="shared" si="1"/>
        <v>14</v>
      </c>
    </row>
    <row r="45" spans="2:32" ht="23.1" customHeight="1" x14ac:dyDescent="0.25">
      <c r="B45" s="23" t="s">
        <v>72</v>
      </c>
      <c r="C45" s="49">
        <f>'Avg Week Katuna-Kabale'!C45+'Avg Week Kabale-Katuna'!C45</f>
        <v>8.5</v>
      </c>
      <c r="D45" s="49">
        <f>'Avg Week Katuna-Kabale'!D45+'Avg Week Kabale-Katuna'!D45</f>
        <v>0</v>
      </c>
      <c r="E45" s="49">
        <f>'Avg Week Katuna-Kabale'!E45+'Avg Week Kabale-Katuna'!E45</f>
        <v>1</v>
      </c>
      <c r="F45" s="49">
        <f>'Avg Week Katuna-Kabale'!F45+'Avg Week Kabale-Katuna'!F45</f>
        <v>0</v>
      </c>
      <c r="G45" s="49">
        <f>'Avg Week Katuna-Kabale'!G45+'Avg Week Kabale-Katuna'!G45</f>
        <v>0</v>
      </c>
      <c r="H45" s="49">
        <f>'Avg Week Katuna-Kabale'!H45+'Avg Week Kabale-Katuna'!H45</f>
        <v>0</v>
      </c>
      <c r="I45" s="49">
        <f>'Avg Week Katuna-Kabale'!I45+'Avg Week Kabale-Katuna'!I45</f>
        <v>2</v>
      </c>
      <c r="J45" s="49">
        <f>'Avg Week Katuna-Kabale'!J45+'Avg Week Kabale-Katuna'!J45</f>
        <v>0.5</v>
      </c>
      <c r="K45" s="49">
        <f>'Avg Week Katuna-Kabale'!K45+'Avg Week Kabale-Katuna'!K45</f>
        <v>0</v>
      </c>
      <c r="L45" s="49">
        <f>'Avg Week Katuna-Kabale'!L45+'Avg Week Kabale-Katuna'!L45</f>
        <v>0</v>
      </c>
      <c r="M45" s="49">
        <f>'Avg Week Katuna-Kabale'!M45+'Avg Week Kabale-Katuna'!M45</f>
        <v>14</v>
      </c>
      <c r="N45" s="49">
        <f>'Avg Week Katuna-Kabale'!N45+'Avg Week Kabale-Katuna'!N45</f>
        <v>0</v>
      </c>
      <c r="O45" s="15">
        <f t="shared" si="0"/>
        <v>12</v>
      </c>
      <c r="P45" s="15">
        <f t="shared" si="1"/>
        <v>26</v>
      </c>
    </row>
    <row r="46" spans="2:32" ht="23.1" customHeight="1" x14ac:dyDescent="0.25">
      <c r="B46" s="24" t="s">
        <v>73</v>
      </c>
      <c r="C46" s="49">
        <f>'Avg Week Katuna-Kabale'!C46+'Avg Week Kabale-Katuna'!C46</f>
        <v>5</v>
      </c>
      <c r="D46" s="49">
        <f>'Avg Week Katuna-Kabale'!D46+'Avg Week Kabale-Katuna'!D46</f>
        <v>0.5</v>
      </c>
      <c r="E46" s="49">
        <f>'Avg Week Katuna-Kabale'!E46+'Avg Week Kabale-Katuna'!E46</f>
        <v>0</v>
      </c>
      <c r="F46" s="49">
        <f>'Avg Week Katuna-Kabale'!F46+'Avg Week Kabale-Katuna'!F46</f>
        <v>1</v>
      </c>
      <c r="G46" s="49">
        <f>'Avg Week Katuna-Kabale'!G46+'Avg Week Kabale-Katuna'!G46</f>
        <v>0</v>
      </c>
      <c r="H46" s="49">
        <f>'Avg Week Katuna-Kabale'!H46+'Avg Week Kabale-Katuna'!H46</f>
        <v>0</v>
      </c>
      <c r="I46" s="49">
        <f>'Avg Week Katuna-Kabale'!I46+'Avg Week Kabale-Katuna'!I46</f>
        <v>0</v>
      </c>
      <c r="J46" s="49">
        <f>'Avg Week Katuna-Kabale'!J46+'Avg Week Kabale-Katuna'!J46</f>
        <v>0</v>
      </c>
      <c r="K46" s="49">
        <f>'Avg Week Katuna-Kabale'!K46+'Avg Week Kabale-Katuna'!K46</f>
        <v>0</v>
      </c>
      <c r="L46" s="49">
        <f>'Avg Week Katuna-Kabale'!L46+'Avg Week Kabale-Katuna'!L46</f>
        <v>0</v>
      </c>
      <c r="M46" s="49">
        <f>'Avg Week Katuna-Kabale'!M46+'Avg Week Kabale-Katuna'!M46</f>
        <v>13.5</v>
      </c>
      <c r="N46" s="49">
        <f>'Avg Week Katuna-Kabale'!N46+'Avg Week Kabale-Katuna'!N46</f>
        <v>0</v>
      </c>
      <c r="O46" s="15">
        <f t="shared" si="0"/>
        <v>6.5</v>
      </c>
      <c r="P46" s="15">
        <f t="shared" si="1"/>
        <v>20</v>
      </c>
      <c r="R46" s="8"/>
      <c r="T46"/>
    </row>
    <row r="47" spans="2:32" ht="23.1" customHeight="1" x14ac:dyDescent="0.25">
      <c r="B47" s="24" t="s">
        <v>74</v>
      </c>
      <c r="C47" s="49">
        <f>'Avg Week Katuna-Kabale'!C47+'Avg Week Kabale-Katuna'!C47</f>
        <v>4</v>
      </c>
      <c r="D47" s="49">
        <f>'Avg Week Katuna-Kabale'!D47+'Avg Week Kabale-Katuna'!D47</f>
        <v>0</v>
      </c>
      <c r="E47" s="49">
        <f>'Avg Week Katuna-Kabale'!E47+'Avg Week Kabale-Katuna'!E47</f>
        <v>1</v>
      </c>
      <c r="F47" s="49">
        <f>'Avg Week Katuna-Kabale'!F47+'Avg Week Kabale-Katuna'!F47</f>
        <v>0.5</v>
      </c>
      <c r="G47" s="49">
        <f>'Avg Week Katuna-Kabale'!G47+'Avg Week Kabale-Katuna'!G47</f>
        <v>0</v>
      </c>
      <c r="H47" s="49">
        <f>'Avg Week Katuna-Kabale'!H47+'Avg Week Kabale-Katuna'!H47</f>
        <v>0</v>
      </c>
      <c r="I47" s="49">
        <f>'Avg Week Katuna-Kabale'!I47+'Avg Week Kabale-Katuna'!I47</f>
        <v>0.5</v>
      </c>
      <c r="J47" s="49">
        <f>'Avg Week Katuna-Kabale'!J47+'Avg Week Kabale-Katuna'!J47</f>
        <v>0</v>
      </c>
      <c r="K47" s="49">
        <f>'Avg Week Katuna-Kabale'!K47+'Avg Week Kabale-Katuna'!K47</f>
        <v>0</v>
      </c>
      <c r="L47" s="49">
        <f>'Avg Week Katuna-Kabale'!L47+'Avg Week Kabale-Katuna'!L47</f>
        <v>0</v>
      </c>
      <c r="M47" s="49">
        <f>'Avg Week Katuna-Kabale'!M47+'Avg Week Kabale-Katuna'!M47</f>
        <v>12</v>
      </c>
      <c r="N47" s="49">
        <f>'Avg Week Katuna-Kabale'!N47+'Avg Week Kabale-Katuna'!N47</f>
        <v>0</v>
      </c>
      <c r="O47" s="15">
        <f t="shared" si="0"/>
        <v>6</v>
      </c>
      <c r="P47" s="15">
        <f t="shared" si="1"/>
        <v>18</v>
      </c>
      <c r="R47" s="8"/>
      <c r="T47"/>
    </row>
    <row r="48" spans="2:32" ht="23.1" customHeight="1" x14ac:dyDescent="0.25">
      <c r="B48" s="24" t="s">
        <v>75</v>
      </c>
      <c r="C48" s="49">
        <f>'Avg Week Katuna-Kabale'!C48+'Avg Week Kabale-Katuna'!C48</f>
        <v>3.5</v>
      </c>
      <c r="D48" s="49">
        <f>'Avg Week Katuna-Kabale'!D48+'Avg Week Kabale-Katuna'!D48</f>
        <v>0</v>
      </c>
      <c r="E48" s="49">
        <f>'Avg Week Katuna-Kabale'!E48+'Avg Week Kabale-Katuna'!E48</f>
        <v>0.5</v>
      </c>
      <c r="F48" s="49">
        <f>'Avg Week Katuna-Kabale'!F48+'Avg Week Kabale-Katuna'!F48</f>
        <v>0</v>
      </c>
      <c r="G48" s="49">
        <f>'Avg Week Katuna-Kabale'!G48+'Avg Week Kabale-Katuna'!G48</f>
        <v>0</v>
      </c>
      <c r="H48" s="49">
        <f>'Avg Week Katuna-Kabale'!H48+'Avg Week Kabale-Katuna'!H48</f>
        <v>1.5</v>
      </c>
      <c r="I48" s="49">
        <f>'Avg Week Katuna-Kabale'!I48+'Avg Week Kabale-Katuna'!I48</f>
        <v>1</v>
      </c>
      <c r="J48" s="49">
        <f>'Avg Week Katuna-Kabale'!J48+'Avg Week Kabale-Katuna'!J48</f>
        <v>0</v>
      </c>
      <c r="K48" s="49">
        <f>'Avg Week Katuna-Kabale'!K48+'Avg Week Kabale-Katuna'!K48</f>
        <v>0</v>
      </c>
      <c r="L48" s="49">
        <f>'Avg Week Katuna-Kabale'!L48+'Avg Week Kabale-Katuna'!L48</f>
        <v>0</v>
      </c>
      <c r="M48" s="49">
        <f>'Avg Week Katuna-Kabale'!M48+'Avg Week Kabale-Katuna'!M48</f>
        <v>13</v>
      </c>
      <c r="N48" s="49">
        <f>'Avg Week Katuna-Kabale'!N48+'Avg Week Kabale-Katuna'!N48</f>
        <v>0</v>
      </c>
      <c r="O48" s="15">
        <f t="shared" si="0"/>
        <v>6.5</v>
      </c>
      <c r="P48" s="15">
        <f t="shared" si="1"/>
        <v>19.5</v>
      </c>
      <c r="R48" s="8"/>
      <c r="T48"/>
    </row>
    <row r="49" spans="2:20" ht="23.1" customHeight="1" x14ac:dyDescent="0.25">
      <c r="B49" s="23" t="s">
        <v>76</v>
      </c>
      <c r="C49" s="49">
        <f>'Avg Week Katuna-Kabale'!C49+'Avg Week Kabale-Katuna'!C49</f>
        <v>3.5</v>
      </c>
      <c r="D49" s="49">
        <f>'Avg Week Katuna-Kabale'!D49+'Avg Week Kabale-Katuna'!D49</f>
        <v>1</v>
      </c>
      <c r="E49" s="49">
        <f>'Avg Week Katuna-Kabale'!E49+'Avg Week Kabale-Katuna'!E49</f>
        <v>0</v>
      </c>
      <c r="F49" s="49">
        <f>'Avg Week Katuna-Kabale'!F49+'Avg Week Kabale-Katuna'!F49</f>
        <v>0.5</v>
      </c>
      <c r="G49" s="49">
        <f>'Avg Week Katuna-Kabale'!G49+'Avg Week Kabale-Katuna'!G49</f>
        <v>0</v>
      </c>
      <c r="H49" s="49">
        <f>'Avg Week Katuna-Kabale'!H49+'Avg Week Kabale-Katuna'!H49</f>
        <v>0</v>
      </c>
      <c r="I49" s="49">
        <f>'Avg Week Katuna-Kabale'!I49+'Avg Week Kabale-Katuna'!I49</f>
        <v>2.5</v>
      </c>
      <c r="J49" s="49">
        <f>'Avg Week Katuna-Kabale'!J49+'Avg Week Kabale-Katuna'!J49</f>
        <v>0</v>
      </c>
      <c r="K49" s="49">
        <f>'Avg Week Katuna-Kabale'!K49+'Avg Week Kabale-Katuna'!K49</f>
        <v>0</v>
      </c>
      <c r="L49" s="49">
        <f>'Avg Week Katuna-Kabale'!L49+'Avg Week Kabale-Katuna'!L49</f>
        <v>0</v>
      </c>
      <c r="M49" s="49">
        <f>'Avg Week Katuna-Kabale'!M49+'Avg Week Kabale-Katuna'!M49</f>
        <v>14.5</v>
      </c>
      <c r="N49" s="49">
        <f>'Avg Week Katuna-Kabale'!N49+'Avg Week Kabale-Katuna'!N49</f>
        <v>0</v>
      </c>
      <c r="O49" s="15">
        <f t="shared" si="0"/>
        <v>7.5</v>
      </c>
      <c r="P49" s="15">
        <f t="shared" si="1"/>
        <v>22</v>
      </c>
      <c r="R49" s="8"/>
      <c r="T49"/>
    </row>
    <row r="50" spans="2:20" ht="23.1" customHeight="1" x14ac:dyDescent="0.25">
      <c r="B50" s="24" t="s">
        <v>77</v>
      </c>
      <c r="C50" s="49">
        <f>'Avg Week Katuna-Kabale'!C50+'Avg Week Kabale-Katuna'!C50</f>
        <v>5.5</v>
      </c>
      <c r="D50" s="49">
        <f>'Avg Week Katuna-Kabale'!D50+'Avg Week Kabale-Katuna'!D50</f>
        <v>1</v>
      </c>
      <c r="E50" s="49">
        <f>'Avg Week Katuna-Kabale'!E50+'Avg Week Kabale-Katuna'!E50</f>
        <v>0</v>
      </c>
      <c r="F50" s="49">
        <f>'Avg Week Katuna-Kabale'!F50+'Avg Week Kabale-Katuna'!F50</f>
        <v>0</v>
      </c>
      <c r="G50" s="49">
        <f>'Avg Week Katuna-Kabale'!G50+'Avg Week Kabale-Katuna'!G50</f>
        <v>0</v>
      </c>
      <c r="H50" s="49">
        <f>'Avg Week Katuna-Kabale'!H50+'Avg Week Kabale-Katuna'!H50</f>
        <v>1</v>
      </c>
      <c r="I50" s="49">
        <f>'Avg Week Katuna-Kabale'!I50+'Avg Week Kabale-Katuna'!I50</f>
        <v>2</v>
      </c>
      <c r="J50" s="49">
        <f>'Avg Week Katuna-Kabale'!J50+'Avg Week Kabale-Katuna'!J50</f>
        <v>0</v>
      </c>
      <c r="K50" s="49">
        <f>'Avg Week Katuna-Kabale'!K50+'Avg Week Kabale-Katuna'!K50</f>
        <v>0</v>
      </c>
      <c r="L50" s="49">
        <f>'Avg Week Katuna-Kabale'!L50+'Avg Week Kabale-Katuna'!L50</f>
        <v>0</v>
      </c>
      <c r="M50" s="49">
        <f>'Avg Week Katuna-Kabale'!M50+'Avg Week Kabale-Katuna'!M50</f>
        <v>15.5</v>
      </c>
      <c r="N50" s="49">
        <f>'Avg Week Katuna-Kabale'!N50+'Avg Week Kabale-Katuna'!N50</f>
        <v>0</v>
      </c>
      <c r="O50" s="15">
        <f t="shared" si="0"/>
        <v>9.5</v>
      </c>
      <c r="P50" s="15">
        <f t="shared" si="1"/>
        <v>25</v>
      </c>
      <c r="R50" s="8"/>
      <c r="T50"/>
    </row>
    <row r="51" spans="2:20" ht="23.1" customHeight="1" x14ac:dyDescent="0.25">
      <c r="B51" s="24" t="s">
        <v>78</v>
      </c>
      <c r="C51" s="49">
        <f>'Avg Week Katuna-Kabale'!C51+'Avg Week Kabale-Katuna'!C51</f>
        <v>5.5</v>
      </c>
      <c r="D51" s="49">
        <f>'Avg Week Katuna-Kabale'!D51+'Avg Week Kabale-Katuna'!D51</f>
        <v>0.5</v>
      </c>
      <c r="E51" s="49">
        <f>'Avg Week Katuna-Kabale'!E51+'Avg Week Kabale-Katuna'!E51</f>
        <v>0</v>
      </c>
      <c r="F51" s="49">
        <f>'Avg Week Katuna-Kabale'!F51+'Avg Week Kabale-Katuna'!F51</f>
        <v>0</v>
      </c>
      <c r="G51" s="49">
        <f>'Avg Week Katuna-Kabale'!G51+'Avg Week Kabale-Katuna'!G51</f>
        <v>0</v>
      </c>
      <c r="H51" s="49">
        <f>'Avg Week Katuna-Kabale'!H51+'Avg Week Kabale-Katuna'!H51</f>
        <v>0</v>
      </c>
      <c r="I51" s="49">
        <f>'Avg Week Katuna-Kabale'!I51+'Avg Week Kabale-Katuna'!I51</f>
        <v>1</v>
      </c>
      <c r="J51" s="49">
        <f>'Avg Week Katuna-Kabale'!J51+'Avg Week Kabale-Katuna'!J51</f>
        <v>0</v>
      </c>
      <c r="K51" s="49">
        <f>'Avg Week Katuna-Kabale'!K51+'Avg Week Kabale-Katuna'!K51</f>
        <v>0</v>
      </c>
      <c r="L51" s="49">
        <f>'Avg Week Katuna-Kabale'!L51+'Avg Week Kabale-Katuna'!L51</f>
        <v>0</v>
      </c>
      <c r="M51" s="49">
        <f>'Avg Week Katuna-Kabale'!M51+'Avg Week Kabale-Katuna'!M51</f>
        <v>18</v>
      </c>
      <c r="N51" s="49">
        <f>'Avg Week Katuna-Kabale'!N51+'Avg Week Kabale-Katuna'!N51</f>
        <v>0</v>
      </c>
      <c r="O51" s="15">
        <f t="shared" si="0"/>
        <v>7</v>
      </c>
      <c r="P51" s="15">
        <f t="shared" si="1"/>
        <v>25</v>
      </c>
      <c r="R51" s="8"/>
      <c r="T51"/>
    </row>
    <row r="52" spans="2:20" ht="23.1" customHeight="1" x14ac:dyDescent="0.25">
      <c r="B52" s="24" t="s">
        <v>79</v>
      </c>
      <c r="C52" s="49">
        <f>'Avg Week Katuna-Kabale'!C52+'Avg Week Kabale-Katuna'!C52</f>
        <v>9.5</v>
      </c>
      <c r="D52" s="49">
        <f>'Avg Week Katuna-Kabale'!D52+'Avg Week Kabale-Katuna'!D52</f>
        <v>2.5</v>
      </c>
      <c r="E52" s="49">
        <f>'Avg Week Katuna-Kabale'!E52+'Avg Week Kabale-Katuna'!E52</f>
        <v>0</v>
      </c>
      <c r="F52" s="49">
        <f>'Avg Week Katuna-Kabale'!F52+'Avg Week Kabale-Katuna'!F52</f>
        <v>0.5</v>
      </c>
      <c r="G52" s="49">
        <f>'Avg Week Katuna-Kabale'!G52+'Avg Week Kabale-Katuna'!G52</f>
        <v>0</v>
      </c>
      <c r="H52" s="49">
        <f>'Avg Week Katuna-Kabale'!H52+'Avg Week Kabale-Katuna'!H52</f>
        <v>0</v>
      </c>
      <c r="I52" s="49">
        <f>'Avg Week Katuna-Kabale'!I52+'Avg Week Kabale-Katuna'!I52</f>
        <v>1.5</v>
      </c>
      <c r="J52" s="49">
        <f>'Avg Week Katuna-Kabale'!J52+'Avg Week Kabale-Katuna'!J52</f>
        <v>0</v>
      </c>
      <c r="K52" s="49">
        <f>'Avg Week Katuna-Kabale'!K52+'Avg Week Kabale-Katuna'!K52</f>
        <v>0</v>
      </c>
      <c r="L52" s="49">
        <f>'Avg Week Katuna-Kabale'!L52+'Avg Week Kabale-Katuna'!L52</f>
        <v>0</v>
      </c>
      <c r="M52" s="49">
        <f>'Avg Week Katuna-Kabale'!M52+'Avg Week Kabale-Katuna'!M52</f>
        <v>16</v>
      </c>
      <c r="N52" s="49">
        <f>'Avg Week Katuna-Kabale'!N52+'Avg Week Kabale-Katuna'!N52</f>
        <v>0</v>
      </c>
      <c r="O52" s="15">
        <f t="shared" si="0"/>
        <v>14</v>
      </c>
      <c r="P52" s="15">
        <f t="shared" si="1"/>
        <v>30</v>
      </c>
      <c r="R52" s="8"/>
      <c r="T52"/>
    </row>
    <row r="53" spans="2:20" ht="23.1" customHeight="1" x14ac:dyDescent="0.25">
      <c r="B53" s="23" t="s">
        <v>80</v>
      </c>
      <c r="C53" s="49">
        <f>'Avg Week Katuna-Kabale'!C53+'Avg Week Kabale-Katuna'!C53</f>
        <v>6.5</v>
      </c>
      <c r="D53" s="49">
        <f>'Avg Week Katuna-Kabale'!D53+'Avg Week Kabale-Katuna'!D53</f>
        <v>0</v>
      </c>
      <c r="E53" s="49">
        <f>'Avg Week Katuna-Kabale'!E53+'Avg Week Kabale-Katuna'!E53</f>
        <v>0.5</v>
      </c>
      <c r="F53" s="49">
        <f>'Avg Week Katuna-Kabale'!F53+'Avg Week Kabale-Katuna'!F53</f>
        <v>0</v>
      </c>
      <c r="G53" s="49">
        <f>'Avg Week Katuna-Kabale'!G53+'Avg Week Kabale-Katuna'!G53</f>
        <v>0</v>
      </c>
      <c r="H53" s="49">
        <f>'Avg Week Katuna-Kabale'!H53+'Avg Week Kabale-Katuna'!H53</f>
        <v>0</v>
      </c>
      <c r="I53" s="49">
        <f>'Avg Week Katuna-Kabale'!I53+'Avg Week Kabale-Katuna'!I53</f>
        <v>2</v>
      </c>
      <c r="J53" s="49">
        <f>'Avg Week Katuna-Kabale'!J53+'Avg Week Kabale-Katuna'!J53</f>
        <v>0</v>
      </c>
      <c r="K53" s="49">
        <f>'Avg Week Katuna-Kabale'!K53+'Avg Week Kabale-Katuna'!K53</f>
        <v>0</v>
      </c>
      <c r="L53" s="49">
        <f>'Avg Week Katuna-Kabale'!L53+'Avg Week Kabale-Katuna'!L53</f>
        <v>0</v>
      </c>
      <c r="M53" s="49">
        <f>'Avg Week Katuna-Kabale'!M53+'Avg Week Kabale-Katuna'!M53</f>
        <v>18</v>
      </c>
      <c r="N53" s="49">
        <f>'Avg Week Katuna-Kabale'!N53+'Avg Week Kabale-Katuna'!N53</f>
        <v>0</v>
      </c>
      <c r="O53" s="15">
        <f t="shared" si="0"/>
        <v>9</v>
      </c>
      <c r="P53" s="15">
        <f t="shared" si="1"/>
        <v>27</v>
      </c>
      <c r="R53" s="8"/>
      <c r="T53"/>
    </row>
    <row r="54" spans="2:20" ht="23.1" customHeight="1" x14ac:dyDescent="0.25">
      <c r="B54" s="23" t="s">
        <v>81</v>
      </c>
      <c r="C54" s="49">
        <f>'Avg Week Katuna-Kabale'!C54+'Avg Week Kabale-Katuna'!C54</f>
        <v>9.5</v>
      </c>
      <c r="D54" s="49">
        <f>'Avg Week Katuna-Kabale'!D54+'Avg Week Kabale-Katuna'!D54</f>
        <v>1.5</v>
      </c>
      <c r="E54" s="49">
        <f>'Avg Week Katuna-Kabale'!E54+'Avg Week Kabale-Katuna'!E54</f>
        <v>0</v>
      </c>
      <c r="F54" s="49">
        <f>'Avg Week Katuna-Kabale'!F54+'Avg Week Kabale-Katuna'!F54</f>
        <v>0</v>
      </c>
      <c r="G54" s="49">
        <f>'Avg Week Katuna-Kabale'!G54+'Avg Week Kabale-Katuna'!G54</f>
        <v>0</v>
      </c>
      <c r="H54" s="49">
        <f>'Avg Week Katuna-Kabale'!H54+'Avg Week Kabale-Katuna'!H54</f>
        <v>0</v>
      </c>
      <c r="I54" s="49">
        <f>'Avg Week Katuna-Kabale'!I54+'Avg Week Kabale-Katuna'!I54</f>
        <v>2</v>
      </c>
      <c r="J54" s="49">
        <f>'Avg Week Katuna-Kabale'!J54+'Avg Week Kabale-Katuna'!J54</f>
        <v>0</v>
      </c>
      <c r="K54" s="49">
        <f>'Avg Week Katuna-Kabale'!K54+'Avg Week Kabale-Katuna'!K54</f>
        <v>0</v>
      </c>
      <c r="L54" s="49">
        <f>'Avg Week Katuna-Kabale'!L54+'Avg Week Kabale-Katuna'!L54</f>
        <v>0</v>
      </c>
      <c r="M54" s="49">
        <f>'Avg Week Katuna-Kabale'!M54+'Avg Week Kabale-Katuna'!M54</f>
        <v>12</v>
      </c>
      <c r="N54" s="49">
        <f>'Avg Week Katuna-Kabale'!N54+'Avg Week Kabale-Katuna'!N54</f>
        <v>0</v>
      </c>
      <c r="O54" s="15">
        <f t="shared" si="0"/>
        <v>13</v>
      </c>
      <c r="P54" s="15">
        <f t="shared" si="1"/>
        <v>25</v>
      </c>
      <c r="R54" s="8"/>
      <c r="T54"/>
    </row>
    <row r="55" spans="2:20" ht="23.1" customHeight="1" x14ac:dyDescent="0.25">
      <c r="B55" s="23" t="s">
        <v>82</v>
      </c>
      <c r="C55" s="49">
        <f>'Avg Week Katuna-Kabale'!C55+'Avg Week Kabale-Katuna'!C55</f>
        <v>6.5</v>
      </c>
      <c r="D55" s="49">
        <f>'Avg Week Katuna-Kabale'!D55+'Avg Week Kabale-Katuna'!D55</f>
        <v>1</v>
      </c>
      <c r="E55" s="49">
        <f>'Avg Week Katuna-Kabale'!E55+'Avg Week Kabale-Katuna'!E55</f>
        <v>0.5</v>
      </c>
      <c r="F55" s="49">
        <f>'Avg Week Katuna-Kabale'!F55+'Avg Week Kabale-Katuna'!F55</f>
        <v>0</v>
      </c>
      <c r="G55" s="49">
        <f>'Avg Week Katuna-Kabale'!G55+'Avg Week Kabale-Katuna'!G55</f>
        <v>0</v>
      </c>
      <c r="H55" s="49">
        <f>'Avg Week Katuna-Kabale'!H55+'Avg Week Kabale-Katuna'!H55</f>
        <v>0</v>
      </c>
      <c r="I55" s="49">
        <f>'Avg Week Katuna-Kabale'!I55+'Avg Week Kabale-Katuna'!I55</f>
        <v>0</v>
      </c>
      <c r="J55" s="49">
        <f>'Avg Week Katuna-Kabale'!J55+'Avg Week Kabale-Katuna'!J55</f>
        <v>0</v>
      </c>
      <c r="K55" s="49">
        <f>'Avg Week Katuna-Kabale'!K55+'Avg Week Kabale-Katuna'!K55</f>
        <v>0</v>
      </c>
      <c r="L55" s="49">
        <f>'Avg Week Katuna-Kabale'!L55+'Avg Week Kabale-Katuna'!L55</f>
        <v>0</v>
      </c>
      <c r="M55" s="49">
        <f>'Avg Week Katuna-Kabale'!M55+'Avg Week Kabale-Katuna'!M55</f>
        <v>9.5</v>
      </c>
      <c r="N55" s="49">
        <f>'Avg Week Katuna-Kabale'!N55+'Avg Week Kabale-Katuna'!N55</f>
        <v>0</v>
      </c>
      <c r="O55" s="15">
        <f t="shared" si="0"/>
        <v>8</v>
      </c>
      <c r="P55" s="15">
        <f t="shared" si="1"/>
        <v>17.5</v>
      </c>
      <c r="R55" s="8"/>
      <c r="T55"/>
    </row>
    <row r="56" spans="2:20" ht="23.1" customHeight="1" x14ac:dyDescent="0.25">
      <c r="B56" s="23" t="s">
        <v>83</v>
      </c>
      <c r="C56" s="49">
        <f>'Avg Week Katuna-Kabale'!C56+'Avg Week Kabale-Katuna'!C56</f>
        <v>10.5</v>
      </c>
      <c r="D56" s="49">
        <f>'Avg Week Katuna-Kabale'!D56+'Avg Week Kabale-Katuna'!D56</f>
        <v>2.5</v>
      </c>
      <c r="E56" s="49">
        <f>'Avg Week Katuna-Kabale'!E56+'Avg Week Kabale-Katuna'!E56</f>
        <v>1</v>
      </c>
      <c r="F56" s="49">
        <f>'Avg Week Katuna-Kabale'!F56+'Avg Week Kabale-Katuna'!F56</f>
        <v>0.5</v>
      </c>
      <c r="G56" s="49">
        <f>'Avg Week Katuna-Kabale'!G56+'Avg Week Kabale-Katuna'!G56</f>
        <v>0</v>
      </c>
      <c r="H56" s="49">
        <f>'Avg Week Katuna-Kabale'!H56+'Avg Week Kabale-Katuna'!H56</f>
        <v>0</v>
      </c>
      <c r="I56" s="49">
        <f>'Avg Week Katuna-Kabale'!I56+'Avg Week Kabale-Katuna'!I56</f>
        <v>3</v>
      </c>
      <c r="J56" s="49">
        <f>'Avg Week Katuna-Kabale'!J56+'Avg Week Kabale-Katuna'!J56</f>
        <v>0</v>
      </c>
      <c r="K56" s="49">
        <f>'Avg Week Katuna-Kabale'!K56+'Avg Week Kabale-Katuna'!K56</f>
        <v>0</v>
      </c>
      <c r="L56" s="49">
        <f>'Avg Week Katuna-Kabale'!L56+'Avg Week Kabale-Katuna'!L56</f>
        <v>0</v>
      </c>
      <c r="M56" s="49">
        <f>'Avg Week Katuna-Kabale'!M56+'Avg Week Kabale-Katuna'!M56</f>
        <v>15.5</v>
      </c>
      <c r="N56" s="49">
        <f>'Avg Week Katuna-Kabale'!N56+'Avg Week Kabale-Katuna'!N56</f>
        <v>0</v>
      </c>
      <c r="O56" s="15">
        <f t="shared" si="0"/>
        <v>17.5</v>
      </c>
      <c r="P56" s="15">
        <f t="shared" si="1"/>
        <v>33</v>
      </c>
      <c r="R56" s="8"/>
      <c r="T56"/>
    </row>
    <row r="57" spans="2:20" ht="23.1" customHeight="1" x14ac:dyDescent="0.25">
      <c r="B57" s="23" t="s">
        <v>84</v>
      </c>
      <c r="C57" s="49">
        <f>'Avg Week Katuna-Kabale'!C57+'Avg Week Kabale-Katuna'!C57</f>
        <v>8.5</v>
      </c>
      <c r="D57" s="49">
        <f>'Avg Week Katuna-Kabale'!D57+'Avg Week Kabale-Katuna'!D57</f>
        <v>0.5</v>
      </c>
      <c r="E57" s="49">
        <f>'Avg Week Katuna-Kabale'!E57+'Avg Week Kabale-Katuna'!E57</f>
        <v>1</v>
      </c>
      <c r="F57" s="49">
        <f>'Avg Week Katuna-Kabale'!F57+'Avg Week Kabale-Katuna'!F57</f>
        <v>0</v>
      </c>
      <c r="G57" s="49">
        <f>'Avg Week Katuna-Kabale'!G57+'Avg Week Kabale-Katuna'!G57</f>
        <v>0</v>
      </c>
      <c r="H57" s="49">
        <f>'Avg Week Katuna-Kabale'!H57+'Avg Week Kabale-Katuna'!H57</f>
        <v>0</v>
      </c>
      <c r="I57" s="49">
        <f>'Avg Week Katuna-Kabale'!I57+'Avg Week Kabale-Katuna'!I57</f>
        <v>2.5</v>
      </c>
      <c r="J57" s="49">
        <f>'Avg Week Katuna-Kabale'!J57+'Avg Week Kabale-Katuna'!J57</f>
        <v>0</v>
      </c>
      <c r="K57" s="49">
        <f>'Avg Week Katuna-Kabale'!K57+'Avg Week Kabale-Katuna'!K57</f>
        <v>0</v>
      </c>
      <c r="L57" s="49">
        <f>'Avg Week Katuna-Kabale'!L57+'Avg Week Kabale-Katuna'!L57</f>
        <v>0</v>
      </c>
      <c r="M57" s="49">
        <f>'Avg Week Katuna-Kabale'!M57+'Avg Week Kabale-Katuna'!M57</f>
        <v>9.5</v>
      </c>
      <c r="N57" s="49">
        <f>'Avg Week Katuna-Kabale'!N57+'Avg Week Kabale-Katuna'!N57</f>
        <v>0</v>
      </c>
      <c r="O57" s="15">
        <f t="shared" si="0"/>
        <v>12.5</v>
      </c>
      <c r="P57" s="15">
        <f t="shared" si="1"/>
        <v>22</v>
      </c>
      <c r="R57" s="8"/>
      <c r="T57"/>
    </row>
    <row r="58" spans="2:20" ht="23.1" customHeight="1" x14ac:dyDescent="0.25">
      <c r="B58" s="23" t="s">
        <v>99</v>
      </c>
      <c r="C58" s="49">
        <f>'Avg Week Katuna-Kabale'!C58+'Avg Week Kabale-Katuna'!C58</f>
        <v>5</v>
      </c>
      <c r="D58" s="49">
        <f>'Avg Week Katuna-Kabale'!D58+'Avg Week Kabale-Katuna'!D58</f>
        <v>1</v>
      </c>
      <c r="E58" s="49">
        <f>'Avg Week Katuna-Kabale'!E58+'Avg Week Kabale-Katuna'!E58</f>
        <v>2</v>
      </c>
      <c r="F58" s="49">
        <f>'Avg Week Katuna-Kabale'!F58+'Avg Week Kabale-Katuna'!F58</f>
        <v>0</v>
      </c>
      <c r="G58" s="49">
        <f>'Avg Week Katuna-Kabale'!G58+'Avg Week Kabale-Katuna'!G58</f>
        <v>0</v>
      </c>
      <c r="H58" s="49">
        <f>'Avg Week Katuna-Kabale'!H58+'Avg Week Kabale-Katuna'!H58</f>
        <v>0</v>
      </c>
      <c r="I58" s="49">
        <f>'Avg Week Katuna-Kabale'!I58+'Avg Week Kabale-Katuna'!I58</f>
        <v>0</v>
      </c>
      <c r="J58" s="49">
        <f>'Avg Week Katuna-Kabale'!J58+'Avg Week Kabale-Katuna'!J58</f>
        <v>0</v>
      </c>
      <c r="K58" s="49">
        <f>'Avg Week Katuna-Kabale'!K58+'Avg Week Kabale-Katuna'!K58</f>
        <v>0</v>
      </c>
      <c r="L58" s="49">
        <f>'Avg Week Katuna-Kabale'!L58+'Avg Week Kabale-Katuna'!L58</f>
        <v>0</v>
      </c>
      <c r="M58" s="49">
        <f>'Avg Week Katuna-Kabale'!M58+'Avg Week Kabale-Katuna'!M58</f>
        <v>10</v>
      </c>
      <c r="N58" s="49">
        <f>'Avg Week Katuna-Kabale'!N58+'Avg Week Kabale-Katuna'!N58</f>
        <v>0</v>
      </c>
      <c r="O58" s="15">
        <f t="shared" si="0"/>
        <v>8</v>
      </c>
      <c r="P58" s="15">
        <f t="shared" si="1"/>
        <v>18</v>
      </c>
      <c r="R58" s="8"/>
      <c r="T58"/>
    </row>
    <row r="59" spans="2:20" ht="23.1" customHeight="1" x14ac:dyDescent="0.25">
      <c r="B59" s="23" t="s">
        <v>100</v>
      </c>
      <c r="C59" s="49">
        <f>'Avg Week Katuna-Kabale'!C59+'Avg Week Kabale-Katuna'!C59</f>
        <v>6</v>
      </c>
      <c r="D59" s="49">
        <f>'Avg Week Katuna-Kabale'!D59+'Avg Week Kabale-Katuna'!D59</f>
        <v>5</v>
      </c>
      <c r="E59" s="49">
        <f>'Avg Week Katuna-Kabale'!E59+'Avg Week Kabale-Katuna'!E59</f>
        <v>0</v>
      </c>
      <c r="F59" s="49">
        <f>'Avg Week Katuna-Kabale'!F59+'Avg Week Kabale-Katuna'!F59</f>
        <v>0</v>
      </c>
      <c r="G59" s="49">
        <f>'Avg Week Katuna-Kabale'!G59+'Avg Week Kabale-Katuna'!G59</f>
        <v>0</v>
      </c>
      <c r="H59" s="49">
        <f>'Avg Week Katuna-Kabale'!H59+'Avg Week Kabale-Katuna'!H59</f>
        <v>0</v>
      </c>
      <c r="I59" s="49">
        <f>'Avg Week Katuna-Kabale'!I59+'Avg Week Kabale-Katuna'!I59</f>
        <v>1</v>
      </c>
      <c r="J59" s="49">
        <f>'Avg Week Katuna-Kabale'!J59+'Avg Week Kabale-Katuna'!J59</f>
        <v>0</v>
      </c>
      <c r="K59" s="49">
        <f>'Avg Week Katuna-Kabale'!K59+'Avg Week Kabale-Katuna'!K59</f>
        <v>0</v>
      </c>
      <c r="L59" s="49">
        <f>'Avg Week Katuna-Kabale'!L59+'Avg Week Kabale-Katuna'!L59</f>
        <v>0</v>
      </c>
      <c r="M59" s="49">
        <f>'Avg Week Katuna-Kabale'!M59+'Avg Week Kabale-Katuna'!M59</f>
        <v>5</v>
      </c>
      <c r="N59" s="49">
        <f>'Avg Week Katuna-Kabale'!N59+'Avg Week Kabale-Katuna'!N59</f>
        <v>0</v>
      </c>
      <c r="O59" s="15">
        <f t="shared" si="0"/>
        <v>12</v>
      </c>
      <c r="P59" s="15">
        <f t="shared" si="1"/>
        <v>17</v>
      </c>
      <c r="R59" s="8"/>
      <c r="T59"/>
    </row>
    <row r="60" spans="2:20" ht="23.1" customHeight="1" x14ac:dyDescent="0.25">
      <c r="B60" s="23" t="s">
        <v>101</v>
      </c>
      <c r="C60" s="49">
        <f>'Avg Week Katuna-Kabale'!C60+'Avg Week Kabale-Katuna'!C60</f>
        <v>12</v>
      </c>
      <c r="D60" s="49">
        <f>'Avg Week Katuna-Kabale'!D60+'Avg Week Kabale-Katuna'!D60</f>
        <v>0</v>
      </c>
      <c r="E60" s="49">
        <f>'Avg Week Katuna-Kabale'!E60+'Avg Week Kabale-Katuna'!E60</f>
        <v>2</v>
      </c>
      <c r="F60" s="49">
        <f>'Avg Week Katuna-Kabale'!F60+'Avg Week Kabale-Katuna'!F60</f>
        <v>1</v>
      </c>
      <c r="G60" s="49">
        <f>'Avg Week Katuna-Kabale'!G60+'Avg Week Kabale-Katuna'!G60</f>
        <v>0</v>
      </c>
      <c r="H60" s="49">
        <f>'Avg Week Katuna-Kabale'!H60+'Avg Week Kabale-Katuna'!H60</f>
        <v>1</v>
      </c>
      <c r="I60" s="49">
        <f>'Avg Week Katuna-Kabale'!I60+'Avg Week Kabale-Katuna'!I60</f>
        <v>0</v>
      </c>
      <c r="J60" s="49">
        <f>'Avg Week Katuna-Kabale'!J60+'Avg Week Kabale-Katuna'!J60</f>
        <v>0</v>
      </c>
      <c r="K60" s="49">
        <f>'Avg Week Katuna-Kabale'!K60+'Avg Week Kabale-Katuna'!K60</f>
        <v>0</v>
      </c>
      <c r="L60" s="49">
        <f>'Avg Week Katuna-Kabale'!L60+'Avg Week Kabale-Katuna'!L60</f>
        <v>0</v>
      </c>
      <c r="M60" s="49">
        <f>'Avg Week Katuna-Kabale'!M60+'Avg Week Kabale-Katuna'!M60</f>
        <v>6</v>
      </c>
      <c r="N60" s="49">
        <f>'Avg Week Katuna-Kabale'!N60+'Avg Week Kabale-Katuna'!N60</f>
        <v>0</v>
      </c>
      <c r="O60" s="15">
        <f t="shared" si="0"/>
        <v>16</v>
      </c>
      <c r="P60" s="15">
        <f t="shared" si="1"/>
        <v>22</v>
      </c>
      <c r="R60" s="8"/>
      <c r="T60"/>
    </row>
    <row r="61" spans="2:20" ht="23.1" customHeight="1" x14ac:dyDescent="0.25">
      <c r="B61" s="23" t="s">
        <v>102</v>
      </c>
      <c r="C61" s="49">
        <f>'Avg Week Katuna-Kabale'!C61+'Avg Week Kabale-Katuna'!C61</f>
        <v>8</v>
      </c>
      <c r="D61" s="49">
        <f>'Avg Week Katuna-Kabale'!D61+'Avg Week Kabale-Katuna'!D61</f>
        <v>1</v>
      </c>
      <c r="E61" s="49">
        <f>'Avg Week Katuna-Kabale'!E61+'Avg Week Kabale-Katuna'!E61</f>
        <v>0</v>
      </c>
      <c r="F61" s="49">
        <f>'Avg Week Katuna-Kabale'!F61+'Avg Week Kabale-Katuna'!F61</f>
        <v>0</v>
      </c>
      <c r="G61" s="49">
        <f>'Avg Week Katuna-Kabale'!G61+'Avg Week Kabale-Katuna'!G61</f>
        <v>0</v>
      </c>
      <c r="H61" s="49">
        <f>'Avg Week Katuna-Kabale'!H61+'Avg Week Kabale-Katuna'!H61</f>
        <v>0</v>
      </c>
      <c r="I61" s="49">
        <f>'Avg Week Katuna-Kabale'!I61+'Avg Week Kabale-Katuna'!I61</f>
        <v>0</v>
      </c>
      <c r="J61" s="49">
        <f>'Avg Week Katuna-Kabale'!J61+'Avg Week Kabale-Katuna'!J61</f>
        <v>0</v>
      </c>
      <c r="K61" s="49">
        <f>'Avg Week Katuna-Kabale'!K61+'Avg Week Kabale-Katuna'!K61</f>
        <v>0</v>
      </c>
      <c r="L61" s="49">
        <f>'Avg Week Katuna-Kabale'!L61+'Avg Week Kabale-Katuna'!L61</f>
        <v>0</v>
      </c>
      <c r="M61" s="49">
        <f>'Avg Week Katuna-Kabale'!M61+'Avg Week Kabale-Katuna'!M61</f>
        <v>10</v>
      </c>
      <c r="N61" s="49">
        <f>'Avg Week Katuna-Kabale'!N61+'Avg Week Kabale-Katuna'!N61</f>
        <v>0</v>
      </c>
      <c r="O61" s="15">
        <f t="shared" si="0"/>
        <v>9</v>
      </c>
      <c r="P61" s="15">
        <f t="shared" si="1"/>
        <v>19</v>
      </c>
      <c r="R61" s="8"/>
      <c r="T61"/>
    </row>
    <row r="62" spans="2:20" ht="23.1" customHeight="1" x14ac:dyDescent="0.25">
      <c r="B62" s="23" t="s">
        <v>107</v>
      </c>
      <c r="C62" s="49">
        <f>'Avg Week Katuna-Kabale'!C62+'Avg Week Kabale-Katuna'!C62</f>
        <v>6</v>
      </c>
      <c r="D62" s="49">
        <f>'Avg Week Katuna-Kabale'!D62+'Avg Week Kabale-Katuna'!D62</f>
        <v>3</v>
      </c>
      <c r="E62" s="49">
        <f>'Avg Week Katuna-Kabale'!E62+'Avg Week Kabale-Katuna'!E62</f>
        <v>0</v>
      </c>
      <c r="F62" s="49">
        <f>'Avg Week Katuna-Kabale'!F62+'Avg Week Kabale-Katuna'!F62</f>
        <v>4</v>
      </c>
      <c r="G62" s="49">
        <f>'Avg Week Katuna-Kabale'!G62+'Avg Week Kabale-Katuna'!G62</f>
        <v>1</v>
      </c>
      <c r="H62" s="49">
        <f>'Avg Week Katuna-Kabale'!H62+'Avg Week Kabale-Katuna'!H62</f>
        <v>0</v>
      </c>
      <c r="I62" s="49">
        <f>'Avg Week Katuna-Kabale'!I62+'Avg Week Kabale-Katuna'!I62</f>
        <v>0</v>
      </c>
      <c r="J62" s="49">
        <f>'Avg Week Katuna-Kabale'!J62+'Avg Week Kabale-Katuna'!J62</f>
        <v>0</v>
      </c>
      <c r="K62" s="49">
        <f>'Avg Week Katuna-Kabale'!K62+'Avg Week Kabale-Katuna'!K62</f>
        <v>0</v>
      </c>
      <c r="L62" s="49">
        <f>'Avg Week Katuna-Kabale'!L62+'Avg Week Kabale-Katuna'!L62</f>
        <v>0</v>
      </c>
      <c r="M62" s="49">
        <f>'Avg Week Katuna-Kabale'!M62+'Avg Week Kabale-Katuna'!M62</f>
        <v>11</v>
      </c>
      <c r="N62" s="49">
        <f>'Avg Week Katuna-Kabale'!N62+'Avg Week Kabale-Katuna'!N62</f>
        <v>0</v>
      </c>
      <c r="O62" s="15">
        <f t="shared" si="0"/>
        <v>14</v>
      </c>
      <c r="P62" s="15">
        <f t="shared" si="1"/>
        <v>25</v>
      </c>
      <c r="R62" s="8"/>
      <c r="T62"/>
    </row>
    <row r="63" spans="2:20" ht="23.1" customHeight="1" x14ac:dyDescent="0.25">
      <c r="B63" s="23" t="s">
        <v>108</v>
      </c>
      <c r="C63" s="49">
        <f>'Avg Week Katuna-Kabale'!C63+'Avg Week Kabale-Katuna'!C63</f>
        <v>6</v>
      </c>
      <c r="D63" s="49">
        <f>'Avg Week Katuna-Kabale'!D63+'Avg Week Kabale-Katuna'!D63</f>
        <v>0</v>
      </c>
      <c r="E63" s="49">
        <f>'Avg Week Katuna-Kabale'!E63+'Avg Week Kabale-Katuna'!E63</f>
        <v>0</v>
      </c>
      <c r="F63" s="49">
        <f>'Avg Week Katuna-Kabale'!F63+'Avg Week Kabale-Katuna'!F63</f>
        <v>0</v>
      </c>
      <c r="G63" s="49">
        <f>'Avg Week Katuna-Kabale'!G63+'Avg Week Kabale-Katuna'!G63</f>
        <v>0</v>
      </c>
      <c r="H63" s="49">
        <f>'Avg Week Katuna-Kabale'!H63+'Avg Week Kabale-Katuna'!H63</f>
        <v>0</v>
      </c>
      <c r="I63" s="49">
        <f>'Avg Week Katuna-Kabale'!I63+'Avg Week Kabale-Katuna'!I63</f>
        <v>1</v>
      </c>
      <c r="J63" s="49">
        <f>'Avg Week Katuna-Kabale'!J63+'Avg Week Kabale-Katuna'!J63</f>
        <v>0</v>
      </c>
      <c r="K63" s="49">
        <f>'Avg Week Katuna-Kabale'!K63+'Avg Week Kabale-Katuna'!K63</f>
        <v>0</v>
      </c>
      <c r="L63" s="49">
        <f>'Avg Week Katuna-Kabale'!L63+'Avg Week Kabale-Katuna'!L63</f>
        <v>0</v>
      </c>
      <c r="M63" s="49">
        <f>'Avg Week Katuna-Kabale'!M63+'Avg Week Kabale-Katuna'!M63</f>
        <v>6</v>
      </c>
      <c r="N63" s="49">
        <f>'Avg Week Katuna-Kabale'!N63+'Avg Week Kabale-Katuna'!N63</f>
        <v>0</v>
      </c>
      <c r="O63" s="15">
        <f t="shared" si="0"/>
        <v>7</v>
      </c>
      <c r="P63" s="15">
        <f t="shared" si="1"/>
        <v>13</v>
      </c>
      <c r="R63" s="8"/>
      <c r="T63"/>
    </row>
    <row r="64" spans="2:20" ht="23.1" customHeight="1" x14ac:dyDescent="0.25">
      <c r="B64" s="23" t="s">
        <v>109</v>
      </c>
      <c r="C64" s="49">
        <f>'Avg Week Katuna-Kabale'!C64+'Avg Week Kabale-Katuna'!C64</f>
        <v>7</v>
      </c>
      <c r="D64" s="49">
        <f>'Avg Week Katuna-Kabale'!D64+'Avg Week Kabale-Katuna'!D64</f>
        <v>2</v>
      </c>
      <c r="E64" s="49">
        <f>'Avg Week Katuna-Kabale'!E64+'Avg Week Kabale-Katuna'!E64</f>
        <v>1</v>
      </c>
      <c r="F64" s="49">
        <f>'Avg Week Katuna-Kabale'!F64+'Avg Week Kabale-Katuna'!F64</f>
        <v>0</v>
      </c>
      <c r="G64" s="49">
        <f>'Avg Week Katuna-Kabale'!G64+'Avg Week Kabale-Katuna'!G64</f>
        <v>0</v>
      </c>
      <c r="H64" s="49">
        <f>'Avg Week Katuna-Kabale'!H64+'Avg Week Kabale-Katuna'!H64</f>
        <v>0</v>
      </c>
      <c r="I64" s="49">
        <f>'Avg Week Katuna-Kabale'!I64+'Avg Week Kabale-Katuna'!I64</f>
        <v>1</v>
      </c>
      <c r="J64" s="49">
        <f>'Avg Week Katuna-Kabale'!J64+'Avg Week Kabale-Katuna'!J64</f>
        <v>0</v>
      </c>
      <c r="K64" s="49">
        <f>'Avg Week Katuna-Kabale'!K64+'Avg Week Kabale-Katuna'!K64</f>
        <v>0</v>
      </c>
      <c r="L64" s="49">
        <f>'Avg Week Katuna-Kabale'!L64+'Avg Week Kabale-Katuna'!L64</f>
        <v>0</v>
      </c>
      <c r="M64" s="49">
        <f>'Avg Week Katuna-Kabale'!M64+'Avg Week Kabale-Katuna'!M64</f>
        <v>15</v>
      </c>
      <c r="N64" s="49">
        <f>'Avg Week Katuna-Kabale'!N64+'Avg Week Kabale-Katuna'!N64</f>
        <v>0</v>
      </c>
      <c r="O64" s="15">
        <f t="shared" si="0"/>
        <v>11</v>
      </c>
      <c r="P64" s="15">
        <f t="shared" si="1"/>
        <v>26</v>
      </c>
      <c r="R64" s="8"/>
      <c r="T64"/>
    </row>
    <row r="65" spans="2:20" ht="23.1" customHeight="1" x14ac:dyDescent="0.25">
      <c r="B65" s="23" t="s">
        <v>158</v>
      </c>
      <c r="C65" s="49">
        <f>'Avg Week Katuna-Kabale'!C65+'Avg Week Kabale-Katuna'!C65</f>
        <v>6</v>
      </c>
      <c r="D65" s="49">
        <f>'Avg Week Katuna-Kabale'!D65+'Avg Week Kabale-Katuna'!D65</f>
        <v>3</v>
      </c>
      <c r="E65" s="49">
        <f>'Avg Week Katuna-Kabale'!E65+'Avg Week Kabale-Katuna'!E65</f>
        <v>2</v>
      </c>
      <c r="F65" s="49">
        <f>'Avg Week Katuna-Kabale'!F65+'Avg Week Kabale-Katuna'!F65</f>
        <v>1</v>
      </c>
      <c r="G65" s="49">
        <f>'Avg Week Katuna-Kabale'!G65+'Avg Week Kabale-Katuna'!G65</f>
        <v>0</v>
      </c>
      <c r="H65" s="49">
        <f>'Avg Week Katuna-Kabale'!H65+'Avg Week Kabale-Katuna'!H65</f>
        <v>0</v>
      </c>
      <c r="I65" s="49">
        <f>'Avg Week Katuna-Kabale'!I65+'Avg Week Kabale-Katuna'!I65</f>
        <v>3</v>
      </c>
      <c r="J65" s="49">
        <f>'Avg Week Katuna-Kabale'!J65+'Avg Week Kabale-Katuna'!J65</f>
        <v>0</v>
      </c>
      <c r="K65" s="49">
        <f>'Avg Week Katuna-Kabale'!K65+'Avg Week Kabale-Katuna'!K65</f>
        <v>0</v>
      </c>
      <c r="L65" s="49">
        <f>'Avg Week Katuna-Kabale'!L65+'Avg Week Kabale-Katuna'!L65</f>
        <v>0</v>
      </c>
      <c r="M65" s="49">
        <f>'Avg Week Katuna-Kabale'!M65+'Avg Week Kabale-Katuna'!M65</f>
        <v>8</v>
      </c>
      <c r="N65" s="49">
        <f>'Avg Week Katuna-Kabale'!N65+'Avg Week Kabale-Katuna'!N65</f>
        <v>0</v>
      </c>
      <c r="O65" s="15">
        <f t="shared" si="0"/>
        <v>15</v>
      </c>
      <c r="P65" s="15">
        <f t="shared" si="1"/>
        <v>23</v>
      </c>
      <c r="R65" s="8"/>
      <c r="T65"/>
    </row>
    <row r="66" spans="2:20" ht="23.1" customHeight="1" x14ac:dyDescent="0.25">
      <c r="B66" s="23" t="s">
        <v>103</v>
      </c>
      <c r="C66" s="49">
        <f>'Avg Week Katuna-Kabale'!C66+'Avg Week Kabale-Katuna'!C66</f>
        <v>6</v>
      </c>
      <c r="D66" s="49">
        <f>'Avg Week Katuna-Kabale'!D66+'Avg Week Kabale-Katuna'!D66</f>
        <v>1</v>
      </c>
      <c r="E66" s="49">
        <f>'Avg Week Katuna-Kabale'!E66+'Avg Week Kabale-Katuna'!E66</f>
        <v>1</v>
      </c>
      <c r="F66" s="49">
        <f>'Avg Week Katuna-Kabale'!F66+'Avg Week Kabale-Katuna'!F66</f>
        <v>2</v>
      </c>
      <c r="G66" s="49">
        <f>'Avg Week Katuna-Kabale'!G66+'Avg Week Kabale-Katuna'!G66</f>
        <v>0</v>
      </c>
      <c r="H66" s="49">
        <f>'Avg Week Katuna-Kabale'!H66+'Avg Week Kabale-Katuna'!H66</f>
        <v>0</v>
      </c>
      <c r="I66" s="49">
        <f>'Avg Week Katuna-Kabale'!I66+'Avg Week Kabale-Katuna'!I66</f>
        <v>0</v>
      </c>
      <c r="J66" s="49">
        <f>'Avg Week Katuna-Kabale'!J66+'Avg Week Kabale-Katuna'!J66</f>
        <v>0</v>
      </c>
      <c r="K66" s="49">
        <f>'Avg Week Katuna-Kabale'!K66+'Avg Week Kabale-Katuna'!K66</f>
        <v>0</v>
      </c>
      <c r="L66" s="49">
        <f>'Avg Week Katuna-Kabale'!L66+'Avg Week Kabale-Katuna'!L66</f>
        <v>0</v>
      </c>
      <c r="M66" s="49">
        <f>'Avg Week Katuna-Kabale'!M66+'Avg Week Kabale-Katuna'!M66</f>
        <v>8</v>
      </c>
      <c r="N66" s="49">
        <f>'Avg Week Katuna-Kabale'!N66+'Avg Week Kabale-Katuna'!N66</f>
        <v>0</v>
      </c>
      <c r="O66" s="15">
        <f t="shared" si="0"/>
        <v>10</v>
      </c>
      <c r="P66" s="15">
        <f t="shared" si="1"/>
        <v>18</v>
      </c>
      <c r="R66" s="8"/>
      <c r="T66"/>
    </row>
    <row r="67" spans="2:20" ht="23.1" customHeight="1" x14ac:dyDescent="0.25">
      <c r="B67" s="23" t="s">
        <v>104</v>
      </c>
      <c r="C67" s="49">
        <f>'Avg Week Katuna-Kabale'!C67+'Avg Week Kabale-Katuna'!C67</f>
        <v>3</v>
      </c>
      <c r="D67" s="49">
        <f>'Avg Week Katuna-Kabale'!D67+'Avg Week Kabale-Katuna'!D67</f>
        <v>0</v>
      </c>
      <c r="E67" s="49">
        <f>'Avg Week Katuna-Kabale'!E67+'Avg Week Kabale-Katuna'!E67</f>
        <v>0</v>
      </c>
      <c r="F67" s="49">
        <f>'Avg Week Katuna-Kabale'!F67+'Avg Week Kabale-Katuna'!F67</f>
        <v>1</v>
      </c>
      <c r="G67" s="49">
        <f>'Avg Week Katuna-Kabale'!G67+'Avg Week Kabale-Katuna'!G67</f>
        <v>0</v>
      </c>
      <c r="H67" s="49">
        <f>'Avg Week Katuna-Kabale'!H67+'Avg Week Kabale-Katuna'!H67</f>
        <v>1</v>
      </c>
      <c r="I67" s="49">
        <f>'Avg Week Katuna-Kabale'!I67+'Avg Week Kabale-Katuna'!I67</f>
        <v>2</v>
      </c>
      <c r="J67" s="49">
        <f>'Avg Week Katuna-Kabale'!J67+'Avg Week Kabale-Katuna'!J67</f>
        <v>0</v>
      </c>
      <c r="K67" s="49">
        <f>'Avg Week Katuna-Kabale'!K67+'Avg Week Kabale-Katuna'!K67</f>
        <v>0</v>
      </c>
      <c r="L67" s="49">
        <f>'Avg Week Katuna-Kabale'!L67+'Avg Week Kabale-Katuna'!L67</f>
        <v>0</v>
      </c>
      <c r="M67" s="49">
        <f>'Avg Week Katuna-Kabale'!M67+'Avg Week Kabale-Katuna'!M67</f>
        <v>5</v>
      </c>
      <c r="N67" s="49">
        <f>'Avg Week Katuna-Kabale'!N67+'Avg Week Kabale-Katuna'!N67</f>
        <v>0</v>
      </c>
      <c r="O67" s="15">
        <f t="shared" si="0"/>
        <v>7</v>
      </c>
      <c r="P67" s="15">
        <f t="shared" si="1"/>
        <v>12</v>
      </c>
      <c r="R67" s="8"/>
      <c r="T67"/>
    </row>
    <row r="68" spans="2:20" ht="23.1" customHeight="1" x14ac:dyDescent="0.25">
      <c r="B68" s="23" t="s">
        <v>105</v>
      </c>
      <c r="C68" s="49">
        <f>'Avg Week Katuna-Kabale'!C68+'Avg Week Kabale-Katuna'!C68</f>
        <v>4</v>
      </c>
      <c r="D68" s="49">
        <f>'Avg Week Katuna-Kabale'!D68+'Avg Week Kabale-Katuna'!D68</f>
        <v>0</v>
      </c>
      <c r="E68" s="49">
        <f>'Avg Week Katuna-Kabale'!E68+'Avg Week Kabale-Katuna'!E68</f>
        <v>1</v>
      </c>
      <c r="F68" s="49">
        <f>'Avg Week Katuna-Kabale'!F68+'Avg Week Kabale-Katuna'!F68</f>
        <v>0</v>
      </c>
      <c r="G68" s="49">
        <f>'Avg Week Katuna-Kabale'!G68+'Avg Week Kabale-Katuna'!G68</f>
        <v>0</v>
      </c>
      <c r="H68" s="49">
        <f>'Avg Week Katuna-Kabale'!H68+'Avg Week Kabale-Katuna'!H68</f>
        <v>0</v>
      </c>
      <c r="I68" s="49">
        <f>'Avg Week Katuna-Kabale'!I68+'Avg Week Kabale-Katuna'!I68</f>
        <v>0</v>
      </c>
      <c r="J68" s="49">
        <f>'Avg Week Katuna-Kabale'!J68+'Avg Week Kabale-Katuna'!J68</f>
        <v>0</v>
      </c>
      <c r="K68" s="49">
        <f>'Avg Week Katuna-Kabale'!K68+'Avg Week Kabale-Katuna'!K68</f>
        <v>0</v>
      </c>
      <c r="L68" s="49">
        <f>'Avg Week Katuna-Kabale'!L68+'Avg Week Kabale-Katuna'!L68</f>
        <v>0</v>
      </c>
      <c r="M68" s="49">
        <f>'Avg Week Katuna-Kabale'!M68+'Avg Week Kabale-Katuna'!M68</f>
        <v>2</v>
      </c>
      <c r="N68" s="49">
        <f>'Avg Week Katuna-Kabale'!N68+'Avg Week Kabale-Katuna'!N68</f>
        <v>0</v>
      </c>
      <c r="O68" s="15">
        <f t="shared" si="0"/>
        <v>5</v>
      </c>
      <c r="P68" s="15">
        <f t="shared" si="1"/>
        <v>7</v>
      </c>
      <c r="R68" s="8"/>
      <c r="T68"/>
    </row>
    <row r="69" spans="2:20" ht="23.1" customHeight="1" x14ac:dyDescent="0.25">
      <c r="B69" s="23" t="s">
        <v>106</v>
      </c>
      <c r="C69" s="49">
        <f>'Avg Week Katuna-Kabale'!C69+'Avg Week Kabale-Katuna'!C69</f>
        <v>1</v>
      </c>
      <c r="D69" s="49">
        <f>'Avg Week Katuna-Kabale'!D69+'Avg Week Kabale-Katuna'!D69</f>
        <v>0</v>
      </c>
      <c r="E69" s="49">
        <f>'Avg Week Katuna-Kabale'!E69+'Avg Week Kabale-Katuna'!E69</f>
        <v>0</v>
      </c>
      <c r="F69" s="49">
        <f>'Avg Week Katuna-Kabale'!F69+'Avg Week Kabale-Katuna'!F69</f>
        <v>0</v>
      </c>
      <c r="G69" s="49">
        <f>'Avg Week Katuna-Kabale'!G69+'Avg Week Kabale-Katuna'!G69</f>
        <v>0</v>
      </c>
      <c r="H69" s="49">
        <f>'Avg Week Katuna-Kabale'!H69+'Avg Week Kabale-Katuna'!H69</f>
        <v>0</v>
      </c>
      <c r="I69" s="49">
        <f>'Avg Week Katuna-Kabale'!I69+'Avg Week Kabale-Katuna'!I69</f>
        <v>0</v>
      </c>
      <c r="J69" s="49">
        <f>'Avg Week Katuna-Kabale'!J69+'Avg Week Kabale-Katuna'!J69</f>
        <v>0</v>
      </c>
      <c r="K69" s="49">
        <f>'Avg Week Katuna-Kabale'!K69+'Avg Week Kabale-Katuna'!K69</f>
        <v>0</v>
      </c>
      <c r="L69" s="49">
        <f>'Avg Week Katuna-Kabale'!L69+'Avg Week Kabale-Katuna'!L69</f>
        <v>0</v>
      </c>
      <c r="M69" s="49">
        <f>'Avg Week Katuna-Kabale'!M69+'Avg Week Kabale-Katuna'!M69</f>
        <v>0</v>
      </c>
      <c r="N69" s="49">
        <f>'Avg Week Katuna-Kabale'!N69+'Avg Week Kabale-Katuna'!N69</f>
        <v>0</v>
      </c>
      <c r="O69" s="15">
        <f t="shared" si="0"/>
        <v>1</v>
      </c>
      <c r="P69" s="15">
        <f t="shared" si="1"/>
        <v>1</v>
      </c>
      <c r="R69" s="8"/>
      <c r="T69"/>
    </row>
    <row r="70" spans="2:20" ht="23.1" customHeight="1" x14ac:dyDescent="0.25">
      <c r="B70" s="23" t="s">
        <v>110</v>
      </c>
      <c r="C70" s="49">
        <f>'Avg Week Katuna-Kabale'!C70+'Avg Week Kabale-Katuna'!C70</f>
        <v>2</v>
      </c>
      <c r="D70" s="49">
        <f>'Avg Week Katuna-Kabale'!D70+'Avg Week Kabale-Katuna'!D70</f>
        <v>0</v>
      </c>
      <c r="E70" s="49">
        <f>'Avg Week Katuna-Kabale'!E70+'Avg Week Kabale-Katuna'!E70</f>
        <v>0</v>
      </c>
      <c r="F70" s="49">
        <f>'Avg Week Katuna-Kabale'!F70+'Avg Week Kabale-Katuna'!F70</f>
        <v>0</v>
      </c>
      <c r="G70" s="49">
        <f>'Avg Week Katuna-Kabale'!G70+'Avg Week Kabale-Katuna'!G70</f>
        <v>0</v>
      </c>
      <c r="H70" s="49">
        <f>'Avg Week Katuna-Kabale'!H70+'Avg Week Kabale-Katuna'!H70</f>
        <v>0</v>
      </c>
      <c r="I70" s="49">
        <f>'Avg Week Katuna-Kabale'!I70+'Avg Week Kabale-Katuna'!I70</f>
        <v>0</v>
      </c>
      <c r="J70" s="49">
        <f>'Avg Week Katuna-Kabale'!J70+'Avg Week Kabale-Katuna'!J70</f>
        <v>0</v>
      </c>
      <c r="K70" s="49">
        <f>'Avg Week Katuna-Kabale'!K70+'Avg Week Kabale-Katuna'!K70</f>
        <v>0</v>
      </c>
      <c r="L70" s="49">
        <f>'Avg Week Katuna-Kabale'!L70+'Avg Week Kabale-Katuna'!L70</f>
        <v>0</v>
      </c>
      <c r="M70" s="49">
        <f>'Avg Week Katuna-Kabale'!M70+'Avg Week Kabale-Katuna'!M70</f>
        <v>2</v>
      </c>
      <c r="N70" s="49">
        <f>'Avg Week Katuna-Kabale'!N70+'Avg Week Kabale-Katuna'!N70</f>
        <v>0</v>
      </c>
      <c r="O70" s="15">
        <f t="shared" si="0"/>
        <v>2</v>
      </c>
      <c r="P70" s="15">
        <f t="shared" si="1"/>
        <v>4</v>
      </c>
      <c r="R70" s="8"/>
      <c r="T70"/>
    </row>
    <row r="71" spans="2:20" ht="23.1" customHeight="1" x14ac:dyDescent="0.25">
      <c r="B71" s="23" t="s">
        <v>111</v>
      </c>
      <c r="C71" s="49">
        <f>'Avg Week Katuna-Kabale'!C71+'Avg Week Kabale-Katuna'!C71</f>
        <v>3</v>
      </c>
      <c r="D71" s="49">
        <f>'Avg Week Katuna-Kabale'!D71+'Avg Week Kabale-Katuna'!D71</f>
        <v>0</v>
      </c>
      <c r="E71" s="49">
        <f>'Avg Week Katuna-Kabale'!E71+'Avg Week Kabale-Katuna'!E71</f>
        <v>0</v>
      </c>
      <c r="F71" s="49">
        <f>'Avg Week Katuna-Kabale'!F71+'Avg Week Kabale-Katuna'!F71</f>
        <v>0</v>
      </c>
      <c r="G71" s="49">
        <f>'Avg Week Katuna-Kabale'!G71+'Avg Week Kabale-Katuna'!G71</f>
        <v>0</v>
      </c>
      <c r="H71" s="49">
        <f>'Avg Week Katuna-Kabale'!H71+'Avg Week Kabale-Katuna'!H71</f>
        <v>0</v>
      </c>
      <c r="I71" s="49">
        <f>'Avg Week Katuna-Kabale'!I71+'Avg Week Kabale-Katuna'!I71</f>
        <v>0</v>
      </c>
      <c r="J71" s="49">
        <f>'Avg Week Katuna-Kabale'!J71+'Avg Week Kabale-Katuna'!J71</f>
        <v>0</v>
      </c>
      <c r="K71" s="49">
        <f>'Avg Week Katuna-Kabale'!K71+'Avg Week Kabale-Katuna'!K71</f>
        <v>0</v>
      </c>
      <c r="L71" s="49">
        <f>'Avg Week Katuna-Kabale'!L71+'Avg Week Kabale-Katuna'!L71</f>
        <v>0</v>
      </c>
      <c r="M71" s="49">
        <f>'Avg Week Katuna-Kabale'!M71+'Avg Week Kabale-Katuna'!M71</f>
        <v>4</v>
      </c>
      <c r="N71" s="49">
        <f>'Avg Week Katuna-Kabale'!N71+'Avg Week Kabale-Katuna'!N71</f>
        <v>0</v>
      </c>
      <c r="O71" s="15">
        <f t="shared" si="0"/>
        <v>3</v>
      </c>
      <c r="P71" s="15">
        <f t="shared" si="1"/>
        <v>7</v>
      </c>
      <c r="R71" s="8"/>
      <c r="T71"/>
    </row>
    <row r="72" spans="2:20" ht="23.1" customHeight="1" x14ac:dyDescent="0.25">
      <c r="B72" s="23" t="s">
        <v>112</v>
      </c>
      <c r="C72" s="49">
        <f>'Avg Week Katuna-Kabale'!C72+'Avg Week Kabale-Katuna'!C72</f>
        <v>3</v>
      </c>
      <c r="D72" s="49">
        <f>'Avg Week Katuna-Kabale'!D72+'Avg Week Kabale-Katuna'!D72</f>
        <v>0</v>
      </c>
      <c r="E72" s="49">
        <f>'Avg Week Katuna-Kabale'!E72+'Avg Week Kabale-Katuna'!E72</f>
        <v>0</v>
      </c>
      <c r="F72" s="49">
        <f>'Avg Week Katuna-Kabale'!F72+'Avg Week Kabale-Katuna'!F72</f>
        <v>0</v>
      </c>
      <c r="G72" s="49">
        <f>'Avg Week Katuna-Kabale'!G72+'Avg Week Kabale-Katuna'!G72</f>
        <v>0</v>
      </c>
      <c r="H72" s="49">
        <f>'Avg Week Katuna-Kabale'!H72+'Avg Week Kabale-Katuna'!H72</f>
        <v>0</v>
      </c>
      <c r="I72" s="49">
        <f>'Avg Week Katuna-Kabale'!I72+'Avg Week Kabale-Katuna'!I72</f>
        <v>1</v>
      </c>
      <c r="J72" s="49">
        <f>'Avg Week Katuna-Kabale'!J72+'Avg Week Kabale-Katuna'!J72</f>
        <v>0</v>
      </c>
      <c r="K72" s="49">
        <f>'Avg Week Katuna-Kabale'!K72+'Avg Week Kabale-Katuna'!K72</f>
        <v>0</v>
      </c>
      <c r="L72" s="49">
        <f>'Avg Week Katuna-Kabale'!L72+'Avg Week Kabale-Katuna'!L72</f>
        <v>0</v>
      </c>
      <c r="M72" s="49">
        <f>'Avg Week Katuna-Kabale'!M72+'Avg Week Kabale-Katuna'!M72</f>
        <v>4</v>
      </c>
      <c r="N72" s="49">
        <f>'Avg Week Katuna-Kabale'!N72+'Avg Week Kabale-Katuna'!N72</f>
        <v>0</v>
      </c>
      <c r="O72" s="15">
        <f t="shared" si="0"/>
        <v>4</v>
      </c>
      <c r="P72" s="15">
        <f t="shared" si="1"/>
        <v>8</v>
      </c>
      <c r="R72" s="8"/>
      <c r="T72"/>
    </row>
    <row r="73" spans="2:20" ht="23.1" customHeight="1" x14ac:dyDescent="0.25">
      <c r="B73" s="23" t="s">
        <v>113</v>
      </c>
      <c r="C73" s="49">
        <f>'Avg Week Katuna-Kabale'!C73+'Avg Week Kabale-Katuna'!C73</f>
        <v>1</v>
      </c>
      <c r="D73" s="49">
        <f>'Avg Week Katuna-Kabale'!D73+'Avg Week Kabale-Katuna'!D73</f>
        <v>1</v>
      </c>
      <c r="E73" s="49">
        <f>'Avg Week Katuna-Kabale'!E73+'Avg Week Kabale-Katuna'!E73</f>
        <v>0</v>
      </c>
      <c r="F73" s="49">
        <f>'Avg Week Katuna-Kabale'!F73+'Avg Week Kabale-Katuna'!F73</f>
        <v>0</v>
      </c>
      <c r="G73" s="49">
        <f>'Avg Week Katuna-Kabale'!G73+'Avg Week Kabale-Katuna'!G73</f>
        <v>0</v>
      </c>
      <c r="H73" s="49">
        <f>'Avg Week Katuna-Kabale'!H73+'Avg Week Kabale-Katuna'!H73</f>
        <v>0</v>
      </c>
      <c r="I73" s="49">
        <f>'Avg Week Katuna-Kabale'!I73+'Avg Week Kabale-Katuna'!I73</f>
        <v>0</v>
      </c>
      <c r="J73" s="49">
        <f>'Avg Week Katuna-Kabale'!J73+'Avg Week Kabale-Katuna'!J73</f>
        <v>0</v>
      </c>
      <c r="K73" s="49">
        <f>'Avg Week Katuna-Kabale'!K73+'Avg Week Kabale-Katuna'!K73</f>
        <v>0</v>
      </c>
      <c r="L73" s="49">
        <f>'Avg Week Katuna-Kabale'!L73+'Avg Week Kabale-Katuna'!L73</f>
        <v>0</v>
      </c>
      <c r="M73" s="49">
        <f>'Avg Week Katuna-Kabale'!M73+'Avg Week Kabale-Katuna'!M73</f>
        <v>3</v>
      </c>
      <c r="N73" s="49">
        <f>'Avg Week Katuna-Kabale'!N73+'Avg Week Kabale-Katuna'!N73</f>
        <v>0</v>
      </c>
      <c r="O73" s="15">
        <f t="shared" si="0"/>
        <v>2</v>
      </c>
      <c r="P73" s="15">
        <f t="shared" si="1"/>
        <v>5</v>
      </c>
      <c r="R73" s="8"/>
      <c r="T73"/>
    </row>
    <row r="74" spans="2:20" ht="23.1" customHeight="1" x14ac:dyDescent="0.25">
      <c r="B74" s="23" t="s">
        <v>114</v>
      </c>
      <c r="C74" s="49">
        <f>'Avg Week Katuna-Kabale'!C74+'Avg Week Kabale-Katuna'!C74</f>
        <v>3</v>
      </c>
      <c r="D74" s="49">
        <f>'Avg Week Katuna-Kabale'!D74+'Avg Week Kabale-Katuna'!D74</f>
        <v>0</v>
      </c>
      <c r="E74" s="49">
        <f>'Avg Week Katuna-Kabale'!E74+'Avg Week Kabale-Katuna'!E74</f>
        <v>0</v>
      </c>
      <c r="F74" s="49">
        <f>'Avg Week Katuna-Kabale'!F74+'Avg Week Kabale-Katuna'!F74</f>
        <v>0</v>
      </c>
      <c r="G74" s="49">
        <f>'Avg Week Katuna-Kabale'!G74+'Avg Week Kabale-Katuna'!G74</f>
        <v>0</v>
      </c>
      <c r="H74" s="49">
        <f>'Avg Week Katuna-Kabale'!H74+'Avg Week Kabale-Katuna'!H74</f>
        <v>0</v>
      </c>
      <c r="I74" s="49">
        <f>'Avg Week Katuna-Kabale'!I74+'Avg Week Kabale-Katuna'!I74</f>
        <v>1</v>
      </c>
      <c r="J74" s="49">
        <f>'Avg Week Katuna-Kabale'!J74+'Avg Week Kabale-Katuna'!J74</f>
        <v>0</v>
      </c>
      <c r="K74" s="49">
        <f>'Avg Week Katuna-Kabale'!K74+'Avg Week Kabale-Katuna'!K74</f>
        <v>0</v>
      </c>
      <c r="L74" s="49">
        <f>'Avg Week Katuna-Kabale'!L74+'Avg Week Kabale-Katuna'!L74</f>
        <v>0</v>
      </c>
      <c r="M74" s="49">
        <f>'Avg Week Katuna-Kabale'!M74+'Avg Week Kabale-Katuna'!M74</f>
        <v>2</v>
      </c>
      <c r="N74" s="49">
        <f>'Avg Week Katuna-Kabale'!N74+'Avg Week Kabale-Katuna'!N74</f>
        <v>0</v>
      </c>
      <c r="O74" s="15">
        <f t="shared" ref="O74:O105" si="35">SUM(C74:L74,N74)</f>
        <v>4</v>
      </c>
      <c r="P74" s="15">
        <f t="shared" ref="P74:P105" si="36">SUM(C74:N74)</f>
        <v>6</v>
      </c>
      <c r="R74" s="8"/>
      <c r="T74"/>
    </row>
    <row r="75" spans="2:20" ht="23.1" customHeight="1" x14ac:dyDescent="0.25">
      <c r="B75" s="23" t="s">
        <v>115</v>
      </c>
      <c r="C75" s="49">
        <f>'Avg Week Katuna-Kabale'!C75+'Avg Week Kabale-Katuna'!C75</f>
        <v>1</v>
      </c>
      <c r="D75" s="49">
        <f>'Avg Week Katuna-Kabale'!D75+'Avg Week Kabale-Katuna'!D75</f>
        <v>1</v>
      </c>
      <c r="E75" s="49">
        <f>'Avg Week Katuna-Kabale'!E75+'Avg Week Kabale-Katuna'!E75</f>
        <v>0</v>
      </c>
      <c r="F75" s="49">
        <f>'Avg Week Katuna-Kabale'!F75+'Avg Week Kabale-Katuna'!F75</f>
        <v>0</v>
      </c>
      <c r="G75" s="49">
        <f>'Avg Week Katuna-Kabale'!G75+'Avg Week Kabale-Katuna'!G75</f>
        <v>0</v>
      </c>
      <c r="H75" s="49">
        <f>'Avg Week Katuna-Kabale'!H75+'Avg Week Kabale-Katuna'!H75</f>
        <v>0</v>
      </c>
      <c r="I75" s="49">
        <f>'Avg Week Katuna-Kabale'!I75+'Avg Week Kabale-Katuna'!I75</f>
        <v>0</v>
      </c>
      <c r="J75" s="49">
        <f>'Avg Week Katuna-Kabale'!J75+'Avg Week Kabale-Katuna'!J75</f>
        <v>0</v>
      </c>
      <c r="K75" s="49">
        <f>'Avg Week Katuna-Kabale'!K75+'Avg Week Kabale-Katuna'!K75</f>
        <v>0</v>
      </c>
      <c r="L75" s="49">
        <f>'Avg Week Katuna-Kabale'!L75+'Avg Week Kabale-Katuna'!L75</f>
        <v>0</v>
      </c>
      <c r="M75" s="49">
        <f>'Avg Week Katuna-Kabale'!M75+'Avg Week Kabale-Katuna'!M75</f>
        <v>2</v>
      </c>
      <c r="N75" s="49">
        <f>'Avg Week Katuna-Kabale'!N75+'Avg Week Kabale-Katuna'!N75</f>
        <v>0</v>
      </c>
      <c r="O75" s="15">
        <f t="shared" si="35"/>
        <v>2</v>
      </c>
      <c r="P75" s="15">
        <f t="shared" si="36"/>
        <v>4</v>
      </c>
      <c r="R75" s="8"/>
      <c r="T75"/>
    </row>
    <row r="76" spans="2:20" ht="23.1" customHeight="1" x14ac:dyDescent="0.25">
      <c r="B76" s="23" t="s">
        <v>116</v>
      </c>
      <c r="C76" s="49">
        <f>'Avg Week Katuna-Kabale'!C76+'Avg Week Kabale-Katuna'!C76</f>
        <v>1</v>
      </c>
      <c r="D76" s="49">
        <f>'Avg Week Katuna-Kabale'!D76+'Avg Week Kabale-Katuna'!D76</f>
        <v>1</v>
      </c>
      <c r="E76" s="49">
        <f>'Avg Week Katuna-Kabale'!E76+'Avg Week Kabale-Katuna'!E76</f>
        <v>0</v>
      </c>
      <c r="F76" s="49">
        <f>'Avg Week Katuna-Kabale'!F76+'Avg Week Kabale-Katuna'!F76</f>
        <v>0</v>
      </c>
      <c r="G76" s="49">
        <f>'Avg Week Katuna-Kabale'!G76+'Avg Week Kabale-Katuna'!G76</f>
        <v>0</v>
      </c>
      <c r="H76" s="49">
        <f>'Avg Week Katuna-Kabale'!H76+'Avg Week Kabale-Katuna'!H76</f>
        <v>0</v>
      </c>
      <c r="I76" s="49">
        <f>'Avg Week Katuna-Kabale'!I76+'Avg Week Kabale-Katuna'!I76</f>
        <v>0</v>
      </c>
      <c r="J76" s="49">
        <f>'Avg Week Katuna-Kabale'!J76+'Avg Week Kabale-Katuna'!J76</f>
        <v>0</v>
      </c>
      <c r="K76" s="49">
        <f>'Avg Week Katuna-Kabale'!K76+'Avg Week Kabale-Katuna'!K76</f>
        <v>0</v>
      </c>
      <c r="L76" s="49">
        <f>'Avg Week Katuna-Kabale'!L76+'Avg Week Kabale-Katuna'!L76</f>
        <v>0</v>
      </c>
      <c r="M76" s="49">
        <f>'Avg Week Katuna-Kabale'!M76+'Avg Week Kabale-Katuna'!M76</f>
        <v>4</v>
      </c>
      <c r="N76" s="49">
        <f>'Avg Week Katuna-Kabale'!N76+'Avg Week Kabale-Katuna'!N76</f>
        <v>0</v>
      </c>
      <c r="O76" s="15">
        <f t="shared" si="35"/>
        <v>2</v>
      </c>
      <c r="P76" s="15">
        <f t="shared" si="36"/>
        <v>6</v>
      </c>
      <c r="R76" s="8"/>
      <c r="T76"/>
    </row>
    <row r="77" spans="2:20" ht="23.1" customHeight="1" x14ac:dyDescent="0.25">
      <c r="B77" s="23" t="s">
        <v>117</v>
      </c>
      <c r="C77" s="49">
        <f>'Avg Week Katuna-Kabale'!C77+'Avg Week Kabale-Katuna'!C77</f>
        <v>1</v>
      </c>
      <c r="D77" s="49">
        <f>'Avg Week Katuna-Kabale'!D77+'Avg Week Kabale-Katuna'!D77</f>
        <v>0</v>
      </c>
      <c r="E77" s="49">
        <f>'Avg Week Katuna-Kabale'!E77+'Avg Week Kabale-Katuna'!E77</f>
        <v>0</v>
      </c>
      <c r="F77" s="49">
        <f>'Avg Week Katuna-Kabale'!F77+'Avg Week Kabale-Katuna'!F77</f>
        <v>0</v>
      </c>
      <c r="G77" s="49">
        <f>'Avg Week Katuna-Kabale'!G77+'Avg Week Kabale-Katuna'!G77</f>
        <v>0</v>
      </c>
      <c r="H77" s="49">
        <f>'Avg Week Katuna-Kabale'!H77+'Avg Week Kabale-Katuna'!H77</f>
        <v>0</v>
      </c>
      <c r="I77" s="49">
        <f>'Avg Week Katuna-Kabale'!I77+'Avg Week Kabale-Katuna'!I77</f>
        <v>1</v>
      </c>
      <c r="J77" s="49">
        <f>'Avg Week Katuna-Kabale'!J77+'Avg Week Kabale-Katuna'!J77</f>
        <v>0</v>
      </c>
      <c r="K77" s="49">
        <f>'Avg Week Katuna-Kabale'!K77+'Avg Week Kabale-Katuna'!K77</f>
        <v>0</v>
      </c>
      <c r="L77" s="49">
        <f>'Avg Week Katuna-Kabale'!L77+'Avg Week Kabale-Katuna'!L77</f>
        <v>0</v>
      </c>
      <c r="M77" s="49">
        <f>'Avg Week Katuna-Kabale'!M77+'Avg Week Kabale-Katuna'!M77</f>
        <v>0</v>
      </c>
      <c r="N77" s="49">
        <f>'Avg Week Katuna-Kabale'!N77+'Avg Week Kabale-Katuna'!N77</f>
        <v>0</v>
      </c>
      <c r="O77" s="15">
        <f t="shared" si="35"/>
        <v>2</v>
      </c>
      <c r="P77" s="15">
        <f t="shared" si="36"/>
        <v>2</v>
      </c>
      <c r="R77" s="8"/>
      <c r="T77"/>
    </row>
    <row r="78" spans="2:20" ht="23.1" customHeight="1" x14ac:dyDescent="0.25">
      <c r="B78" s="24" t="s">
        <v>118</v>
      </c>
      <c r="C78" s="49">
        <f>'Avg Week Katuna-Kabale'!C78+'Avg Week Kabale-Katuna'!C78</f>
        <v>1</v>
      </c>
      <c r="D78" s="49">
        <f>'Avg Week Katuna-Kabale'!D78+'Avg Week Kabale-Katuna'!D78</f>
        <v>3</v>
      </c>
      <c r="E78" s="49">
        <f>'Avg Week Katuna-Kabale'!E78+'Avg Week Kabale-Katuna'!E78</f>
        <v>0</v>
      </c>
      <c r="F78" s="49">
        <f>'Avg Week Katuna-Kabale'!F78+'Avg Week Kabale-Katuna'!F78</f>
        <v>0</v>
      </c>
      <c r="G78" s="49">
        <f>'Avg Week Katuna-Kabale'!G78+'Avg Week Kabale-Katuna'!G78</f>
        <v>0</v>
      </c>
      <c r="H78" s="49">
        <f>'Avg Week Katuna-Kabale'!H78+'Avg Week Kabale-Katuna'!H78</f>
        <v>0</v>
      </c>
      <c r="I78" s="49">
        <f>'Avg Week Katuna-Kabale'!I78+'Avg Week Kabale-Katuna'!I78</f>
        <v>1</v>
      </c>
      <c r="J78" s="49">
        <f>'Avg Week Katuna-Kabale'!J78+'Avg Week Kabale-Katuna'!J78</f>
        <v>0</v>
      </c>
      <c r="K78" s="49">
        <f>'Avg Week Katuna-Kabale'!K78+'Avg Week Kabale-Katuna'!K78</f>
        <v>0</v>
      </c>
      <c r="L78" s="49">
        <f>'Avg Week Katuna-Kabale'!L78+'Avg Week Kabale-Katuna'!L78</f>
        <v>0</v>
      </c>
      <c r="M78" s="49">
        <f>'Avg Week Katuna-Kabale'!M78+'Avg Week Kabale-Katuna'!M78</f>
        <v>2</v>
      </c>
      <c r="N78" s="49">
        <f>'Avg Week Katuna-Kabale'!N78+'Avg Week Kabale-Katuna'!N78</f>
        <v>0</v>
      </c>
      <c r="O78" s="15">
        <f t="shared" si="35"/>
        <v>5</v>
      </c>
      <c r="P78" s="15">
        <f t="shared" si="36"/>
        <v>7</v>
      </c>
      <c r="R78" s="8"/>
      <c r="T78"/>
    </row>
    <row r="79" spans="2:20" ht="23.1" customHeight="1" x14ac:dyDescent="0.25">
      <c r="B79" s="23" t="s">
        <v>119</v>
      </c>
      <c r="C79" s="49">
        <f>'Avg Week Katuna-Kabale'!C79+'Avg Week Kabale-Katuna'!C79</f>
        <v>0</v>
      </c>
      <c r="D79" s="49">
        <f>'Avg Week Katuna-Kabale'!D79+'Avg Week Kabale-Katuna'!D79</f>
        <v>0</v>
      </c>
      <c r="E79" s="49">
        <f>'Avg Week Katuna-Kabale'!E79+'Avg Week Kabale-Katuna'!E79</f>
        <v>0</v>
      </c>
      <c r="F79" s="49">
        <f>'Avg Week Katuna-Kabale'!F79+'Avg Week Kabale-Katuna'!F79</f>
        <v>0</v>
      </c>
      <c r="G79" s="49">
        <f>'Avg Week Katuna-Kabale'!G79+'Avg Week Kabale-Katuna'!G79</f>
        <v>0</v>
      </c>
      <c r="H79" s="49">
        <f>'Avg Week Katuna-Kabale'!H79+'Avg Week Kabale-Katuna'!H79</f>
        <v>0</v>
      </c>
      <c r="I79" s="49">
        <f>'Avg Week Katuna-Kabale'!I79+'Avg Week Kabale-Katuna'!I79</f>
        <v>0</v>
      </c>
      <c r="J79" s="49">
        <f>'Avg Week Katuna-Kabale'!J79+'Avg Week Kabale-Katuna'!J79</f>
        <v>0</v>
      </c>
      <c r="K79" s="49">
        <f>'Avg Week Katuna-Kabale'!K79+'Avg Week Kabale-Katuna'!K79</f>
        <v>0</v>
      </c>
      <c r="L79" s="49">
        <f>'Avg Week Katuna-Kabale'!L79+'Avg Week Kabale-Katuna'!L79</f>
        <v>0</v>
      </c>
      <c r="M79" s="49">
        <f>'Avg Week Katuna-Kabale'!M79+'Avg Week Kabale-Katuna'!M79</f>
        <v>2</v>
      </c>
      <c r="N79" s="49">
        <f>'Avg Week Katuna-Kabale'!N79+'Avg Week Kabale-Katuna'!N79</f>
        <v>0</v>
      </c>
      <c r="O79" s="15">
        <f t="shared" si="35"/>
        <v>0</v>
      </c>
      <c r="P79" s="15">
        <f t="shared" si="36"/>
        <v>2</v>
      </c>
      <c r="R79" s="8"/>
      <c r="T79"/>
    </row>
    <row r="80" spans="2:20" ht="23.1" customHeight="1" x14ac:dyDescent="0.25">
      <c r="B80" s="25" t="s">
        <v>120</v>
      </c>
      <c r="C80" s="49">
        <f>'Avg Week Katuna-Kabale'!C80+'Avg Week Kabale-Katuna'!C80</f>
        <v>4</v>
      </c>
      <c r="D80" s="49">
        <f>'Avg Week Katuna-Kabale'!D80+'Avg Week Kabale-Katuna'!D80</f>
        <v>0</v>
      </c>
      <c r="E80" s="49">
        <f>'Avg Week Katuna-Kabale'!E80+'Avg Week Kabale-Katuna'!E80</f>
        <v>1</v>
      </c>
      <c r="F80" s="49">
        <f>'Avg Week Katuna-Kabale'!F80+'Avg Week Kabale-Katuna'!F80</f>
        <v>0</v>
      </c>
      <c r="G80" s="49">
        <f>'Avg Week Katuna-Kabale'!G80+'Avg Week Kabale-Katuna'!G80</f>
        <v>0</v>
      </c>
      <c r="H80" s="49">
        <f>'Avg Week Katuna-Kabale'!H80+'Avg Week Kabale-Katuna'!H80</f>
        <v>0</v>
      </c>
      <c r="I80" s="49">
        <f>'Avg Week Katuna-Kabale'!I80+'Avg Week Kabale-Katuna'!I80</f>
        <v>0</v>
      </c>
      <c r="J80" s="49">
        <f>'Avg Week Katuna-Kabale'!J80+'Avg Week Kabale-Katuna'!J80</f>
        <v>0</v>
      </c>
      <c r="K80" s="49">
        <f>'Avg Week Katuna-Kabale'!K80+'Avg Week Kabale-Katuna'!K80</f>
        <v>0</v>
      </c>
      <c r="L80" s="49">
        <f>'Avg Week Katuna-Kabale'!L80+'Avg Week Kabale-Katuna'!L80</f>
        <v>0</v>
      </c>
      <c r="M80" s="49">
        <f>'Avg Week Katuna-Kabale'!M80+'Avg Week Kabale-Katuna'!M80</f>
        <v>2</v>
      </c>
      <c r="N80" s="49">
        <f>'Avg Week Katuna-Kabale'!N80+'Avg Week Kabale-Katuna'!N80</f>
        <v>0</v>
      </c>
      <c r="O80" s="15">
        <f t="shared" si="35"/>
        <v>5</v>
      </c>
      <c r="P80" s="15">
        <f t="shared" si="36"/>
        <v>7</v>
      </c>
      <c r="R80" s="8"/>
      <c r="T80"/>
    </row>
    <row r="81" spans="2:20" ht="23.1" customHeight="1" x14ac:dyDescent="0.25">
      <c r="B81" s="23" t="s">
        <v>121</v>
      </c>
      <c r="C81" s="49">
        <f>'Avg Week Katuna-Kabale'!C81+'Avg Week Kabale-Katuna'!C81</f>
        <v>4</v>
      </c>
      <c r="D81" s="49">
        <f>'Avg Week Katuna-Kabale'!D81+'Avg Week Kabale-Katuna'!D81</f>
        <v>0</v>
      </c>
      <c r="E81" s="49">
        <f>'Avg Week Katuna-Kabale'!E81+'Avg Week Kabale-Katuna'!E81</f>
        <v>0</v>
      </c>
      <c r="F81" s="49">
        <f>'Avg Week Katuna-Kabale'!F81+'Avg Week Kabale-Katuna'!F81</f>
        <v>0</v>
      </c>
      <c r="G81" s="49">
        <f>'Avg Week Katuna-Kabale'!G81+'Avg Week Kabale-Katuna'!G81</f>
        <v>0</v>
      </c>
      <c r="H81" s="49">
        <f>'Avg Week Katuna-Kabale'!H81+'Avg Week Kabale-Katuna'!H81</f>
        <v>0</v>
      </c>
      <c r="I81" s="49">
        <f>'Avg Week Katuna-Kabale'!I81+'Avg Week Kabale-Katuna'!I81</f>
        <v>0</v>
      </c>
      <c r="J81" s="49">
        <f>'Avg Week Katuna-Kabale'!J81+'Avg Week Kabale-Katuna'!J81</f>
        <v>0</v>
      </c>
      <c r="K81" s="49">
        <f>'Avg Week Katuna-Kabale'!K81+'Avg Week Kabale-Katuna'!K81</f>
        <v>0</v>
      </c>
      <c r="L81" s="49">
        <f>'Avg Week Katuna-Kabale'!L81+'Avg Week Kabale-Katuna'!L81</f>
        <v>0</v>
      </c>
      <c r="M81" s="49">
        <f>'Avg Week Katuna-Kabale'!M81+'Avg Week Kabale-Katuna'!M81</f>
        <v>4</v>
      </c>
      <c r="N81" s="49">
        <f>'Avg Week Katuna-Kabale'!N81+'Avg Week Kabale-Katuna'!N81</f>
        <v>0</v>
      </c>
      <c r="O81" s="15">
        <f t="shared" si="35"/>
        <v>4</v>
      </c>
      <c r="P81" s="15">
        <f t="shared" si="36"/>
        <v>8</v>
      </c>
      <c r="R81" s="8"/>
      <c r="T81"/>
    </row>
    <row r="82" spans="2:20" ht="23.1" customHeight="1" x14ac:dyDescent="0.25">
      <c r="B82" s="24" t="s">
        <v>122</v>
      </c>
      <c r="C82" s="49">
        <f>'Avg Week Katuna-Kabale'!C82+'Avg Week Kabale-Katuna'!C82</f>
        <v>1</v>
      </c>
      <c r="D82" s="49">
        <f>'Avg Week Katuna-Kabale'!D82+'Avg Week Kabale-Katuna'!D82</f>
        <v>1</v>
      </c>
      <c r="E82" s="49">
        <f>'Avg Week Katuna-Kabale'!E82+'Avg Week Kabale-Katuna'!E82</f>
        <v>0</v>
      </c>
      <c r="F82" s="49">
        <f>'Avg Week Katuna-Kabale'!F82+'Avg Week Kabale-Katuna'!F82</f>
        <v>0</v>
      </c>
      <c r="G82" s="49">
        <f>'Avg Week Katuna-Kabale'!G82+'Avg Week Kabale-Katuna'!G82</f>
        <v>0</v>
      </c>
      <c r="H82" s="49">
        <f>'Avg Week Katuna-Kabale'!H82+'Avg Week Kabale-Katuna'!H82</f>
        <v>0</v>
      </c>
      <c r="I82" s="49">
        <f>'Avg Week Katuna-Kabale'!I82+'Avg Week Kabale-Katuna'!I82</f>
        <v>1</v>
      </c>
      <c r="J82" s="49">
        <f>'Avg Week Katuna-Kabale'!J82+'Avg Week Kabale-Katuna'!J82</f>
        <v>2</v>
      </c>
      <c r="K82" s="49">
        <f>'Avg Week Katuna-Kabale'!K82+'Avg Week Kabale-Katuna'!K82</f>
        <v>0</v>
      </c>
      <c r="L82" s="49">
        <f>'Avg Week Katuna-Kabale'!L82+'Avg Week Kabale-Katuna'!L82</f>
        <v>0</v>
      </c>
      <c r="M82" s="49">
        <f>'Avg Week Katuna-Kabale'!M82+'Avg Week Kabale-Katuna'!M82</f>
        <v>3</v>
      </c>
      <c r="N82" s="49">
        <f>'Avg Week Katuna-Kabale'!N82+'Avg Week Kabale-Katuna'!N82</f>
        <v>0</v>
      </c>
      <c r="O82" s="15">
        <f t="shared" si="35"/>
        <v>5</v>
      </c>
      <c r="P82" s="15">
        <f t="shared" si="36"/>
        <v>8</v>
      </c>
      <c r="R82" s="8"/>
      <c r="T82"/>
    </row>
    <row r="83" spans="2:20" ht="23.1" customHeight="1" x14ac:dyDescent="0.25">
      <c r="B83" s="23" t="s">
        <v>123</v>
      </c>
      <c r="C83" s="49">
        <f>'Avg Week Katuna-Kabale'!C83+'Avg Week Kabale-Katuna'!C83</f>
        <v>0</v>
      </c>
      <c r="D83" s="49">
        <f>'Avg Week Katuna-Kabale'!D83+'Avg Week Kabale-Katuna'!D83</f>
        <v>0</v>
      </c>
      <c r="E83" s="49">
        <f>'Avg Week Katuna-Kabale'!E83+'Avg Week Kabale-Katuna'!E83</f>
        <v>0</v>
      </c>
      <c r="F83" s="49">
        <f>'Avg Week Katuna-Kabale'!F83+'Avg Week Kabale-Katuna'!F83</f>
        <v>0</v>
      </c>
      <c r="G83" s="49">
        <f>'Avg Week Katuna-Kabale'!G83+'Avg Week Kabale-Katuna'!G83</f>
        <v>0</v>
      </c>
      <c r="H83" s="49">
        <f>'Avg Week Katuna-Kabale'!H83+'Avg Week Kabale-Katuna'!H83</f>
        <v>0</v>
      </c>
      <c r="I83" s="49">
        <f>'Avg Week Katuna-Kabale'!I83+'Avg Week Kabale-Katuna'!I83</f>
        <v>0</v>
      </c>
      <c r="J83" s="49">
        <f>'Avg Week Katuna-Kabale'!J83+'Avg Week Kabale-Katuna'!J83</f>
        <v>0</v>
      </c>
      <c r="K83" s="49">
        <f>'Avg Week Katuna-Kabale'!K83+'Avg Week Kabale-Katuna'!K83</f>
        <v>0</v>
      </c>
      <c r="L83" s="49">
        <f>'Avg Week Katuna-Kabale'!L83+'Avg Week Kabale-Katuna'!L83</f>
        <v>0</v>
      </c>
      <c r="M83" s="49">
        <f>'Avg Week Katuna-Kabale'!M83+'Avg Week Kabale-Katuna'!M83</f>
        <v>2</v>
      </c>
      <c r="N83" s="49">
        <f>'Avg Week Katuna-Kabale'!N83+'Avg Week Kabale-Katuna'!N83</f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'Avg Week Katuna-Kabale'!C84+'Avg Week Kabale-Katuna'!C84</f>
        <v>0</v>
      </c>
      <c r="D84" s="49">
        <f>'Avg Week Katuna-Kabale'!D84+'Avg Week Kabale-Katuna'!D84</f>
        <v>0</v>
      </c>
      <c r="E84" s="49">
        <f>'Avg Week Katuna-Kabale'!E84+'Avg Week Kabale-Katuna'!E84</f>
        <v>4</v>
      </c>
      <c r="F84" s="49">
        <f>'Avg Week Katuna-Kabale'!F84+'Avg Week Kabale-Katuna'!F84</f>
        <v>0</v>
      </c>
      <c r="G84" s="49">
        <f>'Avg Week Katuna-Kabale'!G84+'Avg Week Kabale-Katuna'!G84</f>
        <v>0</v>
      </c>
      <c r="H84" s="49">
        <f>'Avg Week Katuna-Kabale'!H84+'Avg Week Kabale-Katuna'!H84</f>
        <v>0</v>
      </c>
      <c r="I84" s="49">
        <f>'Avg Week Katuna-Kabale'!I84+'Avg Week Kabale-Katuna'!I84</f>
        <v>0</v>
      </c>
      <c r="J84" s="49">
        <f>'Avg Week Katuna-Kabale'!J84+'Avg Week Kabale-Katuna'!J84</f>
        <v>0</v>
      </c>
      <c r="K84" s="49">
        <f>'Avg Week Katuna-Kabale'!K84+'Avg Week Kabale-Katuna'!K84</f>
        <v>0</v>
      </c>
      <c r="L84" s="49">
        <f>'Avg Week Katuna-Kabale'!L84+'Avg Week Kabale-Katuna'!L84</f>
        <v>0</v>
      </c>
      <c r="M84" s="49">
        <f>'Avg Week Katuna-Kabale'!M84+'Avg Week Kabale-Katuna'!M84</f>
        <v>0</v>
      </c>
      <c r="N84" s="49">
        <f>'Avg Week Katuna-Kabale'!N84+'Avg Week Kabale-Katuna'!N84</f>
        <v>0</v>
      </c>
      <c r="O84" s="15">
        <f t="shared" si="35"/>
        <v>4</v>
      </c>
      <c r="P84" s="15">
        <f t="shared" si="36"/>
        <v>4</v>
      </c>
      <c r="R84" s="8"/>
      <c r="T84"/>
    </row>
    <row r="85" spans="2:20" ht="23.1" customHeight="1" x14ac:dyDescent="0.25">
      <c r="B85" s="23" t="s">
        <v>125</v>
      </c>
      <c r="C85" s="49">
        <f>'Avg Week Katuna-Kabale'!C85+'Avg Week Kabale-Katuna'!C85</f>
        <v>2</v>
      </c>
      <c r="D85" s="49">
        <f>'Avg Week Katuna-Kabale'!D85+'Avg Week Kabale-Katuna'!D85</f>
        <v>0</v>
      </c>
      <c r="E85" s="49">
        <f>'Avg Week Katuna-Kabale'!E85+'Avg Week Kabale-Katuna'!E85</f>
        <v>0</v>
      </c>
      <c r="F85" s="49">
        <f>'Avg Week Katuna-Kabale'!F85+'Avg Week Kabale-Katuna'!F85</f>
        <v>0</v>
      </c>
      <c r="G85" s="49">
        <f>'Avg Week Katuna-Kabale'!G85+'Avg Week Kabale-Katuna'!G85</f>
        <v>0</v>
      </c>
      <c r="H85" s="49">
        <f>'Avg Week Katuna-Kabale'!H85+'Avg Week Kabale-Katuna'!H85</f>
        <v>0</v>
      </c>
      <c r="I85" s="49">
        <f>'Avg Week Katuna-Kabale'!I85+'Avg Week Kabale-Katuna'!I85</f>
        <v>0</v>
      </c>
      <c r="J85" s="49">
        <f>'Avg Week Katuna-Kabale'!J85+'Avg Week Kabale-Katuna'!J85</f>
        <v>0</v>
      </c>
      <c r="K85" s="49">
        <f>'Avg Week Katuna-Kabale'!K85+'Avg Week Kabale-Katuna'!K85</f>
        <v>0</v>
      </c>
      <c r="L85" s="49">
        <f>'Avg Week Katuna-Kabale'!L85+'Avg Week Kabale-Katuna'!L85</f>
        <v>0</v>
      </c>
      <c r="M85" s="49">
        <f>'Avg Week Katuna-Kabale'!M85+'Avg Week Kabale-Katuna'!M85</f>
        <v>1</v>
      </c>
      <c r="N85" s="49">
        <f>'Avg Week Katuna-Kabale'!N85+'Avg Week Kabale-Katuna'!N85</f>
        <v>0</v>
      </c>
      <c r="O85" s="15">
        <f t="shared" si="35"/>
        <v>2</v>
      </c>
      <c r="P85" s="15">
        <f t="shared" si="36"/>
        <v>3</v>
      </c>
      <c r="R85" s="8"/>
      <c r="T85"/>
    </row>
    <row r="86" spans="2:20" ht="23.1" customHeight="1" x14ac:dyDescent="0.25">
      <c r="B86" s="24" t="s">
        <v>126</v>
      </c>
      <c r="C86" s="49">
        <f>'Avg Week Katuna-Kabale'!C86+'Avg Week Kabale-Katuna'!C86</f>
        <v>1</v>
      </c>
      <c r="D86" s="49">
        <f>'Avg Week Katuna-Kabale'!D86+'Avg Week Kabale-Katuna'!D86</f>
        <v>1</v>
      </c>
      <c r="E86" s="49">
        <f>'Avg Week Katuna-Kabale'!E86+'Avg Week Kabale-Katuna'!E86</f>
        <v>0</v>
      </c>
      <c r="F86" s="49">
        <f>'Avg Week Katuna-Kabale'!F86+'Avg Week Kabale-Katuna'!F86</f>
        <v>0</v>
      </c>
      <c r="G86" s="49">
        <f>'Avg Week Katuna-Kabale'!G86+'Avg Week Kabale-Katuna'!G86</f>
        <v>1</v>
      </c>
      <c r="H86" s="49">
        <f>'Avg Week Katuna-Kabale'!H86+'Avg Week Kabale-Katuna'!H86</f>
        <v>0</v>
      </c>
      <c r="I86" s="49">
        <f>'Avg Week Katuna-Kabale'!I86+'Avg Week Kabale-Katuna'!I86</f>
        <v>0</v>
      </c>
      <c r="J86" s="49">
        <f>'Avg Week Katuna-Kabale'!J86+'Avg Week Kabale-Katuna'!J86</f>
        <v>0</v>
      </c>
      <c r="K86" s="49">
        <f>'Avg Week Katuna-Kabale'!K86+'Avg Week Kabale-Katuna'!K86</f>
        <v>0</v>
      </c>
      <c r="L86" s="49">
        <f>'Avg Week Katuna-Kabale'!L86+'Avg Week Kabale-Katuna'!L86</f>
        <v>0</v>
      </c>
      <c r="M86" s="49">
        <f>'Avg Week Katuna-Kabale'!M86+'Avg Week Kabale-Katuna'!M86</f>
        <v>1</v>
      </c>
      <c r="N86" s="49">
        <f>'Avg Week Katuna-Kabale'!N86+'Avg Week Kabale-Katuna'!N86</f>
        <v>0</v>
      </c>
      <c r="O86" s="15">
        <f t="shared" si="35"/>
        <v>3</v>
      </c>
      <c r="P86" s="15">
        <f t="shared" si="36"/>
        <v>4</v>
      </c>
      <c r="R86" s="8"/>
      <c r="T86"/>
    </row>
    <row r="87" spans="2:20" ht="23.1" customHeight="1" x14ac:dyDescent="0.25">
      <c r="B87" s="23" t="s">
        <v>127</v>
      </c>
      <c r="C87" s="49">
        <f>'Avg Week Katuna-Kabale'!C87+'Avg Week Kabale-Katuna'!C87</f>
        <v>3</v>
      </c>
      <c r="D87" s="49">
        <f>'Avg Week Katuna-Kabale'!D87+'Avg Week Kabale-Katuna'!D87</f>
        <v>0</v>
      </c>
      <c r="E87" s="49">
        <f>'Avg Week Katuna-Kabale'!E87+'Avg Week Kabale-Katuna'!E87</f>
        <v>0</v>
      </c>
      <c r="F87" s="49">
        <f>'Avg Week Katuna-Kabale'!F87+'Avg Week Kabale-Katuna'!F87</f>
        <v>0</v>
      </c>
      <c r="G87" s="49">
        <f>'Avg Week Katuna-Kabale'!G87+'Avg Week Kabale-Katuna'!G87</f>
        <v>0</v>
      </c>
      <c r="H87" s="49">
        <f>'Avg Week Katuna-Kabale'!H87+'Avg Week Kabale-Katuna'!H87</f>
        <v>1</v>
      </c>
      <c r="I87" s="49">
        <f>'Avg Week Katuna-Kabale'!I87+'Avg Week Kabale-Katuna'!I87</f>
        <v>2</v>
      </c>
      <c r="J87" s="49">
        <f>'Avg Week Katuna-Kabale'!J87+'Avg Week Kabale-Katuna'!J87</f>
        <v>0</v>
      </c>
      <c r="K87" s="49">
        <f>'Avg Week Katuna-Kabale'!K87+'Avg Week Kabale-Katuna'!K87</f>
        <v>0</v>
      </c>
      <c r="L87" s="49">
        <f>'Avg Week Katuna-Kabale'!L87+'Avg Week Kabale-Katuna'!L87</f>
        <v>0</v>
      </c>
      <c r="M87" s="49">
        <f>'Avg Week Katuna-Kabale'!M87+'Avg Week Kabale-Katuna'!M87</f>
        <v>0</v>
      </c>
      <c r="N87" s="49">
        <f>'Avg Week Katuna-Kabale'!N87+'Avg Week Kabale-Katuna'!N87</f>
        <v>0</v>
      </c>
      <c r="O87" s="15">
        <f t="shared" si="35"/>
        <v>6</v>
      </c>
      <c r="P87" s="15">
        <f t="shared" si="36"/>
        <v>6</v>
      </c>
      <c r="R87" s="8"/>
      <c r="T87"/>
    </row>
    <row r="88" spans="2:20" ht="23.1" customHeight="1" x14ac:dyDescent="0.25">
      <c r="B88" s="25" t="s">
        <v>128</v>
      </c>
      <c r="C88" s="49">
        <f>'Avg Week Katuna-Kabale'!C88+'Avg Week Kabale-Katuna'!C88</f>
        <v>1</v>
      </c>
      <c r="D88" s="49">
        <f>'Avg Week Katuna-Kabale'!D88+'Avg Week Kabale-Katuna'!D88</f>
        <v>0</v>
      </c>
      <c r="E88" s="49">
        <f>'Avg Week Katuna-Kabale'!E88+'Avg Week Kabale-Katuna'!E88</f>
        <v>0</v>
      </c>
      <c r="F88" s="49">
        <f>'Avg Week Katuna-Kabale'!F88+'Avg Week Kabale-Katuna'!F88</f>
        <v>0</v>
      </c>
      <c r="G88" s="49">
        <f>'Avg Week Katuna-Kabale'!G88+'Avg Week Kabale-Katuna'!G88</f>
        <v>0</v>
      </c>
      <c r="H88" s="49">
        <f>'Avg Week Katuna-Kabale'!H88+'Avg Week Kabale-Katuna'!H88</f>
        <v>0</v>
      </c>
      <c r="I88" s="49">
        <f>'Avg Week Katuna-Kabale'!I88+'Avg Week Kabale-Katuna'!I88</f>
        <v>1</v>
      </c>
      <c r="J88" s="49">
        <f>'Avg Week Katuna-Kabale'!J88+'Avg Week Kabale-Katuna'!J88</f>
        <v>0</v>
      </c>
      <c r="K88" s="49">
        <f>'Avg Week Katuna-Kabale'!K88+'Avg Week Kabale-Katuna'!K88</f>
        <v>0</v>
      </c>
      <c r="L88" s="49">
        <f>'Avg Week Katuna-Kabale'!L88+'Avg Week Kabale-Katuna'!L88</f>
        <v>0</v>
      </c>
      <c r="M88" s="49">
        <f>'Avg Week Katuna-Kabale'!M88+'Avg Week Kabale-Katuna'!M88</f>
        <v>0</v>
      </c>
      <c r="N88" s="49">
        <f>'Avg Week Katuna-Kabale'!N88+'Avg Week Kabale-Katuna'!N88</f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23" t="s">
        <v>129</v>
      </c>
      <c r="C89" s="49">
        <f>'Avg Week Katuna-Kabale'!C89+'Avg Week Kabale-Katuna'!C89</f>
        <v>2</v>
      </c>
      <c r="D89" s="49">
        <f>'Avg Week Katuna-Kabale'!D89+'Avg Week Kabale-Katuna'!D89</f>
        <v>1</v>
      </c>
      <c r="E89" s="49">
        <f>'Avg Week Katuna-Kabale'!E89+'Avg Week Kabale-Katuna'!E89</f>
        <v>2</v>
      </c>
      <c r="F89" s="49">
        <f>'Avg Week Katuna-Kabale'!F89+'Avg Week Kabale-Katuna'!F89</f>
        <v>0</v>
      </c>
      <c r="G89" s="49">
        <f>'Avg Week Katuna-Kabale'!G89+'Avg Week Kabale-Katuna'!G89</f>
        <v>0</v>
      </c>
      <c r="H89" s="49">
        <f>'Avg Week Katuna-Kabale'!H89+'Avg Week Kabale-Katuna'!H89</f>
        <v>0</v>
      </c>
      <c r="I89" s="49">
        <f>'Avg Week Katuna-Kabale'!I89+'Avg Week Kabale-Katuna'!I89</f>
        <v>0</v>
      </c>
      <c r="J89" s="49">
        <f>'Avg Week Katuna-Kabale'!J89+'Avg Week Kabale-Katuna'!J89</f>
        <v>0</v>
      </c>
      <c r="K89" s="49">
        <f>'Avg Week Katuna-Kabale'!K89+'Avg Week Kabale-Katuna'!K89</f>
        <v>0</v>
      </c>
      <c r="L89" s="49">
        <f>'Avg Week Katuna-Kabale'!L89+'Avg Week Kabale-Katuna'!L89</f>
        <v>0</v>
      </c>
      <c r="M89" s="49">
        <f>'Avg Week Katuna-Kabale'!M89+'Avg Week Kabale-Katuna'!M89</f>
        <v>0</v>
      </c>
      <c r="N89" s="49">
        <f>'Avg Week Katuna-Kabale'!N89+'Avg Week Kabale-Katuna'!N89</f>
        <v>0</v>
      </c>
      <c r="O89" s="15">
        <f t="shared" si="35"/>
        <v>5</v>
      </c>
      <c r="P89" s="15">
        <f t="shared" si="36"/>
        <v>5</v>
      </c>
      <c r="R89" s="8"/>
      <c r="T89"/>
    </row>
    <row r="90" spans="2:20" ht="23.1" customHeight="1" x14ac:dyDescent="0.25">
      <c r="B90" s="24" t="s">
        <v>130</v>
      </c>
      <c r="C90" s="49">
        <f>'Avg Week Katuna-Kabale'!C90+'Avg Week Kabale-Katuna'!C90</f>
        <v>2</v>
      </c>
      <c r="D90" s="49">
        <f>'Avg Week Katuna-Kabale'!D90+'Avg Week Kabale-Katuna'!D90</f>
        <v>0</v>
      </c>
      <c r="E90" s="49">
        <f>'Avg Week Katuna-Kabale'!E90+'Avg Week Kabale-Katuna'!E90</f>
        <v>4</v>
      </c>
      <c r="F90" s="49">
        <f>'Avg Week Katuna-Kabale'!F90+'Avg Week Kabale-Katuna'!F90</f>
        <v>0</v>
      </c>
      <c r="G90" s="49">
        <f>'Avg Week Katuna-Kabale'!G90+'Avg Week Kabale-Katuna'!G90</f>
        <v>0</v>
      </c>
      <c r="H90" s="49">
        <f>'Avg Week Katuna-Kabale'!H90+'Avg Week Kabale-Katuna'!H90</f>
        <v>0</v>
      </c>
      <c r="I90" s="49">
        <f>'Avg Week Katuna-Kabale'!I90+'Avg Week Kabale-Katuna'!I90</f>
        <v>0</v>
      </c>
      <c r="J90" s="49">
        <f>'Avg Week Katuna-Kabale'!J90+'Avg Week Kabale-Katuna'!J90</f>
        <v>0</v>
      </c>
      <c r="K90" s="49">
        <f>'Avg Week Katuna-Kabale'!K90+'Avg Week Kabale-Katuna'!K90</f>
        <v>0</v>
      </c>
      <c r="L90" s="49">
        <f>'Avg Week Katuna-Kabale'!L90+'Avg Week Kabale-Katuna'!L90</f>
        <v>0</v>
      </c>
      <c r="M90" s="49">
        <f>'Avg Week Katuna-Kabale'!M90+'Avg Week Kabale-Katuna'!M90</f>
        <v>0</v>
      </c>
      <c r="N90" s="49">
        <f>'Avg Week Katuna-Kabale'!N90+'Avg Week Kabale-Katuna'!N90</f>
        <v>0</v>
      </c>
      <c r="O90" s="15">
        <f t="shared" si="35"/>
        <v>6</v>
      </c>
      <c r="P90" s="15">
        <f t="shared" si="36"/>
        <v>6</v>
      </c>
      <c r="R90" s="8"/>
      <c r="T90"/>
    </row>
    <row r="91" spans="2:20" ht="23.1" customHeight="1" x14ac:dyDescent="0.25">
      <c r="B91" s="23" t="s">
        <v>131</v>
      </c>
      <c r="C91" s="49">
        <f>'Avg Week Katuna-Kabale'!C91+'Avg Week Kabale-Katuna'!C91</f>
        <v>0</v>
      </c>
      <c r="D91" s="49">
        <f>'Avg Week Katuna-Kabale'!D91+'Avg Week Kabale-Katuna'!D91</f>
        <v>0</v>
      </c>
      <c r="E91" s="49">
        <f>'Avg Week Katuna-Kabale'!E91+'Avg Week Kabale-Katuna'!E91</f>
        <v>0</v>
      </c>
      <c r="F91" s="49">
        <f>'Avg Week Katuna-Kabale'!F91+'Avg Week Kabale-Katuna'!F91</f>
        <v>0</v>
      </c>
      <c r="G91" s="49">
        <f>'Avg Week Katuna-Kabale'!G91+'Avg Week Kabale-Katuna'!G91</f>
        <v>0</v>
      </c>
      <c r="H91" s="49">
        <f>'Avg Week Katuna-Kabale'!H91+'Avg Week Kabale-Katuna'!H91</f>
        <v>0</v>
      </c>
      <c r="I91" s="49">
        <f>'Avg Week Katuna-Kabale'!I91+'Avg Week Kabale-Katuna'!I91</f>
        <v>2</v>
      </c>
      <c r="J91" s="49">
        <f>'Avg Week Katuna-Kabale'!J91+'Avg Week Kabale-Katuna'!J91</f>
        <v>0</v>
      </c>
      <c r="K91" s="49">
        <f>'Avg Week Katuna-Kabale'!K91+'Avg Week Kabale-Katuna'!K91</f>
        <v>0</v>
      </c>
      <c r="L91" s="49">
        <f>'Avg Week Katuna-Kabale'!L91+'Avg Week Kabale-Katuna'!L91</f>
        <v>0</v>
      </c>
      <c r="M91" s="49">
        <f>'Avg Week Katuna-Kabale'!M91+'Avg Week Kabale-Katuna'!M91</f>
        <v>1</v>
      </c>
      <c r="N91" s="49">
        <f>'Avg Week Katuna-Kabale'!N91+'Avg Week Kabale-Katuna'!N91</f>
        <v>0</v>
      </c>
      <c r="O91" s="15">
        <f t="shared" si="35"/>
        <v>2</v>
      </c>
      <c r="P91" s="15">
        <f t="shared" si="36"/>
        <v>3</v>
      </c>
      <c r="R91" s="8"/>
      <c r="T91"/>
    </row>
    <row r="92" spans="2:20" ht="23.1" customHeight="1" x14ac:dyDescent="0.25">
      <c r="B92" s="25" t="s">
        <v>132</v>
      </c>
      <c r="C92" s="49">
        <f>'Avg Week Katuna-Kabale'!C92+'Avg Week Kabale-Katuna'!C92</f>
        <v>2</v>
      </c>
      <c r="D92" s="49">
        <f>'Avg Week Katuna-Kabale'!D92+'Avg Week Kabale-Katuna'!D92</f>
        <v>0</v>
      </c>
      <c r="E92" s="49">
        <f>'Avg Week Katuna-Kabale'!E92+'Avg Week Kabale-Katuna'!E92</f>
        <v>0</v>
      </c>
      <c r="F92" s="49">
        <f>'Avg Week Katuna-Kabale'!F92+'Avg Week Kabale-Katuna'!F92</f>
        <v>0</v>
      </c>
      <c r="G92" s="49">
        <f>'Avg Week Katuna-Kabale'!G92+'Avg Week Kabale-Katuna'!G92</f>
        <v>0</v>
      </c>
      <c r="H92" s="49">
        <f>'Avg Week Katuna-Kabale'!H92+'Avg Week Kabale-Katuna'!H92</f>
        <v>0</v>
      </c>
      <c r="I92" s="49">
        <f>'Avg Week Katuna-Kabale'!I92+'Avg Week Kabale-Katuna'!I92</f>
        <v>1</v>
      </c>
      <c r="J92" s="49">
        <f>'Avg Week Katuna-Kabale'!J92+'Avg Week Kabale-Katuna'!J92</f>
        <v>0</v>
      </c>
      <c r="K92" s="49">
        <f>'Avg Week Katuna-Kabale'!K92+'Avg Week Kabale-Katuna'!K92</f>
        <v>0</v>
      </c>
      <c r="L92" s="49">
        <f>'Avg Week Katuna-Kabale'!L92+'Avg Week Kabale-Katuna'!L92</f>
        <v>0</v>
      </c>
      <c r="M92" s="49">
        <f>'Avg Week Katuna-Kabale'!M92+'Avg Week Kabale-Katuna'!M92</f>
        <v>0</v>
      </c>
      <c r="N92" s="49">
        <f>'Avg Week Katuna-Kabale'!N92+'Avg Week Kabale-Katuna'!N92</f>
        <v>0</v>
      </c>
      <c r="O92" s="15">
        <f t="shared" si="35"/>
        <v>3</v>
      </c>
      <c r="P92" s="15">
        <f t="shared" si="36"/>
        <v>3</v>
      </c>
      <c r="R92" s="8"/>
      <c r="T92"/>
    </row>
    <row r="93" spans="2:20" ht="23.1" customHeight="1" x14ac:dyDescent="0.25">
      <c r="B93" s="23" t="s">
        <v>133</v>
      </c>
      <c r="C93" s="49">
        <f>'Avg Week Katuna-Kabale'!C93+'Avg Week Kabale-Katuna'!C93</f>
        <v>5</v>
      </c>
      <c r="D93" s="49">
        <f>'Avg Week Katuna-Kabale'!D93+'Avg Week Kabale-Katuna'!D93</f>
        <v>2</v>
      </c>
      <c r="E93" s="49">
        <f>'Avg Week Katuna-Kabale'!E93+'Avg Week Kabale-Katuna'!E93</f>
        <v>0</v>
      </c>
      <c r="F93" s="49">
        <f>'Avg Week Katuna-Kabale'!F93+'Avg Week Kabale-Katuna'!F93</f>
        <v>0</v>
      </c>
      <c r="G93" s="49">
        <f>'Avg Week Katuna-Kabale'!G93+'Avg Week Kabale-Katuna'!G93</f>
        <v>0</v>
      </c>
      <c r="H93" s="49">
        <f>'Avg Week Katuna-Kabale'!H93+'Avg Week Kabale-Katuna'!H93</f>
        <v>0</v>
      </c>
      <c r="I93" s="49">
        <f>'Avg Week Katuna-Kabale'!I93+'Avg Week Kabale-Katuna'!I93</f>
        <v>0</v>
      </c>
      <c r="J93" s="49">
        <f>'Avg Week Katuna-Kabale'!J93+'Avg Week Kabale-Katuna'!J93</f>
        <v>0</v>
      </c>
      <c r="K93" s="49">
        <f>'Avg Week Katuna-Kabale'!K93+'Avg Week Kabale-Katuna'!K93</f>
        <v>0</v>
      </c>
      <c r="L93" s="49">
        <f>'Avg Week Katuna-Kabale'!L93+'Avg Week Kabale-Katuna'!L93</f>
        <v>0</v>
      </c>
      <c r="M93" s="49">
        <f>'Avg Week Katuna-Kabale'!M93+'Avg Week Kabale-Katuna'!M93</f>
        <v>2</v>
      </c>
      <c r="N93" s="49">
        <f>'Avg Week Katuna-Kabale'!N93+'Avg Week Kabale-Katuna'!N93</f>
        <v>0</v>
      </c>
      <c r="O93" s="15">
        <f t="shared" si="35"/>
        <v>7</v>
      </c>
      <c r="P93" s="15">
        <f t="shared" si="36"/>
        <v>9</v>
      </c>
      <c r="R93" s="8"/>
      <c r="T93"/>
    </row>
    <row r="94" spans="2:20" ht="23.1" customHeight="1" x14ac:dyDescent="0.25">
      <c r="B94" s="24" t="s">
        <v>134</v>
      </c>
      <c r="C94" s="49">
        <f>'Avg Week Katuna-Kabale'!C94+'Avg Week Kabale-Katuna'!C94</f>
        <v>1</v>
      </c>
      <c r="D94" s="49">
        <f>'Avg Week Katuna-Kabale'!D94+'Avg Week Kabale-Katuna'!D94</f>
        <v>0</v>
      </c>
      <c r="E94" s="49">
        <f>'Avg Week Katuna-Kabale'!E94+'Avg Week Kabale-Katuna'!E94</f>
        <v>0</v>
      </c>
      <c r="F94" s="49">
        <f>'Avg Week Katuna-Kabale'!F94+'Avg Week Kabale-Katuna'!F94</f>
        <v>0</v>
      </c>
      <c r="G94" s="49">
        <f>'Avg Week Katuna-Kabale'!G94+'Avg Week Kabale-Katuna'!G94</f>
        <v>2</v>
      </c>
      <c r="H94" s="49">
        <f>'Avg Week Katuna-Kabale'!H94+'Avg Week Kabale-Katuna'!H94</f>
        <v>0</v>
      </c>
      <c r="I94" s="49">
        <f>'Avg Week Katuna-Kabale'!I94+'Avg Week Kabale-Katuna'!I94</f>
        <v>2</v>
      </c>
      <c r="J94" s="49">
        <f>'Avg Week Katuna-Kabale'!J94+'Avg Week Kabale-Katuna'!J94</f>
        <v>0</v>
      </c>
      <c r="K94" s="49">
        <f>'Avg Week Katuna-Kabale'!K94+'Avg Week Kabale-Katuna'!K94</f>
        <v>0</v>
      </c>
      <c r="L94" s="49">
        <f>'Avg Week Katuna-Kabale'!L94+'Avg Week Kabale-Katuna'!L94</f>
        <v>0</v>
      </c>
      <c r="M94" s="49">
        <f>'Avg Week Katuna-Kabale'!M94+'Avg Week Kabale-Katuna'!M94</f>
        <v>2</v>
      </c>
      <c r="N94" s="49">
        <f>'Avg Week Katuna-Kabale'!N94+'Avg Week Kabale-Katuna'!N94</f>
        <v>0</v>
      </c>
      <c r="O94" s="15">
        <f t="shared" si="35"/>
        <v>5</v>
      </c>
      <c r="P94" s="15">
        <f t="shared" si="36"/>
        <v>7</v>
      </c>
      <c r="R94" s="8"/>
      <c r="T94"/>
    </row>
    <row r="95" spans="2:20" ht="23.1" customHeight="1" x14ac:dyDescent="0.25">
      <c r="B95" s="23" t="s">
        <v>135</v>
      </c>
      <c r="C95" s="49">
        <f>'Avg Week Katuna-Kabale'!C95+'Avg Week Kabale-Katuna'!C95</f>
        <v>0</v>
      </c>
      <c r="D95" s="49">
        <f>'Avg Week Katuna-Kabale'!D95+'Avg Week Kabale-Katuna'!D95</f>
        <v>0</v>
      </c>
      <c r="E95" s="49">
        <f>'Avg Week Katuna-Kabale'!E95+'Avg Week Kabale-Katuna'!E95</f>
        <v>0</v>
      </c>
      <c r="F95" s="49">
        <f>'Avg Week Katuna-Kabale'!F95+'Avg Week Kabale-Katuna'!F95</f>
        <v>0</v>
      </c>
      <c r="G95" s="49">
        <f>'Avg Week Katuna-Kabale'!G95+'Avg Week Kabale-Katuna'!G95</f>
        <v>0</v>
      </c>
      <c r="H95" s="49">
        <f>'Avg Week Katuna-Kabale'!H95+'Avg Week Kabale-Katuna'!H95</f>
        <v>0</v>
      </c>
      <c r="I95" s="49">
        <f>'Avg Week Katuna-Kabale'!I95+'Avg Week Kabale-Katuna'!I95</f>
        <v>0</v>
      </c>
      <c r="J95" s="49">
        <f>'Avg Week Katuna-Kabale'!J95+'Avg Week Kabale-Katuna'!J95</f>
        <v>0</v>
      </c>
      <c r="K95" s="49">
        <f>'Avg Week Katuna-Kabale'!K95+'Avg Week Kabale-Katuna'!K95</f>
        <v>0</v>
      </c>
      <c r="L95" s="49">
        <f>'Avg Week Katuna-Kabale'!L95+'Avg Week Kabale-Katuna'!L95</f>
        <v>0</v>
      </c>
      <c r="M95" s="49">
        <f>'Avg Week Katuna-Kabale'!M95+'Avg Week Kabale-Katuna'!M95</f>
        <v>1</v>
      </c>
      <c r="N95" s="49">
        <f>'Avg Week Katuna-Kabale'!N95+'Avg Week Kabale-Katuna'!N95</f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25" t="s">
        <v>136</v>
      </c>
      <c r="C96" s="49">
        <f>'Avg Week Katuna-Kabale'!C96+'Avg Week Kabale-Katuna'!C96</f>
        <v>0</v>
      </c>
      <c r="D96" s="49">
        <f>'Avg Week Katuna-Kabale'!D96+'Avg Week Kabale-Katuna'!D96</f>
        <v>1</v>
      </c>
      <c r="E96" s="49">
        <f>'Avg Week Katuna-Kabale'!E96+'Avg Week Kabale-Katuna'!E96</f>
        <v>0</v>
      </c>
      <c r="F96" s="49">
        <f>'Avg Week Katuna-Kabale'!F96+'Avg Week Kabale-Katuna'!F96</f>
        <v>0</v>
      </c>
      <c r="G96" s="49">
        <f>'Avg Week Katuna-Kabale'!G96+'Avg Week Kabale-Katuna'!G96</f>
        <v>0</v>
      </c>
      <c r="H96" s="49">
        <f>'Avg Week Katuna-Kabale'!H96+'Avg Week Kabale-Katuna'!H96</f>
        <v>0</v>
      </c>
      <c r="I96" s="49">
        <f>'Avg Week Katuna-Kabale'!I96+'Avg Week Kabale-Katuna'!I96</f>
        <v>1</v>
      </c>
      <c r="J96" s="49">
        <f>'Avg Week Katuna-Kabale'!J96+'Avg Week Kabale-Katuna'!J96</f>
        <v>0</v>
      </c>
      <c r="K96" s="49">
        <f>'Avg Week Katuna-Kabale'!K96+'Avg Week Kabale-Katuna'!K96</f>
        <v>0</v>
      </c>
      <c r="L96" s="49">
        <f>'Avg Week Katuna-Kabale'!L96+'Avg Week Kabale-Katuna'!L96</f>
        <v>0</v>
      </c>
      <c r="M96" s="49">
        <f>'Avg Week Katuna-Kabale'!M96+'Avg Week Kabale-Katuna'!M96</f>
        <v>0</v>
      </c>
      <c r="N96" s="49">
        <f>'Avg Week Katuna-Kabale'!N96+'Avg Week Kabale-Katuna'!N96</f>
        <v>0</v>
      </c>
      <c r="O96" s="15">
        <f t="shared" si="35"/>
        <v>2</v>
      </c>
      <c r="P96" s="15">
        <f t="shared" si="36"/>
        <v>2</v>
      </c>
      <c r="R96" s="8"/>
      <c r="T96"/>
    </row>
    <row r="97" spans="2:20" ht="23.1" customHeight="1" x14ac:dyDescent="0.25">
      <c r="B97" s="23" t="s">
        <v>137</v>
      </c>
      <c r="C97" s="49">
        <f>'Avg Week Katuna-Kabale'!C97+'Avg Week Kabale-Katuna'!C97</f>
        <v>0</v>
      </c>
      <c r="D97" s="49">
        <f>'Avg Week Katuna-Kabale'!D97+'Avg Week Kabale-Katuna'!D97</f>
        <v>0</v>
      </c>
      <c r="E97" s="49">
        <f>'Avg Week Katuna-Kabale'!E97+'Avg Week Kabale-Katuna'!E97</f>
        <v>2</v>
      </c>
      <c r="F97" s="49">
        <f>'Avg Week Katuna-Kabale'!F97+'Avg Week Kabale-Katuna'!F97</f>
        <v>0</v>
      </c>
      <c r="G97" s="49">
        <f>'Avg Week Katuna-Kabale'!G97+'Avg Week Kabale-Katuna'!G97</f>
        <v>0</v>
      </c>
      <c r="H97" s="49">
        <f>'Avg Week Katuna-Kabale'!H97+'Avg Week Kabale-Katuna'!H97</f>
        <v>0</v>
      </c>
      <c r="I97" s="49">
        <f>'Avg Week Katuna-Kabale'!I97+'Avg Week Kabale-Katuna'!I97</f>
        <v>0</v>
      </c>
      <c r="J97" s="49">
        <f>'Avg Week Katuna-Kabale'!J97+'Avg Week Kabale-Katuna'!J97</f>
        <v>0</v>
      </c>
      <c r="K97" s="49">
        <f>'Avg Week Katuna-Kabale'!K97+'Avg Week Kabale-Katuna'!K97</f>
        <v>0</v>
      </c>
      <c r="L97" s="49">
        <f>'Avg Week Katuna-Kabale'!L97+'Avg Week Kabale-Katuna'!L97</f>
        <v>0</v>
      </c>
      <c r="M97" s="49">
        <f>'Avg Week Katuna-Kabale'!M97+'Avg Week Kabale-Katuna'!M97</f>
        <v>2</v>
      </c>
      <c r="N97" s="49">
        <f>'Avg Week Katuna-Kabale'!N97+'Avg Week Kabale-Katuna'!N97</f>
        <v>0</v>
      </c>
      <c r="O97" s="15">
        <f t="shared" si="35"/>
        <v>2</v>
      </c>
      <c r="P97" s="15">
        <f t="shared" si="36"/>
        <v>4</v>
      </c>
      <c r="R97" s="8"/>
      <c r="T97"/>
    </row>
    <row r="98" spans="2:20" ht="23.1" customHeight="1" x14ac:dyDescent="0.25">
      <c r="B98" s="24" t="s">
        <v>138</v>
      </c>
      <c r="C98" s="49">
        <f>'Avg Week Katuna-Kabale'!C98+'Avg Week Kabale-Katuna'!C98</f>
        <v>1</v>
      </c>
      <c r="D98" s="49">
        <f>'Avg Week Katuna-Kabale'!D98+'Avg Week Kabale-Katuna'!D98</f>
        <v>3</v>
      </c>
      <c r="E98" s="49">
        <f>'Avg Week Katuna-Kabale'!E98+'Avg Week Kabale-Katuna'!E98</f>
        <v>0</v>
      </c>
      <c r="F98" s="49">
        <f>'Avg Week Katuna-Kabale'!F98+'Avg Week Kabale-Katuna'!F98</f>
        <v>0</v>
      </c>
      <c r="G98" s="49">
        <f>'Avg Week Katuna-Kabale'!G98+'Avg Week Kabale-Katuna'!G98</f>
        <v>0</v>
      </c>
      <c r="H98" s="49">
        <f>'Avg Week Katuna-Kabale'!H98+'Avg Week Kabale-Katuna'!H98</f>
        <v>0</v>
      </c>
      <c r="I98" s="49">
        <f>'Avg Week Katuna-Kabale'!I98+'Avg Week Kabale-Katuna'!I98</f>
        <v>4</v>
      </c>
      <c r="J98" s="49">
        <f>'Avg Week Katuna-Kabale'!J98+'Avg Week Kabale-Katuna'!J98</f>
        <v>0</v>
      </c>
      <c r="K98" s="49">
        <f>'Avg Week Katuna-Kabale'!K98+'Avg Week Kabale-Katuna'!K98</f>
        <v>0</v>
      </c>
      <c r="L98" s="49">
        <f>'Avg Week Katuna-Kabale'!L98+'Avg Week Kabale-Katuna'!L98</f>
        <v>0</v>
      </c>
      <c r="M98" s="49">
        <f>'Avg Week Katuna-Kabale'!M98+'Avg Week Kabale-Katuna'!M98</f>
        <v>4</v>
      </c>
      <c r="N98" s="49">
        <f>'Avg Week Katuna-Kabale'!N98+'Avg Week Kabale-Katuna'!N98</f>
        <v>0</v>
      </c>
      <c r="O98" s="15">
        <f t="shared" si="35"/>
        <v>8</v>
      </c>
      <c r="P98" s="15">
        <f t="shared" si="36"/>
        <v>12</v>
      </c>
      <c r="R98" s="8"/>
      <c r="T98"/>
    </row>
    <row r="99" spans="2:20" ht="23.1" customHeight="1" x14ac:dyDescent="0.25">
      <c r="B99" s="23" t="s">
        <v>139</v>
      </c>
      <c r="C99" s="49">
        <f>'Avg Week Katuna-Kabale'!C99+'Avg Week Kabale-Katuna'!C99</f>
        <v>0</v>
      </c>
      <c r="D99" s="49">
        <f>'Avg Week Katuna-Kabale'!D99+'Avg Week Kabale-Katuna'!D99</f>
        <v>0</v>
      </c>
      <c r="E99" s="49">
        <f>'Avg Week Katuna-Kabale'!E99+'Avg Week Kabale-Katuna'!E99</f>
        <v>1</v>
      </c>
      <c r="F99" s="49">
        <f>'Avg Week Katuna-Kabale'!F99+'Avg Week Kabale-Katuna'!F99</f>
        <v>0</v>
      </c>
      <c r="G99" s="49">
        <f>'Avg Week Katuna-Kabale'!G99+'Avg Week Kabale-Katuna'!G99</f>
        <v>0</v>
      </c>
      <c r="H99" s="49">
        <f>'Avg Week Katuna-Kabale'!H99+'Avg Week Kabale-Katuna'!H99</f>
        <v>0</v>
      </c>
      <c r="I99" s="49">
        <f>'Avg Week Katuna-Kabale'!I99+'Avg Week Kabale-Katuna'!I99</f>
        <v>0</v>
      </c>
      <c r="J99" s="49">
        <f>'Avg Week Katuna-Kabale'!J99+'Avg Week Kabale-Katuna'!J99</f>
        <v>0</v>
      </c>
      <c r="K99" s="49">
        <f>'Avg Week Katuna-Kabale'!K99+'Avg Week Kabale-Katuna'!K99</f>
        <v>0</v>
      </c>
      <c r="L99" s="49">
        <f>'Avg Week Katuna-Kabale'!L99+'Avg Week Kabale-Katuna'!L99</f>
        <v>0</v>
      </c>
      <c r="M99" s="49">
        <f>'Avg Week Katuna-Kabale'!M99+'Avg Week Kabale-Katuna'!M99</f>
        <v>0</v>
      </c>
      <c r="N99" s="49">
        <f>'Avg Week Katuna-Kabale'!N99+'Avg Week Kabale-Katuna'!N99</f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25" t="s">
        <v>140</v>
      </c>
      <c r="C100" s="49">
        <f>'Avg Week Katuna-Kabale'!C100+'Avg Week Kabale-Katuna'!C100</f>
        <v>0</v>
      </c>
      <c r="D100" s="49">
        <f>'Avg Week Katuna-Kabale'!D100+'Avg Week Kabale-Katuna'!D100</f>
        <v>1</v>
      </c>
      <c r="E100" s="49">
        <f>'Avg Week Katuna-Kabale'!E100+'Avg Week Kabale-Katuna'!E100</f>
        <v>0</v>
      </c>
      <c r="F100" s="49">
        <f>'Avg Week Katuna-Kabale'!F100+'Avg Week Kabale-Katuna'!F100</f>
        <v>0</v>
      </c>
      <c r="G100" s="49">
        <f>'Avg Week Katuna-Kabale'!G100+'Avg Week Kabale-Katuna'!G100</f>
        <v>0</v>
      </c>
      <c r="H100" s="49">
        <f>'Avg Week Katuna-Kabale'!H100+'Avg Week Kabale-Katuna'!H100</f>
        <v>0</v>
      </c>
      <c r="I100" s="49">
        <f>'Avg Week Katuna-Kabale'!I100+'Avg Week Kabale-Katuna'!I100</f>
        <v>2</v>
      </c>
      <c r="J100" s="49">
        <f>'Avg Week Katuna-Kabale'!J100+'Avg Week Kabale-Katuna'!J100</f>
        <v>0</v>
      </c>
      <c r="K100" s="49">
        <f>'Avg Week Katuna-Kabale'!K100+'Avg Week Kabale-Katuna'!K100</f>
        <v>0</v>
      </c>
      <c r="L100" s="49">
        <f>'Avg Week Katuna-Kabale'!L100+'Avg Week Kabale-Katuna'!L100</f>
        <v>0</v>
      </c>
      <c r="M100" s="49">
        <f>'Avg Week Katuna-Kabale'!M100+'Avg Week Kabale-Katuna'!M100</f>
        <v>1</v>
      </c>
      <c r="N100" s="49">
        <f>'Avg Week Katuna-Kabale'!N100+'Avg Week Kabale-Katuna'!N100</f>
        <v>0</v>
      </c>
      <c r="O100" s="15">
        <f t="shared" si="35"/>
        <v>3</v>
      </c>
      <c r="P100" s="15">
        <f t="shared" si="36"/>
        <v>4</v>
      </c>
      <c r="R100" s="8"/>
      <c r="T100"/>
    </row>
    <row r="101" spans="2:20" ht="23.1" customHeight="1" x14ac:dyDescent="0.25">
      <c r="B101" s="23" t="s">
        <v>141</v>
      </c>
      <c r="C101" s="49">
        <f>'Avg Week Katuna-Kabale'!C101+'Avg Week Kabale-Katuna'!C101</f>
        <v>5</v>
      </c>
      <c r="D101" s="49">
        <f>'Avg Week Katuna-Kabale'!D101+'Avg Week Kabale-Katuna'!D101</f>
        <v>0</v>
      </c>
      <c r="E101" s="49">
        <f>'Avg Week Katuna-Kabale'!E101+'Avg Week Kabale-Katuna'!E101</f>
        <v>0</v>
      </c>
      <c r="F101" s="49">
        <f>'Avg Week Katuna-Kabale'!F101+'Avg Week Kabale-Katuna'!F101</f>
        <v>3</v>
      </c>
      <c r="G101" s="49">
        <f>'Avg Week Katuna-Kabale'!G101+'Avg Week Kabale-Katuna'!G101</f>
        <v>0</v>
      </c>
      <c r="H101" s="49">
        <f>'Avg Week Katuna-Kabale'!H101+'Avg Week Kabale-Katuna'!H101</f>
        <v>0</v>
      </c>
      <c r="I101" s="49">
        <f>'Avg Week Katuna-Kabale'!I101+'Avg Week Kabale-Katuna'!I101</f>
        <v>1</v>
      </c>
      <c r="J101" s="49">
        <f>'Avg Week Katuna-Kabale'!J101+'Avg Week Kabale-Katuna'!J101</f>
        <v>0</v>
      </c>
      <c r="K101" s="49">
        <f>'Avg Week Katuna-Kabale'!K101+'Avg Week Kabale-Katuna'!K101</f>
        <v>0</v>
      </c>
      <c r="L101" s="49">
        <f>'Avg Week Katuna-Kabale'!L101+'Avg Week Kabale-Katuna'!L101</f>
        <v>0</v>
      </c>
      <c r="M101" s="49">
        <f>'Avg Week Katuna-Kabale'!M101+'Avg Week Kabale-Katuna'!M101</f>
        <v>2</v>
      </c>
      <c r="N101" s="49">
        <f>'Avg Week Katuna-Kabale'!N101+'Avg Week Kabale-Katuna'!N101</f>
        <v>0</v>
      </c>
      <c r="O101" s="15">
        <f t="shared" si="35"/>
        <v>9</v>
      </c>
      <c r="P101" s="15">
        <f t="shared" si="36"/>
        <v>11</v>
      </c>
      <c r="R101" s="8"/>
      <c r="T101"/>
    </row>
    <row r="102" spans="2:20" ht="23.1" customHeight="1" x14ac:dyDescent="0.25">
      <c r="B102" s="24" t="s">
        <v>142</v>
      </c>
      <c r="C102" s="49">
        <f>'Avg Week Katuna-Kabale'!C102+'Avg Week Kabale-Katuna'!C102</f>
        <v>0</v>
      </c>
      <c r="D102" s="49">
        <f>'Avg Week Katuna-Kabale'!D102+'Avg Week Kabale-Katuna'!D102</f>
        <v>4</v>
      </c>
      <c r="E102" s="49">
        <f>'Avg Week Katuna-Kabale'!E102+'Avg Week Kabale-Katuna'!E102</f>
        <v>0</v>
      </c>
      <c r="F102" s="49">
        <f>'Avg Week Katuna-Kabale'!F102+'Avg Week Kabale-Katuna'!F102</f>
        <v>1</v>
      </c>
      <c r="G102" s="49">
        <f>'Avg Week Katuna-Kabale'!G102+'Avg Week Kabale-Katuna'!G102</f>
        <v>1</v>
      </c>
      <c r="H102" s="49">
        <f>'Avg Week Katuna-Kabale'!H102+'Avg Week Kabale-Katuna'!H102</f>
        <v>0</v>
      </c>
      <c r="I102" s="49">
        <f>'Avg Week Katuna-Kabale'!I102+'Avg Week Kabale-Katuna'!I102</f>
        <v>1</v>
      </c>
      <c r="J102" s="49">
        <f>'Avg Week Katuna-Kabale'!J102+'Avg Week Kabale-Katuna'!J102</f>
        <v>0</v>
      </c>
      <c r="K102" s="49">
        <f>'Avg Week Katuna-Kabale'!K102+'Avg Week Kabale-Katuna'!K102</f>
        <v>0</v>
      </c>
      <c r="L102" s="49">
        <f>'Avg Week Katuna-Kabale'!L102+'Avg Week Kabale-Katuna'!L102</f>
        <v>0</v>
      </c>
      <c r="M102" s="49">
        <f>'Avg Week Katuna-Kabale'!M102+'Avg Week Kabale-Katuna'!M102</f>
        <v>4</v>
      </c>
      <c r="N102" s="49">
        <f>'Avg Week Katuna-Kabale'!N102+'Avg Week Kabale-Katuna'!N102</f>
        <v>0</v>
      </c>
      <c r="O102" s="15">
        <f t="shared" si="35"/>
        <v>7</v>
      </c>
      <c r="P102" s="15">
        <f t="shared" si="36"/>
        <v>11</v>
      </c>
      <c r="R102" s="8"/>
      <c r="T102"/>
    </row>
    <row r="103" spans="2:20" ht="23.1" customHeight="1" x14ac:dyDescent="0.25">
      <c r="B103" s="23" t="s">
        <v>143</v>
      </c>
      <c r="C103" s="49">
        <f>'Avg Week Katuna-Kabale'!C103+'Avg Week Kabale-Katuna'!C103</f>
        <v>0</v>
      </c>
      <c r="D103" s="49">
        <f>'Avg Week Katuna-Kabale'!D103+'Avg Week Kabale-Katuna'!D103</f>
        <v>0</v>
      </c>
      <c r="E103" s="49">
        <f>'Avg Week Katuna-Kabale'!E103+'Avg Week Kabale-Katuna'!E103</f>
        <v>2</v>
      </c>
      <c r="F103" s="49">
        <f>'Avg Week Katuna-Kabale'!F103+'Avg Week Kabale-Katuna'!F103</f>
        <v>0</v>
      </c>
      <c r="G103" s="49">
        <f>'Avg Week Katuna-Kabale'!G103+'Avg Week Kabale-Katuna'!G103</f>
        <v>0</v>
      </c>
      <c r="H103" s="49">
        <f>'Avg Week Katuna-Kabale'!H103+'Avg Week Kabale-Katuna'!H103</f>
        <v>0</v>
      </c>
      <c r="I103" s="49">
        <f>'Avg Week Katuna-Kabale'!I103+'Avg Week Kabale-Katuna'!I103</f>
        <v>3</v>
      </c>
      <c r="J103" s="49">
        <f>'Avg Week Katuna-Kabale'!J103+'Avg Week Kabale-Katuna'!J103</f>
        <v>0</v>
      </c>
      <c r="K103" s="49">
        <f>'Avg Week Katuna-Kabale'!K103+'Avg Week Kabale-Katuna'!K103</f>
        <v>0</v>
      </c>
      <c r="L103" s="49">
        <f>'Avg Week Katuna-Kabale'!L103+'Avg Week Kabale-Katuna'!L103</f>
        <v>0</v>
      </c>
      <c r="M103" s="49">
        <f>'Avg Week Katuna-Kabale'!M103+'Avg Week Kabale-Katuna'!M103</f>
        <v>1</v>
      </c>
      <c r="N103" s="49">
        <f>'Avg Week Katuna-Kabale'!N103+'Avg Week Kabale-Katuna'!N103</f>
        <v>0</v>
      </c>
      <c r="O103" s="15">
        <f t="shared" si="35"/>
        <v>5</v>
      </c>
      <c r="P103" s="15">
        <f t="shared" si="36"/>
        <v>6</v>
      </c>
      <c r="R103" s="8"/>
      <c r="T103"/>
    </row>
    <row r="104" spans="2:20" ht="23.1" customHeight="1" x14ac:dyDescent="0.25">
      <c r="B104" s="25" t="s">
        <v>144</v>
      </c>
      <c r="C104" s="49">
        <f>'Avg Week Katuna-Kabale'!C104+'Avg Week Kabale-Katuna'!C104</f>
        <v>6</v>
      </c>
      <c r="D104" s="49">
        <f>'Avg Week Katuna-Kabale'!D104+'Avg Week Kabale-Katuna'!D104</f>
        <v>0</v>
      </c>
      <c r="E104" s="49">
        <f>'Avg Week Katuna-Kabale'!E104+'Avg Week Kabale-Katuna'!E104</f>
        <v>0</v>
      </c>
      <c r="F104" s="49">
        <f>'Avg Week Katuna-Kabale'!F104+'Avg Week Kabale-Katuna'!F104</f>
        <v>2</v>
      </c>
      <c r="G104" s="49">
        <f>'Avg Week Katuna-Kabale'!G104+'Avg Week Kabale-Katuna'!G104</f>
        <v>0</v>
      </c>
      <c r="H104" s="49">
        <f>'Avg Week Katuna-Kabale'!H104+'Avg Week Kabale-Katuna'!H104</f>
        <v>0</v>
      </c>
      <c r="I104" s="49">
        <f>'Avg Week Katuna-Kabale'!I104+'Avg Week Kabale-Katuna'!I104</f>
        <v>3</v>
      </c>
      <c r="J104" s="49">
        <f>'Avg Week Katuna-Kabale'!J104+'Avg Week Kabale-Katuna'!J104</f>
        <v>0</v>
      </c>
      <c r="K104" s="49">
        <f>'Avg Week Katuna-Kabale'!K104+'Avg Week Kabale-Katuna'!K104</f>
        <v>0</v>
      </c>
      <c r="L104" s="49">
        <f>'Avg Week Katuna-Kabale'!L104+'Avg Week Kabale-Katuna'!L104</f>
        <v>0</v>
      </c>
      <c r="M104" s="49">
        <f>'Avg Week Katuna-Kabale'!M104+'Avg Week Kabale-Katuna'!M104</f>
        <v>4</v>
      </c>
      <c r="N104" s="49">
        <f>'Avg Week Katuna-Kabale'!N104+'Avg Week Kabale-Katuna'!N104</f>
        <v>0</v>
      </c>
      <c r="O104" s="15">
        <f t="shared" si="35"/>
        <v>11</v>
      </c>
      <c r="P104" s="15">
        <f t="shared" si="36"/>
        <v>15</v>
      </c>
      <c r="R104" s="8"/>
      <c r="T104"/>
    </row>
    <row r="105" spans="2:20" ht="23.1" customHeight="1" x14ac:dyDescent="0.25">
      <c r="B105" s="23" t="s">
        <v>145</v>
      </c>
      <c r="C105" s="49">
        <f>'Avg Week Katuna-Kabale'!C105+'Avg Week Kabale-Katuna'!C105</f>
        <v>2</v>
      </c>
      <c r="D105" s="49">
        <f>'Avg Week Katuna-Kabale'!D105+'Avg Week Kabale-Katuna'!D105</f>
        <v>2</v>
      </c>
      <c r="E105" s="49">
        <f>'Avg Week Katuna-Kabale'!E105+'Avg Week Kabale-Katuna'!E105</f>
        <v>2</v>
      </c>
      <c r="F105" s="49">
        <f>'Avg Week Katuna-Kabale'!F105+'Avg Week Kabale-Katuna'!F105</f>
        <v>0</v>
      </c>
      <c r="G105" s="49">
        <f>'Avg Week Katuna-Kabale'!G105+'Avg Week Kabale-Katuna'!G105</f>
        <v>1</v>
      </c>
      <c r="H105" s="49">
        <f>'Avg Week Katuna-Kabale'!H105+'Avg Week Kabale-Katuna'!H105</f>
        <v>0</v>
      </c>
      <c r="I105" s="49">
        <f>'Avg Week Katuna-Kabale'!I105+'Avg Week Kabale-Katuna'!I105</f>
        <v>0</v>
      </c>
      <c r="J105" s="49">
        <f>'Avg Week Katuna-Kabale'!J105+'Avg Week Kabale-Katuna'!J105</f>
        <v>0</v>
      </c>
      <c r="K105" s="49">
        <f>'Avg Week Katuna-Kabale'!K105+'Avg Week Kabale-Katuna'!K105</f>
        <v>0</v>
      </c>
      <c r="L105" s="49">
        <f>'Avg Week Katuna-Kabale'!L105+'Avg Week Kabale-Katuna'!L105</f>
        <v>0</v>
      </c>
      <c r="M105" s="49">
        <f>'Avg Week Katuna-Kabale'!M105+'Avg Week Kabale-Katuna'!M105</f>
        <v>8</v>
      </c>
      <c r="N105" s="49">
        <f>'Avg Week Katuna-Kabale'!N105+'Avg Week Kabale-Katuna'!N105</f>
        <v>0</v>
      </c>
      <c r="O105" s="15">
        <f t="shared" si="35"/>
        <v>7</v>
      </c>
      <c r="P105" s="15">
        <f t="shared" si="36"/>
        <v>15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421.5</v>
      </c>
      <c r="D106" s="16">
        <f t="shared" ref="D106:P106" si="37">SUM(D10:D105)</f>
        <v>75.5</v>
      </c>
      <c r="E106" s="16">
        <f t="shared" si="37"/>
        <v>53.5</v>
      </c>
      <c r="F106" s="16">
        <f t="shared" si="37"/>
        <v>29.5</v>
      </c>
      <c r="G106" s="16">
        <f t="shared" si="37"/>
        <v>10</v>
      </c>
      <c r="H106" s="16">
        <f t="shared" si="37"/>
        <v>9.5</v>
      </c>
      <c r="I106" s="16">
        <f t="shared" si="37"/>
        <v>96</v>
      </c>
      <c r="J106" s="16">
        <f t="shared" si="37"/>
        <v>5.5</v>
      </c>
      <c r="K106" s="16">
        <f t="shared" si="37"/>
        <v>0</v>
      </c>
      <c r="L106" s="16">
        <f t="shared" si="37"/>
        <v>0</v>
      </c>
      <c r="M106" s="16">
        <f t="shared" si="37"/>
        <v>705.5</v>
      </c>
      <c r="N106" s="16">
        <f t="shared" si="37"/>
        <v>0</v>
      </c>
      <c r="O106" s="16">
        <f t="shared" si="37"/>
        <v>701</v>
      </c>
      <c r="P106" s="16">
        <f t="shared" si="37"/>
        <v>1406.5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0.29968005687877708</v>
      </c>
      <c r="D107" s="43">
        <f t="shared" si="38"/>
        <v>5.3679345894063278E-2</v>
      </c>
      <c r="E107" s="43">
        <f t="shared" si="38"/>
        <v>3.8037682189832916E-2</v>
      </c>
      <c r="F107" s="43">
        <f t="shared" si="38"/>
        <v>2.0974049057945254E-2</v>
      </c>
      <c r="G107" s="43">
        <f t="shared" si="38"/>
        <v>7.1098471382865271E-3</v>
      </c>
      <c r="H107" s="43">
        <f t="shared" si="38"/>
        <v>6.7543547813722002E-3</v>
      </c>
      <c r="I107" s="43">
        <f t="shared" si="38"/>
        <v>6.8254532527550663E-2</v>
      </c>
      <c r="J107" s="43">
        <f t="shared" si="38"/>
        <v>3.9104159260575895E-3</v>
      </c>
      <c r="K107" s="43">
        <f t="shared" si="38"/>
        <v>0</v>
      </c>
      <c r="L107" s="43">
        <f t="shared" si="38"/>
        <v>0</v>
      </c>
      <c r="M107" s="43">
        <f t="shared" si="38"/>
        <v>0.50159971560611449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0.60128388017118406</v>
      </c>
      <c r="D108" s="44">
        <f t="shared" ref="D108:N108" si="39">D106/$O$106</f>
        <v>0.10770328102710414</v>
      </c>
      <c r="E108" s="44">
        <f t="shared" si="39"/>
        <v>7.6319543509272461E-2</v>
      </c>
      <c r="F108" s="44">
        <f t="shared" si="39"/>
        <v>4.2082738944365192E-2</v>
      </c>
      <c r="G108" s="44">
        <f t="shared" si="39"/>
        <v>1.4265335235378032E-2</v>
      </c>
      <c r="H108" s="44">
        <f t="shared" si="39"/>
        <v>1.355206847360913E-2</v>
      </c>
      <c r="I108" s="44">
        <f t="shared" si="39"/>
        <v>0.13694721825962911</v>
      </c>
      <c r="J108" s="44">
        <f t="shared" si="39"/>
        <v>7.8459343794579171E-3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25.10 Katuna-Kabale 24hr</vt:lpstr>
      <vt:lpstr>25.10 Kabale-Katuna 24hr</vt:lpstr>
      <vt:lpstr>26.10 Katuna-Kabale</vt:lpstr>
      <vt:lpstr>26.10  Kabale-Katuna</vt:lpstr>
      <vt:lpstr>Avg Week Katuna-Kabale</vt:lpstr>
      <vt:lpstr>Avg Week Kabale-Katuna</vt:lpstr>
      <vt:lpstr>Avg Week Kabale-Katuna-2Dir</vt:lpstr>
      <vt:lpstr>'25.10 Kabale-Katuna 24hr'!Print_Area</vt:lpstr>
      <vt:lpstr>'25.10 Katuna-Kabale 24hr'!Print_Area</vt:lpstr>
      <vt:lpstr>'26.10  Kabale-Katuna'!Print_Area</vt:lpstr>
      <vt:lpstr>'26.10 Katuna-Kabale'!Print_Area</vt:lpstr>
      <vt:lpstr>'Avg Week Kabale-Katuna'!Print_Area</vt:lpstr>
      <vt:lpstr>'Avg Week Kabale-Katuna-2Dir'!Print_Area</vt:lpstr>
      <vt:lpstr>'Avg Week Katuna-Kabale'!Print_Area</vt:lpstr>
      <vt:lpstr>'25.10 Kabale-Katuna 24hr'!Print_Titles</vt:lpstr>
      <vt:lpstr>'25.10 Katuna-Kabale 24hr'!Print_Titles</vt:lpstr>
      <vt:lpstr>'26.10  Kabale-Katuna'!Print_Titles</vt:lpstr>
      <vt:lpstr>'26.10 Katuna-Kabale'!Print_Titles</vt:lpstr>
      <vt:lpstr>'Avg Week Kabale-Katuna'!Print_Titles</vt:lpstr>
      <vt:lpstr>'Avg Week Kabale-Katuna-2Dir'!Print_Titles</vt:lpstr>
      <vt:lpstr>'Avg Week Katuna-Kabale'!Print_Titles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2019-07-25T18:18:41Z</cp:lastPrinted>
  <dcterms:created xsi:type="dcterms:W3CDTF">2010-07-06T07:39:49Z</dcterms:created>
  <dcterms:modified xsi:type="dcterms:W3CDTF">2020-01-15T14:13:57Z</dcterms:modified>
</cp:coreProperties>
</file>