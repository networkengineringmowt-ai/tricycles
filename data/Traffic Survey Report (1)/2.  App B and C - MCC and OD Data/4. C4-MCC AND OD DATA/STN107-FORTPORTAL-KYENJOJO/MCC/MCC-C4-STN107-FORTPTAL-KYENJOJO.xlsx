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MCC-OD\C-4 Analysis Complete\STN107-FORTPORTAL-KYENJOJO\MCC\"/>
    </mc:Choice>
  </mc:AlternateContent>
  <xr:revisionPtr revIDLastSave="0" documentId="13_ncr:1_{DB095230-C6C9-4D97-B240-962DE5924328}" xr6:coauthVersionLast="45" xr6:coauthVersionMax="45" xr10:uidLastSave="{00000000-0000-0000-0000-000000000000}"/>
  <bookViews>
    <workbookView xWindow="-120" yWindow="-120" windowWidth="20730" windowHeight="11160" tabRatio="897" firstSheet="13" activeTab="16" xr2:uid="{00000000-000D-0000-FFFF-FFFF00000000}"/>
  </bookViews>
  <sheets>
    <sheet name="29.07 KYENJOJO-FORTPORTAL" sheetId="93" r:id="rId1"/>
    <sheet name="29.07 FORTPORTAL-KYENJOJO" sheetId="94" r:id="rId2"/>
    <sheet name="30.07 KYENJOJO-FORTPORTAL" sheetId="95" r:id="rId3"/>
    <sheet name="30.07 FORTPORAL-KYENJOJO" sheetId="96" r:id="rId4"/>
    <sheet name="31.07 KYENJOJO-FORTPORTAL" sheetId="97" r:id="rId5"/>
    <sheet name="31.07 FORTPORTAL-KYENJOJO" sheetId="98" r:id="rId6"/>
    <sheet name="01.08 KYENJOJO-FORTPORTAL-24h" sheetId="101" r:id="rId7"/>
    <sheet name="01.08 FORTPORTAL-KYENJOJO 2-24h" sheetId="109" r:id="rId8"/>
    <sheet name="02.08 KYENJOJO-FORTPORTAL" sheetId="99" r:id="rId9"/>
    <sheet name="02.08 FORTPORTAL-KYENJOJO" sheetId="100" r:id="rId10"/>
    <sheet name="03.08 KYENJOJO-FORTPORTAL-24h" sheetId="105" r:id="rId11"/>
    <sheet name="03.08 FORTPORTAL-KYENJOJO-24h" sheetId="110" r:id="rId12"/>
    <sheet name="04.08 KYENJOJO-FORTP" sheetId="103" r:id="rId13"/>
    <sheet name="04.08 FORTPORTAL-KYENJOJO" sheetId="104" r:id="rId14"/>
    <sheet name="Avg Week KYENJOJO-FORTPORTAL" sheetId="107" r:id="rId15"/>
    <sheet name="Avg Week FORTPORTAL-KYENJONJO" sheetId="108" r:id="rId16"/>
    <sheet name="Avg Week KYENJOJO-FORTPORT-2Dir" sheetId="111" r:id="rId17"/>
  </sheets>
  <externalReferences>
    <externalReference r:id="rId18"/>
  </externalReferences>
  <definedNames>
    <definedName name="_xlnm.Print_Area" localSheetId="7">'01.08 FORTPORTAL-KYENJOJO 2-24h'!$A$1:$AF$108</definedName>
    <definedName name="_xlnm.Print_Area" localSheetId="6">'01.08 KYENJOJO-FORTPORTAL-24h'!$A$1:$AF$108</definedName>
    <definedName name="_xlnm.Print_Area" localSheetId="9">'02.08 FORTPORTAL-KYENJOJO'!$A$1:$AF$60</definedName>
    <definedName name="_xlnm.Print_Area" localSheetId="8">'02.08 KYENJOJO-FORTPORTAL'!$A$1:$AF$60</definedName>
    <definedName name="_xlnm.Print_Area" localSheetId="11">'03.08 FORTPORTAL-KYENJOJO-24h'!$A$1:$AF$108</definedName>
    <definedName name="_xlnm.Print_Area" localSheetId="10">'03.08 KYENJOJO-FORTPORTAL-24h'!$A$1:$AF$108</definedName>
    <definedName name="_xlnm.Print_Area" localSheetId="13">'04.08 FORTPORTAL-KYENJOJO'!$A$1:$AF$60</definedName>
    <definedName name="_xlnm.Print_Area" localSheetId="12">'04.08 KYENJOJO-FORTP'!$A$1:$AF$60</definedName>
    <definedName name="_xlnm.Print_Area" localSheetId="1">'29.07 FORTPORTAL-KYENJOJO'!$A$1:$AF$60</definedName>
    <definedName name="_xlnm.Print_Area" localSheetId="0">'29.07 KYENJOJO-FORTPORTAL'!$A$1:$AF$60</definedName>
    <definedName name="_xlnm.Print_Area" localSheetId="3">'30.07 FORTPORAL-KYENJOJO'!$A$1:$AF$60</definedName>
    <definedName name="_xlnm.Print_Area" localSheetId="2">'30.07 KYENJOJO-FORTPORTAL'!$A$1:$AF$60</definedName>
    <definedName name="_xlnm.Print_Area" localSheetId="5">'31.07 FORTPORTAL-KYENJOJO'!$A$1:$AF$60</definedName>
    <definedName name="_xlnm.Print_Area" localSheetId="4">'31.07 KYENJOJO-FORTPORTAL'!$A$1:$AF$60</definedName>
    <definedName name="_xlnm.Print_Area" localSheetId="15">'Avg Week FORTPORTAL-KYENJONJO'!$A$1:$AF$108</definedName>
    <definedName name="_xlnm.Print_Area" localSheetId="16">'Avg Week KYENJOJO-FORTPORT-2Dir'!$A$1:$AF$108</definedName>
    <definedName name="_xlnm.Print_Area" localSheetId="14">'Avg Week KYENJOJO-FORTPORTAL'!$A$1:$AF$108</definedName>
    <definedName name="_xlnm.Print_Titles" localSheetId="7">'01.08 FORTPORTAL-KYENJOJO 2-24h'!$1:$8</definedName>
    <definedName name="_xlnm.Print_Titles" localSheetId="6">'01.08 KYENJOJO-FORTPORTAL-24h'!$1:$8</definedName>
    <definedName name="_xlnm.Print_Titles" localSheetId="9">'02.08 FORTPORTAL-KYENJOJO'!$1:$8</definedName>
    <definedName name="_xlnm.Print_Titles" localSheetId="8">'02.08 KYENJOJO-FORTPORTAL'!$1:$8</definedName>
    <definedName name="_xlnm.Print_Titles" localSheetId="11">'03.08 FORTPORTAL-KYENJOJO-24h'!$1:$8</definedName>
    <definedName name="_xlnm.Print_Titles" localSheetId="10">'03.08 KYENJOJO-FORTPORTAL-24h'!$1:$8</definedName>
    <definedName name="_xlnm.Print_Titles" localSheetId="13">'04.08 FORTPORTAL-KYENJOJO'!$1:$8</definedName>
    <definedName name="_xlnm.Print_Titles" localSheetId="12">'04.08 KYENJOJO-FORTP'!$1:$8</definedName>
    <definedName name="_xlnm.Print_Titles" localSheetId="1">'29.07 FORTPORTAL-KYENJOJO'!$1:$8</definedName>
    <definedName name="_xlnm.Print_Titles" localSheetId="0">'29.07 KYENJOJO-FORTPORTAL'!$1:$8</definedName>
    <definedName name="_xlnm.Print_Titles" localSheetId="3">'30.07 FORTPORAL-KYENJOJO'!$1:$8</definedName>
    <definedName name="_xlnm.Print_Titles" localSheetId="2">'30.07 KYENJOJO-FORTPORTAL'!$1:$8</definedName>
    <definedName name="_xlnm.Print_Titles" localSheetId="5">'31.07 FORTPORTAL-KYENJOJO'!$1:$8</definedName>
    <definedName name="_xlnm.Print_Titles" localSheetId="4">'31.07 KYENJOJO-FORTPORTAL'!$1:$8</definedName>
    <definedName name="_xlnm.Print_Titles" localSheetId="15">'Avg Week FORTPORTAL-KYENJONJO'!$1:$8</definedName>
    <definedName name="_xlnm.Print_Titles" localSheetId="16">'Avg Week KYENJOJO-FORTPORT-2Dir'!$1:$8</definedName>
    <definedName name="_xlnm.Print_Titles" localSheetId="14">'Avg Week KYENJOJO-FORTPORTAL'!$1:$8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1" i="111" l="1"/>
  <c r="E11" i="111"/>
  <c r="D12" i="111"/>
  <c r="E12" i="111"/>
  <c r="D13" i="111"/>
  <c r="E13" i="111"/>
  <c r="D14" i="111"/>
  <c r="E14" i="111"/>
  <c r="D15" i="111"/>
  <c r="E15" i="111"/>
  <c r="D16" i="111"/>
  <c r="E16" i="111"/>
  <c r="D17" i="111"/>
  <c r="E17" i="111"/>
  <c r="D18" i="111"/>
  <c r="E18" i="111"/>
  <c r="D19" i="111"/>
  <c r="E19" i="111"/>
  <c r="D20" i="111"/>
  <c r="E20" i="111"/>
  <c r="D21" i="111"/>
  <c r="E21" i="111"/>
  <c r="D22" i="111"/>
  <c r="E22" i="111"/>
  <c r="D23" i="111"/>
  <c r="E23" i="111"/>
  <c r="D24" i="111"/>
  <c r="E24" i="111"/>
  <c r="D25" i="111"/>
  <c r="E25" i="111"/>
  <c r="D26" i="111"/>
  <c r="E26" i="111"/>
  <c r="D27" i="111"/>
  <c r="E27" i="111"/>
  <c r="D28" i="111"/>
  <c r="E28" i="111"/>
  <c r="D29" i="111"/>
  <c r="E29" i="111"/>
  <c r="D30" i="111"/>
  <c r="E30" i="111"/>
  <c r="D31" i="111"/>
  <c r="E31" i="111"/>
  <c r="D32" i="111"/>
  <c r="E32" i="111"/>
  <c r="D33" i="111"/>
  <c r="E33" i="111"/>
  <c r="D34" i="111"/>
  <c r="E34" i="111"/>
  <c r="D35" i="111"/>
  <c r="E35" i="111"/>
  <c r="D36" i="111"/>
  <c r="E36" i="111"/>
  <c r="D37" i="111"/>
  <c r="E37" i="111"/>
  <c r="D38" i="111"/>
  <c r="E38" i="111"/>
  <c r="D39" i="111"/>
  <c r="E39" i="111"/>
  <c r="D40" i="111"/>
  <c r="E40" i="111"/>
  <c r="D41" i="111"/>
  <c r="E41" i="111"/>
  <c r="D42" i="111"/>
  <c r="E42" i="111"/>
  <c r="D43" i="111"/>
  <c r="E43" i="111"/>
  <c r="D44" i="111"/>
  <c r="E44" i="111"/>
  <c r="D45" i="111"/>
  <c r="E45" i="111"/>
  <c r="D46" i="111"/>
  <c r="E46" i="111"/>
  <c r="D47" i="111"/>
  <c r="E47" i="111"/>
  <c r="D48" i="111"/>
  <c r="E48" i="111"/>
  <c r="D49" i="111"/>
  <c r="E49" i="111"/>
  <c r="D50" i="111"/>
  <c r="E50" i="111"/>
  <c r="D51" i="111"/>
  <c r="E51" i="111"/>
  <c r="D52" i="111"/>
  <c r="E52" i="111"/>
  <c r="D53" i="111"/>
  <c r="E53" i="111"/>
  <c r="D54" i="111"/>
  <c r="E54" i="111"/>
  <c r="D55" i="111"/>
  <c r="E55" i="111"/>
  <c r="D56" i="111"/>
  <c r="E56" i="111"/>
  <c r="D57" i="111"/>
  <c r="E57" i="111"/>
  <c r="D58" i="111"/>
  <c r="E58" i="111"/>
  <c r="D59" i="111"/>
  <c r="E59" i="111"/>
  <c r="D60" i="111"/>
  <c r="E60" i="111"/>
  <c r="D61" i="111"/>
  <c r="E61" i="111"/>
  <c r="D62" i="111"/>
  <c r="E62" i="111"/>
  <c r="D63" i="111"/>
  <c r="E63" i="111"/>
  <c r="D64" i="111"/>
  <c r="E64" i="111"/>
  <c r="D65" i="111"/>
  <c r="E65" i="111"/>
  <c r="D66" i="111"/>
  <c r="E66" i="111"/>
  <c r="D67" i="111"/>
  <c r="E67" i="111"/>
  <c r="D68" i="111"/>
  <c r="E68" i="111"/>
  <c r="D69" i="111"/>
  <c r="E69" i="111"/>
  <c r="D70" i="111"/>
  <c r="E70" i="111"/>
  <c r="D71" i="111"/>
  <c r="E71" i="111"/>
  <c r="D72" i="111"/>
  <c r="E72" i="111"/>
  <c r="D73" i="111"/>
  <c r="E73" i="111"/>
  <c r="D74" i="111"/>
  <c r="E74" i="111"/>
  <c r="D75" i="111"/>
  <c r="E75" i="111"/>
  <c r="D76" i="111"/>
  <c r="E76" i="111"/>
  <c r="D77" i="111"/>
  <c r="E77" i="111"/>
  <c r="D78" i="111"/>
  <c r="E78" i="111"/>
  <c r="D79" i="111"/>
  <c r="E79" i="111"/>
  <c r="D80" i="111"/>
  <c r="E80" i="111"/>
  <c r="D81" i="111"/>
  <c r="E81" i="111"/>
  <c r="D82" i="111"/>
  <c r="E82" i="111"/>
  <c r="D83" i="111"/>
  <c r="E83" i="111"/>
  <c r="D84" i="111"/>
  <c r="E84" i="111"/>
  <c r="D85" i="111"/>
  <c r="E85" i="111"/>
  <c r="D86" i="111"/>
  <c r="E86" i="111"/>
  <c r="D87" i="111"/>
  <c r="E87" i="111"/>
  <c r="D88" i="111"/>
  <c r="E88" i="111"/>
  <c r="D89" i="111"/>
  <c r="E89" i="111"/>
  <c r="D90" i="111"/>
  <c r="E90" i="111"/>
  <c r="D91" i="111"/>
  <c r="E91" i="111"/>
  <c r="D92" i="111"/>
  <c r="E92" i="111"/>
  <c r="D93" i="111"/>
  <c r="E93" i="111"/>
  <c r="D94" i="111"/>
  <c r="E94" i="111"/>
  <c r="D95" i="111"/>
  <c r="E95" i="111"/>
  <c r="D96" i="111"/>
  <c r="E96" i="111"/>
  <c r="D97" i="111"/>
  <c r="E97" i="111"/>
  <c r="D98" i="111"/>
  <c r="E98" i="111"/>
  <c r="D99" i="111"/>
  <c r="E99" i="111"/>
  <c r="D100" i="111"/>
  <c r="E100" i="111"/>
  <c r="D101" i="111"/>
  <c r="E101" i="111"/>
  <c r="D102" i="111"/>
  <c r="E102" i="111"/>
  <c r="D103" i="111"/>
  <c r="E103" i="111"/>
  <c r="D104" i="111"/>
  <c r="E104" i="111"/>
  <c r="D105" i="111"/>
  <c r="E105" i="111"/>
  <c r="E10" i="111"/>
  <c r="D10" i="111"/>
  <c r="H97" i="111" l="1"/>
  <c r="D58" i="107"/>
  <c r="E58" i="107"/>
  <c r="F58" i="107"/>
  <c r="G58" i="107"/>
  <c r="H58" i="107"/>
  <c r="I58" i="107"/>
  <c r="J58" i="107"/>
  <c r="K58" i="107"/>
  <c r="L58" i="107"/>
  <c r="M58" i="107"/>
  <c r="N58" i="107"/>
  <c r="D59" i="107"/>
  <c r="E59" i="107"/>
  <c r="F59" i="107"/>
  <c r="G59" i="107"/>
  <c r="H59" i="107"/>
  <c r="I59" i="107"/>
  <c r="J59" i="107"/>
  <c r="K59" i="107"/>
  <c r="L59" i="107"/>
  <c r="M59" i="107"/>
  <c r="M59" i="111" s="1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J61" i="107"/>
  <c r="K61" i="107"/>
  <c r="L61" i="107"/>
  <c r="M61" i="107"/>
  <c r="N61" i="107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E63" i="107"/>
  <c r="F63" i="107"/>
  <c r="G63" i="107"/>
  <c r="H63" i="107"/>
  <c r="I63" i="107"/>
  <c r="J63" i="107"/>
  <c r="K63" i="107"/>
  <c r="L63" i="107"/>
  <c r="M63" i="107"/>
  <c r="N63" i="107"/>
  <c r="D64" i="107"/>
  <c r="E64" i="107"/>
  <c r="F64" i="107"/>
  <c r="G64" i="107"/>
  <c r="H64" i="107"/>
  <c r="I64" i="107"/>
  <c r="J64" i="107"/>
  <c r="K64" i="107"/>
  <c r="L64" i="107"/>
  <c r="M64" i="107"/>
  <c r="N64" i="107"/>
  <c r="D65" i="107"/>
  <c r="E65" i="107"/>
  <c r="F65" i="107"/>
  <c r="G65" i="107"/>
  <c r="H65" i="107"/>
  <c r="I65" i="107"/>
  <c r="J65" i="107"/>
  <c r="K65" i="107"/>
  <c r="L65" i="107"/>
  <c r="M65" i="107"/>
  <c r="N65" i="107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E67" i="107"/>
  <c r="F67" i="107"/>
  <c r="G67" i="107"/>
  <c r="H67" i="107"/>
  <c r="I67" i="107"/>
  <c r="J67" i="107"/>
  <c r="K67" i="107"/>
  <c r="L67" i="107"/>
  <c r="L67" i="111" s="1"/>
  <c r="M67" i="107"/>
  <c r="N67" i="107"/>
  <c r="D68" i="107"/>
  <c r="E68" i="107"/>
  <c r="F68" i="107"/>
  <c r="G68" i="107"/>
  <c r="H68" i="107"/>
  <c r="I68" i="107"/>
  <c r="J68" i="107"/>
  <c r="K68" i="107"/>
  <c r="L68" i="107"/>
  <c r="M68" i="107"/>
  <c r="N68" i="107"/>
  <c r="D69" i="107"/>
  <c r="E69" i="107"/>
  <c r="F69" i="107"/>
  <c r="G69" i="107"/>
  <c r="H69" i="107"/>
  <c r="I69" i="107"/>
  <c r="J69" i="107"/>
  <c r="K69" i="107"/>
  <c r="L69" i="107"/>
  <c r="M69" i="107"/>
  <c r="N69" i="107"/>
  <c r="D70" i="107"/>
  <c r="E70" i="107"/>
  <c r="F70" i="107"/>
  <c r="G70" i="107"/>
  <c r="H70" i="107"/>
  <c r="I70" i="107"/>
  <c r="J70" i="107"/>
  <c r="K70" i="107"/>
  <c r="L70" i="107"/>
  <c r="L70" i="111" s="1"/>
  <c r="M70" i="107"/>
  <c r="N70" i="107"/>
  <c r="D71" i="107"/>
  <c r="E71" i="107"/>
  <c r="F71" i="107"/>
  <c r="G71" i="107"/>
  <c r="H71" i="107"/>
  <c r="I71" i="107"/>
  <c r="J71" i="107"/>
  <c r="K71" i="107"/>
  <c r="L71" i="107"/>
  <c r="M71" i="107"/>
  <c r="N71" i="107"/>
  <c r="D72" i="107"/>
  <c r="E72" i="107"/>
  <c r="F72" i="107"/>
  <c r="G72" i="107"/>
  <c r="H72" i="107"/>
  <c r="I72" i="107"/>
  <c r="J72" i="107"/>
  <c r="K72" i="107"/>
  <c r="L72" i="107"/>
  <c r="M72" i="107"/>
  <c r="N72" i="107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E75" i="107"/>
  <c r="F75" i="107"/>
  <c r="G75" i="107"/>
  <c r="H75" i="107"/>
  <c r="I75" i="107"/>
  <c r="J75" i="107"/>
  <c r="K75" i="107"/>
  <c r="L75" i="107"/>
  <c r="M75" i="107"/>
  <c r="N75" i="107"/>
  <c r="D76" i="107"/>
  <c r="E76" i="107"/>
  <c r="F76" i="107"/>
  <c r="G76" i="107"/>
  <c r="H76" i="107"/>
  <c r="I76" i="107"/>
  <c r="J76" i="107"/>
  <c r="K76" i="107"/>
  <c r="L76" i="107"/>
  <c r="M76" i="107"/>
  <c r="N76" i="107"/>
  <c r="D77" i="107"/>
  <c r="E77" i="107"/>
  <c r="F77" i="107"/>
  <c r="G77" i="107"/>
  <c r="H77" i="107"/>
  <c r="I77" i="107"/>
  <c r="J77" i="107"/>
  <c r="K77" i="107"/>
  <c r="L77" i="107"/>
  <c r="M77" i="107"/>
  <c r="N77" i="107"/>
  <c r="D78" i="107"/>
  <c r="E78" i="107"/>
  <c r="F78" i="107"/>
  <c r="G78" i="107"/>
  <c r="H78" i="107"/>
  <c r="I78" i="107"/>
  <c r="J78" i="107"/>
  <c r="K78" i="107"/>
  <c r="L78" i="107"/>
  <c r="M78" i="107"/>
  <c r="N78" i="107"/>
  <c r="D79" i="107"/>
  <c r="E79" i="107"/>
  <c r="F79" i="107"/>
  <c r="G79" i="107"/>
  <c r="H79" i="107"/>
  <c r="H79" i="111" s="1"/>
  <c r="I79" i="107"/>
  <c r="J79" i="107"/>
  <c r="K79" i="107"/>
  <c r="L79" i="107"/>
  <c r="M79" i="107"/>
  <c r="N79" i="107"/>
  <c r="D80" i="107"/>
  <c r="E80" i="107"/>
  <c r="F80" i="107"/>
  <c r="G80" i="107"/>
  <c r="H80" i="107"/>
  <c r="I80" i="107"/>
  <c r="J80" i="107"/>
  <c r="K80" i="107"/>
  <c r="L80" i="107"/>
  <c r="M80" i="107"/>
  <c r="N80" i="107"/>
  <c r="D81" i="107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F82" i="107"/>
  <c r="G82" i="107"/>
  <c r="G82" i="111" s="1"/>
  <c r="H82" i="107"/>
  <c r="I82" i="107"/>
  <c r="J82" i="107"/>
  <c r="K82" i="107"/>
  <c r="L82" i="107"/>
  <c r="M82" i="107"/>
  <c r="N82" i="107"/>
  <c r="D83" i="107"/>
  <c r="E83" i="107"/>
  <c r="F83" i="107"/>
  <c r="G83" i="107"/>
  <c r="H83" i="107"/>
  <c r="I83" i="107"/>
  <c r="J83" i="107"/>
  <c r="K83" i="107"/>
  <c r="L83" i="107"/>
  <c r="M83" i="107"/>
  <c r="N83" i="107"/>
  <c r="D84" i="107"/>
  <c r="E84" i="107"/>
  <c r="F84" i="107"/>
  <c r="G84" i="107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K85" i="107"/>
  <c r="L85" i="107"/>
  <c r="M85" i="107"/>
  <c r="N85" i="107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E87" i="107"/>
  <c r="F87" i="107"/>
  <c r="G87" i="107"/>
  <c r="H87" i="107"/>
  <c r="I87" i="107"/>
  <c r="J87" i="107"/>
  <c r="K87" i="107"/>
  <c r="L87" i="107"/>
  <c r="M87" i="107"/>
  <c r="N87" i="107"/>
  <c r="D88" i="107"/>
  <c r="E88" i="107"/>
  <c r="F88" i="107"/>
  <c r="G88" i="107"/>
  <c r="H88" i="107"/>
  <c r="I88" i="107"/>
  <c r="J88" i="107"/>
  <c r="K88" i="107"/>
  <c r="L88" i="107"/>
  <c r="L88" i="111" s="1"/>
  <c r="M88" i="107"/>
  <c r="N88" i="107"/>
  <c r="D89" i="107"/>
  <c r="E89" i="107"/>
  <c r="F89" i="107"/>
  <c r="G89" i="107"/>
  <c r="G89" i="111" s="1"/>
  <c r="H89" i="107"/>
  <c r="I89" i="107"/>
  <c r="J89" i="107"/>
  <c r="K89" i="107"/>
  <c r="K89" i="111" s="1"/>
  <c r="L89" i="107"/>
  <c r="M89" i="107"/>
  <c r="N89" i="107"/>
  <c r="D90" i="107"/>
  <c r="E90" i="107"/>
  <c r="F90" i="107"/>
  <c r="G90" i="107"/>
  <c r="H90" i="107"/>
  <c r="I90" i="107"/>
  <c r="J90" i="107"/>
  <c r="K90" i="107"/>
  <c r="L90" i="107"/>
  <c r="M90" i="107"/>
  <c r="N90" i="107"/>
  <c r="N90" i="111" s="1"/>
  <c r="D91" i="107"/>
  <c r="E91" i="107"/>
  <c r="F91" i="107"/>
  <c r="G91" i="107"/>
  <c r="H91" i="107"/>
  <c r="I91" i="107"/>
  <c r="J91" i="107"/>
  <c r="K91" i="107"/>
  <c r="K91" i="111" s="1"/>
  <c r="L91" i="107"/>
  <c r="M91" i="107"/>
  <c r="N91" i="107"/>
  <c r="D92" i="107"/>
  <c r="E92" i="107"/>
  <c r="F92" i="107"/>
  <c r="G92" i="107"/>
  <c r="H92" i="107"/>
  <c r="H92" i="111" s="1"/>
  <c r="I92" i="107"/>
  <c r="J92" i="107"/>
  <c r="K92" i="107"/>
  <c r="L92" i="107"/>
  <c r="M92" i="107"/>
  <c r="N92" i="107"/>
  <c r="D93" i="107"/>
  <c r="E93" i="107"/>
  <c r="F93" i="107"/>
  <c r="G93" i="107"/>
  <c r="H93" i="107"/>
  <c r="I93" i="107"/>
  <c r="J93" i="107"/>
  <c r="K93" i="107"/>
  <c r="L93" i="107"/>
  <c r="M93" i="107"/>
  <c r="M93" i="111" s="1"/>
  <c r="N93" i="107"/>
  <c r="D94" i="107"/>
  <c r="E94" i="107"/>
  <c r="F94" i="107"/>
  <c r="G94" i="107"/>
  <c r="H94" i="107"/>
  <c r="I94" i="107"/>
  <c r="J94" i="107"/>
  <c r="K94" i="107"/>
  <c r="L94" i="107"/>
  <c r="M94" i="107"/>
  <c r="N94" i="107"/>
  <c r="D95" i="107"/>
  <c r="E95" i="107"/>
  <c r="F95" i="107"/>
  <c r="G95" i="107"/>
  <c r="G95" i="111" s="1"/>
  <c r="H95" i="107"/>
  <c r="I95" i="107"/>
  <c r="J95" i="107"/>
  <c r="K95" i="107"/>
  <c r="L95" i="107"/>
  <c r="M95" i="107"/>
  <c r="N95" i="107"/>
  <c r="D96" i="107"/>
  <c r="E96" i="107"/>
  <c r="F96" i="107"/>
  <c r="G96" i="107"/>
  <c r="H96" i="107"/>
  <c r="I96" i="107"/>
  <c r="J96" i="107"/>
  <c r="K96" i="107"/>
  <c r="L96" i="107"/>
  <c r="L96" i="111" s="1"/>
  <c r="M96" i="107"/>
  <c r="N96" i="107"/>
  <c r="D97" i="107"/>
  <c r="E97" i="107"/>
  <c r="F97" i="107"/>
  <c r="G97" i="107"/>
  <c r="H97" i="107"/>
  <c r="I97" i="107"/>
  <c r="I97" i="111" s="1"/>
  <c r="J97" i="107"/>
  <c r="K97" i="107"/>
  <c r="L97" i="107"/>
  <c r="M97" i="107"/>
  <c r="N97" i="107"/>
  <c r="D98" i="107"/>
  <c r="E98" i="107"/>
  <c r="F98" i="107"/>
  <c r="F98" i="111" s="1"/>
  <c r="G98" i="107"/>
  <c r="H98" i="107"/>
  <c r="I98" i="107"/>
  <c r="I98" i="111" s="1"/>
  <c r="J98" i="107"/>
  <c r="K98" i="107"/>
  <c r="L98" i="107"/>
  <c r="M98" i="107"/>
  <c r="N98" i="107"/>
  <c r="D99" i="107"/>
  <c r="E99" i="107"/>
  <c r="F99" i="107"/>
  <c r="G99" i="107"/>
  <c r="H99" i="107"/>
  <c r="I99" i="107"/>
  <c r="J99" i="107"/>
  <c r="K99" i="107"/>
  <c r="K99" i="111" s="1"/>
  <c r="L99" i="107"/>
  <c r="M99" i="107"/>
  <c r="N99" i="107"/>
  <c r="D100" i="107"/>
  <c r="E100" i="107"/>
  <c r="F100" i="107"/>
  <c r="G100" i="107"/>
  <c r="H100" i="107"/>
  <c r="H100" i="111" s="1"/>
  <c r="I100" i="107"/>
  <c r="J100" i="107"/>
  <c r="K100" i="107"/>
  <c r="L100" i="107"/>
  <c r="M100" i="107"/>
  <c r="N100" i="107"/>
  <c r="D101" i="107"/>
  <c r="E101" i="107"/>
  <c r="F101" i="107"/>
  <c r="G101" i="107"/>
  <c r="H101" i="107"/>
  <c r="I101" i="107"/>
  <c r="J101" i="107"/>
  <c r="K101" i="107"/>
  <c r="L101" i="107"/>
  <c r="L101" i="111" s="1"/>
  <c r="M101" i="107"/>
  <c r="M101" i="111" s="1"/>
  <c r="N101" i="107"/>
  <c r="D102" i="107"/>
  <c r="E102" i="107"/>
  <c r="F102" i="107"/>
  <c r="G102" i="107"/>
  <c r="H102" i="107"/>
  <c r="I102" i="107"/>
  <c r="J102" i="107"/>
  <c r="J102" i="111" s="1"/>
  <c r="K102" i="107"/>
  <c r="L102" i="107"/>
  <c r="M102" i="107"/>
  <c r="N102" i="107"/>
  <c r="D103" i="107"/>
  <c r="E103" i="107"/>
  <c r="F103" i="107"/>
  <c r="G103" i="107"/>
  <c r="G103" i="111" s="1"/>
  <c r="H103" i="107"/>
  <c r="I103" i="107"/>
  <c r="J103" i="107"/>
  <c r="K103" i="107"/>
  <c r="L103" i="107"/>
  <c r="M103" i="107"/>
  <c r="N103" i="107"/>
  <c r="D104" i="107"/>
  <c r="E104" i="107"/>
  <c r="F104" i="107"/>
  <c r="G104" i="107"/>
  <c r="H104" i="107"/>
  <c r="I104" i="107"/>
  <c r="J104" i="107"/>
  <c r="K104" i="107"/>
  <c r="K104" i="111" s="1"/>
  <c r="L104" i="107"/>
  <c r="L104" i="111" s="1"/>
  <c r="M104" i="107"/>
  <c r="N104" i="107"/>
  <c r="D105" i="107"/>
  <c r="E105" i="107"/>
  <c r="F105" i="107"/>
  <c r="G105" i="107"/>
  <c r="H105" i="107"/>
  <c r="I105" i="107"/>
  <c r="I105" i="111" s="1"/>
  <c r="J105" i="107"/>
  <c r="K105" i="107"/>
  <c r="L105" i="107"/>
  <c r="M105" i="107"/>
  <c r="N105" i="107"/>
  <c r="C59" i="107"/>
  <c r="C60" i="107"/>
  <c r="C61" i="107"/>
  <c r="C62" i="107"/>
  <c r="C63" i="107"/>
  <c r="C64" i="107"/>
  <c r="C65" i="107"/>
  <c r="C66" i="107"/>
  <c r="C67" i="107"/>
  <c r="C68" i="107"/>
  <c r="C69" i="107"/>
  <c r="C69" i="111" s="1"/>
  <c r="C70" i="107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C83" i="107"/>
  <c r="C84" i="107"/>
  <c r="C85" i="107"/>
  <c r="C85" i="111" s="1"/>
  <c r="C86" i="107"/>
  <c r="C87" i="107"/>
  <c r="C88" i="107"/>
  <c r="C89" i="107"/>
  <c r="C90" i="107"/>
  <c r="C91" i="107"/>
  <c r="C92" i="107"/>
  <c r="C92" i="111" s="1"/>
  <c r="C93" i="107"/>
  <c r="C93" i="111" s="1"/>
  <c r="C94" i="107"/>
  <c r="C95" i="107"/>
  <c r="C96" i="107"/>
  <c r="C97" i="107"/>
  <c r="C98" i="107"/>
  <c r="C99" i="107"/>
  <c r="C100" i="107"/>
  <c r="C101" i="107"/>
  <c r="C101" i="111" s="1"/>
  <c r="C102" i="107"/>
  <c r="C103" i="107"/>
  <c r="C104" i="107"/>
  <c r="C104" i="111" s="1"/>
  <c r="C105" i="107"/>
  <c r="D58" i="108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H63" i="111" s="1"/>
  <c r="I63" i="108"/>
  <c r="I63" i="111" s="1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H66" i="111" s="1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X25" i="108" s="1"/>
  <c r="I70" i="108"/>
  <c r="J70" i="108"/>
  <c r="K70" i="108"/>
  <c r="K70" i="111" s="1"/>
  <c r="L70" i="108"/>
  <c r="M70" i="108"/>
  <c r="N70" i="108"/>
  <c r="D71" i="108"/>
  <c r="E71" i="108"/>
  <c r="F71" i="108"/>
  <c r="G71" i="108"/>
  <c r="H71" i="108"/>
  <c r="I71" i="108"/>
  <c r="I71" i="111" s="1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L78" i="111" s="1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J86" i="108"/>
  <c r="K86" i="108"/>
  <c r="L86" i="108"/>
  <c r="L86" i="111" s="1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F91" i="111" s="1"/>
  <c r="G91" i="108"/>
  <c r="G91" i="111" s="1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K92" i="111" s="1"/>
  <c r="L92" i="108"/>
  <c r="L92" i="111" s="1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J95" i="111" s="1"/>
  <c r="K95" i="108"/>
  <c r="K95" i="111" s="1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N99" i="111" s="1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H101" i="111" s="1"/>
  <c r="I101" i="108"/>
  <c r="I101" i="111" s="1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AA33" i="108" s="1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G104" i="111" s="1"/>
  <c r="H104" i="108"/>
  <c r="H104" i="111" s="1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L105" i="111" s="1"/>
  <c r="M105" i="108"/>
  <c r="M105" i="111" s="1"/>
  <c r="N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89" i="111" s="1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C58" i="108"/>
  <c r="C58" i="107"/>
  <c r="AC25" i="108" l="1"/>
  <c r="U25" i="108"/>
  <c r="Y24" i="108"/>
  <c r="Z23" i="108"/>
  <c r="AC23" i="108"/>
  <c r="U23" i="108"/>
  <c r="Y22" i="108"/>
  <c r="P71" i="107"/>
  <c r="K105" i="111"/>
  <c r="N104" i="111"/>
  <c r="F104" i="111"/>
  <c r="I103" i="111"/>
  <c r="G101" i="111"/>
  <c r="J100" i="111"/>
  <c r="M99" i="111"/>
  <c r="K97" i="111"/>
  <c r="N96" i="111"/>
  <c r="F96" i="111"/>
  <c r="I95" i="111"/>
  <c r="G93" i="111"/>
  <c r="I87" i="111"/>
  <c r="G85" i="111"/>
  <c r="J84" i="111"/>
  <c r="M83" i="111"/>
  <c r="K81" i="111"/>
  <c r="N80" i="111"/>
  <c r="F80" i="111"/>
  <c r="I79" i="111"/>
  <c r="G77" i="111"/>
  <c r="J76" i="111"/>
  <c r="M75" i="111"/>
  <c r="K73" i="111"/>
  <c r="N72" i="111"/>
  <c r="F72" i="111"/>
  <c r="G69" i="111"/>
  <c r="J68" i="111"/>
  <c r="M67" i="111"/>
  <c r="K65" i="111"/>
  <c r="N64" i="111"/>
  <c r="F64" i="111"/>
  <c r="G61" i="111"/>
  <c r="J60" i="111"/>
  <c r="H58" i="111"/>
  <c r="O99" i="108"/>
  <c r="F85" i="111"/>
  <c r="L83" i="111"/>
  <c r="M80" i="111"/>
  <c r="N77" i="111"/>
  <c r="I76" i="111"/>
  <c r="J73" i="111"/>
  <c r="F69" i="111"/>
  <c r="G66" i="111"/>
  <c r="M64" i="111"/>
  <c r="N61" i="111"/>
  <c r="I60" i="111"/>
  <c r="F103" i="111"/>
  <c r="G100" i="111"/>
  <c r="N95" i="111"/>
  <c r="P93" i="107"/>
  <c r="J91" i="111"/>
  <c r="H73" i="111"/>
  <c r="K72" i="111"/>
  <c r="N71" i="111"/>
  <c r="F71" i="111"/>
  <c r="L69" i="111"/>
  <c r="P100" i="108"/>
  <c r="G105" i="111"/>
  <c r="J104" i="111"/>
  <c r="M103" i="111"/>
  <c r="K101" i="111"/>
  <c r="N100" i="111"/>
  <c r="F100" i="111"/>
  <c r="I99" i="111"/>
  <c r="G97" i="111"/>
  <c r="J96" i="111"/>
  <c r="N105" i="111"/>
  <c r="F105" i="111"/>
  <c r="I104" i="111"/>
  <c r="P104" i="111" s="1"/>
  <c r="L103" i="111"/>
  <c r="O103" i="111" s="1"/>
  <c r="J101" i="111"/>
  <c r="M100" i="111"/>
  <c r="H99" i="111"/>
  <c r="N97" i="111"/>
  <c r="F97" i="111"/>
  <c r="I96" i="111"/>
  <c r="L95" i="111"/>
  <c r="J93" i="111"/>
  <c r="M92" i="111"/>
  <c r="H91" i="111"/>
  <c r="N89" i="111"/>
  <c r="F89" i="111"/>
  <c r="O89" i="111" s="1"/>
  <c r="I88" i="111"/>
  <c r="L87" i="111"/>
  <c r="J85" i="111"/>
  <c r="M84" i="111"/>
  <c r="H83" i="111"/>
  <c r="N81" i="111"/>
  <c r="F81" i="111"/>
  <c r="I80" i="111"/>
  <c r="L79" i="111"/>
  <c r="J77" i="111"/>
  <c r="M76" i="111"/>
  <c r="H75" i="111"/>
  <c r="N73" i="111"/>
  <c r="F73" i="111"/>
  <c r="I72" i="111"/>
  <c r="L71" i="111"/>
  <c r="J69" i="111"/>
  <c r="M68" i="111"/>
  <c r="H67" i="111"/>
  <c r="N65" i="111"/>
  <c r="F65" i="111"/>
  <c r="I64" i="111"/>
  <c r="L63" i="111"/>
  <c r="J61" i="111"/>
  <c r="M60" i="111"/>
  <c r="H59" i="111"/>
  <c r="AD33" i="108"/>
  <c r="V33" i="108"/>
  <c r="Z32" i="108"/>
  <c r="AD31" i="108"/>
  <c r="V31" i="108"/>
  <c r="Z30" i="108"/>
  <c r="AD29" i="108"/>
  <c r="V29" i="108"/>
  <c r="Z28" i="108"/>
  <c r="AD27" i="108"/>
  <c r="V27" i="108"/>
  <c r="O105" i="108"/>
  <c r="P105" i="108"/>
  <c r="P103" i="107"/>
  <c r="O103" i="107"/>
  <c r="C103" i="111"/>
  <c r="C63" i="111"/>
  <c r="O63" i="107"/>
  <c r="P63" i="107"/>
  <c r="F94" i="111"/>
  <c r="X33" i="108"/>
  <c r="Y32" i="108"/>
  <c r="U31" i="108"/>
  <c r="AC29" i="108"/>
  <c r="P87" i="108"/>
  <c r="O87" i="108"/>
  <c r="T33" i="108"/>
  <c r="T25" i="108"/>
  <c r="O89" i="108"/>
  <c r="P89" i="108"/>
  <c r="C79" i="111"/>
  <c r="O79" i="107"/>
  <c r="P79" i="107"/>
  <c r="AB31" i="107"/>
  <c r="L94" i="111"/>
  <c r="O88" i="108"/>
  <c r="Y30" i="108"/>
  <c r="U29" i="108"/>
  <c r="P88" i="108"/>
  <c r="P63" i="108"/>
  <c r="O63" i="108"/>
  <c r="AB31" i="108"/>
  <c r="X26" i="108"/>
  <c r="P86" i="108"/>
  <c r="AF29" i="108" s="1"/>
  <c r="O86" i="108"/>
  <c r="S29" i="108"/>
  <c r="P78" i="108"/>
  <c r="O78" i="108"/>
  <c r="S27" i="108"/>
  <c r="S25" i="108"/>
  <c r="P70" i="108"/>
  <c r="O70" i="108"/>
  <c r="P62" i="108"/>
  <c r="O62" i="108"/>
  <c r="S23" i="108"/>
  <c r="W32" i="108"/>
  <c r="AA31" i="108"/>
  <c r="W30" i="108"/>
  <c r="AA29" i="108"/>
  <c r="W28" i="108"/>
  <c r="AA27" i="108"/>
  <c r="W26" i="108"/>
  <c r="AA25" i="108"/>
  <c r="W24" i="108"/>
  <c r="AA23" i="108"/>
  <c r="W22" i="108"/>
  <c r="O100" i="107"/>
  <c r="P100" i="107"/>
  <c r="C100" i="111"/>
  <c r="O92" i="107"/>
  <c r="P92" i="107"/>
  <c r="P84" i="107"/>
  <c r="O84" i="107"/>
  <c r="C84" i="111"/>
  <c r="P76" i="107"/>
  <c r="O76" i="107"/>
  <c r="P68" i="107"/>
  <c r="C68" i="111"/>
  <c r="P60" i="107"/>
  <c r="O60" i="107"/>
  <c r="H105" i="111"/>
  <c r="N103" i="111"/>
  <c r="Y33" i="107"/>
  <c r="I102" i="111"/>
  <c r="Y33" i="111" s="1"/>
  <c r="J99" i="111"/>
  <c r="AC32" i="107"/>
  <c r="U32" i="107"/>
  <c r="K96" i="111"/>
  <c r="F95" i="111"/>
  <c r="Y31" i="107"/>
  <c r="L93" i="111"/>
  <c r="G92" i="111"/>
  <c r="AC30" i="107"/>
  <c r="M90" i="111"/>
  <c r="U30" i="107"/>
  <c r="H89" i="111"/>
  <c r="K88" i="111"/>
  <c r="N87" i="111"/>
  <c r="F87" i="111"/>
  <c r="I86" i="111"/>
  <c r="Y29" i="107"/>
  <c r="L85" i="111"/>
  <c r="G84" i="111"/>
  <c r="J83" i="111"/>
  <c r="AC28" i="107"/>
  <c r="M82" i="111"/>
  <c r="U28" i="107"/>
  <c r="H81" i="111"/>
  <c r="K80" i="111"/>
  <c r="N79" i="111"/>
  <c r="F79" i="111"/>
  <c r="Y27" i="107"/>
  <c r="I78" i="111"/>
  <c r="L77" i="111"/>
  <c r="G76" i="111"/>
  <c r="J75" i="111"/>
  <c r="AC26" i="107"/>
  <c r="M74" i="111"/>
  <c r="Y25" i="107"/>
  <c r="I70" i="111"/>
  <c r="C88" i="111"/>
  <c r="O68" i="107"/>
  <c r="O81" i="108"/>
  <c r="P81" i="108"/>
  <c r="T33" i="107"/>
  <c r="T25" i="111"/>
  <c r="O80" i="108"/>
  <c r="P80" i="108"/>
  <c r="P71" i="108"/>
  <c r="O71" i="108"/>
  <c r="T29" i="108"/>
  <c r="AB25" i="108"/>
  <c r="T23" i="108"/>
  <c r="S33" i="108"/>
  <c r="P102" i="108"/>
  <c r="O102" i="108"/>
  <c r="O93" i="108"/>
  <c r="P93" i="108"/>
  <c r="O69" i="108"/>
  <c r="P69" i="108"/>
  <c r="Z33" i="108"/>
  <c r="V32" i="108"/>
  <c r="AD30" i="108"/>
  <c r="V30" i="108"/>
  <c r="Z29" i="108"/>
  <c r="AD28" i="108"/>
  <c r="V28" i="108"/>
  <c r="Z27" i="108"/>
  <c r="AD26" i="108"/>
  <c r="V26" i="108"/>
  <c r="Z25" i="108"/>
  <c r="AD24" i="108"/>
  <c r="V24" i="108"/>
  <c r="P99" i="107"/>
  <c r="C99" i="111"/>
  <c r="P91" i="107"/>
  <c r="O91" i="107"/>
  <c r="C91" i="111"/>
  <c r="O83" i="107"/>
  <c r="C83" i="111"/>
  <c r="P83" i="107"/>
  <c r="O75" i="107"/>
  <c r="C75" i="111"/>
  <c r="O67" i="107"/>
  <c r="C67" i="111"/>
  <c r="P67" i="107"/>
  <c r="O59" i="107"/>
  <c r="C59" i="111"/>
  <c r="P59" i="107"/>
  <c r="X33" i="107"/>
  <c r="H102" i="111"/>
  <c r="L98" i="111"/>
  <c r="AB32" i="107"/>
  <c r="T32" i="107"/>
  <c r="M95" i="111"/>
  <c r="X31" i="107"/>
  <c r="H94" i="111"/>
  <c r="K93" i="111"/>
  <c r="N92" i="111"/>
  <c r="F92" i="111"/>
  <c r="I91" i="111"/>
  <c r="AB30" i="107"/>
  <c r="L90" i="111"/>
  <c r="T30" i="107"/>
  <c r="J88" i="111"/>
  <c r="M87" i="111"/>
  <c r="X29" i="107"/>
  <c r="H86" i="111"/>
  <c r="K85" i="111"/>
  <c r="N84" i="111"/>
  <c r="F84" i="111"/>
  <c r="I83" i="111"/>
  <c r="AB28" i="107"/>
  <c r="L82" i="111"/>
  <c r="T28" i="107"/>
  <c r="G81" i="111"/>
  <c r="J80" i="111"/>
  <c r="M79" i="111"/>
  <c r="O79" i="111"/>
  <c r="X27" i="107"/>
  <c r="H78" i="111"/>
  <c r="K77" i="111"/>
  <c r="N76" i="111"/>
  <c r="F76" i="111"/>
  <c r="I75" i="111"/>
  <c r="AB26" i="107"/>
  <c r="L74" i="111"/>
  <c r="T26" i="107"/>
  <c r="G73" i="111"/>
  <c r="J72" i="111"/>
  <c r="M71" i="111"/>
  <c r="X25" i="107"/>
  <c r="H70" i="111"/>
  <c r="K69" i="111"/>
  <c r="N68" i="111"/>
  <c r="F68" i="111"/>
  <c r="I67" i="111"/>
  <c r="L66" i="111"/>
  <c r="AB24" i="107"/>
  <c r="T24" i="107"/>
  <c r="G65" i="111"/>
  <c r="J64" i="111"/>
  <c r="M63" i="111"/>
  <c r="X23" i="107"/>
  <c r="H62" i="111"/>
  <c r="K61" i="111"/>
  <c r="N60" i="111"/>
  <c r="AD22" i="107"/>
  <c r="F60" i="111"/>
  <c r="I59" i="111"/>
  <c r="L58" i="111"/>
  <c r="AB22" i="107"/>
  <c r="T22" i="107"/>
  <c r="C76" i="111"/>
  <c r="K86" i="111"/>
  <c r="V29" i="107"/>
  <c r="O73" i="108"/>
  <c r="P73" i="108"/>
  <c r="C71" i="111"/>
  <c r="O71" i="107"/>
  <c r="O72" i="108"/>
  <c r="P72" i="108"/>
  <c r="U33" i="108"/>
  <c r="AC31" i="108"/>
  <c r="U27" i="108"/>
  <c r="P103" i="108"/>
  <c r="O103" i="108"/>
  <c r="X28" i="108"/>
  <c r="T27" i="108"/>
  <c r="X24" i="108"/>
  <c r="O101" i="108"/>
  <c r="P101" i="108"/>
  <c r="AC32" i="108"/>
  <c r="S28" i="107"/>
  <c r="P82" i="107"/>
  <c r="O82" i="107"/>
  <c r="C82" i="111"/>
  <c r="S28" i="111" s="1"/>
  <c r="W31" i="107"/>
  <c r="G94" i="111"/>
  <c r="AA30" i="107"/>
  <c r="K90" i="111"/>
  <c r="W29" i="107"/>
  <c r="G86" i="111"/>
  <c r="K82" i="111"/>
  <c r="AA28" i="107"/>
  <c r="W27" i="107"/>
  <c r="G78" i="111"/>
  <c r="AA26" i="107"/>
  <c r="K74" i="111"/>
  <c r="G70" i="111"/>
  <c r="W25" i="107"/>
  <c r="AA24" i="107"/>
  <c r="K66" i="111"/>
  <c r="W23" i="107"/>
  <c r="G62" i="111"/>
  <c r="AA22" i="107"/>
  <c r="K58" i="111"/>
  <c r="C73" i="111"/>
  <c r="P75" i="107"/>
  <c r="AC27" i="107"/>
  <c r="O97" i="108"/>
  <c r="P97" i="108"/>
  <c r="P95" i="107"/>
  <c r="O95" i="107"/>
  <c r="C95" i="111"/>
  <c r="AB33" i="107"/>
  <c r="L102" i="111"/>
  <c r="X32" i="107"/>
  <c r="H98" i="111"/>
  <c r="X32" i="111" s="1"/>
  <c r="T31" i="111"/>
  <c r="T31" i="107"/>
  <c r="O96" i="108"/>
  <c r="P96" i="108"/>
  <c r="Y28" i="108"/>
  <c r="P95" i="108"/>
  <c r="O95" i="108"/>
  <c r="T31" i="108"/>
  <c r="X30" i="108"/>
  <c r="X22" i="108"/>
  <c r="P94" i="108"/>
  <c r="O94" i="108"/>
  <c r="S31" i="108"/>
  <c r="O77" i="108"/>
  <c r="P77" i="108"/>
  <c r="AD32" i="108"/>
  <c r="O100" i="108"/>
  <c r="O84" i="108"/>
  <c r="P84" i="108"/>
  <c r="AC30" i="108"/>
  <c r="AC28" i="108"/>
  <c r="Y27" i="108"/>
  <c r="P98" i="107"/>
  <c r="S32" i="107"/>
  <c r="O98" i="107"/>
  <c r="C98" i="111"/>
  <c r="S24" i="107"/>
  <c r="P66" i="107"/>
  <c r="O66" i="107"/>
  <c r="C66" i="111"/>
  <c r="S22" i="107"/>
  <c r="P58" i="107"/>
  <c r="O58" i="107"/>
  <c r="C58" i="111"/>
  <c r="P91" i="108"/>
  <c r="O91" i="108"/>
  <c r="P67" i="108"/>
  <c r="O67" i="108"/>
  <c r="AB32" i="108"/>
  <c r="T30" i="108"/>
  <c r="X29" i="108"/>
  <c r="AB28" i="108"/>
  <c r="T28" i="108"/>
  <c r="X27" i="108"/>
  <c r="AB26" i="108"/>
  <c r="T26" i="108"/>
  <c r="AB24" i="108"/>
  <c r="T24" i="108"/>
  <c r="X23" i="108"/>
  <c r="AB22" i="108"/>
  <c r="T22" i="108"/>
  <c r="K103" i="111"/>
  <c r="L100" i="111"/>
  <c r="G99" i="111"/>
  <c r="Z32" i="107"/>
  <c r="M97" i="111"/>
  <c r="H96" i="111"/>
  <c r="I93" i="111"/>
  <c r="C72" i="111"/>
  <c r="N102" i="111"/>
  <c r="M98" i="111"/>
  <c r="H74" i="111"/>
  <c r="O93" i="107"/>
  <c r="U26" i="107"/>
  <c r="O65" i="108"/>
  <c r="P65" i="108"/>
  <c r="C87" i="111"/>
  <c r="O87" i="111" s="1"/>
  <c r="O87" i="107"/>
  <c r="P87" i="107"/>
  <c r="O99" i="107"/>
  <c r="O104" i="108"/>
  <c r="P104" i="108"/>
  <c r="O64" i="108"/>
  <c r="P64" i="108"/>
  <c r="AC33" i="108"/>
  <c r="AC27" i="108"/>
  <c r="Y26" i="108"/>
  <c r="S29" i="107"/>
  <c r="P79" i="108"/>
  <c r="O79" i="108"/>
  <c r="AB33" i="108"/>
  <c r="X32" i="108"/>
  <c r="AB29" i="108"/>
  <c r="AB27" i="108"/>
  <c r="AB23" i="108"/>
  <c r="O85" i="108"/>
  <c r="P85" i="108"/>
  <c r="O61" i="108"/>
  <c r="P61" i="108"/>
  <c r="Z31" i="108"/>
  <c r="O92" i="108"/>
  <c r="P92" i="108"/>
  <c r="O76" i="108"/>
  <c r="P76" i="108"/>
  <c r="O68" i="108"/>
  <c r="P68" i="108"/>
  <c r="O60" i="108"/>
  <c r="P60" i="108"/>
  <c r="Y33" i="108"/>
  <c r="U32" i="108"/>
  <c r="Y31" i="108"/>
  <c r="U30" i="108"/>
  <c r="Y29" i="108"/>
  <c r="U28" i="108"/>
  <c r="P90" i="107"/>
  <c r="S30" i="107"/>
  <c r="O90" i="107"/>
  <c r="C90" i="111"/>
  <c r="S30" i="111" s="1"/>
  <c r="S26" i="107"/>
  <c r="P74" i="107"/>
  <c r="O74" i="107"/>
  <c r="C74" i="111"/>
  <c r="W33" i="107"/>
  <c r="G102" i="111"/>
  <c r="W33" i="111" s="1"/>
  <c r="AA32" i="107"/>
  <c r="K98" i="111"/>
  <c r="P99" i="108"/>
  <c r="P83" i="108"/>
  <c r="O83" i="108"/>
  <c r="P75" i="108"/>
  <c r="O75" i="108"/>
  <c r="P59" i="108"/>
  <c r="O59" i="108"/>
  <c r="T32" i="108"/>
  <c r="X31" i="108"/>
  <c r="AB30" i="108"/>
  <c r="P58" i="108"/>
  <c r="S22" i="108"/>
  <c r="O58" i="108"/>
  <c r="P98" i="108"/>
  <c r="S32" i="108"/>
  <c r="O98" i="108"/>
  <c r="AE32" i="108" s="1"/>
  <c r="P90" i="108"/>
  <c r="O90" i="108"/>
  <c r="S30" i="108"/>
  <c r="P82" i="108"/>
  <c r="O82" i="108"/>
  <c r="S28" i="108"/>
  <c r="P74" i="108"/>
  <c r="O74" i="108"/>
  <c r="S26" i="108"/>
  <c r="P66" i="108"/>
  <c r="S24" i="108"/>
  <c r="O66" i="108"/>
  <c r="W33" i="108"/>
  <c r="AA32" i="108"/>
  <c r="W31" i="108"/>
  <c r="AA30" i="108"/>
  <c r="W29" i="108"/>
  <c r="AA28" i="108"/>
  <c r="W27" i="108"/>
  <c r="AA26" i="108"/>
  <c r="W25" i="108"/>
  <c r="J103" i="111"/>
  <c r="Z33" i="111" s="1"/>
  <c r="K100" i="111"/>
  <c r="F99" i="111"/>
  <c r="L97" i="111"/>
  <c r="G96" i="111"/>
  <c r="H93" i="111"/>
  <c r="N91" i="111"/>
  <c r="C105" i="111"/>
  <c r="C60" i="111"/>
  <c r="M102" i="111"/>
  <c r="J98" i="111"/>
  <c r="I94" i="111"/>
  <c r="H82" i="111"/>
  <c r="L62" i="111"/>
  <c r="AD22" i="108"/>
  <c r="V22" i="108"/>
  <c r="O105" i="107"/>
  <c r="P105" i="107"/>
  <c r="P97" i="107"/>
  <c r="O97" i="107"/>
  <c r="P89" i="107"/>
  <c r="O89" i="107"/>
  <c r="O81" i="107"/>
  <c r="P81" i="107"/>
  <c r="O73" i="107"/>
  <c r="P73" i="107"/>
  <c r="O65" i="107"/>
  <c r="P65" i="107"/>
  <c r="AD33" i="107"/>
  <c r="V33" i="107"/>
  <c r="AD31" i="107"/>
  <c r="V31" i="107"/>
  <c r="Z30" i="107"/>
  <c r="M89" i="111"/>
  <c r="H88" i="111"/>
  <c r="K87" i="111"/>
  <c r="AD29" i="107"/>
  <c r="N86" i="111"/>
  <c r="F86" i="111"/>
  <c r="I85" i="111"/>
  <c r="L84" i="111"/>
  <c r="G83" i="111"/>
  <c r="Z28" i="107"/>
  <c r="J82" i="111"/>
  <c r="M81" i="111"/>
  <c r="H80" i="111"/>
  <c r="K79" i="111"/>
  <c r="AD27" i="107"/>
  <c r="N78" i="111"/>
  <c r="V27" i="107"/>
  <c r="F78" i="111"/>
  <c r="I77" i="111"/>
  <c r="L76" i="111"/>
  <c r="G75" i="111"/>
  <c r="Z26" i="107"/>
  <c r="J74" i="111"/>
  <c r="M73" i="111"/>
  <c r="H72" i="111"/>
  <c r="K71" i="111"/>
  <c r="AA25" i="111" s="1"/>
  <c r="AD25" i="107"/>
  <c r="N70" i="111"/>
  <c r="AD25" i="111" s="1"/>
  <c r="V25" i="107"/>
  <c r="F70" i="111"/>
  <c r="V25" i="111" s="1"/>
  <c r="I69" i="111"/>
  <c r="L68" i="111"/>
  <c r="AC26" i="108"/>
  <c r="U26" i="108"/>
  <c r="Y25" i="108"/>
  <c r="AC24" i="108"/>
  <c r="U24" i="108"/>
  <c r="Y23" i="108"/>
  <c r="AC22" i="108"/>
  <c r="U22" i="108"/>
  <c r="O104" i="107"/>
  <c r="P104" i="107"/>
  <c r="O96" i="107"/>
  <c r="P96" i="107"/>
  <c r="O88" i="107"/>
  <c r="P88" i="107"/>
  <c r="P80" i="107"/>
  <c r="O80" i="107"/>
  <c r="P72" i="107"/>
  <c r="O72" i="107"/>
  <c r="P64" i="107"/>
  <c r="O64" i="107"/>
  <c r="AC33" i="107"/>
  <c r="U33" i="107"/>
  <c r="Y32" i="107"/>
  <c r="AC31" i="107"/>
  <c r="U31" i="107"/>
  <c r="Y30" i="107"/>
  <c r="L89" i="111"/>
  <c r="AB29" i="111" s="1"/>
  <c r="G88" i="111"/>
  <c r="J87" i="111"/>
  <c r="AC29" i="107"/>
  <c r="M86" i="111"/>
  <c r="U29" i="107"/>
  <c r="H85" i="111"/>
  <c r="K84" i="111"/>
  <c r="N83" i="111"/>
  <c r="F83" i="111"/>
  <c r="Y28" i="107"/>
  <c r="I82" i="111"/>
  <c r="L81" i="111"/>
  <c r="G80" i="111"/>
  <c r="J79" i="111"/>
  <c r="M78" i="111"/>
  <c r="U27" i="107"/>
  <c r="H77" i="111"/>
  <c r="K76" i="111"/>
  <c r="N75" i="111"/>
  <c r="F75" i="111"/>
  <c r="Y26" i="107"/>
  <c r="I74" i="111"/>
  <c r="Y26" i="111" s="1"/>
  <c r="L73" i="111"/>
  <c r="G72" i="111"/>
  <c r="J71" i="111"/>
  <c r="H69" i="111"/>
  <c r="K68" i="111"/>
  <c r="N67" i="111"/>
  <c r="F67" i="111"/>
  <c r="L65" i="111"/>
  <c r="G64" i="111"/>
  <c r="J63" i="111"/>
  <c r="M62" i="111"/>
  <c r="H61" i="111"/>
  <c r="K60" i="111"/>
  <c r="N59" i="111"/>
  <c r="F59" i="111"/>
  <c r="I58" i="111"/>
  <c r="Z24" i="107"/>
  <c r="J92" i="111"/>
  <c r="M91" i="111"/>
  <c r="U30" i="111"/>
  <c r="X30" i="107"/>
  <c r="H90" i="111"/>
  <c r="N88" i="111"/>
  <c r="F88" i="111"/>
  <c r="AB29" i="107"/>
  <c r="T29" i="107"/>
  <c r="X28" i="107"/>
  <c r="AB27" i="107"/>
  <c r="T27" i="107"/>
  <c r="X26" i="107"/>
  <c r="AB25" i="107"/>
  <c r="T25" i="107"/>
  <c r="X24" i="107"/>
  <c r="AB23" i="107"/>
  <c r="T23" i="107"/>
  <c r="X22" i="107"/>
  <c r="C97" i="111"/>
  <c r="C81" i="111"/>
  <c r="C65" i="111"/>
  <c r="F102" i="111"/>
  <c r="V33" i="111" s="1"/>
  <c r="N94" i="111"/>
  <c r="J90" i="111"/>
  <c r="Z30" i="111" s="1"/>
  <c r="AA24" i="108"/>
  <c r="W23" i="108"/>
  <c r="AA22" i="108"/>
  <c r="P102" i="107"/>
  <c r="S33" i="107"/>
  <c r="O102" i="107"/>
  <c r="C102" i="111"/>
  <c r="S31" i="107"/>
  <c r="P94" i="107"/>
  <c r="O94" i="107"/>
  <c r="AE31" i="107" s="1"/>
  <c r="C94" i="111"/>
  <c r="P86" i="107"/>
  <c r="O86" i="107"/>
  <c r="C86" i="111"/>
  <c r="P78" i="107"/>
  <c r="O78" i="107"/>
  <c r="C78" i="111"/>
  <c r="S27" i="107"/>
  <c r="S25" i="107"/>
  <c r="P70" i="107"/>
  <c r="O70" i="107"/>
  <c r="C70" i="111"/>
  <c r="S23" i="107"/>
  <c r="P62" i="107"/>
  <c r="O62" i="107"/>
  <c r="C62" i="111"/>
  <c r="J105" i="111"/>
  <c r="M104" i="111"/>
  <c r="H103" i="111"/>
  <c r="AA33" i="107"/>
  <c r="K102" i="111"/>
  <c r="N101" i="111"/>
  <c r="F101" i="111"/>
  <c r="P101" i="111" s="1"/>
  <c r="I100" i="111"/>
  <c r="Y32" i="111" s="1"/>
  <c r="L99" i="111"/>
  <c r="W32" i="107"/>
  <c r="G98" i="111"/>
  <c r="W32" i="111" s="1"/>
  <c r="J97" i="111"/>
  <c r="M96" i="111"/>
  <c r="H95" i="111"/>
  <c r="AA31" i="107"/>
  <c r="K94" i="111"/>
  <c r="N93" i="111"/>
  <c r="F93" i="111"/>
  <c r="I92" i="111"/>
  <c r="L91" i="111"/>
  <c r="W30" i="107"/>
  <c r="G90" i="111"/>
  <c r="J89" i="111"/>
  <c r="M88" i="111"/>
  <c r="H87" i="111"/>
  <c r="AA29" i="107"/>
  <c r="N85" i="111"/>
  <c r="I84" i="111"/>
  <c r="W28" i="107"/>
  <c r="J81" i="111"/>
  <c r="AA27" i="107"/>
  <c r="K78" i="111"/>
  <c r="F77" i="111"/>
  <c r="L75" i="111"/>
  <c r="W26" i="107"/>
  <c r="G74" i="111"/>
  <c r="M72" i="111"/>
  <c r="H71" i="111"/>
  <c r="AA25" i="107"/>
  <c r="N69" i="111"/>
  <c r="I68" i="111"/>
  <c r="W24" i="107"/>
  <c r="J65" i="111"/>
  <c r="AA23" i="107"/>
  <c r="K62" i="111"/>
  <c r="F61" i="111"/>
  <c r="L59" i="111"/>
  <c r="W22" i="107"/>
  <c r="G58" i="111"/>
  <c r="C96" i="111"/>
  <c r="C80" i="111"/>
  <c r="C64" i="111"/>
  <c r="U33" i="111"/>
  <c r="M94" i="111"/>
  <c r="I90" i="111"/>
  <c r="Z26" i="108"/>
  <c r="AD25" i="108"/>
  <c r="V25" i="108"/>
  <c r="Z24" i="108"/>
  <c r="AD23" i="108"/>
  <c r="V23" i="108"/>
  <c r="Z22" i="108"/>
  <c r="O101" i="107"/>
  <c r="P101" i="107"/>
  <c r="O85" i="107"/>
  <c r="P85" i="107"/>
  <c r="O77" i="107"/>
  <c r="P77" i="107"/>
  <c r="O69" i="107"/>
  <c r="P69" i="107"/>
  <c r="O61" i="107"/>
  <c r="P61" i="107"/>
  <c r="Z33" i="107"/>
  <c r="AD32" i="107"/>
  <c r="V32" i="107"/>
  <c r="Z31" i="107"/>
  <c r="AD30" i="107"/>
  <c r="V30" i="107"/>
  <c r="I89" i="111"/>
  <c r="G87" i="111"/>
  <c r="Z29" i="107"/>
  <c r="J86" i="111"/>
  <c r="M85" i="111"/>
  <c r="H84" i="111"/>
  <c r="K83" i="111"/>
  <c r="AD28" i="107"/>
  <c r="N82" i="111"/>
  <c r="V28" i="107"/>
  <c r="F82" i="111"/>
  <c r="I81" i="111"/>
  <c r="L80" i="111"/>
  <c r="AB27" i="111" s="1"/>
  <c r="G79" i="111"/>
  <c r="Z27" i="107"/>
  <c r="J78" i="111"/>
  <c r="Z27" i="111" s="1"/>
  <c r="M77" i="111"/>
  <c r="H76" i="111"/>
  <c r="K75" i="111"/>
  <c r="AD26" i="107"/>
  <c r="N74" i="111"/>
  <c r="AD26" i="111" s="1"/>
  <c r="V26" i="107"/>
  <c r="F74" i="111"/>
  <c r="O74" i="111" s="1"/>
  <c r="I73" i="111"/>
  <c r="L72" i="111"/>
  <c r="AB25" i="111" s="1"/>
  <c r="G71" i="111"/>
  <c r="Z25" i="107"/>
  <c r="J70" i="111"/>
  <c r="M69" i="111"/>
  <c r="P69" i="111"/>
  <c r="C77" i="111"/>
  <c r="C61" i="111"/>
  <c r="N98" i="111"/>
  <c r="J94" i="111"/>
  <c r="Z31" i="111" s="1"/>
  <c r="F90" i="111"/>
  <c r="V30" i="111" s="1"/>
  <c r="H68" i="111"/>
  <c r="K67" i="111"/>
  <c r="AD24" i="107"/>
  <c r="N66" i="111"/>
  <c r="AD24" i="111" s="1"/>
  <c r="V24" i="107"/>
  <c r="F66" i="111"/>
  <c r="I65" i="111"/>
  <c r="L64" i="111"/>
  <c r="T23" i="111"/>
  <c r="G63" i="111"/>
  <c r="Z23" i="107"/>
  <c r="J62" i="111"/>
  <c r="Z23" i="111" s="1"/>
  <c r="M61" i="111"/>
  <c r="H60" i="111"/>
  <c r="K59" i="111"/>
  <c r="N58" i="111"/>
  <c r="V22" i="107"/>
  <c r="F58" i="111"/>
  <c r="V22" i="111" s="1"/>
  <c r="G68" i="111"/>
  <c r="J67" i="111"/>
  <c r="AC24" i="107"/>
  <c r="M66" i="111"/>
  <c r="U24" i="107"/>
  <c r="H65" i="111"/>
  <c r="K64" i="111"/>
  <c r="P64" i="111" s="1"/>
  <c r="N63" i="111"/>
  <c r="F63" i="111"/>
  <c r="Y23" i="107"/>
  <c r="I62" i="111"/>
  <c r="Y23" i="111" s="1"/>
  <c r="L61" i="111"/>
  <c r="G60" i="111"/>
  <c r="J59" i="111"/>
  <c r="AC22" i="107"/>
  <c r="M58" i="111"/>
  <c r="U22" i="107"/>
  <c r="U22" i="111"/>
  <c r="G67" i="111"/>
  <c r="J66" i="111"/>
  <c r="Z24" i="111" s="1"/>
  <c r="M65" i="111"/>
  <c r="H64" i="111"/>
  <c r="K63" i="111"/>
  <c r="AD23" i="107"/>
  <c r="N62" i="111"/>
  <c r="V23" i="107"/>
  <c r="F62" i="111"/>
  <c r="V23" i="111" s="1"/>
  <c r="I61" i="111"/>
  <c r="L60" i="111"/>
  <c r="G59" i="111"/>
  <c r="Z22" i="107"/>
  <c r="J58" i="111"/>
  <c r="AC25" i="107"/>
  <c r="U25" i="107"/>
  <c r="Y24" i="107"/>
  <c r="AC23" i="107"/>
  <c r="U23" i="107"/>
  <c r="Y22" i="107"/>
  <c r="M70" i="111"/>
  <c r="AC25" i="111" s="1"/>
  <c r="I66" i="111"/>
  <c r="O65" i="111"/>
  <c r="O95" i="111"/>
  <c r="L11" i="96"/>
  <c r="L12" i="96"/>
  <c r="L13" i="96"/>
  <c r="L14" i="96"/>
  <c r="L15" i="96"/>
  <c r="L16" i="96"/>
  <c r="L17" i="96"/>
  <c r="L18" i="96"/>
  <c r="L19" i="96"/>
  <c r="L20" i="96"/>
  <c r="L21" i="96"/>
  <c r="L22" i="96"/>
  <c r="L23" i="96"/>
  <c r="L24" i="96"/>
  <c r="L25" i="96"/>
  <c r="L26" i="96"/>
  <c r="L27" i="96"/>
  <c r="L28" i="96"/>
  <c r="L29" i="96"/>
  <c r="L30" i="96"/>
  <c r="L31" i="96"/>
  <c r="L32" i="96"/>
  <c r="L33" i="96"/>
  <c r="L34" i="96"/>
  <c r="L35" i="96"/>
  <c r="L36" i="96"/>
  <c r="L37" i="96"/>
  <c r="L38" i="96"/>
  <c r="L39" i="96"/>
  <c r="L40" i="96"/>
  <c r="L41" i="96"/>
  <c r="L42" i="96"/>
  <c r="L43" i="96"/>
  <c r="L44" i="96"/>
  <c r="L45" i="96"/>
  <c r="L46" i="96"/>
  <c r="L47" i="96"/>
  <c r="L48" i="96"/>
  <c r="L49" i="96"/>
  <c r="L50" i="96"/>
  <c r="L51" i="96"/>
  <c r="L52" i="96"/>
  <c r="L53" i="96"/>
  <c r="L54" i="96"/>
  <c r="L55" i="96"/>
  <c r="L56" i="96"/>
  <c r="L57" i="96"/>
  <c r="L10" i="96"/>
  <c r="L11" i="94"/>
  <c r="L12" i="94"/>
  <c r="L13" i="94"/>
  <c r="L14" i="94"/>
  <c r="L15" i="94"/>
  <c r="L16" i="94"/>
  <c r="L17" i="94"/>
  <c r="L18" i="94"/>
  <c r="L19" i="94"/>
  <c r="L20" i="94"/>
  <c r="L21" i="94"/>
  <c r="L22" i="94"/>
  <c r="L23" i="94"/>
  <c r="L24" i="94"/>
  <c r="L25" i="94"/>
  <c r="L26" i="94"/>
  <c r="L27" i="94"/>
  <c r="L28" i="94"/>
  <c r="L29" i="94"/>
  <c r="L30" i="94"/>
  <c r="L31" i="94"/>
  <c r="L32" i="94"/>
  <c r="L33" i="94"/>
  <c r="L34" i="94"/>
  <c r="L35" i="94"/>
  <c r="L36" i="94"/>
  <c r="L37" i="94"/>
  <c r="L38" i="94"/>
  <c r="L39" i="94"/>
  <c r="L40" i="94"/>
  <c r="L41" i="94"/>
  <c r="L42" i="94"/>
  <c r="L43" i="94"/>
  <c r="L44" i="94"/>
  <c r="L45" i="94"/>
  <c r="L46" i="94"/>
  <c r="L47" i="94"/>
  <c r="L48" i="94"/>
  <c r="L49" i="94"/>
  <c r="L50" i="94"/>
  <c r="L51" i="94"/>
  <c r="L52" i="94"/>
  <c r="L53" i="94"/>
  <c r="L54" i="94"/>
  <c r="L55" i="94"/>
  <c r="L56" i="94"/>
  <c r="L57" i="94"/>
  <c r="L10" i="94"/>
  <c r="C58" i="99"/>
  <c r="C3" i="94"/>
  <c r="P76" i="111" l="1"/>
  <c r="O82" i="111"/>
  <c r="W24" i="111"/>
  <c r="X24" i="111"/>
  <c r="AC31" i="111"/>
  <c r="AA33" i="111"/>
  <c r="U29" i="111"/>
  <c r="P89" i="111"/>
  <c r="P92" i="111"/>
  <c r="O105" i="111"/>
  <c r="AF24" i="107"/>
  <c r="AE31" i="108"/>
  <c r="AB33" i="111"/>
  <c r="P96" i="111"/>
  <c r="P84" i="111"/>
  <c r="U31" i="111"/>
  <c r="O90" i="111"/>
  <c r="Y24" i="111"/>
  <c r="Z22" i="111"/>
  <c r="AD23" i="111"/>
  <c r="O68" i="111"/>
  <c r="O59" i="111"/>
  <c r="P80" i="111"/>
  <c r="AA23" i="111"/>
  <c r="P93" i="111"/>
  <c r="AF27" i="107"/>
  <c r="S33" i="111"/>
  <c r="AD31" i="111"/>
  <c r="O73" i="111"/>
  <c r="V27" i="111"/>
  <c r="Z28" i="111"/>
  <c r="AD30" i="111"/>
  <c r="AE28" i="108"/>
  <c r="AF30" i="107"/>
  <c r="AF31" i="108"/>
  <c r="O71" i="111"/>
  <c r="O81" i="111"/>
  <c r="AB30" i="111"/>
  <c r="P85" i="111"/>
  <c r="U32" i="111"/>
  <c r="O98" i="111"/>
  <c r="AC24" i="111"/>
  <c r="P60" i="111"/>
  <c r="O85" i="111"/>
  <c r="S25" i="111"/>
  <c r="S29" i="111"/>
  <c r="AE33" i="107"/>
  <c r="P88" i="111"/>
  <c r="Y22" i="111"/>
  <c r="P72" i="111"/>
  <c r="Y28" i="111"/>
  <c r="O69" i="111"/>
  <c r="AE24" i="108"/>
  <c r="AF28" i="108"/>
  <c r="O66" i="111"/>
  <c r="AB32" i="111"/>
  <c r="O104" i="111"/>
  <c r="O63" i="111"/>
  <c r="O61" i="111"/>
  <c r="V24" i="111"/>
  <c r="AD32" i="111"/>
  <c r="AE25" i="107"/>
  <c r="Z26" i="111"/>
  <c r="W28" i="111"/>
  <c r="Y31" i="111"/>
  <c r="AC22" i="111"/>
  <c r="U26" i="111"/>
  <c r="V28" i="111"/>
  <c r="AF22" i="107"/>
  <c r="Y29" i="111"/>
  <c r="P68" i="111"/>
  <c r="AE23" i="108"/>
  <c r="O77" i="111"/>
  <c r="W22" i="111"/>
  <c r="O83" i="111"/>
  <c r="S31" i="111"/>
  <c r="P97" i="111"/>
  <c r="AC27" i="111"/>
  <c r="O75" i="111"/>
  <c r="AC33" i="111"/>
  <c r="O99" i="111"/>
  <c r="AC32" i="111"/>
  <c r="AA29" i="111"/>
  <c r="P67" i="111"/>
  <c r="V32" i="111"/>
  <c r="Y25" i="111"/>
  <c r="Y27" i="111"/>
  <c r="AC28" i="111"/>
  <c r="O101" i="111"/>
  <c r="P100" i="111"/>
  <c r="AE29" i="108"/>
  <c r="AE22" i="108"/>
  <c r="P98" i="111"/>
  <c r="O91" i="111"/>
  <c r="AE30" i="111" s="1"/>
  <c r="O76" i="111"/>
  <c r="AE26" i="111" s="1"/>
  <c r="O84" i="111"/>
  <c r="AE28" i="111" s="1"/>
  <c r="O92" i="111"/>
  <c r="O100" i="111"/>
  <c r="O72" i="111"/>
  <c r="AA31" i="111"/>
  <c r="AE29" i="107"/>
  <c r="P65" i="111"/>
  <c r="U27" i="111"/>
  <c r="AD27" i="111"/>
  <c r="AF22" i="108"/>
  <c r="AE26" i="107"/>
  <c r="S22" i="111"/>
  <c r="S32" i="111"/>
  <c r="AA28" i="111"/>
  <c r="AE28" i="107"/>
  <c r="T30" i="111"/>
  <c r="X31" i="111"/>
  <c r="X33" i="111"/>
  <c r="P75" i="111"/>
  <c r="P99" i="111"/>
  <c r="T33" i="111"/>
  <c r="AE25" i="108"/>
  <c r="P79" i="111"/>
  <c r="V31" i="111"/>
  <c r="P82" i="111"/>
  <c r="AF28" i="111" s="1"/>
  <c r="P66" i="111"/>
  <c r="AC29" i="111"/>
  <c r="X28" i="111"/>
  <c r="S26" i="111"/>
  <c r="AA24" i="111"/>
  <c r="T24" i="111"/>
  <c r="X25" i="111"/>
  <c r="AB26" i="111"/>
  <c r="AF23" i="108"/>
  <c r="O93" i="111"/>
  <c r="O62" i="111"/>
  <c r="P70" i="111"/>
  <c r="O60" i="111"/>
  <c r="P61" i="111"/>
  <c r="Z29" i="111"/>
  <c r="W26" i="111"/>
  <c r="W30" i="111"/>
  <c r="AF25" i="107"/>
  <c r="AF29" i="107"/>
  <c r="AF33" i="107"/>
  <c r="P81" i="111"/>
  <c r="X30" i="111"/>
  <c r="Z32" i="111"/>
  <c r="AF24" i="108"/>
  <c r="AE30" i="108"/>
  <c r="AF26" i="107"/>
  <c r="AE22" i="107"/>
  <c r="AE32" i="107"/>
  <c r="T29" i="111"/>
  <c r="W29" i="111"/>
  <c r="AF28" i="107"/>
  <c r="T22" i="111"/>
  <c r="X23" i="111"/>
  <c r="AC26" i="111"/>
  <c r="AF25" i="108"/>
  <c r="AB23" i="111"/>
  <c r="O70" i="111"/>
  <c r="AE25" i="111" s="1"/>
  <c r="O58" i="111"/>
  <c r="AE22" i="111" s="1"/>
  <c r="P77" i="111"/>
  <c r="X26" i="111"/>
  <c r="W25" i="111"/>
  <c r="O97" i="111"/>
  <c r="P78" i="111"/>
  <c r="P86" i="111"/>
  <c r="P94" i="111"/>
  <c r="P102" i="111"/>
  <c r="P74" i="111"/>
  <c r="AF26" i="111" s="1"/>
  <c r="V26" i="111"/>
  <c r="AD28" i="111"/>
  <c r="S23" i="111"/>
  <c r="AE26" i="108"/>
  <c r="AA32" i="111"/>
  <c r="AF32" i="107"/>
  <c r="X22" i="111"/>
  <c r="AA22" i="111"/>
  <c r="AA26" i="111"/>
  <c r="AA30" i="111"/>
  <c r="AB22" i="111"/>
  <c r="T28" i="111"/>
  <c r="X29" i="111"/>
  <c r="P59" i="111"/>
  <c r="P83" i="111"/>
  <c r="AE33" i="108"/>
  <c r="P63" i="111"/>
  <c r="T27" i="111"/>
  <c r="P90" i="111"/>
  <c r="O78" i="111"/>
  <c r="O94" i="111"/>
  <c r="O102" i="111"/>
  <c r="AE33" i="111" s="1"/>
  <c r="P73" i="111"/>
  <c r="AB24" i="111"/>
  <c r="O80" i="111"/>
  <c r="O88" i="111"/>
  <c r="O96" i="111"/>
  <c r="P58" i="111"/>
  <c r="Y30" i="111"/>
  <c r="AE23" i="107"/>
  <c r="S27" i="111"/>
  <c r="AF31" i="107"/>
  <c r="AC23" i="111"/>
  <c r="V29" i="111"/>
  <c r="P105" i="111"/>
  <c r="AF26" i="108"/>
  <c r="AE30" i="107"/>
  <c r="AD33" i="111"/>
  <c r="S24" i="111"/>
  <c r="T32" i="111"/>
  <c r="AF33" i="108"/>
  <c r="AC30" i="111"/>
  <c r="AE27" i="108"/>
  <c r="AB31" i="111"/>
  <c r="P103" i="111"/>
  <c r="O67" i="111"/>
  <c r="O86" i="111"/>
  <c r="AF30" i="108"/>
  <c r="P95" i="111"/>
  <c r="P71" i="111"/>
  <c r="P62" i="111"/>
  <c r="U23" i="111"/>
  <c r="U24" i="111"/>
  <c r="AD22" i="111"/>
  <c r="O64" i="111"/>
  <c r="Z25" i="111"/>
  <c r="AA27" i="111"/>
  <c r="AF23" i="107"/>
  <c r="AE27" i="107"/>
  <c r="U25" i="111"/>
  <c r="AD29" i="111"/>
  <c r="AF32" i="108"/>
  <c r="P87" i="111"/>
  <c r="AE24" i="107"/>
  <c r="W23" i="111"/>
  <c r="W27" i="111"/>
  <c r="W31" i="111"/>
  <c r="T26" i="111"/>
  <c r="X27" i="111"/>
  <c r="AB28" i="111"/>
  <c r="P91" i="111"/>
  <c r="U28" i="111"/>
  <c r="AF27" i="108"/>
  <c r="K6" i="98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AE31" i="111" l="1"/>
  <c r="AE32" i="111"/>
  <c r="AE24" i="111"/>
  <c r="AF33" i="111"/>
  <c r="AF31" i="111"/>
  <c r="AF29" i="111"/>
  <c r="AE23" i="111"/>
  <c r="AF30" i="111"/>
  <c r="AF24" i="111"/>
  <c r="AF23" i="111"/>
  <c r="AF22" i="111"/>
  <c r="AE27" i="111"/>
  <c r="AF32" i="111"/>
  <c r="AF27" i="111"/>
  <c r="AF25" i="111"/>
  <c r="AE29" i="111"/>
  <c r="K5" i="104"/>
  <c r="K5" i="108" s="1"/>
  <c r="K5" i="111" s="1"/>
  <c r="K5" i="107"/>
  <c r="K6" i="104"/>
  <c r="K6" i="108" s="1"/>
  <c r="K6" i="111" s="1"/>
  <c r="K6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Z19" i="105"/>
  <c r="Y19" i="105"/>
  <c r="X19" i="105"/>
  <c r="W19" i="105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A19" i="103"/>
  <c r="Z19" i="103"/>
  <c r="Y19" i="103"/>
  <c r="Y27" i="103" s="1"/>
  <c r="X19" i="103"/>
  <c r="W19" i="103"/>
  <c r="V19" i="103"/>
  <c r="V27" i="103" s="1"/>
  <c r="U19" i="103"/>
  <c r="T19" i="103"/>
  <c r="S19" i="103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V19" i="101"/>
  <c r="U19" i="101"/>
  <c r="T19" i="101"/>
  <c r="S19" i="10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C19" i="99"/>
  <c r="AB19" i="99"/>
  <c r="AA19" i="99"/>
  <c r="Z19" i="99"/>
  <c r="Y19" i="99"/>
  <c r="X19" i="99"/>
  <c r="W19" i="99"/>
  <c r="V19" i="99"/>
  <c r="U19" i="99"/>
  <c r="T19" i="99"/>
  <c r="S19" i="99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C19" i="97"/>
  <c r="AB19" i="97"/>
  <c r="AA19" i="97"/>
  <c r="Z19" i="97"/>
  <c r="Y19" i="97"/>
  <c r="X19" i="97"/>
  <c r="W19" i="97"/>
  <c r="V19" i="97"/>
  <c r="U19" i="97"/>
  <c r="T19" i="97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T27" i="97" l="1"/>
  <c r="AB27" i="97"/>
  <c r="AA27" i="103"/>
  <c r="W39" i="105"/>
  <c r="AC39" i="109"/>
  <c r="S27" i="99"/>
  <c r="S39" i="101"/>
  <c r="T27" i="103"/>
  <c r="AB27" i="103"/>
  <c r="V27" i="97"/>
  <c r="AD27" i="97"/>
  <c r="T27" i="99"/>
  <c r="U24" i="103"/>
  <c r="Z39" i="105"/>
  <c r="Z27" i="97"/>
  <c r="AA26" i="95"/>
  <c r="Z27" i="103"/>
  <c r="V39" i="105"/>
  <c r="AD39" i="105"/>
  <c r="X27" i="97"/>
  <c r="V27" i="99"/>
  <c r="AD27" i="99"/>
  <c r="V39" i="101"/>
  <c r="W27" i="103"/>
  <c r="AA39" i="105"/>
  <c r="U39" i="109"/>
  <c r="W27" i="99"/>
  <c r="W39" i="101"/>
  <c r="X27" i="103"/>
  <c r="Y39" i="109"/>
  <c r="S27" i="103"/>
  <c r="AD38" i="101"/>
  <c r="AA39" i="101"/>
  <c r="X26" i="98"/>
  <c r="AA27" i="99"/>
  <c r="X39" i="10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S38" i="110" s="1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X26" i="103" s="1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X13" i="103"/>
  <c r="AB13" i="103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D106" i="107" s="1"/>
  <c r="E10" i="107"/>
  <c r="F10" i="107"/>
  <c r="G10" i="107"/>
  <c r="H10" i="107"/>
  <c r="H106" i="107" s="1"/>
  <c r="I10" i="107"/>
  <c r="J10" i="107"/>
  <c r="K10" i="107"/>
  <c r="L10" i="107"/>
  <c r="L106" i="107" s="1"/>
  <c r="M10" i="107"/>
  <c r="N10" i="107"/>
  <c r="C10" i="107"/>
  <c r="J106" i="107" l="1"/>
  <c r="AB26" i="103"/>
  <c r="Y38" i="105"/>
  <c r="X23" i="103"/>
  <c r="H106" i="108"/>
  <c r="T19" i="108"/>
  <c r="T26" i="103"/>
  <c r="T36" i="105"/>
  <c r="F106" i="107"/>
  <c r="N106" i="107"/>
  <c r="F106" i="108"/>
  <c r="M106" i="108"/>
  <c r="I106" i="107"/>
  <c r="D106" i="108"/>
  <c r="K106" i="108"/>
  <c r="I106" i="108"/>
  <c r="C106" i="107"/>
  <c r="G106" i="107"/>
  <c r="Z26" i="95"/>
  <c r="L106" i="108"/>
  <c r="G106" i="108"/>
  <c r="C106" i="108"/>
  <c r="E106" i="108"/>
  <c r="M106" i="107"/>
  <c r="E106" i="107"/>
  <c r="U38" i="109"/>
  <c r="N106" i="108"/>
  <c r="K106" i="107"/>
  <c r="J106" i="108"/>
  <c r="AB26" i="98"/>
  <c r="V19" i="108"/>
  <c r="X26" i="96"/>
  <c r="AF32" i="101"/>
  <c r="AF33" i="101"/>
  <c r="X36" i="101"/>
  <c r="AF25" i="101"/>
  <c r="AF28" i="101"/>
  <c r="S38" i="105"/>
  <c r="S35" i="110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M57" i="111"/>
  <c r="I57" i="111"/>
  <c r="G57" i="111"/>
  <c r="M56" i="111"/>
  <c r="K56" i="111"/>
  <c r="I56" i="111"/>
  <c r="C56" i="111"/>
  <c r="G55" i="111"/>
  <c r="K54" i="111"/>
  <c r="I54" i="111"/>
  <c r="G54" i="111"/>
  <c r="I53" i="111"/>
  <c r="G53" i="111"/>
  <c r="M52" i="111"/>
  <c r="K52" i="111"/>
  <c r="C52" i="111"/>
  <c r="M51" i="111"/>
  <c r="G51" i="111"/>
  <c r="M50" i="111"/>
  <c r="K50" i="111"/>
  <c r="C50" i="111"/>
  <c r="M49" i="111"/>
  <c r="K49" i="111"/>
  <c r="I49" i="111"/>
  <c r="C49" i="111"/>
  <c r="M48" i="111"/>
  <c r="I48" i="111"/>
  <c r="G48" i="111"/>
  <c r="K47" i="111"/>
  <c r="C47" i="111"/>
  <c r="G46" i="111"/>
  <c r="K45" i="111"/>
  <c r="G45" i="111"/>
  <c r="C45" i="111"/>
  <c r="K44" i="111"/>
  <c r="G44" i="111"/>
  <c r="C44" i="111"/>
  <c r="K43" i="111"/>
  <c r="G43" i="111"/>
  <c r="C43" i="111"/>
  <c r="K42" i="111"/>
  <c r="I42" i="111"/>
  <c r="C42" i="111"/>
  <c r="K41" i="111"/>
  <c r="G41" i="111"/>
  <c r="C41" i="111"/>
  <c r="K40" i="111"/>
  <c r="G40" i="111"/>
  <c r="C40" i="111"/>
  <c r="K39" i="111"/>
  <c r="G39" i="111"/>
  <c r="C39" i="111"/>
  <c r="K38" i="111"/>
  <c r="C38" i="111"/>
  <c r="S24" i="94"/>
  <c r="C10" i="111"/>
  <c r="M10" i="111"/>
  <c r="I10" i="111"/>
  <c r="L57" i="111"/>
  <c r="H57" i="111"/>
  <c r="L56" i="111"/>
  <c r="H56" i="111"/>
  <c r="L55" i="111"/>
  <c r="H55" i="111"/>
  <c r="L54" i="111"/>
  <c r="H54" i="111"/>
  <c r="L53" i="111"/>
  <c r="H53" i="111"/>
  <c r="L52" i="111"/>
  <c r="H52" i="111"/>
  <c r="L51" i="111"/>
  <c r="H51" i="111"/>
  <c r="L50" i="111"/>
  <c r="H50" i="111"/>
  <c r="L49" i="111"/>
  <c r="H49" i="111"/>
  <c r="L48" i="111"/>
  <c r="H48" i="111"/>
  <c r="L47" i="111"/>
  <c r="H47" i="111"/>
  <c r="L46" i="111"/>
  <c r="H46" i="111"/>
  <c r="L45" i="111"/>
  <c r="H45" i="111"/>
  <c r="L44" i="111"/>
  <c r="H44" i="111"/>
  <c r="L43" i="111"/>
  <c r="H43" i="111"/>
  <c r="L42" i="111"/>
  <c r="H42" i="111"/>
  <c r="L41" i="111"/>
  <c r="H41" i="111"/>
  <c r="L40" i="111"/>
  <c r="H40" i="111"/>
  <c r="L39" i="111"/>
  <c r="H39" i="111"/>
  <c r="L38" i="111"/>
  <c r="H38" i="111"/>
  <c r="L37" i="111"/>
  <c r="H37" i="111"/>
  <c r="L36" i="111"/>
  <c r="H36" i="111"/>
  <c r="L35" i="111"/>
  <c r="H35" i="111"/>
  <c r="L34" i="111"/>
  <c r="H34" i="111"/>
  <c r="L33" i="111"/>
  <c r="H33" i="111"/>
  <c r="L32" i="111"/>
  <c r="H32" i="111"/>
  <c r="L31" i="111"/>
  <c r="H31" i="111"/>
  <c r="L30" i="111"/>
  <c r="H30" i="111"/>
  <c r="L29" i="111"/>
  <c r="H29" i="111"/>
  <c r="L28" i="111"/>
  <c r="H28" i="111"/>
  <c r="L27" i="111"/>
  <c r="H27" i="111"/>
  <c r="L26" i="111"/>
  <c r="H26" i="111"/>
  <c r="L25" i="111"/>
  <c r="H25" i="111"/>
  <c r="H24" i="111"/>
  <c r="F24" i="111"/>
  <c r="N23" i="111"/>
  <c r="L23" i="111"/>
  <c r="J23" i="111"/>
  <c r="N22" i="111"/>
  <c r="H22" i="111"/>
  <c r="N21" i="111"/>
  <c r="L21" i="111"/>
  <c r="F21" i="111"/>
  <c r="H20" i="111"/>
  <c r="F20" i="111"/>
  <c r="L19" i="111"/>
  <c r="J19" i="111"/>
  <c r="F19" i="111"/>
  <c r="J18" i="111"/>
  <c r="H18" i="111"/>
  <c r="L17" i="111"/>
  <c r="J17" i="111"/>
  <c r="F17" i="111"/>
  <c r="N16" i="111"/>
  <c r="H16" i="111"/>
  <c r="N15" i="111"/>
  <c r="L15" i="111"/>
  <c r="N14" i="111"/>
  <c r="H14" i="111"/>
  <c r="F14" i="111"/>
  <c r="N13" i="111"/>
  <c r="L13" i="111"/>
  <c r="F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M28" i="111"/>
  <c r="I28" i="111"/>
  <c r="M27" i="111"/>
  <c r="I27" i="111"/>
  <c r="M26" i="111"/>
  <c r="K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V36" i="108" s="1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H23" i="111"/>
  <c r="F23" i="111"/>
  <c r="L22" i="111"/>
  <c r="J22" i="111"/>
  <c r="F22" i="111"/>
  <c r="J21" i="111"/>
  <c r="H21" i="111"/>
  <c r="N20" i="111"/>
  <c r="L20" i="111"/>
  <c r="J20" i="111"/>
  <c r="N19" i="111"/>
  <c r="H19" i="111"/>
  <c r="N18" i="111"/>
  <c r="L18" i="111"/>
  <c r="F18" i="111"/>
  <c r="N17" i="111"/>
  <c r="H17" i="111"/>
  <c r="L16" i="111"/>
  <c r="J16" i="111"/>
  <c r="F16" i="111"/>
  <c r="J15" i="111"/>
  <c r="H15" i="111"/>
  <c r="F15" i="111"/>
  <c r="L14" i="111"/>
  <c r="J14" i="111"/>
  <c r="J13" i="111"/>
  <c r="H13" i="111"/>
  <c r="N12" i="111"/>
  <c r="L12" i="111"/>
  <c r="J12" i="111"/>
  <c r="L11" i="111"/>
  <c r="H11" i="111"/>
  <c r="AC24" i="94"/>
  <c r="Y24" i="94"/>
  <c r="S27" i="94"/>
  <c r="AA38" i="110"/>
  <c r="W24" i="94"/>
  <c r="N10" i="111"/>
  <c r="H10" i="111"/>
  <c r="F10" i="111"/>
  <c r="K57" i="111"/>
  <c r="C57" i="111"/>
  <c r="G56" i="111"/>
  <c r="M55" i="111"/>
  <c r="K55" i="111"/>
  <c r="I55" i="111"/>
  <c r="C55" i="111"/>
  <c r="M54" i="111"/>
  <c r="C54" i="111"/>
  <c r="M53" i="111"/>
  <c r="K53" i="111"/>
  <c r="C53" i="111"/>
  <c r="I52" i="111"/>
  <c r="G52" i="111"/>
  <c r="K51" i="111"/>
  <c r="I51" i="111"/>
  <c r="C51" i="111"/>
  <c r="I50" i="111"/>
  <c r="G50" i="111"/>
  <c r="G49" i="111"/>
  <c r="K48" i="111"/>
  <c r="C48" i="111"/>
  <c r="M47" i="111"/>
  <c r="I47" i="111"/>
  <c r="G47" i="111"/>
  <c r="M46" i="111"/>
  <c r="K46" i="111"/>
  <c r="I46" i="111"/>
  <c r="C46" i="111"/>
  <c r="M45" i="111"/>
  <c r="I45" i="111"/>
  <c r="M44" i="111"/>
  <c r="I44" i="111"/>
  <c r="M43" i="111"/>
  <c r="I43" i="111"/>
  <c r="M42" i="111"/>
  <c r="G42" i="111"/>
  <c r="M41" i="111"/>
  <c r="I41" i="111"/>
  <c r="M40" i="111"/>
  <c r="I40" i="111"/>
  <c r="M39" i="111"/>
  <c r="I39" i="111"/>
  <c r="M38" i="111"/>
  <c r="I38" i="111"/>
  <c r="G38" i="111"/>
  <c r="M37" i="111"/>
  <c r="W27" i="94"/>
  <c r="S26" i="94"/>
  <c r="U23" i="97"/>
  <c r="AA27" i="94"/>
  <c r="U27" i="95"/>
  <c r="U24" i="95"/>
  <c r="I37" i="111"/>
  <c r="M36" i="111"/>
  <c r="I36" i="111"/>
  <c r="M35" i="111"/>
  <c r="I35" i="111"/>
  <c r="M34" i="111"/>
  <c r="G34" i="111"/>
  <c r="C34" i="111"/>
  <c r="M33" i="111"/>
  <c r="I33" i="111"/>
  <c r="M32" i="111"/>
  <c r="I32" i="111"/>
  <c r="M31" i="111"/>
  <c r="I31" i="111"/>
  <c r="M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M24" i="111"/>
  <c r="I24" i="111"/>
  <c r="M23" i="111"/>
  <c r="I23" i="111"/>
  <c r="M22" i="111"/>
  <c r="I22" i="111"/>
  <c r="M21" i="111"/>
  <c r="I21" i="111"/>
  <c r="M20" i="111"/>
  <c r="I20" i="111"/>
  <c r="M19" i="111"/>
  <c r="I19" i="111"/>
  <c r="M18" i="111"/>
  <c r="I18" i="111"/>
  <c r="M17" i="111"/>
  <c r="I17" i="111"/>
  <c r="M16" i="111"/>
  <c r="I16" i="111"/>
  <c r="M15" i="111"/>
  <c r="I15" i="111"/>
  <c r="M14" i="111"/>
  <c r="I14" i="111"/>
  <c r="M13" i="111"/>
  <c r="I13" i="111"/>
  <c r="M12" i="111"/>
  <c r="I12" i="111"/>
  <c r="M11" i="111"/>
  <c r="I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S19" i="107"/>
  <c r="S36" i="107" s="1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C59" i="99" s="1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X41" i="107" l="1"/>
  <c r="V22" i="93"/>
  <c r="AD41" i="107"/>
  <c r="W41" i="108"/>
  <c r="Y41" i="108"/>
  <c r="V41" i="108"/>
  <c r="V42" i="108" s="1"/>
  <c r="T41" i="108"/>
  <c r="T41" i="107"/>
  <c r="AB41" i="108"/>
  <c r="U41" i="107"/>
  <c r="AE24" i="98"/>
  <c r="O106" i="107"/>
  <c r="Y41" i="107"/>
  <c r="Z41" i="107"/>
  <c r="Z42" i="107" s="1"/>
  <c r="W41" i="107"/>
  <c r="S41" i="107"/>
  <c r="AB41" i="107"/>
  <c r="AC41" i="107"/>
  <c r="AA42" i="110"/>
  <c r="Z41" i="108"/>
  <c r="P106" i="107"/>
  <c r="P106" i="108"/>
  <c r="H107" i="108" s="1"/>
  <c r="O106" i="108"/>
  <c r="H108" i="108" s="1"/>
  <c r="X41" i="108"/>
  <c r="H106" i="111"/>
  <c r="AA41" i="107"/>
  <c r="AC41" i="108"/>
  <c r="AD41" i="108"/>
  <c r="U41" i="108"/>
  <c r="V41" i="107"/>
  <c r="V42" i="107" s="1"/>
  <c r="S41" i="108"/>
  <c r="AA41" i="108"/>
  <c r="G106" i="111"/>
  <c r="I106" i="111"/>
  <c r="C106" i="111"/>
  <c r="J106" i="111"/>
  <c r="K106" i="111"/>
  <c r="F106" i="111"/>
  <c r="N106" i="111"/>
  <c r="E106" i="111"/>
  <c r="M106" i="111"/>
  <c r="D106" i="111"/>
  <c r="L106" i="111"/>
  <c r="S42" i="110"/>
  <c r="Y34" i="108"/>
  <c r="AF10" i="108"/>
  <c r="U36" i="107"/>
  <c r="AD39" i="107"/>
  <c r="V39" i="107"/>
  <c r="AD12" i="111"/>
  <c r="U39" i="107"/>
  <c r="X42" i="109"/>
  <c r="T12" i="111"/>
  <c r="T13" i="111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X42" i="107" s="1"/>
  <c r="AB40" i="107"/>
  <c r="X38" i="107"/>
  <c r="Z35" i="107"/>
  <c r="AF35" i="105"/>
  <c r="AE17" i="107"/>
  <c r="AE13" i="107"/>
  <c r="AF15" i="107"/>
  <c r="H108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S42" i="108" l="1"/>
  <c r="W42" i="107"/>
  <c r="T42" i="108"/>
  <c r="AE41" i="108"/>
  <c r="S41" i="111"/>
  <c r="AB42" i="107"/>
  <c r="AB42" i="108"/>
  <c r="AF41" i="107"/>
  <c r="AD41" i="111"/>
  <c r="X41" i="111"/>
  <c r="AA42" i="108"/>
  <c r="X42" i="108"/>
  <c r="S42" i="107"/>
  <c r="T42" i="107"/>
  <c r="W41" i="111"/>
  <c r="AF41" i="108"/>
  <c r="AE41" i="107"/>
  <c r="U42" i="108"/>
  <c r="Y42" i="107"/>
  <c r="Y42" i="108"/>
  <c r="Y41" i="111"/>
  <c r="AA41" i="111"/>
  <c r="AB41" i="111"/>
  <c r="Z41" i="111"/>
  <c r="AD42" i="108"/>
  <c r="Z42" i="108"/>
  <c r="W42" i="108"/>
  <c r="AC41" i="111"/>
  <c r="T41" i="111"/>
  <c r="AC42" i="108"/>
  <c r="AD42" i="107"/>
  <c r="U41" i="111"/>
  <c r="V41" i="111"/>
  <c r="AA42" i="107"/>
  <c r="AC42" i="107"/>
  <c r="U42" i="107"/>
  <c r="O106" i="111"/>
  <c r="K108" i="111" s="1"/>
  <c r="P106" i="111"/>
  <c r="N107" i="111" s="1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X42" i="111" l="1"/>
  <c r="AF41" i="111"/>
  <c r="V42" i="111"/>
  <c r="AE42" i="107"/>
  <c r="AD42" i="111"/>
  <c r="U42" i="111"/>
  <c r="Z42" i="111"/>
  <c r="AF42" i="108"/>
  <c r="AF42" i="107"/>
  <c r="AB42" i="111"/>
  <c r="W42" i="111"/>
  <c r="AA42" i="111"/>
  <c r="Y42" i="111"/>
  <c r="S42" i="111"/>
  <c r="AE41" i="111"/>
  <c r="AC42" i="111"/>
  <c r="AE42" i="108"/>
  <c r="K107" i="111"/>
  <c r="AF34" i="111"/>
  <c r="AF3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  <c r="AE42" i="111" l="1"/>
  <c r="AF42" i="111"/>
</calcChain>
</file>

<file path=xl/sharedStrings.xml><?xml version="1.0" encoding="utf-8"?>
<sst xmlns="http://schemas.openxmlformats.org/spreadsheetml/2006/main" count="2324" uniqueCount="175">
  <si>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</si>
  <si>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</si>
  <si>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</si>
  <si>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</si>
  <si>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</si>
  <si>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</si>
  <si>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</si>
  <si>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</si>
  <si>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</si>
  <si>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</si>
  <si>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</si>
  <si>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</si>
  <si>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</si>
  <si>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</si>
  <si>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</si>
  <si>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</si>
  <si>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</si>
  <si>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</si>
  <si>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</si>
  <si>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</si>
  <si>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</si>
  <si>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</si>
  <si>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</si>
  <si>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</si>
  <si>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</si>
  <si>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</si>
  <si>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</si>
  <si>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</si>
  <si>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</si>
  <si>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</si>
  <si>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</si>
  <si>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</si>
  <si>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</si>
  <si>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</si>
  <si>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</si>
  <si>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</si>
  <si>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</si>
  <si>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</si>
  <si>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</si>
  <si>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</si>
  <si>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</si>
  <si>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</si>
  <si>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</si>
  <si>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</si>
  <si>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</si>
  <si>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</si>
  <si>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</si>
  <si>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</si>
  <si>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</si>
  <si>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</si>
  <si>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</si>
  <si>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</si>
  <si>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</si>
  <si>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</si>
  <si>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</si>
  <si>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</si>
  <si>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</si>
  <si>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</si>
  <si>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</si>
  <si>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</si>
  <si>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</si>
  <si>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</si>
  <si>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</si>
  <si>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</si>
  <si>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</si>
  <si>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</si>
  <si>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</si>
  <si>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</si>
  <si>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</si>
  <si>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</si>
  <si>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</si>
  <si>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</si>
  <si>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</si>
  <si>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</si>
  <si>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</si>
  <si>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</si>
  <si>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</si>
  <si>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</si>
  <si>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</si>
  <si>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</si>
  <si>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</si>
  <si>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</si>
  <si>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</si>
  <si>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</si>
  <si>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</si>
  <si>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</si>
  <si>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</si>
  <si>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</si>
  <si>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</si>
  <si>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</si>
  <si>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</si>
  <si>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</si>
  <si>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</si>
  <si>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</si>
  <si>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</si>
  <si>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</si>
  <si>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</si>
  <si>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</si>
  <si>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</si>
  <si>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</si>
  <si>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</si>
  <si>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</si>
  <si>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</si>
  <si>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</si>
  <si>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</si>
  <si>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</si>
  <si>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</si>
  <si>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</si>
  <si>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</si>
  <si>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</si>
  <si>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</si>
  <si>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</si>
  <si>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</si>
  <si>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</si>
  <si>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</si>
  <si>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</si>
  <si>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</si>
  <si>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</si>
  <si>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</si>
  <si>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</si>
  <si>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</si>
  <si>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</si>
  <si>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</si>
  <si>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</si>
  <si>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</si>
  <si>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</si>
  <si>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</si>
  <si>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</si>
  <si>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</si>
  <si>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</si>
  <si>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</si>
  <si>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</si>
  <si>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</si>
  <si>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</si>
  <si>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</si>
  <si>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</si>
  <si>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</si>
  <si>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</si>
  <si>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</si>
  <si>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</si>
  <si>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</si>
  <si>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</si>
  <si>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</si>
  <si>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</si>
  <si>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</si>
  <si>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</si>
  <si>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</si>
  <si>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</si>
  <si>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</si>
  <si>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</si>
  <si>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</si>
  <si>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</si>
  <si>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</si>
  <si>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</si>
  <si>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</si>
  <si>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</si>
  <si>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</si>
  <si>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</si>
  <si>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</si>
  <si>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</si>
  <si>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</si>
  <si>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</si>
  <si>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28.07.19</t>
  </si>
  <si>
    <t>xxx</t>
  </si>
  <si>
    <t>AVERAGE WEEK</t>
  </si>
  <si>
    <t>29.07.19</t>
  </si>
  <si>
    <t>30.07.19</t>
  </si>
  <si>
    <t>31.07.19</t>
  </si>
  <si>
    <t>01.08.19</t>
  </si>
  <si>
    <t>02.08.19</t>
  </si>
  <si>
    <t>03.08.19</t>
  </si>
  <si>
    <t>KYENJOJO</t>
  </si>
  <si>
    <t>FORTPORTAL</t>
  </si>
  <si>
    <t>C4 - STN107-FORTPORTAL-KYENJONJO ROAD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</si>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</sst>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69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6" fontId="1" fillId="3" borderId="1" xfId="0" applyNumberFormat="1" applyFont="1" applyFill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KYENJOJO-FORTPORTAL'!$AE$9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KYENJOJO-FORTPORTAL'!$R$10:$R$21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KYENJOJO-FORTPORTAL'!$AE$10:$AE$21</c:f>
              <c:numCache>
                <c:formatCode>0</c:formatCode>
                <c:ptCount val="12"/>
                <c:pt idx="0">
                  <c:v>37</c:v>
                </c:pt>
                <c:pt idx="1">
                  <c:v>18</c:v>
                </c:pt>
                <c:pt idx="2">
                  <c:v>31</c:v>
                </c:pt>
                <c:pt idx="3">
                  <c:v>33</c:v>
                </c:pt>
                <c:pt idx="4">
                  <c:v>34</c:v>
                </c:pt>
                <c:pt idx="5">
                  <c:v>34</c:v>
                </c:pt>
                <c:pt idx="6">
                  <c:v>35</c:v>
                </c:pt>
                <c:pt idx="7">
                  <c:v>30</c:v>
                </c:pt>
                <c:pt idx="8">
                  <c:v>39</c:v>
                </c:pt>
                <c:pt idx="9">
                  <c:v>43</c:v>
                </c:pt>
                <c:pt idx="10">
                  <c:v>42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'29.07 KYENJOJO-FORTPORTAL'!$AF$9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KYENJOJO-FORTPORTAL'!$R$10:$R$21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KYENJOJO-FORTPORTAL'!$AF$10:$AF$21</c:f>
              <c:numCache>
                <c:formatCode>0</c:formatCode>
                <c:ptCount val="12"/>
                <c:pt idx="0">
                  <c:v>50</c:v>
                </c:pt>
                <c:pt idx="1">
                  <c:v>23</c:v>
                </c:pt>
                <c:pt idx="2">
                  <c:v>41</c:v>
                </c:pt>
                <c:pt idx="3">
                  <c:v>41</c:v>
                </c:pt>
                <c:pt idx="4">
                  <c:v>44</c:v>
                </c:pt>
                <c:pt idx="5">
                  <c:v>48</c:v>
                </c:pt>
                <c:pt idx="6">
                  <c:v>41</c:v>
                </c:pt>
                <c:pt idx="7">
                  <c:v>42</c:v>
                </c:pt>
                <c:pt idx="8">
                  <c:v>49</c:v>
                </c:pt>
                <c:pt idx="9">
                  <c:v>51</c:v>
                </c:pt>
                <c:pt idx="10">
                  <c:v>52</c:v>
                </c:pt>
                <c:pt idx="11">
                  <c:v>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48288"/>
        <c:axId val="85949824"/>
      </c:lineChart>
      <c:catAx>
        <c:axId val="859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949824"/>
        <c:crosses val="autoZero"/>
        <c:auto val="1"/>
        <c:lblAlgn val="ctr"/>
        <c:lblOffset val="100"/>
        <c:noMultiLvlLbl val="0"/>
      </c:catAx>
      <c:valAx>
        <c:axId val="8594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9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KYENJOJO-FORTPORTAL'!$C$9:$N$9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KYENJOJO-FORTPORTAL'!$C$59:$N$59</c:f>
              <c:numCache>
                <c:formatCode>0.0%</c:formatCode>
                <c:ptCount val="12"/>
                <c:pt idx="0">
                  <c:v>0.16477272727272727</c:v>
                </c:pt>
                <c:pt idx="1">
                  <c:v>0</c:v>
                </c:pt>
                <c:pt idx="2">
                  <c:v>0.20265151515151514</c:v>
                </c:pt>
                <c:pt idx="3">
                  <c:v>0.21022727272727273</c:v>
                </c:pt>
                <c:pt idx="4">
                  <c:v>1.893939393939394E-3</c:v>
                </c:pt>
                <c:pt idx="5">
                  <c:v>3.5984848484848488E-2</c:v>
                </c:pt>
                <c:pt idx="6">
                  <c:v>6.6287878787878785E-2</c:v>
                </c:pt>
                <c:pt idx="7">
                  <c:v>7.575757575757576E-3</c:v>
                </c:pt>
                <c:pt idx="8">
                  <c:v>2.0833333333333332E-2</c:v>
                </c:pt>
                <c:pt idx="9">
                  <c:v>5.8712121212121215E-2</c:v>
                </c:pt>
                <c:pt idx="10">
                  <c:v>0.23106060606060605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KYENJOJO-FORTPORTAL'!$C$9:$N$9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KYENJOJO-FORTPORTAL'!$C$60:$N$60</c:f>
              <c:numCache>
                <c:formatCode>0.00%</c:formatCode>
                <c:ptCount val="12"/>
                <c:pt idx="0">
                  <c:v>0.21428571428571427</c:v>
                </c:pt>
                <c:pt idx="1">
                  <c:v>0</c:v>
                </c:pt>
                <c:pt idx="2">
                  <c:v>0.26354679802955666</c:v>
                </c:pt>
                <c:pt idx="3">
                  <c:v>0.27339901477832512</c:v>
                </c:pt>
                <c:pt idx="4">
                  <c:v>2.4630541871921183E-3</c:v>
                </c:pt>
                <c:pt idx="5">
                  <c:v>4.6798029556650245E-2</c:v>
                </c:pt>
                <c:pt idx="6">
                  <c:v>8.6206896551724144E-2</c:v>
                </c:pt>
                <c:pt idx="7">
                  <c:v>9.852216748768473E-3</c:v>
                </c:pt>
                <c:pt idx="8">
                  <c:v>2.7093596059113302E-2</c:v>
                </c:pt>
                <c:pt idx="9">
                  <c:v>7.6354679802955669E-2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FORTPORTAL-KYENJOJO'!$AE$9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FORTPORTAL-KYENJOJO'!$R$10:$R$21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FORTPORTAL-KYENJOJO'!$AE$10:$AE$21</c:f>
              <c:numCache>
                <c:formatCode>0</c:formatCode>
                <c:ptCount val="12"/>
                <c:pt idx="0">
                  <c:v>12</c:v>
                </c:pt>
                <c:pt idx="1">
                  <c:v>25</c:v>
                </c:pt>
                <c:pt idx="2">
                  <c:v>34</c:v>
                </c:pt>
                <c:pt idx="3">
                  <c:v>35</c:v>
                </c:pt>
                <c:pt idx="4">
                  <c:v>24</c:v>
                </c:pt>
                <c:pt idx="5">
                  <c:v>32</c:v>
                </c:pt>
                <c:pt idx="6">
                  <c:v>36</c:v>
                </c:pt>
                <c:pt idx="7">
                  <c:v>28</c:v>
                </c:pt>
                <c:pt idx="8">
                  <c:v>30</c:v>
                </c:pt>
                <c:pt idx="9">
                  <c:v>46</c:v>
                </c:pt>
                <c:pt idx="10">
                  <c:v>36</c:v>
                </c:pt>
                <c:pt idx="11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'29.07 FORTPORTAL-KYENJOJO'!$AF$9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FORTPORTAL-KYENJOJO'!$R$10:$R$21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FORTPORTAL-KYENJOJO'!$AF$10:$AF$21</c:f>
              <c:numCache>
                <c:formatCode>0</c:formatCode>
                <c:ptCount val="12"/>
                <c:pt idx="0">
                  <c:v>19</c:v>
                </c:pt>
                <c:pt idx="1">
                  <c:v>35</c:v>
                </c:pt>
                <c:pt idx="2">
                  <c:v>44</c:v>
                </c:pt>
                <c:pt idx="3">
                  <c:v>45</c:v>
                </c:pt>
                <c:pt idx="4">
                  <c:v>35</c:v>
                </c:pt>
                <c:pt idx="5">
                  <c:v>36</c:v>
                </c:pt>
                <c:pt idx="6">
                  <c:v>40</c:v>
                </c:pt>
                <c:pt idx="7">
                  <c:v>34</c:v>
                </c:pt>
                <c:pt idx="8">
                  <c:v>38</c:v>
                </c:pt>
                <c:pt idx="9">
                  <c:v>52</c:v>
                </c:pt>
                <c:pt idx="10">
                  <c:v>47</c:v>
                </c:pt>
                <c:pt idx="11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FORTPORTAL-KYENJOJO'!$C$9:$N$9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FORTPORTAL-KYENJOJO'!$C$59:$N$59</c:f>
              <c:numCache>
                <c:formatCode>0.0%</c:formatCode>
                <c:ptCount val="12"/>
                <c:pt idx="0">
                  <c:v>0.15966386554621848</c:v>
                </c:pt>
                <c:pt idx="1">
                  <c:v>0</c:v>
                </c:pt>
                <c:pt idx="2">
                  <c:v>0.30252100840336132</c:v>
                </c:pt>
                <c:pt idx="3">
                  <c:v>0.20168067226890757</c:v>
                </c:pt>
                <c:pt idx="4">
                  <c:v>1.050420168067227E-2</c:v>
                </c:pt>
                <c:pt idx="5">
                  <c:v>4.2016806722689079E-2</c:v>
                </c:pt>
                <c:pt idx="6">
                  <c:v>6.7226890756302518E-2</c:v>
                </c:pt>
                <c:pt idx="7">
                  <c:v>6.3025210084033615E-3</c:v>
                </c:pt>
                <c:pt idx="8">
                  <c:v>4.2016806722689074E-3</c:v>
                </c:pt>
                <c:pt idx="9">
                  <c:v>0</c:v>
                </c:pt>
                <c:pt idx="10">
                  <c:v>0.20378151260504201</c:v>
                </c:pt>
                <c:pt idx="11">
                  <c:v>2.1008403361344537E-3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FORTPORTAL-KYENJOJO'!$S$9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'29.07 FORTPORTAL-KYENJOJO'!$R$10:$R$21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FORTPORTAL-KYENJOJO'!$S$10:$S$21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10</c:v>
                </c:pt>
                <c:pt idx="3">
                  <c:v>9</c:v>
                </c:pt>
                <c:pt idx="4">
                  <c:v>4</c:v>
                </c:pt>
                <c:pt idx="5">
                  <c:v>9</c:v>
                </c:pt>
                <c:pt idx="6">
                  <c:v>5</c:v>
                </c:pt>
                <c:pt idx="7">
                  <c:v>2</c:v>
                </c:pt>
                <c:pt idx="8">
                  <c:v>5</c:v>
                </c:pt>
                <c:pt idx="9">
                  <c:v>8</c:v>
                </c:pt>
                <c:pt idx="10">
                  <c:v>8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'29.07 FORTPORTAL-KYENJOJO'!$T$9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'29.07 FORTPORTAL-KYENJOJO'!$R$10:$R$21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FORTPORTAL-KYENJOJO'!$T$10:$T$21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'29.07 FORTPORTAL-KYENJOJO'!$U$9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'29.07 FORTPORTAL-KYENJOJO'!$U$10:$U$21</c:f>
              <c:numCache>
                <c:formatCode>0</c:formatCode>
                <c:ptCount val="12"/>
                <c:pt idx="0">
                  <c:v>0</c:v>
                </c:pt>
                <c:pt idx="1">
                  <c:v>8</c:v>
                </c:pt>
                <c:pt idx="2">
                  <c:v>13</c:v>
                </c:pt>
                <c:pt idx="3">
                  <c:v>15</c:v>
                </c:pt>
                <c:pt idx="4">
                  <c:v>9</c:v>
                </c:pt>
                <c:pt idx="5">
                  <c:v>12</c:v>
                </c:pt>
                <c:pt idx="6">
                  <c:v>15</c:v>
                </c:pt>
                <c:pt idx="7">
                  <c:v>13</c:v>
                </c:pt>
                <c:pt idx="8">
                  <c:v>9</c:v>
                </c:pt>
                <c:pt idx="9">
                  <c:v>20</c:v>
                </c:pt>
                <c:pt idx="10">
                  <c:v>16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'29.07 FORTPORTAL-KYENJOJO'!$V$9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'29.07 FORTPORTAL-KYENJOJO'!$V$10:$V$21</c:f>
              <c:numCache>
                <c:formatCode>0</c:formatCode>
                <c:ptCount val="12"/>
                <c:pt idx="0">
                  <c:v>5</c:v>
                </c:pt>
                <c:pt idx="1">
                  <c:v>11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8</c:v>
                </c:pt>
                <c:pt idx="6">
                  <c:v>10</c:v>
                </c:pt>
                <c:pt idx="7">
                  <c:v>6</c:v>
                </c:pt>
                <c:pt idx="8">
                  <c:v>7</c:v>
                </c:pt>
                <c:pt idx="9">
                  <c:v>11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'29.07 FORTPORTAL-KYENJOJO'!$W$9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'29.07 FORTPORTAL-KYENJOJO'!$W$10:$W$21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'29.07 FORTPORTAL-KYENJOJO'!$X$9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'29.07 FORTPORTAL-KYENJOJO'!$X$10:$X$21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'29.07 FORTPORTAL-KYENJOJO'!$Y$9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FORTPORTAL-KYENJOJO'!$Y$10:$Y$21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1</c:v>
                </c:pt>
                <c:pt idx="10">
                  <c:v>4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'29.07 FORTPORTAL-KYENJOJO'!$Z$9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FORTPORTAL-KYENJOJO'!$Z$10:$Z$21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'29.07 FORTPORTAL-KYENJOJO'!$AA$9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FORTPORTAL-KYENJOJO'!$AA$10:$AA$21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'29.07 FORTPORTAL-KYENJOJO'!$AB$9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FORTPORTAL-KYENJOJO'!$AB$10:$AB$21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'29.07 FORTPORTAL-KYENJOJO'!$AC$9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FORTPORTAL-KYENJOJO'!$AC$10:$AC$21</c:f>
              <c:numCache>
                <c:formatCode>0</c:formatCode>
                <c:ptCount val="12"/>
                <c:pt idx="0">
                  <c:v>7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11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8</c:v>
                </c:pt>
                <c:pt idx="9">
                  <c:v>6</c:v>
                </c:pt>
                <c:pt idx="10">
                  <c:v>11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'29.07 FORTPORTAL-KYENJOJO'!$AD$9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FORTPORTAL-KYENJOJO'!$AD$10:$AD$21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05664"/>
        <c:axId val="86707200"/>
      </c:lineChart>
      <c:catAx>
        <c:axId val="8670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707200"/>
        <c:crosses val="autoZero"/>
        <c:auto val="1"/>
        <c:lblAlgn val="ctr"/>
        <c:lblOffset val="100"/>
        <c:noMultiLvlLbl val="0"/>
      </c:catAx>
      <c:valAx>
        <c:axId val="867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7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FORTPORTAL-KYENJOJO'!$C$9:$N$9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FORTPORTAL-KYENJOJO'!$C$60:$N$60</c:f>
              <c:numCache>
                <c:formatCode>0.00%</c:formatCode>
                <c:ptCount val="12"/>
                <c:pt idx="0">
                  <c:v>0.20052770448548812</c:v>
                </c:pt>
                <c:pt idx="1">
                  <c:v>0</c:v>
                </c:pt>
                <c:pt idx="2">
                  <c:v>0.37994722955145116</c:v>
                </c:pt>
                <c:pt idx="3">
                  <c:v>0.25329815303430081</c:v>
                </c:pt>
                <c:pt idx="4">
                  <c:v>1.3192612137203167E-2</c:v>
                </c:pt>
                <c:pt idx="5">
                  <c:v>5.2770448548812667E-2</c:v>
                </c:pt>
                <c:pt idx="6">
                  <c:v>8.4432717678100261E-2</c:v>
                </c:pt>
                <c:pt idx="7">
                  <c:v>7.9155672823219003E-3</c:v>
                </c:pt>
                <c:pt idx="8">
                  <c:v>5.2770448548812663E-3</c:v>
                </c:pt>
                <c:pt idx="9">
                  <c:v>0</c:v>
                </c:pt>
                <c:pt idx="11">
                  <c:v>2.6385224274406332E-3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KYENJOJO-FORTPORTAL'!$AE$9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KYENJOJO-FORTPORTAL'!$R$10:$R$21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KYENJOJO-FORTPORTAL'!$AE$10:$AE$21</c:f>
              <c:numCache>
                <c:formatCode>0</c:formatCode>
                <c:ptCount val="12"/>
                <c:pt idx="0">
                  <c:v>18</c:v>
                </c:pt>
                <c:pt idx="1">
                  <c:v>23</c:v>
                </c:pt>
                <c:pt idx="2">
                  <c:v>15</c:v>
                </c:pt>
                <c:pt idx="3">
                  <c:v>20</c:v>
                </c:pt>
                <c:pt idx="4">
                  <c:v>26</c:v>
                </c:pt>
                <c:pt idx="5">
                  <c:v>34</c:v>
                </c:pt>
                <c:pt idx="6">
                  <c:v>23</c:v>
                </c:pt>
                <c:pt idx="7">
                  <c:v>22</c:v>
                </c:pt>
                <c:pt idx="8">
                  <c:v>35</c:v>
                </c:pt>
                <c:pt idx="9">
                  <c:v>22</c:v>
                </c:pt>
                <c:pt idx="10">
                  <c:v>49</c:v>
                </c:pt>
                <c:pt idx="11">
                  <c:v>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'30.07 KYENJOJO-FORTPORTAL'!$AF$9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KYENJOJO-FORTPORTAL'!$R$10:$R$21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KYENJOJO-FORTPORTAL'!$AF$10:$AF$21</c:f>
              <c:numCache>
                <c:formatCode>0</c:formatCode>
                <c:ptCount val="12"/>
                <c:pt idx="0">
                  <c:v>18</c:v>
                </c:pt>
                <c:pt idx="1">
                  <c:v>35</c:v>
                </c:pt>
                <c:pt idx="2">
                  <c:v>17</c:v>
                </c:pt>
                <c:pt idx="3">
                  <c:v>20</c:v>
                </c:pt>
                <c:pt idx="4">
                  <c:v>26</c:v>
                </c:pt>
                <c:pt idx="5">
                  <c:v>37</c:v>
                </c:pt>
                <c:pt idx="6">
                  <c:v>31</c:v>
                </c:pt>
                <c:pt idx="7">
                  <c:v>29</c:v>
                </c:pt>
                <c:pt idx="8">
                  <c:v>45</c:v>
                </c:pt>
                <c:pt idx="9">
                  <c:v>26</c:v>
                </c:pt>
                <c:pt idx="10">
                  <c:v>56</c:v>
                </c:pt>
                <c:pt idx="11">
                  <c:v>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03456"/>
        <c:axId val="89204992"/>
      </c:lineChart>
      <c:catAx>
        <c:axId val="89203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04992"/>
        <c:crosses val="autoZero"/>
        <c:auto val="1"/>
        <c:lblAlgn val="ctr"/>
        <c:lblOffset val="100"/>
        <c:noMultiLvlLbl val="0"/>
      </c:catAx>
      <c:valAx>
        <c:axId val="89204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KYENJOJO-FORTPORTAL'!$C$9:$N$9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KYENJOJO-FORTPORTAL'!$C$59:$N$59</c:f>
              <c:numCache>
                <c:formatCode>0.0%</c:formatCode>
                <c:ptCount val="12"/>
                <c:pt idx="0">
                  <c:v>0.17424242424242425</c:v>
                </c:pt>
                <c:pt idx="1">
                  <c:v>0</c:v>
                </c:pt>
                <c:pt idx="2">
                  <c:v>0.25757575757575757</c:v>
                </c:pt>
                <c:pt idx="3">
                  <c:v>0.23737373737373738</c:v>
                </c:pt>
                <c:pt idx="4">
                  <c:v>1.0101010101010102E-2</c:v>
                </c:pt>
                <c:pt idx="5">
                  <c:v>4.5454545454545456E-2</c:v>
                </c:pt>
                <c:pt idx="6">
                  <c:v>6.5656565656565663E-2</c:v>
                </c:pt>
                <c:pt idx="7">
                  <c:v>7.575757575757576E-3</c:v>
                </c:pt>
                <c:pt idx="8">
                  <c:v>0</c:v>
                </c:pt>
                <c:pt idx="9">
                  <c:v>5.808080808080808E-2</c:v>
                </c:pt>
                <c:pt idx="10">
                  <c:v>0.14393939393939395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KYENJOJO-FORTPORTAL'!$S$9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KYENJOJO-FORTPORTAL'!$R$10:$R$21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KYENJOJO-FORTPORTAL'!$S$10:$S$21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12</c:v>
                </c:pt>
                <c:pt idx="6">
                  <c:v>7</c:v>
                </c:pt>
                <c:pt idx="7">
                  <c:v>3</c:v>
                </c:pt>
                <c:pt idx="8">
                  <c:v>8</c:v>
                </c:pt>
                <c:pt idx="9">
                  <c:v>3</c:v>
                </c:pt>
                <c:pt idx="10">
                  <c:v>9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'30.07 KYENJOJO-FORTPORTAL'!$T$9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KYENJOJO-FORTPORTAL'!$R$10:$R$21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KYENJOJO-FORTPORTAL'!$T$10:$T$21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'30.07 KYENJOJO-FORTPORTAL'!$U$9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KYENJOJO-FORTPORTAL'!$U$10:$U$21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6</c:v>
                </c:pt>
                <c:pt idx="3">
                  <c:v>5</c:v>
                </c:pt>
                <c:pt idx="4">
                  <c:v>10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17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'30.07 KYENJOJO-FORTPORTAL'!$V$9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KYENJOJO-FORTPORTAL'!$V$10:$V$21</c:f>
              <c:numCache>
                <c:formatCode>0</c:formatCode>
                <c:ptCount val="12"/>
                <c:pt idx="0">
                  <c:v>4</c:v>
                </c:pt>
                <c:pt idx="1">
                  <c:v>9</c:v>
                </c:pt>
                <c:pt idx="2">
                  <c:v>4</c:v>
                </c:pt>
                <c:pt idx="3">
                  <c:v>5</c:v>
                </c:pt>
                <c:pt idx="4">
                  <c:v>7</c:v>
                </c:pt>
                <c:pt idx="5">
                  <c:v>8</c:v>
                </c:pt>
                <c:pt idx="6">
                  <c:v>8</c:v>
                </c:pt>
                <c:pt idx="7">
                  <c:v>7</c:v>
                </c:pt>
                <c:pt idx="8">
                  <c:v>11</c:v>
                </c:pt>
                <c:pt idx="9">
                  <c:v>5</c:v>
                </c:pt>
                <c:pt idx="10">
                  <c:v>12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'30.07 KYENJOJO-FORTPORTAL'!$W$9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KYENJOJO-FORTPORTAL'!$W$10:$W$21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'30.07 KYENJOJO-FORTPORTAL'!$X$9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KYENJOJO-FORTPORTAL'!$X$10:$X$21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6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'30.07 KYENJOJO-FORTPORTAL'!$Y$9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KYENJOJO-FORTPORTAL'!$Y$10:$Y$21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'30.07 KYENJOJO-FORTPORTAL'!$Z$9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KYENJOJO-FORTPORTAL'!$Z$10:$Z$21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'30.07 KYENJOJO-FORTPORTAL'!$AA$9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KYENJOJO-FORTPORTAL'!$AA$10:$AA$21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'30.07 KYENJOJO-FORTPORTAL'!$AB$9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KYENJOJO-FORTPORTAL'!$AB$10:$AB$21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'30.07 KYENJOJO-FORTPORTAL'!$AC$9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KYENJOJO-FORTPORTAL'!$AC$10:$AC$21</c:f>
              <c:numCache>
                <c:formatCode>0</c:formatCode>
                <c:ptCount val="12"/>
                <c:pt idx="0">
                  <c:v>0</c:v>
                </c:pt>
                <c:pt idx="1">
                  <c:v>12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8</c:v>
                </c:pt>
                <c:pt idx="7">
                  <c:v>7</c:v>
                </c:pt>
                <c:pt idx="8">
                  <c:v>10</c:v>
                </c:pt>
                <c:pt idx="9">
                  <c:v>4</c:v>
                </c:pt>
                <c:pt idx="10">
                  <c:v>7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'30.07 KYENJOJO-FORTPORTAL'!$AD$9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KYENJOJO-FORTPORTAL'!$AD$10:$AD$21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287296"/>
        <c:axId val="89297280"/>
      </c:lineChart>
      <c:catAx>
        <c:axId val="8928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97280"/>
        <c:crosses val="autoZero"/>
        <c:auto val="1"/>
        <c:lblAlgn val="ctr"/>
        <c:lblOffset val="100"/>
        <c:noMultiLvlLbl val="0"/>
      </c:catAx>
      <c:valAx>
        <c:axId val="892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8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KYENJOJO-FORTPORTAL'!$C$9:$N$9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KYENJOJO-FORTPORTAL'!$C$60:$N$60</c:f>
              <c:numCache>
                <c:formatCode>0.00%</c:formatCode>
                <c:ptCount val="12"/>
                <c:pt idx="0">
                  <c:v>0.20353982300884957</c:v>
                </c:pt>
                <c:pt idx="1">
                  <c:v>0</c:v>
                </c:pt>
                <c:pt idx="2">
                  <c:v>0.30088495575221241</c:v>
                </c:pt>
                <c:pt idx="3">
                  <c:v>0.27728613569321536</c:v>
                </c:pt>
                <c:pt idx="4">
                  <c:v>1.1799410029498525E-2</c:v>
                </c:pt>
                <c:pt idx="5">
                  <c:v>5.3097345132743362E-2</c:v>
                </c:pt>
                <c:pt idx="6">
                  <c:v>7.6696165191740412E-2</c:v>
                </c:pt>
                <c:pt idx="7">
                  <c:v>8.8495575221238937E-3</c:v>
                </c:pt>
                <c:pt idx="8">
                  <c:v>0</c:v>
                </c:pt>
                <c:pt idx="9">
                  <c:v>6.7846607669616518E-2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FORTPORAL-KYENJOJO'!$AE$9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FORTPORAL-KYENJOJO'!$R$10:$R$21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FORTPORAL-KYENJOJO'!$AE$10:$AE$21</c:f>
              <c:numCache>
                <c:formatCode>0</c:formatCode>
                <c:ptCount val="12"/>
                <c:pt idx="0">
                  <c:v>29</c:v>
                </c:pt>
                <c:pt idx="1">
                  <c:v>19</c:v>
                </c:pt>
                <c:pt idx="2">
                  <c:v>26</c:v>
                </c:pt>
                <c:pt idx="3">
                  <c:v>41</c:v>
                </c:pt>
                <c:pt idx="4">
                  <c:v>37</c:v>
                </c:pt>
                <c:pt idx="5">
                  <c:v>26</c:v>
                </c:pt>
                <c:pt idx="6">
                  <c:v>26</c:v>
                </c:pt>
                <c:pt idx="7">
                  <c:v>22</c:v>
                </c:pt>
                <c:pt idx="8">
                  <c:v>23</c:v>
                </c:pt>
                <c:pt idx="9">
                  <c:v>25</c:v>
                </c:pt>
                <c:pt idx="10">
                  <c:v>36</c:v>
                </c:pt>
                <c:pt idx="11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'30.07 FORTPORAL-KYENJOJO'!$AF$9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FORTPORAL-KYENJOJO'!$R$10:$R$21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FORTPORAL-KYENJOJO'!$AF$10:$AF$21</c:f>
              <c:numCache>
                <c:formatCode>0</c:formatCode>
                <c:ptCount val="12"/>
                <c:pt idx="0">
                  <c:v>31</c:v>
                </c:pt>
                <c:pt idx="1">
                  <c:v>21</c:v>
                </c:pt>
                <c:pt idx="2">
                  <c:v>28</c:v>
                </c:pt>
                <c:pt idx="3">
                  <c:v>48</c:v>
                </c:pt>
                <c:pt idx="4">
                  <c:v>41</c:v>
                </c:pt>
                <c:pt idx="5">
                  <c:v>27</c:v>
                </c:pt>
                <c:pt idx="6">
                  <c:v>30</c:v>
                </c:pt>
                <c:pt idx="7">
                  <c:v>27</c:v>
                </c:pt>
                <c:pt idx="8">
                  <c:v>25</c:v>
                </c:pt>
                <c:pt idx="9">
                  <c:v>26</c:v>
                </c:pt>
                <c:pt idx="10">
                  <c:v>43</c:v>
                </c:pt>
                <c:pt idx="11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888832"/>
        <c:axId val="110890368"/>
      </c:lineChart>
      <c:catAx>
        <c:axId val="110888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0890368"/>
        <c:crosses val="autoZero"/>
        <c:auto val="1"/>
        <c:lblAlgn val="ctr"/>
        <c:lblOffset val="100"/>
        <c:noMultiLvlLbl val="0"/>
      </c:catAx>
      <c:valAx>
        <c:axId val="110890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088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FORTPORAL-KYENJOJO'!$C$9:$N$9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FORTPORAL-KYENJOJO'!$C$59:$N$59</c:f>
              <c:numCache>
                <c:formatCode>0.0%</c:formatCode>
                <c:ptCount val="12"/>
                <c:pt idx="0">
                  <c:v>0.14550264550264549</c:v>
                </c:pt>
                <c:pt idx="1">
                  <c:v>0</c:v>
                </c:pt>
                <c:pt idx="2">
                  <c:v>0.32539682539682541</c:v>
                </c:pt>
                <c:pt idx="3">
                  <c:v>0.24867724867724866</c:v>
                </c:pt>
                <c:pt idx="4">
                  <c:v>1.5873015873015872E-2</c:v>
                </c:pt>
                <c:pt idx="5">
                  <c:v>3.968253968253968E-2</c:v>
                </c:pt>
                <c:pt idx="6">
                  <c:v>0.10317460317460317</c:v>
                </c:pt>
                <c:pt idx="7">
                  <c:v>7.9365079365079361E-3</c:v>
                </c:pt>
                <c:pt idx="8">
                  <c:v>7.9365079365079361E-3</c:v>
                </c:pt>
                <c:pt idx="9">
                  <c:v>0</c:v>
                </c:pt>
                <c:pt idx="10">
                  <c:v>0.10317460317460317</c:v>
                </c:pt>
                <c:pt idx="11">
                  <c:v>2.6455026455026454E-3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FORTPORAL-KYENJOJO'!$S$9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FORTPORAL-KYENJOJO'!$R$10:$R$21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FORTPORAL-KYENJOJO'!$S$10:$S$21</c:f>
              <c:numCache>
                <c:formatCode>0</c:formatCode>
                <c:ptCount val="12"/>
                <c:pt idx="0">
                  <c:v>9</c:v>
                </c:pt>
                <c:pt idx="1">
                  <c:v>5</c:v>
                </c:pt>
                <c:pt idx="2">
                  <c:v>4</c:v>
                </c:pt>
                <c:pt idx="3">
                  <c:v>3</c:v>
                </c:pt>
                <c:pt idx="4">
                  <c:v>6</c:v>
                </c:pt>
                <c:pt idx="5">
                  <c:v>4</c:v>
                </c:pt>
                <c:pt idx="6">
                  <c:v>5</c:v>
                </c:pt>
                <c:pt idx="7">
                  <c:v>2</c:v>
                </c:pt>
                <c:pt idx="8">
                  <c:v>1</c:v>
                </c:pt>
                <c:pt idx="9">
                  <c:v>4</c:v>
                </c:pt>
                <c:pt idx="10">
                  <c:v>3</c:v>
                </c:pt>
                <c:pt idx="11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'30.07 FORTPORAL-KYENJOJO'!$T$9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FORTPORAL-KYENJOJO'!$R$10:$R$21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FORTPORAL-KYENJOJO'!$T$10:$T$21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'30.07 FORTPORAL-KYENJOJO'!$U$9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FORTPORAL-KYENJOJO'!$U$10:$U$21</c:f>
              <c:numCache>
                <c:formatCode>0</c:formatCode>
                <c:ptCount val="12"/>
                <c:pt idx="0">
                  <c:v>9</c:v>
                </c:pt>
                <c:pt idx="1">
                  <c:v>6</c:v>
                </c:pt>
                <c:pt idx="2">
                  <c:v>8</c:v>
                </c:pt>
                <c:pt idx="3">
                  <c:v>22</c:v>
                </c:pt>
                <c:pt idx="4">
                  <c:v>15</c:v>
                </c:pt>
                <c:pt idx="5">
                  <c:v>11</c:v>
                </c:pt>
                <c:pt idx="6">
                  <c:v>9</c:v>
                </c:pt>
                <c:pt idx="7">
                  <c:v>6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'30.07 FORTPORAL-KYENJOJO'!$V$9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FORTPORAL-KYENJOJO'!$V$10:$V$21</c:f>
              <c:numCache>
                <c:formatCode>0</c:formatCode>
                <c:ptCount val="12"/>
                <c:pt idx="0">
                  <c:v>9</c:v>
                </c:pt>
                <c:pt idx="1">
                  <c:v>6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9</c:v>
                </c:pt>
                <c:pt idx="6">
                  <c:v>6</c:v>
                </c:pt>
                <c:pt idx="7">
                  <c:v>8</c:v>
                </c:pt>
                <c:pt idx="8">
                  <c:v>4</c:v>
                </c:pt>
                <c:pt idx="9">
                  <c:v>9</c:v>
                </c:pt>
                <c:pt idx="10">
                  <c:v>10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'30.07 FORTPORAL-KYENJOJO'!$W$9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FORTPORAL-KYENJOJO'!$W$10:$W$21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'30.07 FORTPORAL-KYENJOJO'!$X$9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FORTPORAL-KYENJOJO'!$X$10:$X$21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0</c:v>
                </c:pt>
                <c:pt idx="10">
                  <c:v>5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'30.07 FORTPORAL-KYENJOJO'!$Y$9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FORTPORAL-KYENJOJO'!$Y$10:$Y$21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0</c:v>
                </c:pt>
                <c:pt idx="6">
                  <c:v>4</c:v>
                </c:pt>
                <c:pt idx="7">
                  <c:v>3</c:v>
                </c:pt>
                <c:pt idx="8">
                  <c:v>7</c:v>
                </c:pt>
                <c:pt idx="9">
                  <c:v>3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'30.07 FORTPORAL-KYENJOJO'!$Z$9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FORTPORAL-KYENJOJO'!$Z$10:$Z$21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'30.07 FORTPORAL-KYENJOJO'!$AA$9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FORTPORAL-KYENJOJO'!$AA$10:$AA$21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'30.07 FORTPORAL-KYENJOJO'!$AB$9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FORTPORAL-KYENJOJO'!$AB$10:$AB$21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'30.07 FORTPORAL-KYENJOJO'!$AC$9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FORTPORAL-KYENJOJO'!$AC$10:$AC$21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7</c:v>
                </c:pt>
                <c:pt idx="4">
                  <c:v>4</c:v>
                </c:pt>
                <c:pt idx="5">
                  <c:v>1</c:v>
                </c:pt>
                <c:pt idx="6">
                  <c:v>4</c:v>
                </c:pt>
                <c:pt idx="7">
                  <c:v>5</c:v>
                </c:pt>
                <c:pt idx="8">
                  <c:v>2</c:v>
                </c:pt>
                <c:pt idx="9">
                  <c:v>1</c:v>
                </c:pt>
                <c:pt idx="10">
                  <c:v>7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'30.07 FORTPORAL-KYENJOJO'!$AD$9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FORTPORAL-KYENJOJO'!$AD$10:$AD$21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40864"/>
        <c:axId val="111142400"/>
      </c:lineChart>
      <c:catAx>
        <c:axId val="11114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142400"/>
        <c:crosses val="autoZero"/>
        <c:auto val="1"/>
        <c:lblAlgn val="ctr"/>
        <c:lblOffset val="100"/>
        <c:noMultiLvlLbl val="0"/>
      </c:catAx>
      <c:valAx>
        <c:axId val="1111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1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FORTPORAL-KYENJOJO'!$C$9:$N$9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FORTPORAL-KYENJOJO'!$C$60:$N$60</c:f>
              <c:numCache>
                <c:formatCode>0.00%</c:formatCode>
                <c:ptCount val="12"/>
                <c:pt idx="0">
                  <c:v>0.16224188790560473</c:v>
                </c:pt>
                <c:pt idx="1">
                  <c:v>0</c:v>
                </c:pt>
                <c:pt idx="2">
                  <c:v>0.36283185840707965</c:v>
                </c:pt>
                <c:pt idx="3">
                  <c:v>0.27728613569321536</c:v>
                </c:pt>
                <c:pt idx="4">
                  <c:v>1.7699115044247787E-2</c:v>
                </c:pt>
                <c:pt idx="5">
                  <c:v>4.4247787610619468E-2</c:v>
                </c:pt>
                <c:pt idx="6">
                  <c:v>0.11504424778761062</c:v>
                </c:pt>
                <c:pt idx="7">
                  <c:v>8.8495575221238937E-3</c:v>
                </c:pt>
                <c:pt idx="8">
                  <c:v>8.8495575221238937E-3</c:v>
                </c:pt>
                <c:pt idx="9">
                  <c:v>0</c:v>
                </c:pt>
                <c:pt idx="11">
                  <c:v>2.9498525073746312E-3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KYENJOJO-FORTPORTAL'!$AE$9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KYENJOJO-FORTPORTAL'!$R$10:$R$21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KYENJOJO-FORTPORTAL'!$AE$10:$AE$21</c:f>
              <c:numCache>
                <c:formatCode>0</c:formatCode>
                <c:ptCount val="12"/>
                <c:pt idx="0">
                  <c:v>22</c:v>
                </c:pt>
                <c:pt idx="1">
                  <c:v>17</c:v>
                </c:pt>
                <c:pt idx="2">
                  <c:v>29</c:v>
                </c:pt>
                <c:pt idx="3">
                  <c:v>24</c:v>
                </c:pt>
                <c:pt idx="4">
                  <c:v>33</c:v>
                </c:pt>
                <c:pt idx="5">
                  <c:v>21</c:v>
                </c:pt>
                <c:pt idx="6">
                  <c:v>22</c:v>
                </c:pt>
                <c:pt idx="7">
                  <c:v>31</c:v>
                </c:pt>
                <c:pt idx="8">
                  <c:v>28</c:v>
                </c:pt>
                <c:pt idx="9">
                  <c:v>36</c:v>
                </c:pt>
                <c:pt idx="10">
                  <c:v>62</c:v>
                </c:pt>
                <c:pt idx="11">
                  <c:v>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'31.07 KYENJOJO-FORTPORTAL'!$AF$9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KYENJOJO-FORTPORTAL'!$R$10:$R$21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KYENJOJO-FORTPORTAL'!$AF$10:$AF$21</c:f>
              <c:numCache>
                <c:formatCode>0</c:formatCode>
                <c:ptCount val="12"/>
                <c:pt idx="0">
                  <c:v>27</c:v>
                </c:pt>
                <c:pt idx="1">
                  <c:v>19</c:v>
                </c:pt>
                <c:pt idx="2">
                  <c:v>36</c:v>
                </c:pt>
                <c:pt idx="3">
                  <c:v>34</c:v>
                </c:pt>
                <c:pt idx="4">
                  <c:v>42</c:v>
                </c:pt>
                <c:pt idx="5">
                  <c:v>27</c:v>
                </c:pt>
                <c:pt idx="6">
                  <c:v>27</c:v>
                </c:pt>
                <c:pt idx="7">
                  <c:v>38</c:v>
                </c:pt>
                <c:pt idx="8">
                  <c:v>33</c:v>
                </c:pt>
                <c:pt idx="9">
                  <c:v>41</c:v>
                </c:pt>
                <c:pt idx="10">
                  <c:v>74</c:v>
                </c:pt>
                <c:pt idx="11">
                  <c:v>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352832"/>
        <c:axId val="111403776"/>
      </c:lineChart>
      <c:catAx>
        <c:axId val="111352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403776"/>
        <c:crosses val="autoZero"/>
        <c:auto val="1"/>
        <c:lblAlgn val="ctr"/>
        <c:lblOffset val="100"/>
        <c:noMultiLvlLbl val="0"/>
      </c:catAx>
      <c:valAx>
        <c:axId val="111403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35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KYENJOJO-FORTPORTAL'!$C$9:$N$9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KYENJOJO-FORTPORTAL'!$C$59:$N$59</c:f>
              <c:numCache>
                <c:formatCode>0.0%</c:formatCode>
                <c:ptCount val="12"/>
                <c:pt idx="0">
                  <c:v>0.1193058568329718</c:v>
                </c:pt>
                <c:pt idx="1">
                  <c:v>0</c:v>
                </c:pt>
                <c:pt idx="2">
                  <c:v>0.26681127982646419</c:v>
                </c:pt>
                <c:pt idx="3">
                  <c:v>0.2017353579175705</c:v>
                </c:pt>
                <c:pt idx="4">
                  <c:v>1.0845986984815618E-2</c:v>
                </c:pt>
                <c:pt idx="5">
                  <c:v>4.3383947939262472E-2</c:v>
                </c:pt>
                <c:pt idx="6">
                  <c:v>8.6767895878524945E-2</c:v>
                </c:pt>
                <c:pt idx="7">
                  <c:v>3.0368763557483729E-2</c:v>
                </c:pt>
                <c:pt idx="8">
                  <c:v>0</c:v>
                </c:pt>
                <c:pt idx="9">
                  <c:v>6.9414316702819959E-2</c:v>
                </c:pt>
                <c:pt idx="10">
                  <c:v>0.17136659436008678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KYENJOJO-FORTPORTAL'!$S$9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'31.07 KYENJOJO-FORTPORTAL'!$R$10:$R$21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KYENJOJO-FORTPORTAL'!$S$10:$S$21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2</c:v>
                </c:pt>
                <c:pt idx="6">
                  <c:v>2</c:v>
                </c:pt>
                <c:pt idx="7">
                  <c:v>7</c:v>
                </c:pt>
                <c:pt idx="8">
                  <c:v>4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'31.07 KYENJOJO-FORTPORTAL'!$T$9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'31.07 KYENJOJO-FORTPORTAL'!$R$10:$R$21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KYENJOJO-FORTPORTAL'!$T$10:$T$21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'31.07 KYENJOJO-FORTPORTAL'!$U$9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'31.07 KYENJOJO-FORTPORTAL'!$U$10:$U$21</c:f>
              <c:numCache>
                <c:formatCode>0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11</c:v>
                </c:pt>
                <c:pt idx="3">
                  <c:v>9</c:v>
                </c:pt>
                <c:pt idx="4">
                  <c:v>15</c:v>
                </c:pt>
                <c:pt idx="5">
                  <c:v>3</c:v>
                </c:pt>
                <c:pt idx="6">
                  <c:v>10</c:v>
                </c:pt>
                <c:pt idx="7">
                  <c:v>6</c:v>
                </c:pt>
                <c:pt idx="8">
                  <c:v>8</c:v>
                </c:pt>
                <c:pt idx="9">
                  <c:v>11</c:v>
                </c:pt>
                <c:pt idx="10">
                  <c:v>23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'31.07 KYENJOJO-FORTPORTAL'!$V$9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'31.07 KYENJOJO-FORTPORTAL'!$V$10:$V$21</c:f>
              <c:numCache>
                <c:formatCode>0</c:formatCode>
                <c:ptCount val="12"/>
                <c:pt idx="0">
                  <c:v>6</c:v>
                </c:pt>
                <c:pt idx="1">
                  <c:v>3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9</c:v>
                </c:pt>
                <c:pt idx="6">
                  <c:v>5</c:v>
                </c:pt>
                <c:pt idx="7">
                  <c:v>10</c:v>
                </c:pt>
                <c:pt idx="8">
                  <c:v>7</c:v>
                </c:pt>
                <c:pt idx="9">
                  <c:v>9</c:v>
                </c:pt>
                <c:pt idx="10">
                  <c:v>12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'31.07 KYENJOJO-FORTPORTAL'!$W$9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'31.07 KYENJOJO-FORTPORTAL'!$W$10:$W$21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'31.07 KYENJOJO-FORTPORTAL'!$X$9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'31.07 KYENJOJO-FORTPORTAL'!$X$10:$X$21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0</c:v>
                </c:pt>
                <c:pt idx="7">
                  <c:v>3</c:v>
                </c:pt>
                <c:pt idx="8">
                  <c:v>2</c:v>
                </c:pt>
                <c:pt idx="9">
                  <c:v>0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'31.07 KYENJOJO-FORTPORTAL'!$Y$9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KYENJOJO-FORTPORTAL'!$Y$10:$Y$21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5</c:v>
                </c:pt>
                <c:pt idx="7">
                  <c:v>4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'31.07 KYENJOJO-FORTPORTAL'!$Z$9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KYENJOJO-FORTPORTAL'!$Z$10:$Z$21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4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'31.07 KYENJOJO-FORTPORTAL'!$AA$9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KYENJOJO-FORTPORTAL'!$AA$10:$AA$21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'31.07 KYENJOJO-FORTPORTAL'!$AB$9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KYENJOJO-FORTPORTAL'!$AB$10:$AB$21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4</c:v>
                </c:pt>
                <c:pt idx="9">
                  <c:v>5</c:v>
                </c:pt>
                <c:pt idx="10">
                  <c:v>8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'31.07 KYENJOJO-FORTPORTAL'!$AC$9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KYENJOJO-FORTPORTAL'!$AC$10:$AC$21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7</c:v>
                </c:pt>
                <c:pt idx="3">
                  <c:v>10</c:v>
                </c:pt>
                <c:pt idx="4">
                  <c:v>9</c:v>
                </c:pt>
                <c:pt idx="5">
                  <c:v>6</c:v>
                </c:pt>
                <c:pt idx="6">
                  <c:v>5</c:v>
                </c:pt>
                <c:pt idx="7">
                  <c:v>7</c:v>
                </c:pt>
                <c:pt idx="8">
                  <c:v>5</c:v>
                </c:pt>
                <c:pt idx="9">
                  <c:v>5</c:v>
                </c:pt>
                <c:pt idx="10">
                  <c:v>12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'31.07 KYENJOJO-FORTPORTAL'!$AD$9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KYENJOJO-FORTPORTAL'!$AD$10:$AD$21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752320"/>
        <c:axId val="111753856"/>
      </c:lineChart>
      <c:catAx>
        <c:axId val="11175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753856"/>
        <c:crosses val="autoZero"/>
        <c:auto val="1"/>
        <c:lblAlgn val="ctr"/>
        <c:lblOffset val="100"/>
        <c:noMultiLvlLbl val="0"/>
      </c:catAx>
      <c:valAx>
        <c:axId val="11175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75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KYENJOJO-FORTPORTAL'!$C$9:$N$9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KYENJOJO-FORTPORTAL'!$C$60:$N$60</c:f>
              <c:numCache>
                <c:formatCode>0.00%</c:formatCode>
                <c:ptCount val="12"/>
                <c:pt idx="0">
                  <c:v>0.14397905759162305</c:v>
                </c:pt>
                <c:pt idx="1">
                  <c:v>0</c:v>
                </c:pt>
                <c:pt idx="2">
                  <c:v>0.3219895287958115</c:v>
                </c:pt>
                <c:pt idx="3">
                  <c:v>0.24345549738219896</c:v>
                </c:pt>
                <c:pt idx="4">
                  <c:v>1.3089005235602094E-2</c:v>
                </c:pt>
                <c:pt idx="5">
                  <c:v>5.2356020942408377E-2</c:v>
                </c:pt>
                <c:pt idx="6">
                  <c:v>0.10471204188481675</c:v>
                </c:pt>
                <c:pt idx="7">
                  <c:v>3.6649214659685861E-2</c:v>
                </c:pt>
                <c:pt idx="8">
                  <c:v>0</c:v>
                </c:pt>
                <c:pt idx="9">
                  <c:v>8.3769633507853408E-2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FORTPORTAL-KYENJOJO'!$AE$9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FORTPORTAL-KYENJOJO'!$R$10:$R$21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FORTPORTAL-KYENJOJO'!$AE$10:$AE$21</c:f>
              <c:numCache>
                <c:formatCode>0</c:formatCode>
                <c:ptCount val="12"/>
                <c:pt idx="0">
                  <c:v>23</c:v>
                </c:pt>
                <c:pt idx="1">
                  <c:v>29</c:v>
                </c:pt>
                <c:pt idx="2">
                  <c:v>29</c:v>
                </c:pt>
                <c:pt idx="3">
                  <c:v>42</c:v>
                </c:pt>
                <c:pt idx="4">
                  <c:v>32</c:v>
                </c:pt>
                <c:pt idx="5">
                  <c:v>29</c:v>
                </c:pt>
                <c:pt idx="6">
                  <c:v>29</c:v>
                </c:pt>
                <c:pt idx="7">
                  <c:v>34</c:v>
                </c:pt>
                <c:pt idx="8">
                  <c:v>30</c:v>
                </c:pt>
                <c:pt idx="9">
                  <c:v>37</c:v>
                </c:pt>
                <c:pt idx="10">
                  <c:v>36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'31.07 FORTPORTAL-KYENJOJO'!$AF$9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FORTPORTAL-KYENJOJO'!$R$10:$R$21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FORTPORTAL-KYENJOJO'!$AF$10:$AF$21</c:f>
              <c:numCache>
                <c:formatCode>0</c:formatCode>
                <c:ptCount val="12"/>
                <c:pt idx="0">
                  <c:v>30</c:v>
                </c:pt>
                <c:pt idx="1">
                  <c:v>37</c:v>
                </c:pt>
                <c:pt idx="2">
                  <c:v>34</c:v>
                </c:pt>
                <c:pt idx="3">
                  <c:v>50</c:v>
                </c:pt>
                <c:pt idx="4">
                  <c:v>46</c:v>
                </c:pt>
                <c:pt idx="5">
                  <c:v>39</c:v>
                </c:pt>
                <c:pt idx="6">
                  <c:v>36</c:v>
                </c:pt>
                <c:pt idx="7">
                  <c:v>48</c:v>
                </c:pt>
                <c:pt idx="8">
                  <c:v>39</c:v>
                </c:pt>
                <c:pt idx="9">
                  <c:v>51</c:v>
                </c:pt>
                <c:pt idx="10">
                  <c:v>45</c:v>
                </c:pt>
                <c:pt idx="11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841664"/>
        <c:axId val="111843200"/>
      </c:lineChart>
      <c:catAx>
        <c:axId val="11184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843200"/>
        <c:crosses val="autoZero"/>
        <c:auto val="1"/>
        <c:lblAlgn val="ctr"/>
        <c:lblOffset val="100"/>
        <c:noMultiLvlLbl val="0"/>
      </c:catAx>
      <c:valAx>
        <c:axId val="11184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FORTPORTAL-KYENJOJO'!$C$9:$N$9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FORTPORTAL-KYENJOJO'!$C$59:$N$59</c:f>
              <c:numCache>
                <c:formatCode>0.0%</c:formatCode>
                <c:ptCount val="12"/>
                <c:pt idx="0">
                  <c:v>0.11764705882352941</c:v>
                </c:pt>
                <c:pt idx="1">
                  <c:v>0</c:v>
                </c:pt>
                <c:pt idx="2">
                  <c:v>0.2434077079107505</c:v>
                </c:pt>
                <c:pt idx="3">
                  <c:v>0.18661257606490872</c:v>
                </c:pt>
                <c:pt idx="4">
                  <c:v>4.0567951318458417E-3</c:v>
                </c:pt>
                <c:pt idx="5">
                  <c:v>3.4482758620689655E-2</c:v>
                </c:pt>
                <c:pt idx="6">
                  <c:v>9.7363083164300201E-2</c:v>
                </c:pt>
                <c:pt idx="7">
                  <c:v>1.8255578093306288E-2</c:v>
                </c:pt>
                <c:pt idx="8">
                  <c:v>2.0283975659229209E-3</c:v>
                </c:pt>
                <c:pt idx="9">
                  <c:v>6.4908722109533468E-2</c:v>
                </c:pt>
                <c:pt idx="10">
                  <c:v>0.22920892494929007</c:v>
                </c:pt>
                <c:pt idx="11">
                  <c:v>2.0283975659229209E-3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FORTPORTAL-KYENJOJO'!$C$9:$N$9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FORTPORTAL-KYENJOJO'!$C$60:$N$60</c:f>
              <c:numCache>
                <c:formatCode>0.00%</c:formatCode>
                <c:ptCount val="12"/>
                <c:pt idx="0">
                  <c:v>0.15263157894736842</c:v>
                </c:pt>
                <c:pt idx="1">
                  <c:v>0</c:v>
                </c:pt>
                <c:pt idx="2">
                  <c:v>0.31578947368421051</c:v>
                </c:pt>
                <c:pt idx="3">
                  <c:v>0.24210526315789474</c:v>
                </c:pt>
                <c:pt idx="4">
                  <c:v>5.263157894736842E-3</c:v>
                </c:pt>
                <c:pt idx="5">
                  <c:v>4.4736842105263158E-2</c:v>
                </c:pt>
                <c:pt idx="6">
                  <c:v>0.12631578947368421</c:v>
                </c:pt>
                <c:pt idx="7">
                  <c:v>2.368421052631579E-2</c:v>
                </c:pt>
                <c:pt idx="8">
                  <c:v>2.631578947368421E-3</c:v>
                </c:pt>
                <c:pt idx="9">
                  <c:v>8.4210526315789472E-2</c:v>
                </c:pt>
                <c:pt idx="11">
                  <c:v>2.631578947368421E-3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KYENJOJO-FORTPORTAL-24h'!$AE$9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KYENJOJO-FORTPORTAL-24h'!$R$10:$R$33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KYENJOJO-FORTPORTAL-24h'!$AE$10:$AE$33</c:f>
              <c:numCache>
                <c:formatCode>0</c:formatCode>
                <c:ptCount val="24"/>
                <c:pt idx="0">
                  <c:v>42</c:v>
                </c:pt>
                <c:pt idx="1">
                  <c:v>18</c:v>
                </c:pt>
                <c:pt idx="2">
                  <c:v>28</c:v>
                </c:pt>
                <c:pt idx="3">
                  <c:v>37</c:v>
                </c:pt>
                <c:pt idx="4">
                  <c:v>27</c:v>
                </c:pt>
                <c:pt idx="5">
                  <c:v>43</c:v>
                </c:pt>
                <c:pt idx="6">
                  <c:v>33</c:v>
                </c:pt>
                <c:pt idx="7">
                  <c:v>35</c:v>
                </c:pt>
                <c:pt idx="8">
                  <c:v>41</c:v>
                </c:pt>
                <c:pt idx="9">
                  <c:v>44</c:v>
                </c:pt>
                <c:pt idx="10">
                  <c:v>26</c:v>
                </c:pt>
                <c:pt idx="11">
                  <c:v>21</c:v>
                </c:pt>
                <c:pt idx="12">
                  <c:v>10</c:v>
                </c:pt>
                <c:pt idx="13">
                  <c:v>26</c:v>
                </c:pt>
                <c:pt idx="14">
                  <c:v>31</c:v>
                </c:pt>
                <c:pt idx="15">
                  <c:v>25</c:v>
                </c:pt>
                <c:pt idx="16">
                  <c:v>18</c:v>
                </c:pt>
                <c:pt idx="17">
                  <c:v>19</c:v>
                </c:pt>
                <c:pt idx="18">
                  <c:v>19</c:v>
                </c:pt>
                <c:pt idx="19">
                  <c:v>10</c:v>
                </c:pt>
                <c:pt idx="20">
                  <c:v>11</c:v>
                </c:pt>
                <c:pt idx="21">
                  <c:v>0</c:v>
                </c:pt>
                <c:pt idx="22">
                  <c:v>0</c:v>
                </c:pt>
                <c:pt idx="23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'01.08 KYENJOJO-FORTPORTAL-24h'!$AF$9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KYENJOJO-FORTPORTAL-24h'!$R$10:$R$33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KYENJOJO-FORTPORTAL-24h'!$AF$10:$AF$33</c:f>
              <c:numCache>
                <c:formatCode>0</c:formatCode>
                <c:ptCount val="24"/>
                <c:pt idx="0">
                  <c:v>53</c:v>
                </c:pt>
                <c:pt idx="1">
                  <c:v>23</c:v>
                </c:pt>
                <c:pt idx="2">
                  <c:v>35</c:v>
                </c:pt>
                <c:pt idx="3">
                  <c:v>39</c:v>
                </c:pt>
                <c:pt idx="4">
                  <c:v>34</c:v>
                </c:pt>
                <c:pt idx="5">
                  <c:v>53</c:v>
                </c:pt>
                <c:pt idx="6">
                  <c:v>41</c:v>
                </c:pt>
                <c:pt idx="7">
                  <c:v>46</c:v>
                </c:pt>
                <c:pt idx="8">
                  <c:v>50</c:v>
                </c:pt>
                <c:pt idx="9">
                  <c:v>49</c:v>
                </c:pt>
                <c:pt idx="10">
                  <c:v>26</c:v>
                </c:pt>
                <c:pt idx="11">
                  <c:v>23</c:v>
                </c:pt>
                <c:pt idx="12">
                  <c:v>11</c:v>
                </c:pt>
                <c:pt idx="13">
                  <c:v>26</c:v>
                </c:pt>
                <c:pt idx="14">
                  <c:v>31</c:v>
                </c:pt>
                <c:pt idx="15">
                  <c:v>25</c:v>
                </c:pt>
                <c:pt idx="16">
                  <c:v>18</c:v>
                </c:pt>
                <c:pt idx="17">
                  <c:v>19</c:v>
                </c:pt>
                <c:pt idx="18">
                  <c:v>19</c:v>
                </c:pt>
                <c:pt idx="19">
                  <c:v>10</c:v>
                </c:pt>
                <c:pt idx="20">
                  <c:v>11</c:v>
                </c:pt>
                <c:pt idx="21">
                  <c:v>0</c:v>
                </c:pt>
                <c:pt idx="22">
                  <c:v>0</c:v>
                </c:pt>
                <c:pt idx="23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521792"/>
        <c:axId val="113522944"/>
      </c:lineChart>
      <c:catAx>
        <c:axId val="11352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522944"/>
        <c:crosses val="autoZero"/>
        <c:auto val="1"/>
        <c:lblAlgn val="ctr"/>
        <c:lblOffset val="100"/>
        <c:noMultiLvlLbl val="0"/>
      </c:catAx>
      <c:valAx>
        <c:axId val="113522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5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KYENJOJO-FORTPORTAL-24h'!$C$9:$N$9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KYENJOJO-FORTPORTAL-24h'!$C$107:$N$107</c:f>
              <c:numCache>
                <c:formatCode>0.0%</c:formatCode>
                <c:ptCount val="12"/>
                <c:pt idx="0">
                  <c:v>0.15030674846625766</c:v>
                </c:pt>
                <c:pt idx="1">
                  <c:v>0</c:v>
                </c:pt>
                <c:pt idx="2">
                  <c:v>0.17638036809815952</c:v>
                </c:pt>
                <c:pt idx="3">
                  <c:v>0.17024539877300612</c:v>
                </c:pt>
                <c:pt idx="4">
                  <c:v>6.1349693251533744E-3</c:v>
                </c:pt>
                <c:pt idx="5">
                  <c:v>3.9877300613496931E-2</c:v>
                </c:pt>
                <c:pt idx="6">
                  <c:v>0.19785276073619631</c:v>
                </c:pt>
                <c:pt idx="7">
                  <c:v>3.0674846625766871E-2</c:v>
                </c:pt>
                <c:pt idx="8">
                  <c:v>6.1349693251533744E-3</c:v>
                </c:pt>
                <c:pt idx="9">
                  <c:v>0.10276073619631902</c:v>
                </c:pt>
                <c:pt idx="10">
                  <c:v>0.1196319018404908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KYENJOJO-FORTPORTAL-24h'!$C$9:$N$9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KYENJOJO-FORTPORTAL-24h'!$C$108:$N$108</c:f>
              <c:numCache>
                <c:formatCode>0.00%</c:formatCode>
                <c:ptCount val="12"/>
                <c:pt idx="0">
                  <c:v>0.17073170731707318</c:v>
                </c:pt>
                <c:pt idx="1">
                  <c:v>0</c:v>
                </c:pt>
                <c:pt idx="2">
                  <c:v>0.20034843205574912</c:v>
                </c:pt>
                <c:pt idx="3">
                  <c:v>0.19337979094076654</c:v>
                </c:pt>
                <c:pt idx="4">
                  <c:v>6.9686411149825784E-3</c:v>
                </c:pt>
                <c:pt idx="5">
                  <c:v>4.5296167247386762E-2</c:v>
                </c:pt>
                <c:pt idx="6">
                  <c:v>0.22473867595818817</c:v>
                </c:pt>
                <c:pt idx="7">
                  <c:v>3.484320557491289E-2</c:v>
                </c:pt>
                <c:pt idx="8">
                  <c:v>6.9686411149825784E-3</c:v>
                </c:pt>
                <c:pt idx="9">
                  <c:v>0.11672473867595819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FORTPORTAL-KYENJOJO 2-24h'!$AE$9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FORTPORTAL-KYENJOJO 2-24h'!$R$10:$R$33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FORTPORTAL-KYENJOJO 2-24h'!$AE$10:$AE$33</c:f>
              <c:numCache>
                <c:formatCode>0</c:formatCode>
                <c:ptCount val="24"/>
                <c:pt idx="0">
                  <c:v>29</c:v>
                </c:pt>
                <c:pt idx="1">
                  <c:v>35</c:v>
                </c:pt>
                <c:pt idx="2">
                  <c:v>35</c:v>
                </c:pt>
                <c:pt idx="3">
                  <c:v>50</c:v>
                </c:pt>
                <c:pt idx="4">
                  <c:v>28</c:v>
                </c:pt>
                <c:pt idx="5">
                  <c:v>39</c:v>
                </c:pt>
                <c:pt idx="6">
                  <c:v>25</c:v>
                </c:pt>
                <c:pt idx="7">
                  <c:v>40</c:v>
                </c:pt>
                <c:pt idx="8">
                  <c:v>34</c:v>
                </c:pt>
                <c:pt idx="9">
                  <c:v>22</c:v>
                </c:pt>
                <c:pt idx="10">
                  <c:v>19</c:v>
                </c:pt>
                <c:pt idx="11">
                  <c:v>14</c:v>
                </c:pt>
                <c:pt idx="12">
                  <c:v>11</c:v>
                </c:pt>
                <c:pt idx="13">
                  <c:v>19</c:v>
                </c:pt>
                <c:pt idx="14">
                  <c:v>11</c:v>
                </c:pt>
                <c:pt idx="15">
                  <c:v>20</c:v>
                </c:pt>
                <c:pt idx="16">
                  <c:v>16</c:v>
                </c:pt>
                <c:pt idx="17">
                  <c:v>13</c:v>
                </c:pt>
                <c:pt idx="18">
                  <c:v>12</c:v>
                </c:pt>
                <c:pt idx="19">
                  <c:v>20</c:v>
                </c:pt>
                <c:pt idx="20">
                  <c:v>2</c:v>
                </c:pt>
                <c:pt idx="21">
                  <c:v>5</c:v>
                </c:pt>
                <c:pt idx="22">
                  <c:v>12</c:v>
                </c:pt>
                <c:pt idx="23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'01.08 FORTPORTAL-KYENJOJO 2-24h'!$AF$9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FORTPORTAL-KYENJOJO 2-24h'!$R$10:$R$33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FORTPORTAL-KYENJOJO 2-24h'!$AF$10:$AF$33</c:f>
              <c:numCache>
                <c:formatCode>0</c:formatCode>
                <c:ptCount val="24"/>
                <c:pt idx="0">
                  <c:v>37</c:v>
                </c:pt>
                <c:pt idx="1">
                  <c:v>40</c:v>
                </c:pt>
                <c:pt idx="2">
                  <c:v>42</c:v>
                </c:pt>
                <c:pt idx="3">
                  <c:v>56</c:v>
                </c:pt>
                <c:pt idx="4">
                  <c:v>32</c:v>
                </c:pt>
                <c:pt idx="5">
                  <c:v>44</c:v>
                </c:pt>
                <c:pt idx="6">
                  <c:v>31</c:v>
                </c:pt>
                <c:pt idx="7">
                  <c:v>47</c:v>
                </c:pt>
                <c:pt idx="8">
                  <c:v>38</c:v>
                </c:pt>
                <c:pt idx="9">
                  <c:v>26</c:v>
                </c:pt>
                <c:pt idx="10">
                  <c:v>20</c:v>
                </c:pt>
                <c:pt idx="11">
                  <c:v>15</c:v>
                </c:pt>
                <c:pt idx="12">
                  <c:v>11</c:v>
                </c:pt>
                <c:pt idx="13">
                  <c:v>19</c:v>
                </c:pt>
                <c:pt idx="14">
                  <c:v>11</c:v>
                </c:pt>
                <c:pt idx="15">
                  <c:v>20</c:v>
                </c:pt>
                <c:pt idx="16">
                  <c:v>16</c:v>
                </c:pt>
                <c:pt idx="17">
                  <c:v>13</c:v>
                </c:pt>
                <c:pt idx="18">
                  <c:v>12</c:v>
                </c:pt>
                <c:pt idx="19">
                  <c:v>20</c:v>
                </c:pt>
                <c:pt idx="20">
                  <c:v>2</c:v>
                </c:pt>
                <c:pt idx="21">
                  <c:v>5</c:v>
                </c:pt>
                <c:pt idx="22">
                  <c:v>12</c:v>
                </c:pt>
                <c:pt idx="23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FORTPORTAL-KYENJOJO 2-24h'!$C$9:$N$9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FORTPORTAL-KYENJOJO 2-24h'!$C$107:$N$107</c:f>
              <c:numCache>
                <c:formatCode>0.0%</c:formatCode>
                <c:ptCount val="12"/>
                <c:pt idx="0">
                  <c:v>0.14558058925476602</c:v>
                </c:pt>
                <c:pt idx="1">
                  <c:v>0</c:v>
                </c:pt>
                <c:pt idx="2">
                  <c:v>0.21317157712305027</c:v>
                </c:pt>
                <c:pt idx="3">
                  <c:v>0.20797227036395147</c:v>
                </c:pt>
                <c:pt idx="4">
                  <c:v>3.4662045060658577E-3</c:v>
                </c:pt>
                <c:pt idx="5">
                  <c:v>4.5060658578856154E-2</c:v>
                </c:pt>
                <c:pt idx="6">
                  <c:v>0.14904679376083188</c:v>
                </c:pt>
                <c:pt idx="7">
                  <c:v>2.5996533795493933E-2</c:v>
                </c:pt>
                <c:pt idx="8">
                  <c:v>1.5597920277296361E-2</c:v>
                </c:pt>
                <c:pt idx="9">
                  <c:v>9.0121317157712308E-2</c:v>
                </c:pt>
                <c:pt idx="10">
                  <c:v>0.10398613518197573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FORTPORTAL-KYENJOJO 2-24h'!$C$9:$N$9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FORTPORTAL-KYENJOJO 2-24h'!$C$108:$N$108</c:f>
              <c:numCache>
                <c:formatCode>0.00%</c:formatCode>
                <c:ptCount val="12"/>
                <c:pt idx="0">
                  <c:v>0.16247582205029013</c:v>
                </c:pt>
                <c:pt idx="1">
                  <c:v>0</c:v>
                </c:pt>
                <c:pt idx="2">
                  <c:v>0.23791102514506771</c:v>
                </c:pt>
                <c:pt idx="3">
                  <c:v>0.23210831721470018</c:v>
                </c:pt>
                <c:pt idx="4">
                  <c:v>3.8684719535783366E-3</c:v>
                </c:pt>
                <c:pt idx="5">
                  <c:v>5.0290135396518373E-2</c:v>
                </c:pt>
                <c:pt idx="6">
                  <c:v>0.16634429400386846</c:v>
                </c:pt>
                <c:pt idx="7">
                  <c:v>2.9013539651837523E-2</c:v>
                </c:pt>
                <c:pt idx="8">
                  <c:v>1.7408123791102514E-2</c:v>
                </c:pt>
                <c:pt idx="9">
                  <c:v>0.10058027079303675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KYENJOJO-FORTPORTAL'!$AE$9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KYENJOJO-FORTPORTAL'!$R$10:$R$21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KYENJOJO-FORTPORTAL'!$AE$10:$AE$21</c:f>
              <c:numCache>
                <c:formatCode>0</c:formatCode>
                <c:ptCount val="12"/>
                <c:pt idx="0">
                  <c:v>31</c:v>
                </c:pt>
                <c:pt idx="1">
                  <c:v>20</c:v>
                </c:pt>
                <c:pt idx="2">
                  <c:v>32</c:v>
                </c:pt>
                <c:pt idx="3">
                  <c:v>43</c:v>
                </c:pt>
                <c:pt idx="4">
                  <c:v>37</c:v>
                </c:pt>
                <c:pt idx="5">
                  <c:v>27</c:v>
                </c:pt>
                <c:pt idx="6">
                  <c:v>41</c:v>
                </c:pt>
                <c:pt idx="7">
                  <c:v>60</c:v>
                </c:pt>
                <c:pt idx="8">
                  <c:v>38</c:v>
                </c:pt>
                <c:pt idx="9">
                  <c:v>33</c:v>
                </c:pt>
                <c:pt idx="10">
                  <c:v>48</c:v>
                </c:pt>
                <c:pt idx="11">
                  <c:v>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'02.08 KYENJOJO-FORTPORTAL'!$AF$9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KYENJOJO-FORTPORTAL'!$R$10:$R$21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KYENJOJO-FORTPORTAL'!$AF$10:$AF$21</c:f>
              <c:numCache>
                <c:formatCode>0</c:formatCode>
                <c:ptCount val="12"/>
                <c:pt idx="0">
                  <c:v>31</c:v>
                </c:pt>
                <c:pt idx="1">
                  <c:v>21</c:v>
                </c:pt>
                <c:pt idx="2">
                  <c:v>35</c:v>
                </c:pt>
                <c:pt idx="3">
                  <c:v>47</c:v>
                </c:pt>
                <c:pt idx="4">
                  <c:v>41</c:v>
                </c:pt>
                <c:pt idx="5">
                  <c:v>29</c:v>
                </c:pt>
                <c:pt idx="6">
                  <c:v>42</c:v>
                </c:pt>
                <c:pt idx="7">
                  <c:v>61</c:v>
                </c:pt>
                <c:pt idx="8">
                  <c:v>40</c:v>
                </c:pt>
                <c:pt idx="9">
                  <c:v>33</c:v>
                </c:pt>
                <c:pt idx="10">
                  <c:v>49</c:v>
                </c:pt>
                <c:pt idx="11">
                  <c:v>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KYENJOJO-FORTPORTAL'!$C$9:$N$9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KYENJOJO-FORTPORTAL'!$C$59:$N$59</c:f>
              <c:numCache>
                <c:formatCode>0.0%</c:formatCode>
                <c:ptCount val="12"/>
                <c:pt idx="0">
                  <c:v>0.10570824524312897</c:v>
                </c:pt>
                <c:pt idx="1">
                  <c:v>0</c:v>
                </c:pt>
                <c:pt idx="2">
                  <c:v>0.39112050739957716</c:v>
                </c:pt>
                <c:pt idx="3">
                  <c:v>0.22198731501057081</c:v>
                </c:pt>
                <c:pt idx="4">
                  <c:v>1.0570824524312896E-2</c:v>
                </c:pt>
                <c:pt idx="5">
                  <c:v>3.5940803382663845E-2</c:v>
                </c:pt>
                <c:pt idx="6">
                  <c:v>0.11416490486257928</c:v>
                </c:pt>
                <c:pt idx="7">
                  <c:v>1.2684989429175475E-2</c:v>
                </c:pt>
                <c:pt idx="8">
                  <c:v>8.4566596194503175E-3</c:v>
                </c:pt>
                <c:pt idx="9">
                  <c:v>5.7082452431289642E-2</c:v>
                </c:pt>
                <c:pt idx="10">
                  <c:v>4.2283298097251586E-2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KYENJOJO-FORTPORTAL'!$S$9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KYENJOJO-FORTPORTAL'!$R$10:$R$21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KYENJOJO-FORTPORTAL'!$S$10:$S$21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6</c:v>
                </c:pt>
                <c:pt idx="3">
                  <c:v>5</c:v>
                </c:pt>
                <c:pt idx="4">
                  <c:v>1</c:v>
                </c:pt>
                <c:pt idx="5">
                  <c:v>0</c:v>
                </c:pt>
                <c:pt idx="6">
                  <c:v>8</c:v>
                </c:pt>
                <c:pt idx="7">
                  <c:v>8</c:v>
                </c:pt>
                <c:pt idx="8">
                  <c:v>5</c:v>
                </c:pt>
                <c:pt idx="9">
                  <c:v>3</c:v>
                </c:pt>
                <c:pt idx="10">
                  <c:v>8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'02.08 KYENJOJO-FORTPORTAL'!$T$9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KYENJOJO-FORTPORTAL'!$R$10:$R$21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KYENJOJO-FORTPORTAL'!$T$10:$T$21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'02.08 KYENJOJO-FORTPORTAL'!$U$9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KYENJOJO-FORTPORTAL'!$U$10:$U$21</c:f>
              <c:numCache>
                <c:formatCode>0</c:formatCode>
                <c:ptCount val="12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15</c:v>
                </c:pt>
                <c:pt idx="4">
                  <c:v>16</c:v>
                </c:pt>
                <c:pt idx="5">
                  <c:v>9</c:v>
                </c:pt>
                <c:pt idx="6">
                  <c:v>14</c:v>
                </c:pt>
                <c:pt idx="7">
                  <c:v>26</c:v>
                </c:pt>
                <c:pt idx="8">
                  <c:v>19</c:v>
                </c:pt>
                <c:pt idx="9">
                  <c:v>13</c:v>
                </c:pt>
                <c:pt idx="10">
                  <c:v>22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'02.08 KYENJOJO-FORTPORTAL'!$V$9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KYENJOJO-FORTPORTAL'!$V$10:$V$21</c:f>
              <c:numCache>
                <c:formatCode>0</c:formatCode>
                <c:ptCount val="12"/>
                <c:pt idx="0">
                  <c:v>10</c:v>
                </c:pt>
                <c:pt idx="1">
                  <c:v>9</c:v>
                </c:pt>
                <c:pt idx="2">
                  <c:v>6</c:v>
                </c:pt>
                <c:pt idx="3">
                  <c:v>9</c:v>
                </c:pt>
                <c:pt idx="4">
                  <c:v>13</c:v>
                </c:pt>
                <c:pt idx="5">
                  <c:v>6</c:v>
                </c:pt>
                <c:pt idx="6">
                  <c:v>10</c:v>
                </c:pt>
                <c:pt idx="7">
                  <c:v>10</c:v>
                </c:pt>
                <c:pt idx="8">
                  <c:v>7</c:v>
                </c:pt>
                <c:pt idx="9">
                  <c:v>6</c:v>
                </c:pt>
                <c:pt idx="10">
                  <c:v>11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'02.08 KYENJOJO-FORTPORTAL'!$W$9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KYENJOJO-FORTPORTAL'!$W$10:$W$21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'02.08 KYENJOJO-FORTPORTAL'!$X$9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KYENJOJO-FORTPORTAL'!$X$10:$X$21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'02.08 KYENJOJO-FORTPORTAL'!$Y$9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KYENJOJO-FORTPORTAL'!$Y$10:$Y$21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  <c:pt idx="6">
                  <c:v>6</c:v>
                </c:pt>
                <c:pt idx="7">
                  <c:v>7</c:v>
                </c:pt>
                <c:pt idx="8">
                  <c:v>4</c:v>
                </c:pt>
                <c:pt idx="9">
                  <c:v>7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'02.08 KYENJOJO-FORTPORTAL'!$Z$9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KYENJOJO-FORTPORTAL'!$Z$10:$Z$21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'02.08 KYENJOJO-FORTPORTAL'!$AA$9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KYENJOJO-FORTPORTAL'!$AA$10:$AA$21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'02.08 KYENJOJO-FORTPORTAL'!$AB$9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KYENJOJO-FORTPORTAL'!$AB$10:$AB$21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6</c:v>
                </c:pt>
                <c:pt idx="3">
                  <c:v>5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4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'02.08 KYENJOJO-FORTPORTAL'!$AC$9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KYENJOJO-FORTPORTAL'!$AC$10:$AC$21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'02.08 KYENJOJO-FORTPORTAL'!$AD$9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KYENJOJO-FORTPORTAL'!$AD$10:$AD$21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680320"/>
        <c:axId val="112702592"/>
      </c:lineChart>
      <c:catAx>
        <c:axId val="11268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702592"/>
        <c:crosses val="autoZero"/>
        <c:auto val="1"/>
        <c:lblAlgn val="ctr"/>
        <c:lblOffset val="100"/>
        <c:noMultiLvlLbl val="0"/>
      </c:catAx>
      <c:valAx>
        <c:axId val="1127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68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KYENJOJO-FORTPORTAL'!$C$9:$N$9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KYENJOJO-FORTPORTAL'!$C$60:$N$60</c:f>
              <c:numCache>
                <c:formatCode>0.00%</c:formatCode>
                <c:ptCount val="12"/>
                <c:pt idx="0">
                  <c:v>0.11037527593818984</c:v>
                </c:pt>
                <c:pt idx="1">
                  <c:v>0</c:v>
                </c:pt>
                <c:pt idx="2">
                  <c:v>0.4083885209713024</c:v>
                </c:pt>
                <c:pt idx="3">
                  <c:v>0.23178807947019867</c:v>
                </c:pt>
                <c:pt idx="4">
                  <c:v>1.1037527593818985E-2</c:v>
                </c:pt>
                <c:pt idx="5">
                  <c:v>3.7527593818984545E-2</c:v>
                </c:pt>
                <c:pt idx="6">
                  <c:v>0.11920529801324503</c:v>
                </c:pt>
                <c:pt idx="7">
                  <c:v>1.3245033112582781E-2</c:v>
                </c:pt>
                <c:pt idx="8">
                  <c:v>8.8300220750551876E-3</c:v>
                </c:pt>
                <c:pt idx="9">
                  <c:v>5.9602649006622516E-2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FORTPORTAL-KYENJOJO'!$AE$9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FORTPORTAL-KYENJOJO'!$R$10:$R$21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FORTPORTAL-KYENJOJO'!$AE$10:$AE$21</c:f>
              <c:numCache>
                <c:formatCode>0</c:formatCode>
                <c:ptCount val="12"/>
                <c:pt idx="0">
                  <c:v>24</c:v>
                </c:pt>
                <c:pt idx="1">
                  <c:v>23</c:v>
                </c:pt>
                <c:pt idx="2">
                  <c:v>25</c:v>
                </c:pt>
                <c:pt idx="3">
                  <c:v>39</c:v>
                </c:pt>
                <c:pt idx="4">
                  <c:v>22</c:v>
                </c:pt>
                <c:pt idx="5">
                  <c:v>32</c:v>
                </c:pt>
                <c:pt idx="6">
                  <c:v>37</c:v>
                </c:pt>
                <c:pt idx="7">
                  <c:v>33</c:v>
                </c:pt>
                <c:pt idx="8">
                  <c:v>21</c:v>
                </c:pt>
                <c:pt idx="9">
                  <c:v>26</c:v>
                </c:pt>
                <c:pt idx="10">
                  <c:v>39</c:v>
                </c:pt>
                <c:pt idx="11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'02.08 FORTPORTAL-KYENJOJO'!$AF$9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FORTPORTAL-KYENJOJO'!$R$10:$R$21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FORTPORTAL-KYENJOJO'!$AF$10:$AF$21</c:f>
              <c:numCache>
                <c:formatCode>0</c:formatCode>
                <c:ptCount val="12"/>
                <c:pt idx="0">
                  <c:v>24</c:v>
                </c:pt>
                <c:pt idx="1">
                  <c:v>23</c:v>
                </c:pt>
                <c:pt idx="2">
                  <c:v>28</c:v>
                </c:pt>
                <c:pt idx="3">
                  <c:v>39</c:v>
                </c:pt>
                <c:pt idx="4">
                  <c:v>25</c:v>
                </c:pt>
                <c:pt idx="5">
                  <c:v>34</c:v>
                </c:pt>
                <c:pt idx="6">
                  <c:v>39</c:v>
                </c:pt>
                <c:pt idx="7">
                  <c:v>33</c:v>
                </c:pt>
                <c:pt idx="8">
                  <c:v>25</c:v>
                </c:pt>
                <c:pt idx="9">
                  <c:v>26</c:v>
                </c:pt>
                <c:pt idx="10">
                  <c:v>40</c:v>
                </c:pt>
                <c:pt idx="11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921216"/>
        <c:axId val="112931200"/>
      </c:lineChart>
      <c:catAx>
        <c:axId val="112921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931200"/>
        <c:crosses val="autoZero"/>
        <c:auto val="1"/>
        <c:lblAlgn val="ctr"/>
        <c:lblOffset val="100"/>
        <c:noMultiLvlLbl val="0"/>
      </c:catAx>
      <c:valAx>
        <c:axId val="1129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92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FORTPORTAL-KYENJOJO'!$C$9:$N$9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FORTPORTAL-KYENJOJO'!$C$59:$N$59</c:f>
              <c:numCache>
                <c:formatCode>0.0%</c:formatCode>
                <c:ptCount val="12"/>
                <c:pt idx="0">
                  <c:v>9.5490716180371346E-2</c:v>
                </c:pt>
                <c:pt idx="1">
                  <c:v>0</c:v>
                </c:pt>
                <c:pt idx="2">
                  <c:v>0.33156498673740054</c:v>
                </c:pt>
                <c:pt idx="3">
                  <c:v>0.28647214854111408</c:v>
                </c:pt>
                <c:pt idx="4">
                  <c:v>5.3050397877984082E-3</c:v>
                </c:pt>
                <c:pt idx="5">
                  <c:v>3.9787798408488062E-2</c:v>
                </c:pt>
                <c:pt idx="6">
                  <c:v>0.13527851458885942</c:v>
                </c:pt>
                <c:pt idx="7">
                  <c:v>1.3262599469496022E-2</c:v>
                </c:pt>
                <c:pt idx="8">
                  <c:v>2.6525198938992041E-3</c:v>
                </c:pt>
                <c:pt idx="9">
                  <c:v>4.7745358090185673E-2</c:v>
                </c:pt>
                <c:pt idx="10">
                  <c:v>4.2440318302387266E-2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FORTPORTAL-KYENJOJO'!$S$9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FORTPORTAL-KYENJOJO'!$R$10:$R$21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FORTPORTAL-KYENJOJO'!$S$10:$S$21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5</c:v>
                </c:pt>
                <c:pt idx="7">
                  <c:v>2</c:v>
                </c:pt>
                <c:pt idx="8">
                  <c:v>4</c:v>
                </c:pt>
                <c:pt idx="9">
                  <c:v>2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'02.08 FORTPORTAL-KYENJOJO'!$T$9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FORTPORTAL-KYENJOJO'!$R$10:$R$21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FORTPORTAL-KYENJOJO'!$T$10:$T$21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'02.08 FORTPORTAL-KYENJOJO'!$U$9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FORTPORTAL-KYENJOJO'!$U$10:$U$21</c:f>
              <c:numCache>
                <c:formatCode>0</c:formatCode>
                <c:ptCount val="12"/>
                <c:pt idx="0">
                  <c:v>3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9</c:v>
                </c:pt>
                <c:pt idx="5">
                  <c:v>10</c:v>
                </c:pt>
                <c:pt idx="6">
                  <c:v>13</c:v>
                </c:pt>
                <c:pt idx="7">
                  <c:v>3</c:v>
                </c:pt>
                <c:pt idx="8">
                  <c:v>9</c:v>
                </c:pt>
                <c:pt idx="9">
                  <c:v>13</c:v>
                </c:pt>
                <c:pt idx="10">
                  <c:v>17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'02.08 FORTPORTAL-KYENJOJO'!$V$9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FORTPORTAL-KYENJOJO'!$V$10:$V$21</c:f>
              <c:numCache>
                <c:formatCode>0</c:formatCode>
                <c:ptCount val="12"/>
                <c:pt idx="0">
                  <c:v>9</c:v>
                </c:pt>
                <c:pt idx="1">
                  <c:v>5</c:v>
                </c:pt>
                <c:pt idx="2">
                  <c:v>9</c:v>
                </c:pt>
                <c:pt idx="3">
                  <c:v>12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14</c:v>
                </c:pt>
                <c:pt idx="8">
                  <c:v>7</c:v>
                </c:pt>
                <c:pt idx="9">
                  <c:v>6</c:v>
                </c:pt>
                <c:pt idx="10">
                  <c:v>11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'02.08 FORTPORTAL-KYENJOJO'!$W$9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FORTPORTAL-KYENJOJO'!$W$10:$W$21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'02.08 FORTPORTAL-KYENJOJO'!$X$9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FORTPORTAL-KYENJOJO'!$X$10:$X$21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'02.08 FORTPORTAL-KYENJOJO'!$Y$9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FORTPORTAL-KYENJOJO'!$Y$10:$Y$21</c:f>
              <c:numCache>
                <c:formatCode>0</c:formatCode>
                <c:ptCount val="12"/>
                <c:pt idx="0">
                  <c:v>7</c:v>
                </c:pt>
                <c:pt idx="1">
                  <c:v>6</c:v>
                </c:pt>
                <c:pt idx="2">
                  <c:v>0</c:v>
                </c:pt>
                <c:pt idx="3">
                  <c:v>6</c:v>
                </c:pt>
                <c:pt idx="4">
                  <c:v>2</c:v>
                </c:pt>
                <c:pt idx="5">
                  <c:v>8</c:v>
                </c:pt>
                <c:pt idx="6">
                  <c:v>5</c:v>
                </c:pt>
                <c:pt idx="7">
                  <c:v>8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'02.08 FORTPORTAL-KYENJOJO'!$Z$9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FORTPORTAL-KYENJOJO'!$Z$10:$Z$21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'02.08 FORTPORTAL-KYENJOJO'!$AA$9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FORTPORTAL-KYENJOJO'!$AA$10:$AA$21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'02.08 FORTPORTAL-KYENJOJO'!$AB$9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FORTPORTAL-KYENJOJO'!$AB$10:$AB$21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'02.08 FORTPORTAL-KYENJOJO'!$AC$9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FORTPORTAL-KYENJOJO'!$AC$10:$AC$21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'02.08 FORTPORTAL-KYENJOJO'!$AD$9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FORTPORTAL-KYENJOJO'!$AD$10:$AD$21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218304"/>
        <c:axId val="113219840"/>
      </c:lineChart>
      <c:catAx>
        <c:axId val="11321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219840"/>
        <c:crosses val="autoZero"/>
        <c:auto val="1"/>
        <c:lblAlgn val="ctr"/>
        <c:lblOffset val="100"/>
        <c:noMultiLvlLbl val="0"/>
      </c:catAx>
      <c:valAx>
        <c:axId val="1132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21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FORTPORTAL-KYENJOJO'!$C$9:$N$9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FORTPORTAL-KYENJOJO'!$C$60:$N$60</c:f>
              <c:numCache>
                <c:formatCode>0.00%</c:formatCode>
                <c:ptCount val="12"/>
                <c:pt idx="0">
                  <c:v>9.9722991689750698E-2</c:v>
                </c:pt>
                <c:pt idx="1">
                  <c:v>0</c:v>
                </c:pt>
                <c:pt idx="2">
                  <c:v>0.34626038781163437</c:v>
                </c:pt>
                <c:pt idx="3">
                  <c:v>0.29916897506925205</c:v>
                </c:pt>
                <c:pt idx="4">
                  <c:v>5.5401662049861496E-3</c:v>
                </c:pt>
                <c:pt idx="5">
                  <c:v>4.1551246537396121E-2</c:v>
                </c:pt>
                <c:pt idx="6">
                  <c:v>0.14127423822714683</c:v>
                </c:pt>
                <c:pt idx="7">
                  <c:v>1.3850415512465374E-2</c:v>
                </c:pt>
                <c:pt idx="8">
                  <c:v>2.7700831024930748E-3</c:v>
                </c:pt>
                <c:pt idx="9">
                  <c:v>4.9861495844875349E-2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KYENJOJO-FORTPORTAL-24h'!$AE$9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KYENJOJO-FORTPORTAL-24h'!$R$10:$R$33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KYENJOJO-FORTPORTAL-24h'!$AE$10:$AE$33</c:f>
              <c:numCache>
                <c:formatCode>0</c:formatCode>
                <c:ptCount val="24"/>
                <c:pt idx="0">
                  <c:v>21</c:v>
                </c:pt>
                <c:pt idx="1">
                  <c:v>33</c:v>
                </c:pt>
                <c:pt idx="2">
                  <c:v>30</c:v>
                </c:pt>
                <c:pt idx="3">
                  <c:v>27</c:v>
                </c:pt>
                <c:pt idx="4">
                  <c:v>31</c:v>
                </c:pt>
                <c:pt idx="5">
                  <c:v>29</c:v>
                </c:pt>
                <c:pt idx="6">
                  <c:v>22</c:v>
                </c:pt>
                <c:pt idx="7">
                  <c:v>32</c:v>
                </c:pt>
                <c:pt idx="8">
                  <c:v>28</c:v>
                </c:pt>
                <c:pt idx="9">
                  <c:v>28</c:v>
                </c:pt>
                <c:pt idx="10">
                  <c:v>32</c:v>
                </c:pt>
                <c:pt idx="11">
                  <c:v>42</c:v>
                </c:pt>
                <c:pt idx="12">
                  <c:v>28</c:v>
                </c:pt>
                <c:pt idx="13">
                  <c:v>24</c:v>
                </c:pt>
                <c:pt idx="14">
                  <c:v>15</c:v>
                </c:pt>
                <c:pt idx="15">
                  <c:v>23</c:v>
                </c:pt>
                <c:pt idx="16">
                  <c:v>12</c:v>
                </c:pt>
                <c:pt idx="17">
                  <c:v>16</c:v>
                </c:pt>
                <c:pt idx="18">
                  <c:v>10</c:v>
                </c:pt>
                <c:pt idx="19">
                  <c:v>3</c:v>
                </c:pt>
                <c:pt idx="20">
                  <c:v>2</c:v>
                </c:pt>
                <c:pt idx="21">
                  <c:v>8</c:v>
                </c:pt>
                <c:pt idx="22">
                  <c:v>13</c:v>
                </c:pt>
                <c:pt idx="23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'03.08 KYENJOJO-FORTPORTAL-24h'!$AF$9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KYENJOJO-FORTPORTAL-24h'!$R$10:$R$33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KYENJOJO-FORTPORTAL-24h'!$AF$10:$AF$33</c:f>
              <c:numCache>
                <c:formatCode>0</c:formatCode>
                <c:ptCount val="24"/>
                <c:pt idx="0">
                  <c:v>23</c:v>
                </c:pt>
                <c:pt idx="1">
                  <c:v>35</c:v>
                </c:pt>
                <c:pt idx="2">
                  <c:v>32</c:v>
                </c:pt>
                <c:pt idx="3">
                  <c:v>28</c:v>
                </c:pt>
                <c:pt idx="4">
                  <c:v>36</c:v>
                </c:pt>
                <c:pt idx="5">
                  <c:v>30</c:v>
                </c:pt>
                <c:pt idx="6">
                  <c:v>24</c:v>
                </c:pt>
                <c:pt idx="7">
                  <c:v>33</c:v>
                </c:pt>
                <c:pt idx="8">
                  <c:v>28</c:v>
                </c:pt>
                <c:pt idx="9">
                  <c:v>29</c:v>
                </c:pt>
                <c:pt idx="10">
                  <c:v>32</c:v>
                </c:pt>
                <c:pt idx="11">
                  <c:v>42</c:v>
                </c:pt>
                <c:pt idx="12">
                  <c:v>39</c:v>
                </c:pt>
                <c:pt idx="13">
                  <c:v>32</c:v>
                </c:pt>
                <c:pt idx="14">
                  <c:v>18</c:v>
                </c:pt>
                <c:pt idx="15">
                  <c:v>25</c:v>
                </c:pt>
                <c:pt idx="16">
                  <c:v>12</c:v>
                </c:pt>
                <c:pt idx="17">
                  <c:v>16</c:v>
                </c:pt>
                <c:pt idx="18">
                  <c:v>10</c:v>
                </c:pt>
                <c:pt idx="19">
                  <c:v>3</c:v>
                </c:pt>
                <c:pt idx="20">
                  <c:v>2</c:v>
                </c:pt>
                <c:pt idx="21">
                  <c:v>8</c:v>
                </c:pt>
                <c:pt idx="22">
                  <c:v>13</c:v>
                </c:pt>
                <c:pt idx="23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KYENJOJO-FORTPORTAL-24h'!$C$9:$N$9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KYENJOJO-FORTPORTAL-24h'!$C$107:$N$107</c:f>
              <c:numCache>
                <c:formatCode>0.0%</c:formatCode>
                <c:ptCount val="12"/>
                <c:pt idx="0">
                  <c:v>0.11504424778761062</c:v>
                </c:pt>
                <c:pt idx="1">
                  <c:v>0</c:v>
                </c:pt>
                <c:pt idx="2">
                  <c:v>0.23008849557522124</c:v>
                </c:pt>
                <c:pt idx="3">
                  <c:v>0.20530973451327433</c:v>
                </c:pt>
                <c:pt idx="4">
                  <c:v>5.3097345132743362E-3</c:v>
                </c:pt>
                <c:pt idx="5">
                  <c:v>3.8938053097345132E-2</c:v>
                </c:pt>
                <c:pt idx="6">
                  <c:v>0.19646017699115045</c:v>
                </c:pt>
                <c:pt idx="7">
                  <c:v>1.5929203539823009E-2</c:v>
                </c:pt>
                <c:pt idx="8">
                  <c:v>3.5398230088495575E-3</c:v>
                </c:pt>
                <c:pt idx="9">
                  <c:v>0.11150442477876106</c:v>
                </c:pt>
                <c:pt idx="10">
                  <c:v>7.7876106194690264E-2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KYENJOJO-FORTPORTAL-24h'!$C$9:$N$9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KYENJOJO-FORTPORTAL-24h'!$C$108:$N$108</c:f>
              <c:numCache>
                <c:formatCode>0.00%</c:formatCode>
                <c:ptCount val="12"/>
                <c:pt idx="0">
                  <c:v>0.12476007677543186</c:v>
                </c:pt>
                <c:pt idx="1">
                  <c:v>0</c:v>
                </c:pt>
                <c:pt idx="2">
                  <c:v>0.24952015355086371</c:v>
                </c:pt>
                <c:pt idx="3">
                  <c:v>0.22264875239923224</c:v>
                </c:pt>
                <c:pt idx="4">
                  <c:v>5.7581573896353169E-3</c:v>
                </c:pt>
                <c:pt idx="5">
                  <c:v>4.2226487523992322E-2</c:v>
                </c:pt>
                <c:pt idx="6">
                  <c:v>0.21305182341650672</c:v>
                </c:pt>
                <c:pt idx="7">
                  <c:v>1.7274472168905951E-2</c:v>
                </c:pt>
                <c:pt idx="8">
                  <c:v>3.838771593090211E-3</c:v>
                </c:pt>
                <c:pt idx="9">
                  <c:v>0.12092130518234165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FORTPORTAL-KYENJOJO-24h'!$AE$9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FORTPORTAL-KYENJOJO-24h'!$R$10:$R$33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FORTPORTAL-KYENJOJO-24h'!$AE$10:$AE$33</c:f>
              <c:numCache>
                <c:formatCode>0</c:formatCode>
                <c:ptCount val="24"/>
                <c:pt idx="0">
                  <c:v>15</c:v>
                </c:pt>
                <c:pt idx="1">
                  <c:v>15</c:v>
                </c:pt>
                <c:pt idx="2">
                  <c:v>18</c:v>
                </c:pt>
                <c:pt idx="3">
                  <c:v>34</c:v>
                </c:pt>
                <c:pt idx="4">
                  <c:v>27</c:v>
                </c:pt>
                <c:pt idx="5">
                  <c:v>29</c:v>
                </c:pt>
                <c:pt idx="6">
                  <c:v>33</c:v>
                </c:pt>
                <c:pt idx="7">
                  <c:v>25</c:v>
                </c:pt>
                <c:pt idx="8">
                  <c:v>28</c:v>
                </c:pt>
                <c:pt idx="9">
                  <c:v>32</c:v>
                </c:pt>
                <c:pt idx="10">
                  <c:v>33</c:v>
                </c:pt>
                <c:pt idx="11">
                  <c:v>23</c:v>
                </c:pt>
                <c:pt idx="12">
                  <c:v>25</c:v>
                </c:pt>
                <c:pt idx="13">
                  <c:v>28</c:v>
                </c:pt>
                <c:pt idx="14">
                  <c:v>10</c:v>
                </c:pt>
                <c:pt idx="15">
                  <c:v>23</c:v>
                </c:pt>
                <c:pt idx="16">
                  <c:v>5</c:v>
                </c:pt>
                <c:pt idx="17">
                  <c:v>11</c:v>
                </c:pt>
                <c:pt idx="18">
                  <c:v>9</c:v>
                </c:pt>
                <c:pt idx="19">
                  <c:v>4</c:v>
                </c:pt>
                <c:pt idx="20">
                  <c:v>3</c:v>
                </c:pt>
                <c:pt idx="21">
                  <c:v>9</c:v>
                </c:pt>
                <c:pt idx="22">
                  <c:v>6</c:v>
                </c:pt>
                <c:pt idx="23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'03.08 FORTPORTAL-KYENJOJO-24h'!$AF$9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FORTPORTAL-KYENJOJO-24h'!$R$10:$R$33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FORTPORTAL-KYENJOJO-24h'!$AF$10:$AF$33</c:f>
              <c:numCache>
                <c:formatCode>0</c:formatCode>
                <c:ptCount val="24"/>
                <c:pt idx="0">
                  <c:v>20</c:v>
                </c:pt>
                <c:pt idx="1">
                  <c:v>16</c:v>
                </c:pt>
                <c:pt idx="2">
                  <c:v>18</c:v>
                </c:pt>
                <c:pt idx="3">
                  <c:v>35</c:v>
                </c:pt>
                <c:pt idx="4">
                  <c:v>30</c:v>
                </c:pt>
                <c:pt idx="5">
                  <c:v>30</c:v>
                </c:pt>
                <c:pt idx="6">
                  <c:v>34</c:v>
                </c:pt>
                <c:pt idx="7">
                  <c:v>29</c:v>
                </c:pt>
                <c:pt idx="8">
                  <c:v>29</c:v>
                </c:pt>
                <c:pt idx="9">
                  <c:v>32</c:v>
                </c:pt>
                <c:pt idx="10">
                  <c:v>33</c:v>
                </c:pt>
                <c:pt idx="11">
                  <c:v>25</c:v>
                </c:pt>
                <c:pt idx="12">
                  <c:v>27</c:v>
                </c:pt>
                <c:pt idx="13">
                  <c:v>33</c:v>
                </c:pt>
                <c:pt idx="14">
                  <c:v>11</c:v>
                </c:pt>
                <c:pt idx="15">
                  <c:v>26</c:v>
                </c:pt>
                <c:pt idx="16">
                  <c:v>5</c:v>
                </c:pt>
                <c:pt idx="17">
                  <c:v>11</c:v>
                </c:pt>
                <c:pt idx="18">
                  <c:v>9</c:v>
                </c:pt>
                <c:pt idx="19">
                  <c:v>4</c:v>
                </c:pt>
                <c:pt idx="20">
                  <c:v>3</c:v>
                </c:pt>
                <c:pt idx="21">
                  <c:v>10</c:v>
                </c:pt>
                <c:pt idx="22">
                  <c:v>6</c:v>
                </c:pt>
                <c:pt idx="23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FORTPORTAL-KYENJOJO-24h'!$C$9:$N$9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FORTPORTAL-KYENJOJO-24h'!$C$107:$N$107</c:f>
              <c:numCache>
                <c:formatCode>0.0%</c:formatCode>
                <c:ptCount val="12"/>
                <c:pt idx="0">
                  <c:v>0.10183299389002037</c:v>
                </c:pt>
                <c:pt idx="1">
                  <c:v>0</c:v>
                </c:pt>
                <c:pt idx="2">
                  <c:v>0.22810590631364563</c:v>
                </c:pt>
                <c:pt idx="3">
                  <c:v>0.20773930753564154</c:v>
                </c:pt>
                <c:pt idx="4">
                  <c:v>4.0733197556008143E-3</c:v>
                </c:pt>
                <c:pt idx="5">
                  <c:v>4.4806517311608958E-2</c:v>
                </c:pt>
                <c:pt idx="6">
                  <c:v>0.17922606924643583</c:v>
                </c:pt>
                <c:pt idx="7">
                  <c:v>3.2586558044806514E-2</c:v>
                </c:pt>
                <c:pt idx="8">
                  <c:v>6.1099796334012219E-3</c:v>
                </c:pt>
                <c:pt idx="9">
                  <c:v>0.12627291242362526</c:v>
                </c:pt>
                <c:pt idx="10">
                  <c:v>6.9246435845213852E-2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FORTPORTAL-KYENJOJO-24h'!$C$9:$N$9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FORTPORTAL-KYENJOJO-24h'!$C$108:$N$108</c:f>
              <c:numCache>
                <c:formatCode>0.00%</c:formatCode>
                <c:ptCount val="12"/>
                <c:pt idx="0">
                  <c:v>0.10940919037199125</c:v>
                </c:pt>
                <c:pt idx="1">
                  <c:v>0</c:v>
                </c:pt>
                <c:pt idx="2">
                  <c:v>0.24507658643326038</c:v>
                </c:pt>
                <c:pt idx="3">
                  <c:v>0.22319474835886213</c:v>
                </c:pt>
                <c:pt idx="4">
                  <c:v>4.3763676148796497E-3</c:v>
                </c:pt>
                <c:pt idx="5">
                  <c:v>4.8140043763676151E-2</c:v>
                </c:pt>
                <c:pt idx="6">
                  <c:v>0.1925601750547046</c:v>
                </c:pt>
                <c:pt idx="7">
                  <c:v>3.5010940919037198E-2</c:v>
                </c:pt>
                <c:pt idx="8">
                  <c:v>6.5645514223194746E-3</c:v>
                </c:pt>
                <c:pt idx="9">
                  <c:v>0.13566739606126915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KYENJOJO-FORTP'!$AE$9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KYENJOJO-FORTP'!$R$10:$R$21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KYENJOJO-FORTP'!$AE$10:$AE$21</c:f>
              <c:numCache>
                <c:formatCode>0</c:formatCode>
                <c:ptCount val="12"/>
                <c:pt idx="0">
                  <c:v>15</c:v>
                </c:pt>
                <c:pt idx="1">
                  <c:v>18</c:v>
                </c:pt>
                <c:pt idx="2">
                  <c:v>22</c:v>
                </c:pt>
                <c:pt idx="3">
                  <c:v>38</c:v>
                </c:pt>
                <c:pt idx="4">
                  <c:v>38</c:v>
                </c:pt>
                <c:pt idx="5">
                  <c:v>22</c:v>
                </c:pt>
                <c:pt idx="6">
                  <c:v>28</c:v>
                </c:pt>
                <c:pt idx="7">
                  <c:v>30</c:v>
                </c:pt>
                <c:pt idx="8">
                  <c:v>31</c:v>
                </c:pt>
                <c:pt idx="9">
                  <c:v>45</c:v>
                </c:pt>
                <c:pt idx="10">
                  <c:v>49</c:v>
                </c:pt>
                <c:pt idx="11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'04.08 KYENJOJO-FORTP'!$AF$9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KYENJOJO-FORTP'!$R$10:$R$21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KYENJOJO-FORTP'!$AF$10:$AF$21</c:f>
              <c:numCache>
                <c:formatCode>0</c:formatCode>
                <c:ptCount val="12"/>
                <c:pt idx="0">
                  <c:v>16</c:v>
                </c:pt>
                <c:pt idx="1">
                  <c:v>21</c:v>
                </c:pt>
                <c:pt idx="2">
                  <c:v>24</c:v>
                </c:pt>
                <c:pt idx="3">
                  <c:v>43</c:v>
                </c:pt>
                <c:pt idx="4">
                  <c:v>44</c:v>
                </c:pt>
                <c:pt idx="5">
                  <c:v>27</c:v>
                </c:pt>
                <c:pt idx="6">
                  <c:v>33</c:v>
                </c:pt>
                <c:pt idx="7">
                  <c:v>33</c:v>
                </c:pt>
                <c:pt idx="8">
                  <c:v>37</c:v>
                </c:pt>
                <c:pt idx="9">
                  <c:v>58</c:v>
                </c:pt>
                <c:pt idx="10">
                  <c:v>58</c:v>
                </c:pt>
                <c:pt idx="11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314112"/>
        <c:axId val="116315648"/>
      </c:lineChart>
      <c:catAx>
        <c:axId val="116314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15648"/>
        <c:crosses val="autoZero"/>
        <c:auto val="1"/>
        <c:lblAlgn val="ctr"/>
        <c:lblOffset val="100"/>
        <c:noMultiLvlLbl val="0"/>
      </c:catAx>
      <c:valAx>
        <c:axId val="116315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1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KYENJOJO-FORTP'!$C$9:$N$9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KYENJOJO-FORTP'!$C$59:$N$59</c:f>
              <c:numCache>
                <c:formatCode>0.0%</c:formatCode>
                <c:ptCount val="12"/>
                <c:pt idx="0">
                  <c:v>0.17050691244239632</c:v>
                </c:pt>
                <c:pt idx="1">
                  <c:v>0</c:v>
                </c:pt>
                <c:pt idx="2">
                  <c:v>0.23963133640552994</c:v>
                </c:pt>
                <c:pt idx="3">
                  <c:v>0.19815668202764977</c:v>
                </c:pt>
                <c:pt idx="4">
                  <c:v>2.304147465437788E-3</c:v>
                </c:pt>
                <c:pt idx="5">
                  <c:v>4.1474654377880185E-2</c:v>
                </c:pt>
                <c:pt idx="6">
                  <c:v>8.9861751152073732E-2</c:v>
                </c:pt>
                <c:pt idx="7">
                  <c:v>4.608294930875576E-3</c:v>
                </c:pt>
                <c:pt idx="8">
                  <c:v>2.304147465437788E-3</c:v>
                </c:pt>
                <c:pt idx="9">
                  <c:v>0.10138248847926268</c:v>
                </c:pt>
                <c:pt idx="10">
                  <c:v>0.14976958525345621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KYENJOJO-FORTP'!$S$9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KYENJOJO-FORTP'!$R$10:$R$21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KYENJOJO-FORTP'!$S$10:$S$21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8</c:v>
                </c:pt>
                <c:pt idx="4">
                  <c:v>3</c:v>
                </c:pt>
                <c:pt idx="5">
                  <c:v>5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10</c:v>
                </c:pt>
                <c:pt idx="10">
                  <c:v>8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'04.08 KYENJOJO-FORTP'!$T$9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KYENJOJO-FORTP'!$R$10:$R$21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KYENJOJO-FORTP'!$T$10:$T$21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'04.08 KYENJOJO-FORTP'!$U$9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KYENJOJO-FORTP'!$U$10:$U$21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4</c:v>
                </c:pt>
                <c:pt idx="3">
                  <c:v>9</c:v>
                </c:pt>
                <c:pt idx="4">
                  <c:v>16</c:v>
                </c:pt>
                <c:pt idx="5">
                  <c:v>4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14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'04.08 KYENJOJO-FORTP'!$V$9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KYENJOJO-FORTP'!$V$10:$V$21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11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7</c:v>
                </c:pt>
                <c:pt idx="8">
                  <c:v>2</c:v>
                </c:pt>
                <c:pt idx="9">
                  <c:v>11</c:v>
                </c:pt>
                <c:pt idx="10">
                  <c:v>15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'04.08 KYENJOJO-FORTP'!$W$9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KYENJOJO-FORTP'!$W$10:$W$21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'04.08 KYENJOJO-FORTP'!$X$9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KYENJOJO-FORTP'!$X$10:$X$21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'04.08 KYENJOJO-FORTP'!$Y$9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KYENJOJO-FORTP'!$Y$10:$Y$21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7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'04.08 KYENJOJO-FORTP'!$Z$9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KYENJOJO-FORTP'!$Z$10:$Z$21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'04.08 KYENJOJO-FORTP'!$AA$9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KYENJOJO-FORTP'!$AA$10:$AA$21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'04.08 KYENJOJO-FORTP'!$AB$9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KYENJOJO-FORTP'!$AB$10:$AB$21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6</c:v>
                </c:pt>
                <c:pt idx="4">
                  <c:v>6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  <c:pt idx="8">
                  <c:v>2</c:v>
                </c:pt>
                <c:pt idx="9">
                  <c:v>4</c:v>
                </c:pt>
                <c:pt idx="10">
                  <c:v>9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'04.08 KYENJOJO-FORTP'!$AC$9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KYENJOJO-FORTP'!$AC$10:$AC$21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5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3</c:v>
                </c:pt>
                <c:pt idx="8">
                  <c:v>6</c:v>
                </c:pt>
                <c:pt idx="9">
                  <c:v>13</c:v>
                </c:pt>
                <c:pt idx="10">
                  <c:v>9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'04.08 KYENJOJO-FORTP'!$AD$9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KYENJOJO-FORTP'!$AD$10:$AD$21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397952"/>
        <c:axId val="116399488"/>
      </c:lineChart>
      <c:catAx>
        <c:axId val="11639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99488"/>
        <c:crosses val="autoZero"/>
        <c:auto val="1"/>
        <c:lblAlgn val="ctr"/>
        <c:lblOffset val="100"/>
        <c:noMultiLvlLbl val="0"/>
      </c:catAx>
      <c:valAx>
        <c:axId val="11639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9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KYENJOJO-FORTP'!$C$9:$N$9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KYENJOJO-FORTP'!$C$60:$N$60</c:f>
              <c:numCache>
                <c:formatCode>0.00%</c:formatCode>
                <c:ptCount val="12"/>
                <c:pt idx="0">
                  <c:v>0.20054200542005421</c:v>
                </c:pt>
                <c:pt idx="1">
                  <c:v>0</c:v>
                </c:pt>
                <c:pt idx="2">
                  <c:v>0.28184281842818426</c:v>
                </c:pt>
                <c:pt idx="3">
                  <c:v>0.23306233062330622</c:v>
                </c:pt>
                <c:pt idx="4">
                  <c:v>2.7100271002710027E-3</c:v>
                </c:pt>
                <c:pt idx="5">
                  <c:v>4.878048780487805E-2</c:v>
                </c:pt>
                <c:pt idx="6">
                  <c:v>0.10569105691056911</c:v>
                </c:pt>
                <c:pt idx="7">
                  <c:v>5.4200542005420054E-3</c:v>
                </c:pt>
                <c:pt idx="8">
                  <c:v>2.7100271002710027E-3</c:v>
                </c:pt>
                <c:pt idx="9">
                  <c:v>0.11924119241192412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FORTPORTAL-KYENJOJO'!$AE$9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FORTPORTAL-KYENJOJO'!$R$10:$R$21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FORTPORTAL-KYENJOJO'!$AE$10:$AE$21</c:f>
              <c:numCache>
                <c:formatCode>0</c:formatCode>
                <c:ptCount val="12"/>
                <c:pt idx="0">
                  <c:v>12</c:v>
                </c:pt>
                <c:pt idx="1">
                  <c:v>23</c:v>
                </c:pt>
                <c:pt idx="2">
                  <c:v>31</c:v>
                </c:pt>
                <c:pt idx="3">
                  <c:v>33</c:v>
                </c:pt>
                <c:pt idx="4">
                  <c:v>34</c:v>
                </c:pt>
                <c:pt idx="5">
                  <c:v>40</c:v>
                </c:pt>
                <c:pt idx="6">
                  <c:v>37</c:v>
                </c:pt>
                <c:pt idx="7">
                  <c:v>25</c:v>
                </c:pt>
                <c:pt idx="8">
                  <c:v>39</c:v>
                </c:pt>
                <c:pt idx="9">
                  <c:v>40</c:v>
                </c:pt>
                <c:pt idx="10">
                  <c:v>44</c:v>
                </c:pt>
                <c:pt idx="11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'04.08 FORTPORTAL-KYENJOJO'!$AF$9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FORTPORTAL-KYENJOJO'!$R$10:$R$21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FORTPORTAL-KYENJOJO'!$AF$10:$AF$21</c:f>
              <c:numCache>
                <c:formatCode>0</c:formatCode>
                <c:ptCount val="12"/>
                <c:pt idx="0">
                  <c:v>17</c:v>
                </c:pt>
                <c:pt idx="1">
                  <c:v>27</c:v>
                </c:pt>
                <c:pt idx="2">
                  <c:v>31</c:v>
                </c:pt>
                <c:pt idx="3">
                  <c:v>37</c:v>
                </c:pt>
                <c:pt idx="4">
                  <c:v>41</c:v>
                </c:pt>
                <c:pt idx="5">
                  <c:v>41</c:v>
                </c:pt>
                <c:pt idx="6">
                  <c:v>40</c:v>
                </c:pt>
                <c:pt idx="7">
                  <c:v>27</c:v>
                </c:pt>
                <c:pt idx="8">
                  <c:v>44</c:v>
                </c:pt>
                <c:pt idx="9">
                  <c:v>47</c:v>
                </c:pt>
                <c:pt idx="10">
                  <c:v>58</c:v>
                </c:pt>
                <c:pt idx="11">
                  <c:v>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638848"/>
        <c:axId val="116640384"/>
      </c:lineChart>
      <c:catAx>
        <c:axId val="116638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640384"/>
        <c:crosses val="autoZero"/>
        <c:auto val="1"/>
        <c:lblAlgn val="ctr"/>
        <c:lblOffset val="100"/>
        <c:noMultiLvlLbl val="0"/>
      </c:catAx>
      <c:valAx>
        <c:axId val="116640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63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FORTPORTAL-KYENJOJO'!$C$9:$N$9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FORTPORTAL-KYENJOJO'!$C$59:$N$59</c:f>
              <c:numCache>
                <c:formatCode>0.0%</c:formatCode>
                <c:ptCount val="12"/>
                <c:pt idx="0">
                  <c:v>0.1894273127753304</c:v>
                </c:pt>
                <c:pt idx="1">
                  <c:v>0</c:v>
                </c:pt>
                <c:pt idx="2">
                  <c:v>0.29735682819383258</c:v>
                </c:pt>
                <c:pt idx="3">
                  <c:v>0.20704845814977973</c:v>
                </c:pt>
                <c:pt idx="4">
                  <c:v>4.4052863436123352E-3</c:v>
                </c:pt>
                <c:pt idx="5">
                  <c:v>3.5242290748898682E-2</c:v>
                </c:pt>
                <c:pt idx="6">
                  <c:v>6.6079295154185022E-2</c:v>
                </c:pt>
                <c:pt idx="7">
                  <c:v>2.2026431718061676E-3</c:v>
                </c:pt>
                <c:pt idx="8">
                  <c:v>2.2026431718061676E-3</c:v>
                </c:pt>
                <c:pt idx="9">
                  <c:v>5.9471365638766517E-2</c:v>
                </c:pt>
                <c:pt idx="10">
                  <c:v>0.13656387665198239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FORTPORTAL-KYENJOJO'!$S$9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FORTPORTAL-KYENJOJO'!$R$10:$R$21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FORTPORTAL-KYENJOJO'!$S$10:$S$21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8</c:v>
                </c:pt>
                <c:pt idx="3">
                  <c:v>6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3</c:v>
                </c:pt>
                <c:pt idx="8">
                  <c:v>15</c:v>
                </c:pt>
                <c:pt idx="9">
                  <c:v>11</c:v>
                </c:pt>
                <c:pt idx="10">
                  <c:v>10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'04.08 FORTPORTAL-KYENJOJO'!$T$9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FORTPORTAL-KYENJOJO'!$R$10:$R$21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FORTPORTAL-KYENJOJO'!$T$10:$T$21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'04.08 FORTPORTAL-KYENJOJO'!$U$9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FORTPORTAL-KYENJOJO'!$U$10:$U$21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10</c:v>
                </c:pt>
                <c:pt idx="3">
                  <c:v>8</c:v>
                </c:pt>
                <c:pt idx="4">
                  <c:v>18</c:v>
                </c:pt>
                <c:pt idx="5">
                  <c:v>16</c:v>
                </c:pt>
                <c:pt idx="6">
                  <c:v>15</c:v>
                </c:pt>
                <c:pt idx="7">
                  <c:v>10</c:v>
                </c:pt>
                <c:pt idx="8">
                  <c:v>9</c:v>
                </c:pt>
                <c:pt idx="9">
                  <c:v>15</c:v>
                </c:pt>
                <c:pt idx="10">
                  <c:v>14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'04.08 FORTPORTAL-KYENJOJO'!$V$9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FORTPORTAL-KYENJOJO'!$V$10:$V$21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7</c:v>
                </c:pt>
                <c:pt idx="3">
                  <c:v>10</c:v>
                </c:pt>
                <c:pt idx="4">
                  <c:v>8</c:v>
                </c:pt>
                <c:pt idx="5">
                  <c:v>10</c:v>
                </c:pt>
                <c:pt idx="6">
                  <c:v>9</c:v>
                </c:pt>
                <c:pt idx="7">
                  <c:v>3</c:v>
                </c:pt>
                <c:pt idx="8">
                  <c:v>9</c:v>
                </c:pt>
                <c:pt idx="9">
                  <c:v>10</c:v>
                </c:pt>
                <c:pt idx="10">
                  <c:v>10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'04.08 FORTPORTAL-KYENJOJO'!$W$9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FORTPORTAL-KYENJOJO'!$W$10:$W$21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'04.08 FORTPORTAL-KYENJOJO'!$X$9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FORTPORTAL-KYENJOJO'!$X$10:$X$21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4</c:v>
                </c:pt>
                <c:pt idx="6">
                  <c:v>0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'04.08 FORTPORTAL-KYENJOJO'!$Y$9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FORTPORTAL-KYENJOJO'!$Y$10:$Y$21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'04.08 FORTPORTAL-KYENJOJO'!$Z$9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FORTPORTAL-KYENJOJO'!$Z$10:$Z$21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'04.08 FORTPORTAL-KYENJOJO'!$AA$9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FORTPORTAL-KYENJOJO'!$AA$10:$AA$21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'04.08 FORTPORTAL-KYENJOJO'!$AB$9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FORTPORTAL-KYENJOJO'!$AB$10:$AB$21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4</c:v>
                </c:pt>
                <c:pt idx="3">
                  <c:v>4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3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'04.08 FORTPORTAL-KYENJOJO'!$AC$9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FORTPORTAL-KYENJOJO'!$AC$10:$AC$21</c:f>
              <c:numCache>
                <c:formatCode>0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0</c:v>
                </c:pt>
                <c:pt idx="3">
                  <c:v>4</c:v>
                </c:pt>
                <c:pt idx="4">
                  <c:v>7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5</c:v>
                </c:pt>
                <c:pt idx="9">
                  <c:v>7</c:v>
                </c:pt>
                <c:pt idx="10">
                  <c:v>14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'04.08 FORTPORTAL-KYENJOJO'!$AD$9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FORTPORTAL-KYENJOJO'!$AD$10:$AD$21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866048"/>
        <c:axId val="116880128"/>
      </c:lineChart>
      <c:catAx>
        <c:axId val="11686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880128"/>
        <c:crosses val="autoZero"/>
        <c:auto val="1"/>
        <c:lblAlgn val="ctr"/>
        <c:lblOffset val="100"/>
        <c:noMultiLvlLbl val="0"/>
      </c:catAx>
      <c:valAx>
        <c:axId val="116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86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FORTPORTAL-KYENJOJO'!$C$9:$N$9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FORTPORTAL-KYENJOJO'!$C$60:$N$60</c:f>
              <c:numCache>
                <c:formatCode>0.00%</c:formatCode>
                <c:ptCount val="12"/>
                <c:pt idx="0">
                  <c:v>0.21938775510204081</c:v>
                </c:pt>
                <c:pt idx="1">
                  <c:v>0</c:v>
                </c:pt>
                <c:pt idx="2">
                  <c:v>0.34438775510204084</c:v>
                </c:pt>
                <c:pt idx="3">
                  <c:v>0.23979591836734693</c:v>
                </c:pt>
                <c:pt idx="4">
                  <c:v>5.1020408163265302E-3</c:v>
                </c:pt>
                <c:pt idx="5">
                  <c:v>4.0816326530612242E-2</c:v>
                </c:pt>
                <c:pt idx="6">
                  <c:v>7.6530612244897961E-2</c:v>
                </c:pt>
                <c:pt idx="7">
                  <c:v>2.5510204081632651E-3</c:v>
                </c:pt>
                <c:pt idx="8">
                  <c:v>2.5510204081632651E-3</c:v>
                </c:pt>
                <c:pt idx="9">
                  <c:v>6.8877551020408156E-2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KYENJOJO-FORTPORTAL'!$AE$9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KYENJOJO-FORTPORTAL'!$R$10:$R$33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KYENJOJO-FORTPORTAL'!$AE$10:$AE$33</c:f>
              <c:numCache>
                <c:formatCode>0</c:formatCode>
                <c:ptCount val="24"/>
                <c:pt idx="0">
                  <c:v>26.571428571428577</c:v>
                </c:pt>
                <c:pt idx="1">
                  <c:v>21</c:v>
                </c:pt>
                <c:pt idx="2">
                  <c:v>26.714285714285715</c:v>
                </c:pt>
                <c:pt idx="3">
                  <c:v>31.714285714285715</c:v>
                </c:pt>
                <c:pt idx="4">
                  <c:v>32.285714285714285</c:v>
                </c:pt>
                <c:pt idx="5">
                  <c:v>30</c:v>
                </c:pt>
                <c:pt idx="6">
                  <c:v>29.142857142857146</c:v>
                </c:pt>
                <c:pt idx="7">
                  <c:v>34.285714285714285</c:v>
                </c:pt>
                <c:pt idx="8">
                  <c:v>34.285714285714285</c:v>
                </c:pt>
                <c:pt idx="9">
                  <c:v>35.857142857142854</c:v>
                </c:pt>
                <c:pt idx="10">
                  <c:v>44</c:v>
                </c:pt>
                <c:pt idx="11">
                  <c:v>39.714285714285708</c:v>
                </c:pt>
                <c:pt idx="12">
                  <c:v>19</c:v>
                </c:pt>
                <c:pt idx="13">
                  <c:v>25</c:v>
                </c:pt>
                <c:pt idx="14">
                  <c:v>23</c:v>
                </c:pt>
                <c:pt idx="15">
                  <c:v>24</c:v>
                </c:pt>
                <c:pt idx="16">
                  <c:v>15</c:v>
                </c:pt>
                <c:pt idx="17">
                  <c:v>17.5</c:v>
                </c:pt>
                <c:pt idx="18">
                  <c:v>14.5</c:v>
                </c:pt>
                <c:pt idx="19">
                  <c:v>6.5</c:v>
                </c:pt>
                <c:pt idx="20">
                  <c:v>6.5</c:v>
                </c:pt>
                <c:pt idx="21">
                  <c:v>4</c:v>
                </c:pt>
                <c:pt idx="22">
                  <c:v>6.5</c:v>
                </c:pt>
                <c:pt idx="23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KYENJOJO-FORTPORTAL'!$AF$9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KYENJOJO-FORTPORTAL'!$R$10:$R$33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KYENJOJO-FORTPORTAL'!$AF$10:$AF$33</c:f>
              <c:numCache>
                <c:formatCode>0</c:formatCode>
                <c:ptCount val="24"/>
                <c:pt idx="0">
                  <c:v>31.142857142857146</c:v>
                </c:pt>
                <c:pt idx="1">
                  <c:v>25.285714285714285</c:v>
                </c:pt>
                <c:pt idx="2">
                  <c:v>31.428571428571431</c:v>
                </c:pt>
                <c:pt idx="3">
                  <c:v>36</c:v>
                </c:pt>
                <c:pt idx="4">
                  <c:v>38.142857142857139</c:v>
                </c:pt>
                <c:pt idx="5">
                  <c:v>35.857142857142854</c:v>
                </c:pt>
                <c:pt idx="6">
                  <c:v>34.142857142857146</c:v>
                </c:pt>
                <c:pt idx="7">
                  <c:v>40.285714285714285</c:v>
                </c:pt>
                <c:pt idx="8">
                  <c:v>40.285714285714285</c:v>
                </c:pt>
                <c:pt idx="9">
                  <c:v>40.999999999999993</c:v>
                </c:pt>
                <c:pt idx="10">
                  <c:v>49.571428571428569</c:v>
                </c:pt>
                <c:pt idx="11">
                  <c:v>44.857142857142854</c:v>
                </c:pt>
                <c:pt idx="12">
                  <c:v>25</c:v>
                </c:pt>
                <c:pt idx="13">
                  <c:v>29</c:v>
                </c:pt>
                <c:pt idx="14">
                  <c:v>24.5</c:v>
                </c:pt>
                <c:pt idx="15">
                  <c:v>25</c:v>
                </c:pt>
                <c:pt idx="16">
                  <c:v>15</c:v>
                </c:pt>
                <c:pt idx="17">
                  <c:v>17.5</c:v>
                </c:pt>
                <c:pt idx="18">
                  <c:v>14.5</c:v>
                </c:pt>
                <c:pt idx="19">
                  <c:v>6.5</c:v>
                </c:pt>
                <c:pt idx="20">
                  <c:v>6.5</c:v>
                </c:pt>
                <c:pt idx="21">
                  <c:v>4</c:v>
                </c:pt>
                <c:pt idx="22">
                  <c:v>6.5</c:v>
                </c:pt>
                <c:pt idx="23">
                  <c:v>12.5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094656"/>
        <c:axId val="117243904"/>
      </c:lineChart>
      <c:catAx>
        <c:axId val="117094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243904"/>
        <c:crosses val="autoZero"/>
        <c:auto val="1"/>
        <c:lblAlgn val="ctr"/>
        <c:lblOffset val="100"/>
        <c:noMultiLvlLbl val="0"/>
      </c:catAx>
      <c:valAx>
        <c:axId val="117243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09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KYENJOJO-FORTPORTAL'!$C$9:$N$9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KYENJOJO-FORTPORTAL'!$C$107:$N$107</c:f>
              <c:numCache>
                <c:formatCode>0.0%</c:formatCode>
                <c:ptCount val="12"/>
                <c:pt idx="0">
                  <c:v>0.13295057975909041</c:v>
                </c:pt>
                <c:pt idx="1">
                  <c:v>0</c:v>
                </c:pt>
                <c:pt idx="2">
                  <c:v>0.2214342001576044</c:v>
                </c:pt>
                <c:pt idx="3">
                  <c:v>0.18034447821681868</c:v>
                </c:pt>
                <c:pt idx="4">
                  <c:v>6.8670494202409072E-3</c:v>
                </c:pt>
                <c:pt idx="5">
                  <c:v>3.8838230327592031E-2</c:v>
                </c:pt>
                <c:pt idx="6">
                  <c:v>0.18214567150737365</c:v>
                </c:pt>
                <c:pt idx="7">
                  <c:v>1.6998761679612742E-2</c:v>
                </c:pt>
                <c:pt idx="8">
                  <c:v>7.7676460655184045E-3</c:v>
                </c:pt>
                <c:pt idx="9">
                  <c:v>9.2198581560283682E-2</c:v>
                </c:pt>
                <c:pt idx="10">
                  <c:v>0.1204548013058651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KYENJOJO-FORTPORTAL'!$C$9:$N$9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KYENJOJO-FORTPORTAL'!$C$108:$N$108</c:f>
              <c:numCache>
                <c:formatCode>0.00%</c:formatCode>
                <c:ptCount val="12"/>
                <c:pt idx="0">
                  <c:v>0.15115832586714451</c:v>
                </c:pt>
                <c:pt idx="1">
                  <c:v>0</c:v>
                </c:pt>
                <c:pt idx="2">
                  <c:v>0.2517598873672085</c:v>
                </c:pt>
                <c:pt idx="3">
                  <c:v>0.20504287725585565</c:v>
                </c:pt>
                <c:pt idx="4">
                  <c:v>7.8075003199795196E-3</c:v>
                </c:pt>
                <c:pt idx="5">
                  <c:v>4.4157173940867787E-2</c:v>
                </c:pt>
                <c:pt idx="6">
                  <c:v>0.20709074619224371</c:v>
                </c:pt>
                <c:pt idx="7">
                  <c:v>1.932676308716242E-2</c:v>
                </c:pt>
                <c:pt idx="8">
                  <c:v>8.8314347881735568E-3</c:v>
                </c:pt>
                <c:pt idx="9">
                  <c:v>0.10482529118136438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FORTPORTAL-KYENJONJO'!$AE$9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FORTPORTAL-KYENJONJO'!$R$10:$R$33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FORTPORTAL-KYENJONJO'!$AE$10:$AE$33</c:f>
              <c:numCache>
                <c:formatCode>0</c:formatCode>
                <c:ptCount val="24"/>
                <c:pt idx="0">
                  <c:v>20.571428571428573</c:v>
                </c:pt>
                <c:pt idx="1">
                  <c:v>24.142857142857146</c:v>
                </c:pt>
                <c:pt idx="2">
                  <c:v>28.285714285714285</c:v>
                </c:pt>
                <c:pt idx="3">
                  <c:v>39.142857142857146</c:v>
                </c:pt>
                <c:pt idx="4">
                  <c:v>29.142857142857146</c:v>
                </c:pt>
                <c:pt idx="5">
                  <c:v>32.428571428571431</c:v>
                </c:pt>
                <c:pt idx="6">
                  <c:v>31.857142857142858</c:v>
                </c:pt>
                <c:pt idx="7">
                  <c:v>29.571428571428569</c:v>
                </c:pt>
                <c:pt idx="8">
                  <c:v>29.285714285714285</c:v>
                </c:pt>
                <c:pt idx="9">
                  <c:v>32.571428571428569</c:v>
                </c:pt>
                <c:pt idx="10">
                  <c:v>34.714285714285715</c:v>
                </c:pt>
                <c:pt idx="11">
                  <c:v>30.142857142857142</c:v>
                </c:pt>
                <c:pt idx="12">
                  <c:v>18</c:v>
                </c:pt>
                <c:pt idx="13">
                  <c:v>23.5</c:v>
                </c:pt>
                <c:pt idx="14">
                  <c:v>10.5</c:v>
                </c:pt>
                <c:pt idx="15">
                  <c:v>21.5</c:v>
                </c:pt>
                <c:pt idx="16">
                  <c:v>10.5</c:v>
                </c:pt>
                <c:pt idx="17">
                  <c:v>12</c:v>
                </c:pt>
                <c:pt idx="18">
                  <c:v>10.5</c:v>
                </c:pt>
                <c:pt idx="19">
                  <c:v>12</c:v>
                </c:pt>
                <c:pt idx="20">
                  <c:v>2.5</c:v>
                </c:pt>
                <c:pt idx="21">
                  <c:v>7</c:v>
                </c:pt>
                <c:pt idx="22">
                  <c:v>9</c:v>
                </c:pt>
                <c:pt idx="23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FORTPORTAL-KYENJONJO'!$AF$9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FORTPORTAL-KYENJONJO'!$R$10:$R$33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FORTPORTAL-KYENJONJO'!$AF$10:$AF$33</c:f>
              <c:numCache>
                <c:formatCode>0</c:formatCode>
                <c:ptCount val="24"/>
                <c:pt idx="0">
                  <c:v>25.428571428571431</c:v>
                </c:pt>
                <c:pt idx="1">
                  <c:v>28.428571428571434</c:v>
                </c:pt>
                <c:pt idx="2">
                  <c:v>32.142857142857146</c:v>
                </c:pt>
                <c:pt idx="3">
                  <c:v>44.285714285714285</c:v>
                </c:pt>
                <c:pt idx="4">
                  <c:v>35.714285714285715</c:v>
                </c:pt>
                <c:pt idx="5">
                  <c:v>35.857142857142861</c:v>
                </c:pt>
                <c:pt idx="6">
                  <c:v>35.714285714285715</c:v>
                </c:pt>
                <c:pt idx="7">
                  <c:v>35</c:v>
                </c:pt>
                <c:pt idx="8">
                  <c:v>34</c:v>
                </c:pt>
                <c:pt idx="9">
                  <c:v>37.142857142857146</c:v>
                </c:pt>
                <c:pt idx="10">
                  <c:v>40.857142857142861</c:v>
                </c:pt>
                <c:pt idx="11">
                  <c:v>35</c:v>
                </c:pt>
                <c:pt idx="12">
                  <c:v>19</c:v>
                </c:pt>
                <c:pt idx="13">
                  <c:v>26</c:v>
                </c:pt>
                <c:pt idx="14">
                  <c:v>11</c:v>
                </c:pt>
                <c:pt idx="15">
                  <c:v>23</c:v>
                </c:pt>
                <c:pt idx="16">
                  <c:v>10.5</c:v>
                </c:pt>
                <c:pt idx="17">
                  <c:v>12</c:v>
                </c:pt>
                <c:pt idx="18">
                  <c:v>10.5</c:v>
                </c:pt>
                <c:pt idx="19">
                  <c:v>12</c:v>
                </c:pt>
                <c:pt idx="20">
                  <c:v>2.5</c:v>
                </c:pt>
                <c:pt idx="21">
                  <c:v>7.5</c:v>
                </c:pt>
                <c:pt idx="22">
                  <c:v>9</c:v>
                </c:pt>
                <c:pt idx="23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88736"/>
        <c:axId val="117998720"/>
      </c:lineChart>
      <c:catAx>
        <c:axId val="117988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998720"/>
        <c:crosses val="autoZero"/>
        <c:auto val="1"/>
        <c:lblAlgn val="ctr"/>
        <c:lblOffset val="100"/>
        <c:noMultiLvlLbl val="0"/>
      </c:catAx>
      <c:valAx>
        <c:axId val="11799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98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FORTPORTAL-KYENJONJO'!$C$9:$N$9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FORTPORTAL-KYENJONJO'!$C$107:$N$107</c:f>
              <c:numCache>
                <c:formatCode>0.0%</c:formatCode>
                <c:ptCount val="12"/>
                <c:pt idx="0">
                  <c:v>0.13686699017046161</c:v>
                </c:pt>
                <c:pt idx="1">
                  <c:v>0</c:v>
                </c:pt>
                <c:pt idx="2">
                  <c:v>0.25432375264402141</c:v>
                </c:pt>
                <c:pt idx="3">
                  <c:v>0.19497324872464855</c:v>
                </c:pt>
                <c:pt idx="4">
                  <c:v>7.0921985815602853E-3</c:v>
                </c:pt>
                <c:pt idx="5">
                  <c:v>4.0064700758989678E-2</c:v>
                </c:pt>
                <c:pt idx="6">
                  <c:v>0.14346149060594754</c:v>
                </c:pt>
                <c:pt idx="7">
                  <c:v>2.2894114719422674E-2</c:v>
                </c:pt>
                <c:pt idx="8">
                  <c:v>7.4654721911160881E-3</c:v>
                </c:pt>
                <c:pt idx="9">
                  <c:v>7.6769939031977125E-2</c:v>
                </c:pt>
                <c:pt idx="10">
                  <c:v>0.11534154535274355</c:v>
                </c:pt>
                <c:pt idx="11">
                  <c:v>7.4654721911160892E-4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FORTPORTAL-KYENJONJO'!$C$9:$N$9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FORTPORTAL-KYENJONJO'!$C$108:$N$108</c:f>
              <c:numCache>
                <c:formatCode>0.00%</c:formatCode>
                <c:ptCount val="12"/>
                <c:pt idx="0">
                  <c:v>0.15471167369901542</c:v>
                </c:pt>
                <c:pt idx="1">
                  <c:v>0</c:v>
                </c:pt>
                <c:pt idx="2">
                  <c:v>0.28748241912798866</c:v>
                </c:pt>
                <c:pt idx="3">
                  <c:v>0.22039381153305204</c:v>
                </c:pt>
                <c:pt idx="4">
                  <c:v>8.0168776371307999E-3</c:v>
                </c:pt>
                <c:pt idx="5">
                  <c:v>4.5288326300984526E-2</c:v>
                </c:pt>
                <c:pt idx="6">
                  <c:v>0.16216596343178621</c:v>
                </c:pt>
                <c:pt idx="7">
                  <c:v>2.5879043600562587E-2</c:v>
                </c:pt>
                <c:pt idx="8">
                  <c:v>8.4388185654008414E-3</c:v>
                </c:pt>
                <c:pt idx="9">
                  <c:v>8.6779184247538665E-2</c:v>
                </c:pt>
                <c:pt idx="11">
                  <c:v>8.438818565400843E-4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KYENJOJO-FORTPORT-2Dir'!$C$9:$N$9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KYENJOJO-FORTPORT-2Dir'!$C$107:$N$107</c:f>
              <c:numCache>
                <c:formatCode>0.0%</c:formatCode>
                <c:ptCount val="12"/>
                <c:pt idx="0">
                  <c:v>0.13481087470449174</c:v>
                </c:pt>
                <c:pt idx="1">
                  <c:v>0.10667553191489357</c:v>
                </c:pt>
                <c:pt idx="2">
                  <c:v>0.13038120567375888</c:v>
                </c:pt>
                <c:pt idx="3">
                  <c:v>0.18729314420803783</c:v>
                </c:pt>
                <c:pt idx="4">
                  <c:v>6.9739952718676137E-3</c:v>
                </c:pt>
                <c:pt idx="5">
                  <c:v>3.9420803782505918E-2</c:v>
                </c:pt>
                <c:pt idx="6">
                  <c:v>0.16377068557919625</c:v>
                </c:pt>
                <c:pt idx="7">
                  <c:v>1.9799054373522463E-2</c:v>
                </c:pt>
                <c:pt idx="8">
                  <c:v>7.6241134751773056E-3</c:v>
                </c:pt>
                <c:pt idx="9">
                  <c:v>8.4869976359338087E-2</c:v>
                </c:pt>
                <c:pt idx="10">
                  <c:v>0.11802600472813238</c:v>
                </c:pt>
                <c:pt idx="11">
                  <c:v>3.5460992907801421E-4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KYENJOJO-FORTPORT-2Dir'!$C$9:$N$9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KYENJOJO-FORTPORT-2Dir'!$C$108:$N$108</c:f>
              <c:numCache>
                <c:formatCode>0.00%</c:formatCode>
                <c:ptCount val="12"/>
                <c:pt idx="0">
                  <c:v>0.15285130335723388</c:v>
                </c:pt>
                <c:pt idx="1">
                  <c:v>0.12095088119010919</c:v>
                </c:pt>
                <c:pt idx="2">
                  <c:v>0.1478288547879113</c:v>
                </c:pt>
                <c:pt idx="3">
                  <c:v>0.21235676472559142</c:v>
                </c:pt>
                <c:pt idx="4">
                  <c:v>7.9072572539033732E-3</c:v>
                </c:pt>
                <c:pt idx="5">
                  <c:v>4.4696106680962293E-2</c:v>
                </c:pt>
                <c:pt idx="6">
                  <c:v>0.18568652415734108</c:v>
                </c:pt>
                <c:pt idx="7">
                  <c:v>2.2448569322522288E-2</c:v>
                </c:pt>
                <c:pt idx="8">
                  <c:v>8.6443744555384332E-3</c:v>
                </c:pt>
                <c:pt idx="9">
                  <c:v>9.6227300140722422E-2</c:v>
                </c:pt>
                <c:pt idx="11">
                  <c:v>4.0206392816457827E-4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KYENJOJO-FORTPORT-2Dir'!$AE$9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KYENJOJO-FORTPORT-2Dir'!$R$10:$R$33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KYENJOJO-FORTPORT-2Dir'!$AE$10:$AE$33</c:f>
              <c:numCache>
                <c:formatCode>0</c:formatCode>
                <c:ptCount val="24"/>
                <c:pt idx="0">
                  <c:v>47.142857142857139</c:v>
                </c:pt>
                <c:pt idx="1">
                  <c:v>45.142857142857146</c:v>
                </c:pt>
                <c:pt idx="2">
                  <c:v>55</c:v>
                </c:pt>
                <c:pt idx="3">
                  <c:v>70.857142857142861</c:v>
                </c:pt>
                <c:pt idx="4">
                  <c:v>61.428571428571431</c:v>
                </c:pt>
                <c:pt idx="5">
                  <c:v>62.428571428571423</c:v>
                </c:pt>
                <c:pt idx="6">
                  <c:v>60.999999999999993</c:v>
                </c:pt>
                <c:pt idx="7">
                  <c:v>63.857142857142847</c:v>
                </c:pt>
                <c:pt idx="8">
                  <c:v>63.571428571428569</c:v>
                </c:pt>
                <c:pt idx="9">
                  <c:v>68.428571428571431</c:v>
                </c:pt>
                <c:pt idx="10">
                  <c:v>78.714285714285708</c:v>
                </c:pt>
                <c:pt idx="11">
                  <c:v>69.857142857142861</c:v>
                </c:pt>
                <c:pt idx="12">
                  <c:v>37</c:v>
                </c:pt>
                <c:pt idx="13">
                  <c:v>48.5</c:v>
                </c:pt>
                <c:pt idx="14">
                  <c:v>33.5</c:v>
                </c:pt>
                <c:pt idx="15">
                  <c:v>45.5</c:v>
                </c:pt>
                <c:pt idx="16">
                  <c:v>25.5</c:v>
                </c:pt>
                <c:pt idx="17">
                  <c:v>29.5</c:v>
                </c:pt>
                <c:pt idx="18">
                  <c:v>25</c:v>
                </c:pt>
                <c:pt idx="19">
                  <c:v>18.5</c:v>
                </c:pt>
                <c:pt idx="20">
                  <c:v>9</c:v>
                </c:pt>
                <c:pt idx="21">
                  <c:v>11</c:v>
                </c:pt>
                <c:pt idx="22">
                  <c:v>15.5</c:v>
                </c:pt>
                <c:pt idx="23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9D4-4998-A4C6-BE9CC441551D}"/>
            </c:ext>
          </c:extLst>
        </c:ser>
        <c:ser>
          <c:idx val="1"/>
          <c:order val="1"/>
          <c:tx>
            <c:strRef>
              <c:f>'Avg Week KYENJOJO-FORTPORT-2Dir'!$AF$9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KYENJOJO-FORTPORT-2Dir'!$R$10:$R$33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KYENJOJO-FORTPORT-2Dir'!$AF$10:$AF$33</c:f>
              <c:numCache>
                <c:formatCode>0</c:formatCode>
                <c:ptCount val="24"/>
                <c:pt idx="0">
                  <c:v>56.571428571428569</c:v>
                </c:pt>
                <c:pt idx="1">
                  <c:v>53.714285714285715</c:v>
                </c:pt>
                <c:pt idx="2">
                  <c:v>63.571428571428569</c:v>
                </c:pt>
                <c:pt idx="3">
                  <c:v>80.285714285714278</c:v>
                </c:pt>
                <c:pt idx="4">
                  <c:v>73.857142857142847</c:v>
                </c:pt>
                <c:pt idx="5">
                  <c:v>71.714285714285708</c:v>
                </c:pt>
                <c:pt idx="6">
                  <c:v>69.857142857142861</c:v>
                </c:pt>
                <c:pt idx="7">
                  <c:v>75.285714285714278</c:v>
                </c:pt>
                <c:pt idx="8">
                  <c:v>74.285714285714278</c:v>
                </c:pt>
                <c:pt idx="9">
                  <c:v>78.142857142857139</c:v>
                </c:pt>
                <c:pt idx="10">
                  <c:v>90.428571428571416</c:v>
                </c:pt>
                <c:pt idx="11">
                  <c:v>79.857142857142861</c:v>
                </c:pt>
                <c:pt idx="12">
                  <c:v>44</c:v>
                </c:pt>
                <c:pt idx="13">
                  <c:v>55</c:v>
                </c:pt>
                <c:pt idx="14">
                  <c:v>35.5</c:v>
                </c:pt>
                <c:pt idx="15">
                  <c:v>48</c:v>
                </c:pt>
                <c:pt idx="16">
                  <c:v>25.5</c:v>
                </c:pt>
                <c:pt idx="17">
                  <c:v>29.5</c:v>
                </c:pt>
                <c:pt idx="18">
                  <c:v>25</c:v>
                </c:pt>
                <c:pt idx="19">
                  <c:v>18.5</c:v>
                </c:pt>
                <c:pt idx="20">
                  <c:v>9</c:v>
                </c:pt>
                <c:pt idx="21">
                  <c:v>11.5</c:v>
                </c:pt>
                <c:pt idx="22">
                  <c:v>15.5</c:v>
                </c:pt>
                <c:pt idx="23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9D4-4998-A4C6-BE9CC441551D}"/>
            </c:ext>
          </c:extLst>
        </c:ser>
        <c:ser>
          <c:idx val="5"/>
          <c:order val="2"/>
          <c:tx>
            <c:strRef>
              <c:f>'Avg Week KYENJOJO-FORTPORT-2Dir'!$AC$9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KYENJOJO-FORTPORT-2Dir'!$R$10:$R$33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KYENJOJO-FORTPORT-2Dir'!$AC$10:$AC$33</c:f>
              <c:numCache>
                <c:formatCode>0</c:formatCode>
                <c:ptCount val="24"/>
                <c:pt idx="0">
                  <c:v>9.428571428571427</c:v>
                </c:pt>
                <c:pt idx="1">
                  <c:v>8.5714285714285712</c:v>
                </c:pt>
                <c:pt idx="2">
                  <c:v>8.5714285714285712</c:v>
                </c:pt>
                <c:pt idx="3">
                  <c:v>9.4285714285714288</c:v>
                </c:pt>
                <c:pt idx="4">
                  <c:v>12.428571428571427</c:v>
                </c:pt>
                <c:pt idx="5">
                  <c:v>9.2857142857142847</c:v>
                </c:pt>
                <c:pt idx="6">
                  <c:v>8.8571428571428577</c:v>
                </c:pt>
                <c:pt idx="7">
                  <c:v>11.428571428571431</c:v>
                </c:pt>
                <c:pt idx="8">
                  <c:v>10.714285714285714</c:v>
                </c:pt>
                <c:pt idx="9">
                  <c:v>9.7142857142857135</c:v>
                </c:pt>
                <c:pt idx="10">
                  <c:v>11.714285714285715</c:v>
                </c:pt>
                <c:pt idx="11">
                  <c:v>10</c:v>
                </c:pt>
                <c:pt idx="12">
                  <c:v>7</c:v>
                </c:pt>
                <c:pt idx="13">
                  <c:v>6.5</c:v>
                </c:pt>
                <c:pt idx="14">
                  <c:v>2</c:v>
                </c:pt>
                <c:pt idx="15">
                  <c:v>2.5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0.5</c:v>
                </c:pt>
                <c:pt idx="22">
                  <c:v>0</c:v>
                </c:pt>
                <c:pt idx="2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9D4-4998-A4C6-BE9CC4415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KYENJOJO-FORTPORT-2Dir'!$S$9:$AF$9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KYENJOJO-FORTPORT-2Dir'!$S$41:$AF$41</c:f>
              <c:numCache>
                <c:formatCode>_(* #,##0_);_(* \(#,##0\);_(* "-"_);_(@_)</c:formatCode>
                <c:ptCount val="14"/>
                <c:pt idx="0">
                  <c:v>162.92857142857142</c:v>
                </c:pt>
                <c:pt idx="1">
                  <c:v>128.92500000000001</c:v>
                </c:pt>
                <c:pt idx="2">
                  <c:v>157.57500000000005</c:v>
                </c:pt>
                <c:pt idx="3">
                  <c:v>226.35714285714283</c:v>
                </c:pt>
                <c:pt idx="4">
                  <c:v>8.428571428571427</c:v>
                </c:pt>
                <c:pt idx="5">
                  <c:v>47.642857142857139</c:v>
                </c:pt>
                <c:pt idx="6">
                  <c:v>197.92857142857144</c:v>
                </c:pt>
                <c:pt idx="7">
                  <c:v>23.928571428571427</c:v>
                </c:pt>
                <c:pt idx="8">
                  <c:v>9.2142857142857135</c:v>
                </c:pt>
                <c:pt idx="9">
                  <c:v>102.57142857142858</c:v>
                </c:pt>
                <c:pt idx="10">
                  <c:v>142.64285714285714</c:v>
                </c:pt>
                <c:pt idx="11">
                  <c:v>0.42857142857142855</c:v>
                </c:pt>
                <c:pt idx="12">
                  <c:v>1065.9285714285716</c:v>
                </c:pt>
                <c:pt idx="13">
                  <c:v>1208.5714285714284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C3-45C3-8331-38FE5248AD6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KYENJOJO-FORTPORT-2Dir'!$S$9:$AF$9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KYENJOJO-FORTPORT-2Dir'!$S$42:$AF$42</c:f>
              <c:numCache>
                <c:formatCode>0.000</c:formatCode>
                <c:ptCount val="14"/>
                <c:pt idx="0">
                  <c:v>1.3200231481481481</c:v>
                </c:pt>
                <c:pt idx="1">
                  <c:v>0</c:v>
                </c:pt>
                <c:pt idx="2">
                  <c:v>1.219148936170213</c:v>
                </c:pt>
                <c:pt idx="3">
                  <c:v>1.1676492262343405</c:v>
                </c:pt>
                <c:pt idx="4">
                  <c:v>1.5526315789473684</c:v>
                </c:pt>
                <c:pt idx="5">
                  <c:v>1.3556910569105691</c:v>
                </c:pt>
                <c:pt idx="6">
                  <c:v>2.401213171577123</c:v>
                </c:pt>
                <c:pt idx="7">
                  <c:v>1.9252873563218391</c:v>
                </c:pt>
                <c:pt idx="8">
                  <c:v>1.9545454545454548</c:v>
                </c:pt>
                <c:pt idx="9">
                  <c:v>1.8795811518324608</c:v>
                </c:pt>
                <c:pt idx="10">
                  <c:v>1.1872770511296076</c:v>
                </c:pt>
                <c:pt idx="11">
                  <c:v>1</c:v>
                </c:pt>
                <c:pt idx="12">
                  <c:v>1.4261276758409787</c:v>
                </c:pt>
                <c:pt idx="13">
                  <c:v>1.3930512102749875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11-44F3-B842-F05762F686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349250</xdr:colOff>
      <xdr:row>58</xdr:row>
      <xdr:rowOff>31751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0</xdr:colOff>
      <xdr:row>58</xdr:row>
      <xdr:rowOff>73025</xdr:rowOff>
    </xdr:from>
    <xdr:to>
      <xdr:col>30</xdr:col>
      <xdr:colOff>0</xdr:colOff>
      <xdr:row>71</xdr:row>
      <xdr:rowOff>111125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15875</xdr:colOff>
      <xdr:row>58</xdr:row>
      <xdr:rowOff>63501</xdr:rowOff>
    </xdr:from>
    <xdr:to>
      <xdr:col>24</xdr:col>
      <xdr:colOff>0</xdr:colOff>
      <xdr:row>71</xdr:row>
      <xdr:rowOff>79375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43</xdr:row>
      <xdr:rowOff>6349</xdr:rowOff>
    </xdr:from>
    <xdr:to>
      <xdr:col>27</xdr:col>
      <xdr:colOff>650875</xdr:colOff>
      <xdr:row>57</xdr:row>
      <xdr:rowOff>269874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23</xdr:col>
      <xdr:colOff>0</xdr:colOff>
      <xdr:row>58</xdr:row>
      <xdr:rowOff>247651</xdr:rowOff>
    </xdr:from>
    <xdr:to>
      <xdr:col>30</xdr:col>
      <xdr:colOff>0</xdr:colOff>
      <xdr:row>72</xdr:row>
      <xdr:rowOff>222251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15875</xdr:colOff>
      <xdr:row>58</xdr:row>
      <xdr:rowOff>254000</xdr:rowOff>
    </xdr:from>
    <xdr:to>
      <xdr:col>23</xdr:col>
      <xdr:colOff>1</xdr:colOff>
      <xdr:row>72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74</xdr:row>
      <xdr:rowOff>57150</xdr:rowOff>
    </xdr:from>
    <xdr:to>
      <xdr:col>23</xdr:col>
      <xdr:colOff>634999</xdr:colOff>
      <xdr:row>90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58</xdr:row>
      <xdr:rowOff>47625</xdr:rowOff>
    </xdr:from>
    <xdr:to>
      <xdr:col>23</xdr:col>
      <xdr:colOff>634999</xdr:colOff>
      <xdr:row>74</xdr:row>
      <xdr:rowOff>63500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1</xdr:rowOff>
    </xdr:from>
    <xdr:to>
      <xdr:col>28</xdr:col>
      <xdr:colOff>0</xdr:colOff>
      <xdr:row>58</xdr:row>
      <xdr:rowOff>15875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650875</xdr:colOff>
      <xdr:row>58</xdr:row>
      <xdr:rowOff>47624</xdr:rowOff>
    </xdr:from>
    <xdr:to>
      <xdr:col>30</xdr:col>
      <xdr:colOff>635000</xdr:colOff>
      <xdr:row>74</xdr:row>
      <xdr:rowOff>95249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650875</xdr:colOff>
      <xdr:row>74</xdr:row>
      <xdr:rowOff>79375</xdr:rowOff>
    </xdr:from>
    <xdr:to>
      <xdr:col>30</xdr:col>
      <xdr:colOff>635000</xdr:colOff>
      <xdr:row>90</xdr:row>
      <xdr:rowOff>93663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KURE/Desktop/mcc/STN107/MCC-%20C4-STN10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B2" sqref="B2:AE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1" t="s">
        <v>96</v>
      </c>
      <c r="C3" s="59" t="s">
        <v>173</v>
      </c>
      <c r="D3" s="59"/>
      <c r="E3" s="59"/>
      <c r="F3" s="59"/>
      <c r="G3" s="59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54" t="s">
        <v>163</v>
      </c>
      <c r="H5" s="55"/>
      <c r="I5" s="14"/>
      <c r="J5" s="2" t="s">
        <v>5</v>
      </c>
      <c r="K5" s="54" t="s">
        <v>163</v>
      </c>
      <c r="L5" s="55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171</v>
      </c>
      <c r="E6" s="55"/>
      <c r="F6" s="2" t="s">
        <v>2</v>
      </c>
      <c r="G6" s="54" t="s">
        <v>172</v>
      </c>
      <c r="H6" s="55"/>
      <c r="J6" s="2" t="s">
        <v>21</v>
      </c>
      <c r="K6" s="54" t="s">
        <v>163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2</v>
      </c>
      <c r="G10" s="50">
        <v>0</v>
      </c>
      <c r="H10" s="50">
        <v>0</v>
      </c>
      <c r="I10" s="50">
        <v>0</v>
      </c>
      <c r="J10" s="50">
        <v>2</v>
      </c>
      <c r="K10" s="50">
        <v>1</v>
      </c>
      <c r="L10" s="50">
        <v>3</v>
      </c>
      <c r="M10" s="50">
        <v>2</v>
      </c>
      <c r="N10" s="50">
        <v>0</v>
      </c>
      <c r="O10" s="15">
        <f t="shared" ref="O10:O57" si="0">SUM(C10:L10,N10)</f>
        <v>9</v>
      </c>
      <c r="P10" s="15">
        <f t="shared" ref="P10:P57" si="1">SUM(C10:N10)</f>
        <v>11</v>
      </c>
      <c r="R10" s="1" t="s">
        <v>6</v>
      </c>
      <c r="S10" s="17">
        <f t="shared" ref="S10:AF10" si="2">SUM(C10:C13)</f>
        <v>6</v>
      </c>
      <c r="T10" s="17">
        <f t="shared" si="2"/>
        <v>0</v>
      </c>
      <c r="U10" s="17">
        <f t="shared" si="2"/>
        <v>4</v>
      </c>
      <c r="V10" s="17">
        <f t="shared" si="2"/>
        <v>14</v>
      </c>
      <c r="W10" s="17">
        <f t="shared" si="2"/>
        <v>0</v>
      </c>
      <c r="X10" s="17">
        <f t="shared" si="2"/>
        <v>1</v>
      </c>
      <c r="Y10" s="17">
        <f t="shared" si="2"/>
        <v>0</v>
      </c>
      <c r="Z10" s="17">
        <f t="shared" si="2"/>
        <v>3</v>
      </c>
      <c r="AA10" s="17">
        <f t="shared" si="2"/>
        <v>6</v>
      </c>
      <c r="AB10" s="17">
        <f t="shared" si="2"/>
        <v>3</v>
      </c>
      <c r="AC10" s="17">
        <f t="shared" si="2"/>
        <v>13</v>
      </c>
      <c r="AD10" s="17">
        <f t="shared" si="2"/>
        <v>0</v>
      </c>
      <c r="AE10" s="31">
        <f t="shared" si="2"/>
        <v>37</v>
      </c>
      <c r="AF10" s="31">
        <f t="shared" si="2"/>
        <v>50</v>
      </c>
    </row>
    <row r="11" spans="2:32" s="6" customFormat="1" ht="23.1" customHeight="1" x14ac:dyDescent="0.25">
      <c r="B11" s="23" t="s">
        <v>38</v>
      </c>
      <c r="C11" s="50">
        <v>3</v>
      </c>
      <c r="D11" s="50">
        <v>0</v>
      </c>
      <c r="E11" s="50">
        <v>2</v>
      </c>
      <c r="F11" s="50">
        <v>6</v>
      </c>
      <c r="G11" s="50">
        <v>0</v>
      </c>
      <c r="H11" s="50">
        <v>0</v>
      </c>
      <c r="I11" s="50">
        <v>0</v>
      </c>
      <c r="J11" s="50">
        <v>1</v>
      </c>
      <c r="K11" s="50">
        <v>4</v>
      </c>
      <c r="L11" s="50">
        <v>0</v>
      </c>
      <c r="M11" s="50">
        <v>4</v>
      </c>
      <c r="N11" s="50">
        <v>0</v>
      </c>
      <c r="O11" s="15">
        <f t="shared" si="0"/>
        <v>16</v>
      </c>
      <c r="P11" s="15">
        <f t="shared" si="1"/>
        <v>20</v>
      </c>
      <c r="R11" s="1" t="s">
        <v>7</v>
      </c>
      <c r="S11" s="17">
        <f t="shared" ref="S11:AF11" si="3">SUM(C14:C17)</f>
        <v>5</v>
      </c>
      <c r="T11" s="17">
        <f t="shared" si="3"/>
        <v>0</v>
      </c>
      <c r="U11" s="17">
        <f t="shared" si="3"/>
        <v>6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5</v>
      </c>
      <c r="AD11" s="17">
        <f t="shared" si="3"/>
        <v>0</v>
      </c>
      <c r="AE11" s="31">
        <f t="shared" si="3"/>
        <v>18</v>
      </c>
      <c r="AF11" s="31">
        <f t="shared" si="3"/>
        <v>23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4</v>
      </c>
      <c r="G12" s="50">
        <v>0</v>
      </c>
      <c r="H12" s="50">
        <v>1</v>
      </c>
      <c r="I12" s="50">
        <v>0</v>
      </c>
      <c r="J12" s="50">
        <v>0</v>
      </c>
      <c r="K12" s="50">
        <v>1</v>
      </c>
      <c r="L12" s="50">
        <v>0</v>
      </c>
      <c r="M12" s="50">
        <v>5</v>
      </c>
      <c r="N12" s="50">
        <v>0</v>
      </c>
      <c r="O12" s="15">
        <f t="shared" si="0"/>
        <v>7</v>
      </c>
      <c r="P12" s="15">
        <f t="shared" si="1"/>
        <v>12</v>
      </c>
      <c r="R12" s="1" t="s">
        <v>8</v>
      </c>
      <c r="S12" s="17">
        <f t="shared" ref="S12:AF12" si="4">SUM(C18:C21)</f>
        <v>15</v>
      </c>
      <c r="T12" s="17">
        <f t="shared" si="4"/>
        <v>0</v>
      </c>
      <c r="U12" s="17">
        <f t="shared" si="4"/>
        <v>1</v>
      </c>
      <c r="V12" s="17">
        <f t="shared" si="4"/>
        <v>8</v>
      </c>
      <c r="W12" s="17">
        <f t="shared" si="4"/>
        <v>0</v>
      </c>
      <c r="X12" s="17">
        <f t="shared" si="4"/>
        <v>2</v>
      </c>
      <c r="Y12" s="17">
        <f t="shared" si="4"/>
        <v>0</v>
      </c>
      <c r="Z12" s="17">
        <f t="shared" si="4"/>
        <v>0</v>
      </c>
      <c r="AA12" s="17">
        <f t="shared" si="4"/>
        <v>2</v>
      </c>
      <c r="AB12" s="17">
        <f t="shared" si="4"/>
        <v>3</v>
      </c>
      <c r="AC12" s="17">
        <f t="shared" si="4"/>
        <v>10</v>
      </c>
      <c r="AD12" s="17">
        <f t="shared" si="4"/>
        <v>0</v>
      </c>
      <c r="AE12" s="31">
        <f t="shared" si="4"/>
        <v>31</v>
      </c>
      <c r="AF12" s="31">
        <f t="shared" si="4"/>
        <v>41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2</v>
      </c>
      <c r="F13" s="50">
        <v>2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</v>
      </c>
      <c r="N13" s="50">
        <v>0</v>
      </c>
      <c r="O13" s="15">
        <f t="shared" si="0"/>
        <v>5</v>
      </c>
      <c r="P13" s="15">
        <f t="shared" si="1"/>
        <v>7</v>
      </c>
      <c r="R13" s="1" t="s">
        <v>9</v>
      </c>
      <c r="S13" s="17">
        <f t="shared" ref="S13:AF13" si="5">SUM(C22:C25)</f>
        <v>8</v>
      </c>
      <c r="T13" s="17">
        <f t="shared" si="5"/>
        <v>0</v>
      </c>
      <c r="U13" s="17">
        <f t="shared" si="5"/>
        <v>5</v>
      </c>
      <c r="V13" s="17">
        <f t="shared" si="5"/>
        <v>14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0</v>
      </c>
      <c r="AA13" s="17">
        <f t="shared" si="5"/>
        <v>1</v>
      </c>
      <c r="AB13" s="17">
        <f t="shared" si="5"/>
        <v>1</v>
      </c>
      <c r="AC13" s="17">
        <f t="shared" si="5"/>
        <v>8</v>
      </c>
      <c r="AD13" s="17">
        <f t="shared" si="5"/>
        <v>0</v>
      </c>
      <c r="AE13" s="31">
        <f t="shared" si="5"/>
        <v>33</v>
      </c>
      <c r="AF13" s="31">
        <f t="shared" si="5"/>
        <v>41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1</v>
      </c>
      <c r="N14" s="50">
        <v>0</v>
      </c>
      <c r="O14" s="15">
        <f t="shared" si="0"/>
        <v>3</v>
      </c>
      <c r="P14" s="15">
        <f t="shared" si="1"/>
        <v>4</v>
      </c>
      <c r="R14" s="1" t="s">
        <v>10</v>
      </c>
      <c r="S14" s="17">
        <f t="shared" ref="S14:AF14" si="6">SUM(C26:C29)</f>
        <v>7</v>
      </c>
      <c r="T14" s="17">
        <f t="shared" si="6"/>
        <v>0</v>
      </c>
      <c r="U14" s="17">
        <f t="shared" si="6"/>
        <v>11</v>
      </c>
      <c r="V14" s="17">
        <f t="shared" si="6"/>
        <v>9</v>
      </c>
      <c r="W14" s="17">
        <f t="shared" si="6"/>
        <v>0</v>
      </c>
      <c r="X14" s="17">
        <f t="shared" si="6"/>
        <v>2</v>
      </c>
      <c r="Y14" s="17">
        <f t="shared" si="6"/>
        <v>2</v>
      </c>
      <c r="Z14" s="17">
        <f t="shared" si="6"/>
        <v>0</v>
      </c>
      <c r="AA14" s="17">
        <f t="shared" si="6"/>
        <v>1</v>
      </c>
      <c r="AB14" s="17">
        <f t="shared" si="6"/>
        <v>2</v>
      </c>
      <c r="AC14" s="17">
        <f t="shared" si="6"/>
        <v>10</v>
      </c>
      <c r="AD14" s="17">
        <f t="shared" si="6"/>
        <v>0</v>
      </c>
      <c r="AE14" s="31">
        <f t="shared" si="6"/>
        <v>34</v>
      </c>
      <c r="AF14" s="31">
        <f t="shared" si="6"/>
        <v>44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1</v>
      </c>
      <c r="P15" s="15">
        <f t="shared" si="1"/>
        <v>1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12</v>
      </c>
      <c r="V15" s="17">
        <f t="shared" si="7"/>
        <v>10</v>
      </c>
      <c r="W15" s="17">
        <f t="shared" si="7"/>
        <v>1</v>
      </c>
      <c r="X15" s="17">
        <f t="shared" si="7"/>
        <v>2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4</v>
      </c>
      <c r="AC15" s="17">
        <f t="shared" si="7"/>
        <v>14</v>
      </c>
      <c r="AD15" s="17">
        <f t="shared" si="7"/>
        <v>0</v>
      </c>
      <c r="AE15" s="31">
        <f t="shared" si="7"/>
        <v>34</v>
      </c>
      <c r="AF15" s="31">
        <f t="shared" si="7"/>
        <v>48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4</v>
      </c>
      <c r="F16" s="50">
        <v>1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4</v>
      </c>
      <c r="N16" s="50">
        <v>0</v>
      </c>
      <c r="O16" s="15">
        <f t="shared" si="0"/>
        <v>8</v>
      </c>
      <c r="P16" s="15">
        <f t="shared" si="1"/>
        <v>12</v>
      </c>
      <c r="R16" s="1" t="s">
        <v>12</v>
      </c>
      <c r="S16" s="17">
        <f t="shared" ref="S16:AF16" si="8">SUM(C34:C37)</f>
        <v>4</v>
      </c>
      <c r="T16" s="17">
        <f t="shared" si="8"/>
        <v>0</v>
      </c>
      <c r="U16" s="17">
        <f t="shared" si="8"/>
        <v>11</v>
      </c>
      <c r="V16" s="17">
        <f t="shared" si="8"/>
        <v>12</v>
      </c>
      <c r="W16" s="17">
        <f t="shared" si="8"/>
        <v>0</v>
      </c>
      <c r="X16" s="17">
        <f t="shared" si="8"/>
        <v>4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3</v>
      </c>
      <c r="AC16" s="17">
        <f t="shared" si="8"/>
        <v>6</v>
      </c>
      <c r="AD16" s="17">
        <f t="shared" si="8"/>
        <v>0</v>
      </c>
      <c r="AE16" s="31">
        <f t="shared" si="8"/>
        <v>35</v>
      </c>
      <c r="AF16" s="31">
        <f t="shared" si="8"/>
        <v>41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1</v>
      </c>
      <c r="F17" s="50">
        <v>2</v>
      </c>
      <c r="G17" s="50">
        <v>0</v>
      </c>
      <c r="H17" s="50">
        <v>0</v>
      </c>
      <c r="I17" s="50">
        <v>0</v>
      </c>
      <c r="J17" s="50">
        <v>0</v>
      </c>
      <c r="K17" s="50">
        <v>1</v>
      </c>
      <c r="L17" s="50">
        <v>0</v>
      </c>
      <c r="M17" s="50">
        <v>0</v>
      </c>
      <c r="N17" s="50">
        <v>0</v>
      </c>
      <c r="O17" s="15">
        <f t="shared" si="0"/>
        <v>6</v>
      </c>
      <c r="P17" s="15">
        <f t="shared" si="1"/>
        <v>6</v>
      </c>
      <c r="R17" s="1" t="s">
        <v>13</v>
      </c>
      <c r="S17" s="17">
        <f t="shared" ref="S17:AF17" si="9">SUM(C38:C41)</f>
        <v>6</v>
      </c>
      <c r="T17" s="17">
        <f t="shared" si="9"/>
        <v>0</v>
      </c>
      <c r="U17" s="17">
        <f t="shared" si="9"/>
        <v>8</v>
      </c>
      <c r="V17" s="17">
        <f t="shared" si="9"/>
        <v>6</v>
      </c>
      <c r="W17" s="17">
        <f t="shared" si="9"/>
        <v>0</v>
      </c>
      <c r="X17" s="17">
        <f t="shared" si="9"/>
        <v>2</v>
      </c>
      <c r="Y17" s="17">
        <f t="shared" si="9"/>
        <v>5</v>
      </c>
      <c r="Z17" s="17">
        <f t="shared" si="9"/>
        <v>0</v>
      </c>
      <c r="AA17" s="17">
        <f t="shared" si="9"/>
        <v>0</v>
      </c>
      <c r="AB17" s="17">
        <f t="shared" si="9"/>
        <v>3</v>
      </c>
      <c r="AC17" s="17">
        <f t="shared" si="9"/>
        <v>12</v>
      </c>
      <c r="AD17" s="17">
        <f t="shared" si="9"/>
        <v>0</v>
      </c>
      <c r="AE17" s="31">
        <f t="shared" si="9"/>
        <v>30</v>
      </c>
      <c r="AF17" s="31">
        <f t="shared" si="9"/>
        <v>42</v>
      </c>
    </row>
    <row r="18" spans="2:32" ht="23.1" customHeight="1" x14ac:dyDescent="0.25">
      <c r="B18" s="23" t="s">
        <v>45</v>
      </c>
      <c r="C18" s="50">
        <v>4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1</v>
      </c>
      <c r="L18" s="50">
        <v>0</v>
      </c>
      <c r="M18" s="50">
        <v>1</v>
      </c>
      <c r="N18" s="50">
        <v>0</v>
      </c>
      <c r="O18" s="15">
        <f t="shared" si="0"/>
        <v>6</v>
      </c>
      <c r="P18" s="15">
        <f t="shared" si="1"/>
        <v>7</v>
      </c>
      <c r="R18" s="1" t="s">
        <v>14</v>
      </c>
      <c r="S18" s="17">
        <f t="shared" ref="S18:AF18" si="10">SUM(C42:C45)</f>
        <v>8</v>
      </c>
      <c r="T18" s="17">
        <f t="shared" si="10"/>
        <v>0</v>
      </c>
      <c r="U18" s="17">
        <f t="shared" si="10"/>
        <v>9</v>
      </c>
      <c r="V18" s="17">
        <f t="shared" si="10"/>
        <v>11</v>
      </c>
      <c r="W18" s="17">
        <f t="shared" si="10"/>
        <v>0</v>
      </c>
      <c r="X18" s="17">
        <f t="shared" si="10"/>
        <v>2</v>
      </c>
      <c r="Y18" s="17">
        <f t="shared" si="10"/>
        <v>2</v>
      </c>
      <c r="Z18" s="17">
        <f t="shared" si="10"/>
        <v>0</v>
      </c>
      <c r="AA18" s="17">
        <f t="shared" si="10"/>
        <v>0</v>
      </c>
      <c r="AB18" s="17">
        <f t="shared" si="10"/>
        <v>7</v>
      </c>
      <c r="AC18" s="17">
        <f t="shared" si="10"/>
        <v>10</v>
      </c>
      <c r="AD18" s="17">
        <f t="shared" si="10"/>
        <v>0</v>
      </c>
      <c r="AE18" s="31">
        <f t="shared" si="10"/>
        <v>39</v>
      </c>
      <c r="AF18" s="31">
        <f t="shared" si="10"/>
        <v>49</v>
      </c>
    </row>
    <row r="19" spans="2:32" ht="23.1" customHeight="1" x14ac:dyDescent="0.25">
      <c r="B19" s="23" t="s">
        <v>46</v>
      </c>
      <c r="C19" s="50">
        <v>3</v>
      </c>
      <c r="D19" s="50">
        <v>0</v>
      </c>
      <c r="E19" s="50">
        <v>1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</v>
      </c>
      <c r="N19" s="50">
        <v>0</v>
      </c>
      <c r="O19" s="15">
        <f t="shared" si="0"/>
        <v>5</v>
      </c>
      <c r="P19" s="15">
        <f t="shared" si="1"/>
        <v>6</v>
      </c>
      <c r="R19" s="1" t="s">
        <v>15</v>
      </c>
      <c r="S19" s="17">
        <f t="shared" ref="S19:AF19" si="11">SUM(C46:C49)</f>
        <v>11</v>
      </c>
      <c r="T19" s="17">
        <f t="shared" si="11"/>
        <v>0</v>
      </c>
      <c r="U19" s="17">
        <f t="shared" si="11"/>
        <v>10</v>
      </c>
      <c r="V19" s="17">
        <f t="shared" si="11"/>
        <v>9</v>
      </c>
      <c r="W19" s="17">
        <f t="shared" si="11"/>
        <v>0</v>
      </c>
      <c r="X19" s="17">
        <f t="shared" si="11"/>
        <v>0</v>
      </c>
      <c r="Y19" s="17">
        <f t="shared" si="11"/>
        <v>10</v>
      </c>
      <c r="Z19" s="17">
        <f t="shared" si="11"/>
        <v>0</v>
      </c>
      <c r="AA19" s="17">
        <f t="shared" si="11"/>
        <v>0</v>
      </c>
      <c r="AB19" s="17">
        <f t="shared" si="11"/>
        <v>3</v>
      </c>
      <c r="AC19" s="17">
        <f t="shared" si="11"/>
        <v>8</v>
      </c>
      <c r="AD19" s="17">
        <f t="shared" si="11"/>
        <v>0</v>
      </c>
      <c r="AE19" s="31">
        <f t="shared" si="11"/>
        <v>43</v>
      </c>
      <c r="AF19" s="31">
        <f t="shared" si="11"/>
        <v>51</v>
      </c>
    </row>
    <row r="20" spans="2:32" ht="23.1" customHeight="1" x14ac:dyDescent="0.25">
      <c r="B20" s="23" t="s">
        <v>47</v>
      </c>
      <c r="C20" s="50">
        <v>4</v>
      </c>
      <c r="D20" s="50">
        <v>0</v>
      </c>
      <c r="E20" s="50">
        <v>0</v>
      </c>
      <c r="F20" s="50">
        <v>4</v>
      </c>
      <c r="G20" s="50">
        <v>0</v>
      </c>
      <c r="H20" s="50">
        <v>1</v>
      </c>
      <c r="I20" s="50">
        <v>0</v>
      </c>
      <c r="J20" s="50">
        <v>0</v>
      </c>
      <c r="K20" s="50">
        <v>1</v>
      </c>
      <c r="L20" s="50">
        <v>3</v>
      </c>
      <c r="M20" s="50">
        <v>4</v>
      </c>
      <c r="N20" s="50">
        <v>0</v>
      </c>
      <c r="O20" s="15">
        <f t="shared" si="0"/>
        <v>13</v>
      </c>
      <c r="P20" s="15">
        <f t="shared" si="1"/>
        <v>17</v>
      </c>
      <c r="R20" s="1" t="s">
        <v>16</v>
      </c>
      <c r="S20" s="17">
        <f t="shared" ref="S20:AF20" si="12">SUM(C50:C53)</f>
        <v>10</v>
      </c>
      <c r="T20" s="17">
        <f t="shared" si="12"/>
        <v>0</v>
      </c>
      <c r="U20" s="17">
        <f t="shared" si="12"/>
        <v>18</v>
      </c>
      <c r="V20" s="17">
        <f t="shared" si="12"/>
        <v>9</v>
      </c>
      <c r="W20" s="17">
        <f t="shared" si="12"/>
        <v>0</v>
      </c>
      <c r="X20" s="17">
        <f t="shared" si="12"/>
        <v>2</v>
      </c>
      <c r="Y20" s="17">
        <f t="shared" si="12"/>
        <v>1</v>
      </c>
      <c r="Z20" s="17">
        <f t="shared" si="12"/>
        <v>1</v>
      </c>
      <c r="AA20" s="17">
        <f t="shared" si="12"/>
        <v>0</v>
      </c>
      <c r="AB20" s="17">
        <f t="shared" si="12"/>
        <v>1</v>
      </c>
      <c r="AC20" s="17">
        <f t="shared" si="12"/>
        <v>10</v>
      </c>
      <c r="AD20" s="17">
        <f t="shared" si="12"/>
        <v>0</v>
      </c>
      <c r="AE20" s="31">
        <f t="shared" si="12"/>
        <v>42</v>
      </c>
      <c r="AF20" s="31">
        <f t="shared" si="12"/>
        <v>52</v>
      </c>
    </row>
    <row r="21" spans="2:32" ht="23.1" customHeight="1" x14ac:dyDescent="0.25">
      <c r="B21" s="23" t="s">
        <v>48</v>
      </c>
      <c r="C21" s="50">
        <v>4</v>
      </c>
      <c r="D21" s="50">
        <v>0</v>
      </c>
      <c r="E21" s="50">
        <v>0</v>
      </c>
      <c r="F21" s="50">
        <v>2</v>
      </c>
      <c r="G21" s="50">
        <v>0</v>
      </c>
      <c r="H21" s="50">
        <v>1</v>
      </c>
      <c r="I21" s="50">
        <v>0</v>
      </c>
      <c r="J21" s="50">
        <v>0</v>
      </c>
      <c r="K21" s="50">
        <v>0</v>
      </c>
      <c r="L21" s="50">
        <v>0</v>
      </c>
      <c r="M21" s="50">
        <v>4</v>
      </c>
      <c r="N21" s="50">
        <v>0</v>
      </c>
      <c r="O21" s="15">
        <f t="shared" si="0"/>
        <v>7</v>
      </c>
      <c r="P21" s="15">
        <f t="shared" si="1"/>
        <v>11</v>
      </c>
      <c r="R21" s="36" t="s">
        <v>20</v>
      </c>
      <c r="S21" s="34">
        <f t="shared" ref="S21:AF21" si="13">SUM(C54:C57)</f>
        <v>4</v>
      </c>
      <c r="T21" s="17">
        <f t="shared" si="13"/>
        <v>0</v>
      </c>
      <c r="U21" s="17">
        <f t="shared" si="13"/>
        <v>12</v>
      </c>
      <c r="V21" s="17">
        <f t="shared" si="13"/>
        <v>6</v>
      </c>
      <c r="W21" s="17">
        <f t="shared" si="13"/>
        <v>0</v>
      </c>
      <c r="X21" s="17">
        <f t="shared" si="13"/>
        <v>2</v>
      </c>
      <c r="Y21" s="17">
        <f t="shared" si="13"/>
        <v>5</v>
      </c>
      <c r="Z21" s="17">
        <f t="shared" si="13"/>
        <v>0</v>
      </c>
      <c r="AA21" s="17">
        <f t="shared" si="13"/>
        <v>0</v>
      </c>
      <c r="AB21" s="17">
        <f t="shared" si="13"/>
        <v>1</v>
      </c>
      <c r="AC21" s="17">
        <f t="shared" si="13"/>
        <v>16</v>
      </c>
      <c r="AD21" s="17">
        <f t="shared" si="13"/>
        <v>0</v>
      </c>
      <c r="AE21" s="31">
        <f t="shared" si="13"/>
        <v>30</v>
      </c>
      <c r="AF21" s="31">
        <f t="shared" si="13"/>
        <v>46</v>
      </c>
    </row>
    <row r="22" spans="2:32" ht="23.1" customHeight="1" x14ac:dyDescent="0.25">
      <c r="B22" s="23" t="s">
        <v>49</v>
      </c>
      <c r="C22" s="50">
        <v>3</v>
      </c>
      <c r="D22" s="50">
        <v>0</v>
      </c>
      <c r="E22" s="50">
        <v>2</v>
      </c>
      <c r="F22" s="50">
        <v>2</v>
      </c>
      <c r="G22" s="50">
        <v>0</v>
      </c>
      <c r="H22" s="50">
        <v>0</v>
      </c>
      <c r="I22" s="50">
        <v>2</v>
      </c>
      <c r="J22" s="50">
        <v>0</v>
      </c>
      <c r="K22" s="50">
        <v>1</v>
      </c>
      <c r="L22" s="50">
        <v>0</v>
      </c>
      <c r="M22" s="50">
        <v>3</v>
      </c>
      <c r="N22" s="50">
        <v>0</v>
      </c>
      <c r="O22" s="15">
        <f t="shared" si="0"/>
        <v>10</v>
      </c>
      <c r="P22" s="15">
        <f t="shared" si="1"/>
        <v>13</v>
      </c>
      <c r="R22" s="38" t="s">
        <v>90</v>
      </c>
      <c r="S22" s="39">
        <f>MAX(S10:S12)</f>
        <v>15</v>
      </c>
      <c r="T22" s="39">
        <f t="shared" ref="T22:AF22" si="14">MAX(T10:T12)</f>
        <v>0</v>
      </c>
      <c r="U22" s="39">
        <f t="shared" si="14"/>
        <v>6</v>
      </c>
      <c r="V22" s="39">
        <f t="shared" si="14"/>
        <v>14</v>
      </c>
      <c r="W22" s="39">
        <f t="shared" si="14"/>
        <v>0</v>
      </c>
      <c r="X22" s="39">
        <f t="shared" si="14"/>
        <v>2</v>
      </c>
      <c r="Y22" s="39">
        <f t="shared" si="14"/>
        <v>3</v>
      </c>
      <c r="Z22" s="39">
        <f t="shared" si="14"/>
        <v>3</v>
      </c>
      <c r="AA22" s="39">
        <f t="shared" si="14"/>
        <v>6</v>
      </c>
      <c r="AB22" s="39">
        <f t="shared" si="14"/>
        <v>3</v>
      </c>
      <c r="AC22" s="39">
        <f t="shared" si="14"/>
        <v>13</v>
      </c>
      <c r="AD22" s="39">
        <f t="shared" si="14"/>
        <v>0</v>
      </c>
      <c r="AE22" s="40">
        <f t="shared" si="14"/>
        <v>37</v>
      </c>
      <c r="AF22" s="40">
        <f t="shared" si="14"/>
        <v>50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2</v>
      </c>
      <c r="F23" s="50">
        <v>3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4</v>
      </c>
      <c r="N23" s="50">
        <v>0</v>
      </c>
      <c r="O23" s="15">
        <f t="shared" si="0"/>
        <v>7</v>
      </c>
      <c r="P23" s="15">
        <f t="shared" si="1"/>
        <v>11</v>
      </c>
      <c r="R23" s="38" t="s">
        <v>91</v>
      </c>
      <c r="S23" s="39">
        <f>MAX(S13:S18)</f>
        <v>8</v>
      </c>
      <c r="T23" s="39">
        <f t="shared" ref="T23:AF23" si="15">MAX(T13:T18)</f>
        <v>0</v>
      </c>
      <c r="U23" s="39">
        <f t="shared" si="15"/>
        <v>12</v>
      </c>
      <c r="V23" s="39">
        <f t="shared" si="15"/>
        <v>14</v>
      </c>
      <c r="W23" s="39">
        <f t="shared" si="15"/>
        <v>1</v>
      </c>
      <c r="X23" s="39">
        <f t="shared" si="15"/>
        <v>4</v>
      </c>
      <c r="Y23" s="39">
        <f t="shared" si="15"/>
        <v>5</v>
      </c>
      <c r="Z23" s="39">
        <f t="shared" si="15"/>
        <v>0</v>
      </c>
      <c r="AA23" s="39">
        <f t="shared" si="15"/>
        <v>1</v>
      </c>
      <c r="AB23" s="39">
        <f t="shared" si="15"/>
        <v>7</v>
      </c>
      <c r="AC23" s="39">
        <f t="shared" si="15"/>
        <v>14</v>
      </c>
      <c r="AD23" s="39">
        <f t="shared" si="15"/>
        <v>0</v>
      </c>
      <c r="AE23" s="40">
        <f t="shared" si="15"/>
        <v>39</v>
      </c>
      <c r="AF23" s="40">
        <f t="shared" si="15"/>
        <v>49</v>
      </c>
    </row>
    <row r="24" spans="2:32" ht="23.1" customHeight="1" x14ac:dyDescent="0.25">
      <c r="B24" s="23" t="s">
        <v>51</v>
      </c>
      <c r="C24" s="50">
        <v>3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0</v>
      </c>
      <c r="N24" s="50">
        <v>0</v>
      </c>
      <c r="O24" s="15">
        <f t="shared" si="0"/>
        <v>4</v>
      </c>
      <c r="P24" s="15">
        <f t="shared" si="1"/>
        <v>4</v>
      </c>
      <c r="R24" s="38" t="s">
        <v>92</v>
      </c>
      <c r="S24" s="39">
        <f>MAX(S19:S21)</f>
        <v>11</v>
      </c>
      <c r="T24" s="39">
        <f t="shared" ref="T24:AF24" si="16">MAX(T19:T21)</f>
        <v>0</v>
      </c>
      <c r="U24" s="39">
        <f t="shared" si="16"/>
        <v>18</v>
      </c>
      <c r="V24" s="39">
        <f t="shared" si="16"/>
        <v>9</v>
      </c>
      <c r="W24" s="39">
        <f t="shared" si="16"/>
        <v>0</v>
      </c>
      <c r="X24" s="39">
        <f t="shared" si="16"/>
        <v>2</v>
      </c>
      <c r="Y24" s="39">
        <f t="shared" si="16"/>
        <v>10</v>
      </c>
      <c r="Z24" s="39">
        <f t="shared" si="16"/>
        <v>1</v>
      </c>
      <c r="AA24" s="39">
        <f t="shared" si="16"/>
        <v>0</v>
      </c>
      <c r="AB24" s="39">
        <f t="shared" si="16"/>
        <v>3</v>
      </c>
      <c r="AC24" s="39">
        <f t="shared" si="16"/>
        <v>16</v>
      </c>
      <c r="AD24" s="39">
        <f t="shared" si="16"/>
        <v>0</v>
      </c>
      <c r="AE24" s="40">
        <f t="shared" si="16"/>
        <v>43</v>
      </c>
      <c r="AF24" s="40">
        <f t="shared" si="16"/>
        <v>52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1</v>
      </c>
      <c r="F25" s="50">
        <v>8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1</v>
      </c>
      <c r="M25" s="50">
        <v>1</v>
      </c>
      <c r="N25" s="50">
        <v>0</v>
      </c>
      <c r="O25" s="15">
        <f t="shared" si="0"/>
        <v>12</v>
      </c>
      <c r="P25" s="15">
        <f t="shared" si="1"/>
        <v>13</v>
      </c>
      <c r="R25" s="37" t="s">
        <v>85</v>
      </c>
      <c r="S25" s="35">
        <f t="shared" ref="S25:AF25" si="17">SUM(S10:S12)</f>
        <v>26</v>
      </c>
      <c r="T25" s="16">
        <f t="shared" si="17"/>
        <v>0</v>
      </c>
      <c r="U25" s="16">
        <f t="shared" si="17"/>
        <v>11</v>
      </c>
      <c r="V25" s="16">
        <f t="shared" si="17"/>
        <v>25</v>
      </c>
      <c r="W25" s="16">
        <f t="shared" si="17"/>
        <v>0</v>
      </c>
      <c r="X25" s="16">
        <f t="shared" si="17"/>
        <v>3</v>
      </c>
      <c r="Y25" s="16">
        <f t="shared" si="17"/>
        <v>3</v>
      </c>
      <c r="Z25" s="16">
        <f t="shared" si="17"/>
        <v>3</v>
      </c>
      <c r="AA25" s="16">
        <f t="shared" si="17"/>
        <v>9</v>
      </c>
      <c r="AB25" s="16">
        <f t="shared" si="17"/>
        <v>6</v>
      </c>
      <c r="AC25" s="16">
        <f t="shared" si="17"/>
        <v>28</v>
      </c>
      <c r="AD25" s="16">
        <f t="shared" si="17"/>
        <v>0</v>
      </c>
      <c r="AE25" s="32">
        <f t="shared" si="17"/>
        <v>86</v>
      </c>
      <c r="AF25" s="32">
        <f t="shared" si="17"/>
        <v>114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3</v>
      </c>
      <c r="F26" s="50">
        <v>3</v>
      </c>
      <c r="G26" s="50">
        <v>0</v>
      </c>
      <c r="H26" s="50">
        <v>0</v>
      </c>
      <c r="I26" s="50">
        <v>1</v>
      </c>
      <c r="J26" s="50">
        <v>0</v>
      </c>
      <c r="K26" s="50">
        <v>1</v>
      </c>
      <c r="L26" s="50">
        <v>0</v>
      </c>
      <c r="M26" s="50">
        <v>5</v>
      </c>
      <c r="N26" s="50">
        <v>0</v>
      </c>
      <c r="O26" s="15">
        <f t="shared" si="0"/>
        <v>8</v>
      </c>
      <c r="P26" s="15">
        <f t="shared" si="1"/>
        <v>13</v>
      </c>
      <c r="R26" s="28" t="s">
        <v>86</v>
      </c>
      <c r="S26" s="16">
        <f t="shared" ref="S26:AF26" si="18">SUM(S13:S18)</f>
        <v>36</v>
      </c>
      <c r="T26" s="16">
        <f t="shared" si="18"/>
        <v>0</v>
      </c>
      <c r="U26" s="16">
        <f t="shared" si="18"/>
        <v>56</v>
      </c>
      <c r="V26" s="16">
        <f t="shared" si="18"/>
        <v>62</v>
      </c>
      <c r="W26" s="16">
        <f t="shared" si="18"/>
        <v>1</v>
      </c>
      <c r="X26" s="16">
        <f t="shared" si="18"/>
        <v>12</v>
      </c>
      <c r="Y26" s="16">
        <f t="shared" si="18"/>
        <v>16</v>
      </c>
      <c r="Z26" s="16">
        <f t="shared" si="18"/>
        <v>0</v>
      </c>
      <c r="AA26" s="16">
        <f t="shared" si="18"/>
        <v>2</v>
      </c>
      <c r="AB26" s="16">
        <f t="shared" si="18"/>
        <v>20</v>
      </c>
      <c r="AC26" s="16">
        <f t="shared" si="18"/>
        <v>60</v>
      </c>
      <c r="AD26" s="16">
        <f t="shared" si="18"/>
        <v>0</v>
      </c>
      <c r="AE26" s="32">
        <f t="shared" si="18"/>
        <v>205</v>
      </c>
      <c r="AF26" s="32">
        <f t="shared" si="18"/>
        <v>265</v>
      </c>
    </row>
    <row r="27" spans="2:32" ht="23.1" customHeight="1" x14ac:dyDescent="0.25">
      <c r="B27" s="23" t="s">
        <v>54</v>
      </c>
      <c r="C27" s="50">
        <v>2</v>
      </c>
      <c r="D27" s="50">
        <v>0</v>
      </c>
      <c r="E27" s="50">
        <v>3</v>
      </c>
      <c r="F27" s="50">
        <v>3</v>
      </c>
      <c r="G27" s="50">
        <v>0</v>
      </c>
      <c r="H27" s="50">
        <v>2</v>
      </c>
      <c r="I27" s="50">
        <v>1</v>
      </c>
      <c r="J27" s="50">
        <v>0</v>
      </c>
      <c r="K27" s="50">
        <v>0</v>
      </c>
      <c r="L27" s="50">
        <v>0</v>
      </c>
      <c r="M27" s="50">
        <v>1</v>
      </c>
      <c r="N27" s="50">
        <v>0</v>
      </c>
      <c r="O27" s="15">
        <f t="shared" si="0"/>
        <v>11</v>
      </c>
      <c r="P27" s="15">
        <f t="shared" si="1"/>
        <v>12</v>
      </c>
      <c r="R27" s="29" t="s">
        <v>87</v>
      </c>
      <c r="S27" s="16">
        <f t="shared" ref="S27:AF27" si="19">SUM(S19:S21)</f>
        <v>25</v>
      </c>
      <c r="T27" s="16">
        <f t="shared" si="19"/>
        <v>0</v>
      </c>
      <c r="U27" s="16">
        <f t="shared" si="19"/>
        <v>40</v>
      </c>
      <c r="V27" s="16">
        <f t="shared" si="19"/>
        <v>24</v>
      </c>
      <c r="W27" s="16">
        <f t="shared" si="19"/>
        <v>0</v>
      </c>
      <c r="X27" s="16">
        <f t="shared" si="19"/>
        <v>4</v>
      </c>
      <c r="Y27" s="16">
        <f t="shared" si="19"/>
        <v>16</v>
      </c>
      <c r="Z27" s="16">
        <f t="shared" si="19"/>
        <v>1</v>
      </c>
      <c r="AA27" s="16">
        <f t="shared" si="19"/>
        <v>0</v>
      </c>
      <c r="AB27" s="16">
        <f t="shared" si="19"/>
        <v>5</v>
      </c>
      <c r="AC27" s="16">
        <f t="shared" si="19"/>
        <v>34</v>
      </c>
      <c r="AD27" s="16">
        <f t="shared" si="19"/>
        <v>0</v>
      </c>
      <c r="AE27" s="32">
        <f t="shared" si="19"/>
        <v>115</v>
      </c>
      <c r="AF27" s="32">
        <f t="shared" si="19"/>
        <v>149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4</v>
      </c>
      <c r="F28" s="50">
        <v>2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1</v>
      </c>
      <c r="M28" s="50">
        <v>1</v>
      </c>
      <c r="N28" s="50">
        <v>0</v>
      </c>
      <c r="O28" s="15">
        <f t="shared" si="0"/>
        <v>9</v>
      </c>
      <c r="P28" s="15">
        <f t="shared" si="1"/>
        <v>10</v>
      </c>
      <c r="R28" s="5" t="s">
        <v>17</v>
      </c>
      <c r="S28" s="16">
        <f t="shared" ref="S28:AF28" si="20">SUM(S10:S21)</f>
        <v>87</v>
      </c>
      <c r="T28" s="16">
        <f t="shared" si="20"/>
        <v>0</v>
      </c>
      <c r="U28" s="16">
        <f t="shared" si="20"/>
        <v>107</v>
      </c>
      <c r="V28" s="16">
        <f t="shared" si="20"/>
        <v>111</v>
      </c>
      <c r="W28" s="16">
        <f t="shared" si="20"/>
        <v>1</v>
      </c>
      <c r="X28" s="16">
        <f t="shared" si="20"/>
        <v>19</v>
      </c>
      <c r="Y28" s="16">
        <f t="shared" si="20"/>
        <v>35</v>
      </c>
      <c r="Z28" s="16">
        <f t="shared" si="20"/>
        <v>4</v>
      </c>
      <c r="AA28" s="16">
        <f t="shared" si="20"/>
        <v>11</v>
      </c>
      <c r="AB28" s="16">
        <f t="shared" si="20"/>
        <v>31</v>
      </c>
      <c r="AC28" s="16">
        <f t="shared" si="20"/>
        <v>122</v>
      </c>
      <c r="AD28" s="16">
        <f t="shared" si="20"/>
        <v>0</v>
      </c>
      <c r="AE28" s="32">
        <f t="shared" si="20"/>
        <v>406</v>
      </c>
      <c r="AF28" s="32">
        <f t="shared" si="20"/>
        <v>528</v>
      </c>
    </row>
    <row r="29" spans="2:32" ht="23.1" customHeight="1" x14ac:dyDescent="0.25">
      <c r="B29" s="23" t="s">
        <v>56</v>
      </c>
      <c r="C29" s="50">
        <v>3</v>
      </c>
      <c r="D29" s="50">
        <v>0</v>
      </c>
      <c r="E29" s="50">
        <v>1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3</v>
      </c>
      <c r="N29" s="50">
        <v>0</v>
      </c>
      <c r="O29" s="15">
        <f t="shared" si="0"/>
        <v>6</v>
      </c>
      <c r="P29" s="15">
        <f t="shared" si="1"/>
        <v>9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2</v>
      </c>
      <c r="F30" s="50">
        <v>2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1</v>
      </c>
      <c r="M30" s="50">
        <v>5</v>
      </c>
      <c r="N30" s="50">
        <v>0</v>
      </c>
      <c r="O30" s="15">
        <f t="shared" si="0"/>
        <v>6</v>
      </c>
      <c r="P30" s="15">
        <f t="shared" si="1"/>
        <v>11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4</v>
      </c>
      <c r="F31" s="50">
        <v>3</v>
      </c>
      <c r="G31" s="50">
        <v>0</v>
      </c>
      <c r="H31" s="50">
        <v>1</v>
      </c>
      <c r="I31" s="50">
        <v>0</v>
      </c>
      <c r="J31" s="50">
        <v>0</v>
      </c>
      <c r="K31" s="50">
        <v>0</v>
      </c>
      <c r="L31" s="50">
        <v>1</v>
      </c>
      <c r="M31" s="50">
        <v>4</v>
      </c>
      <c r="N31" s="50">
        <v>0</v>
      </c>
      <c r="O31" s="15">
        <f t="shared" si="0"/>
        <v>11</v>
      </c>
      <c r="P31" s="15">
        <f t="shared" si="1"/>
        <v>15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2</v>
      </c>
      <c r="F32" s="50">
        <v>3</v>
      </c>
      <c r="G32" s="50">
        <v>0</v>
      </c>
      <c r="H32" s="50">
        <v>1</v>
      </c>
      <c r="I32" s="50">
        <v>0</v>
      </c>
      <c r="J32" s="50">
        <v>0</v>
      </c>
      <c r="K32" s="50">
        <v>0</v>
      </c>
      <c r="L32" s="50">
        <v>2</v>
      </c>
      <c r="M32" s="50">
        <v>3</v>
      </c>
      <c r="N32" s="50">
        <v>0</v>
      </c>
      <c r="O32" s="15">
        <f t="shared" si="0"/>
        <v>8</v>
      </c>
      <c r="P32" s="15">
        <f t="shared" si="1"/>
        <v>11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4</v>
      </c>
      <c r="F33" s="50">
        <v>2</v>
      </c>
      <c r="G33" s="50">
        <v>1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2</v>
      </c>
      <c r="N33" s="50">
        <v>0</v>
      </c>
      <c r="O33" s="15">
        <f t="shared" si="0"/>
        <v>9</v>
      </c>
      <c r="P33" s="15">
        <f t="shared" si="1"/>
        <v>11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3</v>
      </c>
      <c r="F34" s="50">
        <v>3</v>
      </c>
      <c r="G34" s="50">
        <v>0</v>
      </c>
      <c r="H34" s="50">
        <v>1</v>
      </c>
      <c r="I34" s="50">
        <v>0</v>
      </c>
      <c r="J34" s="50">
        <v>0</v>
      </c>
      <c r="K34" s="50">
        <v>0</v>
      </c>
      <c r="L34" s="50">
        <v>1</v>
      </c>
      <c r="M34" s="50">
        <v>1</v>
      </c>
      <c r="N34" s="50">
        <v>0</v>
      </c>
      <c r="O34" s="15">
        <f t="shared" si="0"/>
        <v>8</v>
      </c>
      <c r="P34" s="15">
        <f t="shared" si="1"/>
        <v>9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3</v>
      </c>
      <c r="F35" s="50">
        <v>5</v>
      </c>
      <c r="G35" s="50">
        <v>0</v>
      </c>
      <c r="H35" s="50">
        <v>2</v>
      </c>
      <c r="I35" s="50">
        <v>1</v>
      </c>
      <c r="J35" s="50">
        <v>0</v>
      </c>
      <c r="K35" s="50">
        <v>0</v>
      </c>
      <c r="L35" s="50">
        <v>1</v>
      </c>
      <c r="M35" s="50">
        <v>2</v>
      </c>
      <c r="N35" s="50">
        <v>0</v>
      </c>
      <c r="O35" s="15">
        <f t="shared" si="0"/>
        <v>14</v>
      </c>
      <c r="P35" s="15">
        <f t="shared" si="1"/>
        <v>16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3</v>
      </c>
      <c r="F36" s="50">
        <v>4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2</v>
      </c>
      <c r="N36" s="50">
        <v>0</v>
      </c>
      <c r="O36" s="15">
        <f t="shared" si="0"/>
        <v>8</v>
      </c>
      <c r="P36" s="15">
        <f t="shared" si="1"/>
        <v>10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2</v>
      </c>
      <c r="F37" s="50">
        <v>0</v>
      </c>
      <c r="G37" s="50">
        <v>0</v>
      </c>
      <c r="H37" s="50">
        <v>1</v>
      </c>
      <c r="I37" s="50">
        <v>0</v>
      </c>
      <c r="J37" s="50">
        <v>0</v>
      </c>
      <c r="K37" s="50">
        <v>0</v>
      </c>
      <c r="L37" s="50">
        <v>1</v>
      </c>
      <c r="M37" s="50">
        <v>1</v>
      </c>
      <c r="N37" s="50">
        <v>0</v>
      </c>
      <c r="O37" s="15">
        <f t="shared" si="0"/>
        <v>5</v>
      </c>
      <c r="P37" s="15">
        <f t="shared" si="1"/>
        <v>6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3</v>
      </c>
      <c r="F38" s="50">
        <v>2</v>
      </c>
      <c r="G38" s="50">
        <v>0</v>
      </c>
      <c r="H38" s="50">
        <v>1</v>
      </c>
      <c r="I38" s="50">
        <v>0</v>
      </c>
      <c r="J38" s="50">
        <v>0</v>
      </c>
      <c r="K38" s="50">
        <v>0</v>
      </c>
      <c r="L38" s="50">
        <v>1</v>
      </c>
      <c r="M38" s="50">
        <v>3</v>
      </c>
      <c r="N38" s="50">
        <v>0</v>
      </c>
      <c r="O38" s="15">
        <f t="shared" si="0"/>
        <v>10</v>
      </c>
      <c r="P38" s="15">
        <f t="shared" si="1"/>
        <v>13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2</v>
      </c>
      <c r="F39" s="50">
        <v>2</v>
      </c>
      <c r="G39" s="50">
        <v>0</v>
      </c>
      <c r="H39" s="50">
        <v>1</v>
      </c>
      <c r="I39" s="50">
        <v>1</v>
      </c>
      <c r="J39" s="50">
        <v>0</v>
      </c>
      <c r="K39" s="50">
        <v>0</v>
      </c>
      <c r="L39" s="50">
        <v>1</v>
      </c>
      <c r="M39" s="50">
        <v>3</v>
      </c>
      <c r="N39" s="50">
        <v>0</v>
      </c>
      <c r="O39" s="15">
        <f t="shared" si="0"/>
        <v>8</v>
      </c>
      <c r="P39" s="15">
        <f t="shared" si="1"/>
        <v>11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1</v>
      </c>
      <c r="F40" s="50">
        <v>1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2</v>
      </c>
      <c r="N40" s="50">
        <v>0</v>
      </c>
      <c r="O40" s="15">
        <f t="shared" si="0"/>
        <v>3</v>
      </c>
      <c r="P40" s="15">
        <f t="shared" si="1"/>
        <v>5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2</v>
      </c>
      <c r="F41" s="50">
        <v>1</v>
      </c>
      <c r="G41" s="50">
        <v>0</v>
      </c>
      <c r="H41" s="50">
        <v>0</v>
      </c>
      <c r="I41" s="50">
        <v>3</v>
      </c>
      <c r="J41" s="50">
        <v>0</v>
      </c>
      <c r="K41" s="50">
        <v>0</v>
      </c>
      <c r="L41" s="50">
        <v>1</v>
      </c>
      <c r="M41" s="50">
        <v>4</v>
      </c>
      <c r="N41" s="50">
        <v>0</v>
      </c>
      <c r="O41" s="15">
        <f t="shared" si="0"/>
        <v>9</v>
      </c>
      <c r="P41" s="15">
        <f t="shared" si="1"/>
        <v>13</v>
      </c>
    </row>
    <row r="42" spans="2:20" ht="23.1" customHeight="1" x14ac:dyDescent="0.25">
      <c r="B42" s="24" t="s">
        <v>69</v>
      </c>
      <c r="C42" s="50">
        <v>4</v>
      </c>
      <c r="D42" s="50">
        <v>0</v>
      </c>
      <c r="E42" s="50">
        <v>1</v>
      </c>
      <c r="F42" s="50">
        <v>4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4</v>
      </c>
      <c r="M42" s="50">
        <v>0</v>
      </c>
      <c r="N42" s="50">
        <v>0</v>
      </c>
      <c r="O42" s="15">
        <f t="shared" si="0"/>
        <v>13</v>
      </c>
      <c r="P42" s="15">
        <f t="shared" si="1"/>
        <v>13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4</v>
      </c>
      <c r="F43" s="50">
        <v>1</v>
      </c>
      <c r="G43" s="50">
        <v>0</v>
      </c>
      <c r="H43" s="50">
        <v>1</v>
      </c>
      <c r="I43" s="50">
        <v>2</v>
      </c>
      <c r="J43" s="50">
        <v>0</v>
      </c>
      <c r="K43" s="50">
        <v>0</v>
      </c>
      <c r="L43" s="50">
        <v>3</v>
      </c>
      <c r="M43" s="50">
        <v>3</v>
      </c>
      <c r="N43" s="50">
        <v>0</v>
      </c>
      <c r="O43" s="15">
        <f t="shared" si="0"/>
        <v>13</v>
      </c>
      <c r="P43" s="15">
        <f t="shared" si="1"/>
        <v>16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2</v>
      </c>
      <c r="F44" s="50">
        <v>2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2</v>
      </c>
      <c r="N44" s="50">
        <v>0</v>
      </c>
      <c r="O44" s="15">
        <f t="shared" si="0"/>
        <v>5</v>
      </c>
      <c r="P44" s="15">
        <f t="shared" si="1"/>
        <v>7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2</v>
      </c>
      <c r="F45" s="50">
        <v>4</v>
      </c>
      <c r="G45" s="50">
        <v>0</v>
      </c>
      <c r="H45" s="50">
        <v>1</v>
      </c>
      <c r="I45" s="50">
        <v>0</v>
      </c>
      <c r="J45" s="50">
        <v>0</v>
      </c>
      <c r="K45" s="50">
        <v>0</v>
      </c>
      <c r="L45" s="50">
        <v>0</v>
      </c>
      <c r="M45" s="50">
        <v>5</v>
      </c>
      <c r="N45" s="50">
        <v>0</v>
      </c>
      <c r="O45" s="15">
        <f t="shared" si="0"/>
        <v>8</v>
      </c>
      <c r="P45" s="15">
        <f t="shared" si="1"/>
        <v>13</v>
      </c>
    </row>
    <row r="46" spans="2:20" ht="23.1" customHeight="1" x14ac:dyDescent="0.25">
      <c r="B46" s="24" t="s">
        <v>73</v>
      </c>
      <c r="C46" s="50">
        <v>7</v>
      </c>
      <c r="D46" s="50">
        <v>0</v>
      </c>
      <c r="E46" s="50">
        <v>3</v>
      </c>
      <c r="F46" s="50">
        <v>3</v>
      </c>
      <c r="G46" s="50">
        <v>0</v>
      </c>
      <c r="H46" s="50">
        <v>0</v>
      </c>
      <c r="I46" s="50">
        <v>4</v>
      </c>
      <c r="J46" s="50">
        <v>0</v>
      </c>
      <c r="K46" s="50">
        <v>0</v>
      </c>
      <c r="L46" s="50">
        <v>1</v>
      </c>
      <c r="M46" s="50">
        <v>3</v>
      </c>
      <c r="N46" s="50">
        <v>0</v>
      </c>
      <c r="O46" s="15">
        <f t="shared" si="0"/>
        <v>18</v>
      </c>
      <c r="P46" s="15">
        <f t="shared" si="1"/>
        <v>21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1</v>
      </c>
      <c r="F47" s="50">
        <v>2</v>
      </c>
      <c r="G47" s="50">
        <v>0</v>
      </c>
      <c r="H47" s="50">
        <v>0</v>
      </c>
      <c r="I47" s="50">
        <v>4</v>
      </c>
      <c r="J47" s="50">
        <v>0</v>
      </c>
      <c r="K47" s="50">
        <v>0</v>
      </c>
      <c r="L47" s="50">
        <v>1</v>
      </c>
      <c r="M47" s="50">
        <v>2</v>
      </c>
      <c r="N47" s="50">
        <v>0</v>
      </c>
      <c r="O47" s="15">
        <f t="shared" si="0"/>
        <v>10</v>
      </c>
      <c r="P47" s="15">
        <f t="shared" si="1"/>
        <v>12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3</v>
      </c>
      <c r="F48" s="50">
        <v>3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</v>
      </c>
      <c r="N48" s="50">
        <v>0</v>
      </c>
      <c r="O48" s="15">
        <f t="shared" si="0"/>
        <v>6</v>
      </c>
      <c r="P48" s="15">
        <f t="shared" si="1"/>
        <v>7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3</v>
      </c>
      <c r="F49" s="50">
        <v>1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1</v>
      </c>
      <c r="M49" s="50">
        <v>2</v>
      </c>
      <c r="N49" s="50">
        <v>0</v>
      </c>
      <c r="O49" s="15">
        <f t="shared" si="0"/>
        <v>9</v>
      </c>
      <c r="P49" s="15">
        <f t="shared" si="1"/>
        <v>11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6</v>
      </c>
      <c r="F50" s="50">
        <v>1</v>
      </c>
      <c r="G50" s="50">
        <v>0</v>
      </c>
      <c r="H50" s="50">
        <v>1</v>
      </c>
      <c r="I50" s="50">
        <v>0</v>
      </c>
      <c r="J50" s="50">
        <v>0</v>
      </c>
      <c r="K50" s="50">
        <v>0</v>
      </c>
      <c r="L50" s="50">
        <v>0</v>
      </c>
      <c r="M50" s="50">
        <v>2</v>
      </c>
      <c r="N50" s="50">
        <v>0</v>
      </c>
      <c r="O50" s="15">
        <f t="shared" si="0"/>
        <v>11</v>
      </c>
      <c r="P50" s="15">
        <f t="shared" si="1"/>
        <v>13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3</v>
      </c>
      <c r="F51" s="50">
        <v>1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</v>
      </c>
      <c r="N51" s="50">
        <v>0</v>
      </c>
      <c r="O51" s="15">
        <f t="shared" si="0"/>
        <v>5</v>
      </c>
      <c r="P51" s="15">
        <f t="shared" si="1"/>
        <v>7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7</v>
      </c>
      <c r="F52" s="50">
        <v>4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1</v>
      </c>
      <c r="M52" s="50">
        <v>2</v>
      </c>
      <c r="N52" s="50">
        <v>0</v>
      </c>
      <c r="O52" s="15">
        <f t="shared" si="0"/>
        <v>15</v>
      </c>
      <c r="P52" s="15">
        <f t="shared" si="1"/>
        <v>17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2</v>
      </c>
      <c r="F53" s="50">
        <v>3</v>
      </c>
      <c r="G53" s="50">
        <v>0</v>
      </c>
      <c r="H53" s="50">
        <v>1</v>
      </c>
      <c r="I53" s="50">
        <v>1</v>
      </c>
      <c r="J53" s="50">
        <v>1</v>
      </c>
      <c r="K53" s="50">
        <v>0</v>
      </c>
      <c r="L53" s="50">
        <v>0</v>
      </c>
      <c r="M53" s="50">
        <v>4</v>
      </c>
      <c r="N53" s="50">
        <v>0</v>
      </c>
      <c r="O53" s="15">
        <f t="shared" si="0"/>
        <v>11</v>
      </c>
      <c r="P53" s="15">
        <f t="shared" si="1"/>
        <v>15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4</v>
      </c>
      <c r="F54" s="50">
        <v>2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</v>
      </c>
      <c r="N54" s="50">
        <v>0</v>
      </c>
      <c r="O54" s="15">
        <f t="shared" si="0"/>
        <v>6</v>
      </c>
      <c r="P54" s="15">
        <f t="shared" si="1"/>
        <v>8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3</v>
      </c>
      <c r="F55" s="50">
        <v>1</v>
      </c>
      <c r="G55" s="50">
        <v>0</v>
      </c>
      <c r="H55" s="50">
        <v>1</v>
      </c>
      <c r="I55" s="50">
        <v>3</v>
      </c>
      <c r="J55" s="50">
        <v>0</v>
      </c>
      <c r="K55" s="50">
        <v>0</v>
      </c>
      <c r="L55" s="50">
        <v>1</v>
      </c>
      <c r="M55" s="50">
        <v>3</v>
      </c>
      <c r="N55" s="50">
        <v>0</v>
      </c>
      <c r="O55" s="15">
        <f t="shared" si="0"/>
        <v>11</v>
      </c>
      <c r="P55" s="15">
        <f t="shared" si="1"/>
        <v>14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1</v>
      </c>
      <c r="F56" s="50">
        <v>2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5</v>
      </c>
      <c r="N56" s="50">
        <v>0</v>
      </c>
      <c r="O56" s="15">
        <f t="shared" si="0"/>
        <v>7</v>
      </c>
      <c r="P56" s="15">
        <f t="shared" si="1"/>
        <v>12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4</v>
      </c>
      <c r="F57" s="50">
        <v>1</v>
      </c>
      <c r="G57" s="50">
        <v>0</v>
      </c>
      <c r="H57" s="50">
        <v>1</v>
      </c>
      <c r="I57" s="50">
        <v>0</v>
      </c>
      <c r="J57" s="50">
        <v>0</v>
      </c>
      <c r="K57" s="50">
        <v>0</v>
      </c>
      <c r="L57" s="50">
        <v>0</v>
      </c>
      <c r="M57" s="50">
        <v>6</v>
      </c>
      <c r="N57" s="50">
        <v>0</v>
      </c>
      <c r="O57" s="15">
        <f t="shared" si="0"/>
        <v>6</v>
      </c>
      <c r="P57" s="15">
        <f t="shared" si="1"/>
        <v>12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87</v>
      </c>
      <c r="D58" s="16">
        <f t="shared" si="21"/>
        <v>0</v>
      </c>
      <c r="E58" s="16">
        <f t="shared" si="21"/>
        <v>107</v>
      </c>
      <c r="F58" s="16">
        <f t="shared" si="21"/>
        <v>111</v>
      </c>
      <c r="G58" s="16">
        <f t="shared" si="21"/>
        <v>1</v>
      </c>
      <c r="H58" s="16">
        <f t="shared" si="21"/>
        <v>19</v>
      </c>
      <c r="I58" s="16">
        <f t="shared" si="21"/>
        <v>35</v>
      </c>
      <c r="J58" s="16">
        <f t="shared" si="21"/>
        <v>4</v>
      </c>
      <c r="K58" s="16">
        <f t="shared" si="21"/>
        <v>11</v>
      </c>
      <c r="L58" s="16">
        <f t="shared" si="21"/>
        <v>31</v>
      </c>
      <c r="M58" s="16">
        <f t="shared" si="21"/>
        <v>122</v>
      </c>
      <c r="N58" s="16">
        <f t="shared" si="21"/>
        <v>0</v>
      </c>
      <c r="O58" s="16">
        <f t="shared" si="21"/>
        <v>406</v>
      </c>
      <c r="P58" s="16">
        <f t="shared" si="21"/>
        <v>528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0.16477272727272727</v>
      </c>
      <c r="D59" s="43">
        <f t="shared" si="22"/>
        <v>0</v>
      </c>
      <c r="E59" s="43">
        <f t="shared" si="22"/>
        <v>0.20265151515151514</v>
      </c>
      <c r="F59" s="43">
        <f t="shared" si="22"/>
        <v>0.21022727272727273</v>
      </c>
      <c r="G59" s="43">
        <f t="shared" si="22"/>
        <v>1.893939393939394E-3</v>
      </c>
      <c r="H59" s="43">
        <f t="shared" si="22"/>
        <v>3.5984848484848488E-2</v>
      </c>
      <c r="I59" s="43">
        <f t="shared" si="22"/>
        <v>6.6287878787878785E-2</v>
      </c>
      <c r="J59" s="43">
        <f t="shared" si="22"/>
        <v>7.575757575757576E-3</v>
      </c>
      <c r="K59" s="43">
        <f t="shared" si="22"/>
        <v>2.0833333333333332E-2</v>
      </c>
      <c r="L59" s="43">
        <f t="shared" si="22"/>
        <v>5.8712121212121215E-2</v>
      </c>
      <c r="M59" s="43">
        <f t="shared" si="22"/>
        <v>0.23106060606060605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0.21428571428571427</v>
      </c>
      <c r="D60" s="44">
        <f t="shared" ref="D60:N60" si="23">D58/$O$58</f>
        <v>0</v>
      </c>
      <c r="E60" s="44">
        <f t="shared" si="23"/>
        <v>0.26354679802955666</v>
      </c>
      <c r="F60" s="44">
        <f t="shared" si="23"/>
        <v>0.27339901477832512</v>
      </c>
      <c r="G60" s="44">
        <f t="shared" si="23"/>
        <v>2.4630541871921183E-3</v>
      </c>
      <c r="H60" s="44">
        <f t="shared" si="23"/>
        <v>4.6798029556650245E-2</v>
      </c>
      <c r="I60" s="44">
        <f t="shared" si="23"/>
        <v>8.6206896551724144E-2</v>
      </c>
      <c r="J60" s="44">
        <f t="shared" si="23"/>
        <v>9.852216748768473E-3</v>
      </c>
      <c r="K60" s="44">
        <f t="shared" si="23"/>
        <v>2.7093596059113302E-2</v>
      </c>
      <c r="L60" s="44">
        <f t="shared" si="23"/>
        <v>7.6354679802955669E-2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G6" sqref="G6: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KYENJOJO-FORTPORTAL'!C3:G3</f>
        <v>C4 - STN107-FORTPORTAL-KYENJONJO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'29.07 KYENJOJO-FORTPORTAL'!D5</f>
        <v>29.07.19</v>
      </c>
      <c r="E5" s="3"/>
      <c r="F5" s="41" t="s">
        <v>1</v>
      </c>
      <c r="G5" s="60" t="str">
        <f>'29.07 KYENJOJO-FORTPORTAL'!G5:H5</f>
        <v>xxx</v>
      </c>
      <c r="H5" s="61"/>
      <c r="I5" s="14"/>
      <c r="J5" s="2" t="s">
        <v>5</v>
      </c>
      <c r="K5" s="60" t="str">
        <f>'29.07 KYENJOJO-FORTPORTAL'!K5:L5</f>
        <v>xxx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172</v>
      </c>
      <c r="E6" s="55"/>
      <c r="F6" s="2" t="s">
        <v>2</v>
      </c>
      <c r="G6" s="54" t="s">
        <v>171</v>
      </c>
      <c r="H6" s="55"/>
      <c r="J6" s="2" t="s">
        <v>21</v>
      </c>
      <c r="K6" s="60" t="str">
        <f>'29.07 KYENJOJO-FORTPORTAL'!K6:L6</f>
        <v>xxx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2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f>SUM([1]Sheet1!R438:U438)</f>
        <v>0</v>
      </c>
      <c r="M10" s="50">
        <v>3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6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0</v>
      </c>
      <c r="V10" s="17">
        <f t="shared" si="2"/>
        <v>5</v>
      </c>
      <c r="W10" s="17">
        <f t="shared" si="2"/>
        <v>1</v>
      </c>
      <c r="X10" s="17">
        <f t="shared" si="2"/>
        <v>0</v>
      </c>
      <c r="Y10" s="17">
        <f t="shared" si="2"/>
        <v>0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7</v>
      </c>
      <c r="AD10" s="17">
        <f t="shared" si="2"/>
        <v>0</v>
      </c>
      <c r="AE10" s="31">
        <f t="shared" si="2"/>
        <v>12</v>
      </c>
      <c r="AF10" s="31">
        <f t="shared" si="2"/>
        <v>19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f>SUM([1]Sheet1!R439:U439)</f>
        <v>0</v>
      </c>
      <c r="M11" s="50">
        <v>2</v>
      </c>
      <c r="N11" s="50">
        <v>0</v>
      </c>
      <c r="O11" s="15">
        <f t="shared" si="0"/>
        <v>3</v>
      </c>
      <c r="P11" s="15">
        <f t="shared" si="1"/>
        <v>5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8</v>
      </c>
      <c r="V11" s="17">
        <f t="shared" si="3"/>
        <v>11</v>
      </c>
      <c r="W11" s="17">
        <f t="shared" si="3"/>
        <v>0</v>
      </c>
      <c r="X11" s="17">
        <f t="shared" si="3"/>
        <v>1</v>
      </c>
      <c r="Y11" s="17">
        <f t="shared" si="3"/>
        <v>1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10</v>
      </c>
      <c r="AD11" s="17">
        <f t="shared" si="3"/>
        <v>0</v>
      </c>
      <c r="AE11" s="31">
        <f t="shared" si="3"/>
        <v>25</v>
      </c>
      <c r="AF11" s="31">
        <f t="shared" si="3"/>
        <v>35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f>SUM([1]Sheet1!R440:U440)</f>
        <v>0</v>
      </c>
      <c r="M12" s="50">
        <v>0</v>
      </c>
      <c r="N12" s="50">
        <v>0</v>
      </c>
      <c r="O12" s="15">
        <f t="shared" si="0"/>
        <v>1</v>
      </c>
      <c r="P12" s="15">
        <f t="shared" si="1"/>
        <v>1</v>
      </c>
      <c r="R12" s="1" t="s">
        <v>8</v>
      </c>
      <c r="S12" s="17">
        <f t="shared" ref="S12:AF12" si="4">SUM(C18:C21)</f>
        <v>10</v>
      </c>
      <c r="T12" s="17">
        <f t="shared" si="4"/>
        <v>0</v>
      </c>
      <c r="U12" s="17">
        <f t="shared" si="4"/>
        <v>13</v>
      </c>
      <c r="V12" s="17">
        <f t="shared" si="4"/>
        <v>7</v>
      </c>
      <c r="W12" s="17">
        <f t="shared" si="4"/>
        <v>0</v>
      </c>
      <c r="X12" s="17">
        <f t="shared" si="4"/>
        <v>2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10</v>
      </c>
      <c r="AD12" s="17">
        <f t="shared" si="4"/>
        <v>0</v>
      </c>
      <c r="AE12" s="31">
        <f t="shared" si="4"/>
        <v>34</v>
      </c>
      <c r="AF12" s="31">
        <f t="shared" si="4"/>
        <v>44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2</v>
      </c>
      <c r="G13" s="50">
        <v>1</v>
      </c>
      <c r="H13" s="50">
        <v>0</v>
      </c>
      <c r="I13" s="50">
        <v>0</v>
      </c>
      <c r="J13" s="50">
        <v>1</v>
      </c>
      <c r="K13" s="50">
        <v>0</v>
      </c>
      <c r="L13" s="50">
        <f>SUM([1]Sheet1!R441:U441)</f>
        <v>0</v>
      </c>
      <c r="M13" s="50">
        <v>2</v>
      </c>
      <c r="N13" s="50">
        <v>0</v>
      </c>
      <c r="O13" s="15">
        <f t="shared" si="0"/>
        <v>5</v>
      </c>
      <c r="P13" s="15">
        <f t="shared" si="1"/>
        <v>7</v>
      </c>
      <c r="R13" s="1" t="s">
        <v>9</v>
      </c>
      <c r="S13" s="17">
        <f t="shared" ref="S13:AF13" si="5">SUM(C22:C25)</f>
        <v>9</v>
      </c>
      <c r="T13" s="17">
        <f t="shared" si="5"/>
        <v>0</v>
      </c>
      <c r="U13" s="17">
        <f t="shared" si="5"/>
        <v>15</v>
      </c>
      <c r="V13" s="17">
        <f t="shared" si="5"/>
        <v>8</v>
      </c>
      <c r="W13" s="17">
        <f t="shared" si="5"/>
        <v>0</v>
      </c>
      <c r="X13" s="17">
        <f t="shared" si="5"/>
        <v>1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10</v>
      </c>
      <c r="AD13" s="17">
        <f t="shared" si="5"/>
        <v>0</v>
      </c>
      <c r="AE13" s="31">
        <f t="shared" si="5"/>
        <v>35</v>
      </c>
      <c r="AF13" s="31">
        <f t="shared" si="5"/>
        <v>45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2</v>
      </c>
      <c r="F14" s="50">
        <v>3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f>SUM([1]Sheet1!R442:U442)</f>
        <v>0</v>
      </c>
      <c r="M14" s="50">
        <v>5</v>
      </c>
      <c r="N14" s="50">
        <v>0</v>
      </c>
      <c r="O14" s="15">
        <f t="shared" si="0"/>
        <v>5</v>
      </c>
      <c r="P14" s="15">
        <f t="shared" si="1"/>
        <v>10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9</v>
      </c>
      <c r="V14" s="17">
        <f t="shared" si="6"/>
        <v>9</v>
      </c>
      <c r="W14" s="17">
        <f t="shared" si="6"/>
        <v>0</v>
      </c>
      <c r="X14" s="17">
        <f t="shared" si="6"/>
        <v>1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11</v>
      </c>
      <c r="AD14" s="17">
        <f t="shared" si="6"/>
        <v>0</v>
      </c>
      <c r="AE14" s="31">
        <f t="shared" si="6"/>
        <v>24</v>
      </c>
      <c r="AF14" s="31">
        <f t="shared" si="6"/>
        <v>35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3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f>SUM([1]Sheet1!R443:U443)</f>
        <v>0</v>
      </c>
      <c r="M15" s="50">
        <v>2</v>
      </c>
      <c r="N15" s="50">
        <v>0</v>
      </c>
      <c r="O15" s="15">
        <f t="shared" si="0"/>
        <v>4</v>
      </c>
      <c r="P15" s="15">
        <f t="shared" si="1"/>
        <v>6</v>
      </c>
      <c r="R15" s="1" t="s">
        <v>11</v>
      </c>
      <c r="S15" s="17">
        <f t="shared" ref="S15:AF15" si="7">SUM(C30:C33)</f>
        <v>9</v>
      </c>
      <c r="T15" s="17">
        <f t="shared" si="7"/>
        <v>0</v>
      </c>
      <c r="U15" s="17">
        <f t="shared" si="7"/>
        <v>12</v>
      </c>
      <c r="V15" s="17">
        <f t="shared" si="7"/>
        <v>8</v>
      </c>
      <c r="W15" s="17">
        <f t="shared" si="7"/>
        <v>0</v>
      </c>
      <c r="X15" s="17">
        <f t="shared" si="7"/>
        <v>2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4</v>
      </c>
      <c r="AD15" s="17">
        <f t="shared" si="7"/>
        <v>0</v>
      </c>
      <c r="AE15" s="31">
        <f t="shared" si="7"/>
        <v>32</v>
      </c>
      <c r="AF15" s="31">
        <f t="shared" si="7"/>
        <v>36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</v>
      </c>
      <c r="F16" s="50">
        <v>6</v>
      </c>
      <c r="G16" s="50">
        <v>0</v>
      </c>
      <c r="H16" s="50">
        <v>1</v>
      </c>
      <c r="I16" s="50">
        <v>0</v>
      </c>
      <c r="J16" s="50">
        <v>0</v>
      </c>
      <c r="K16" s="50">
        <v>1</v>
      </c>
      <c r="L16" s="50">
        <f>SUM([1]Sheet1!R444:U444)</f>
        <v>0</v>
      </c>
      <c r="M16" s="50">
        <v>2</v>
      </c>
      <c r="N16" s="50">
        <v>0</v>
      </c>
      <c r="O16" s="15">
        <f t="shared" si="0"/>
        <v>11</v>
      </c>
      <c r="P16" s="15">
        <f t="shared" si="1"/>
        <v>13</v>
      </c>
      <c r="R16" s="1" t="s">
        <v>12</v>
      </c>
      <c r="S16" s="17">
        <f t="shared" ref="S16:AF16" si="8">SUM(C34:C37)</f>
        <v>5</v>
      </c>
      <c r="T16" s="17">
        <f t="shared" si="8"/>
        <v>0</v>
      </c>
      <c r="U16" s="17">
        <f t="shared" si="8"/>
        <v>15</v>
      </c>
      <c r="V16" s="17">
        <f t="shared" si="8"/>
        <v>10</v>
      </c>
      <c r="W16" s="17">
        <f t="shared" si="8"/>
        <v>0</v>
      </c>
      <c r="X16" s="17">
        <f t="shared" si="8"/>
        <v>2</v>
      </c>
      <c r="Y16" s="17">
        <f t="shared" si="8"/>
        <v>3</v>
      </c>
      <c r="Z16" s="17">
        <f t="shared" si="8"/>
        <v>0</v>
      </c>
      <c r="AA16" s="17">
        <f t="shared" si="8"/>
        <v>1</v>
      </c>
      <c r="AB16" s="17">
        <f t="shared" si="8"/>
        <v>0</v>
      </c>
      <c r="AC16" s="17">
        <f t="shared" si="8"/>
        <v>4</v>
      </c>
      <c r="AD16" s="17">
        <f t="shared" si="8"/>
        <v>0</v>
      </c>
      <c r="AE16" s="31">
        <f t="shared" si="8"/>
        <v>36</v>
      </c>
      <c r="AF16" s="31">
        <f t="shared" si="8"/>
        <v>40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2</v>
      </c>
      <c r="F17" s="50">
        <v>1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f>SUM([1]Sheet1!R445:U445)</f>
        <v>0</v>
      </c>
      <c r="M17" s="50">
        <v>1</v>
      </c>
      <c r="N17" s="50">
        <v>0</v>
      </c>
      <c r="O17" s="15">
        <f t="shared" si="0"/>
        <v>5</v>
      </c>
      <c r="P17" s="15">
        <f t="shared" si="1"/>
        <v>6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13</v>
      </c>
      <c r="V17" s="17">
        <f t="shared" si="9"/>
        <v>6</v>
      </c>
      <c r="W17" s="17">
        <f t="shared" si="9"/>
        <v>2</v>
      </c>
      <c r="X17" s="17">
        <f t="shared" si="9"/>
        <v>1</v>
      </c>
      <c r="Y17" s="17">
        <f t="shared" si="9"/>
        <v>4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6</v>
      </c>
      <c r="AD17" s="17">
        <f t="shared" si="9"/>
        <v>0</v>
      </c>
      <c r="AE17" s="31">
        <f t="shared" si="9"/>
        <v>28</v>
      </c>
      <c r="AF17" s="31">
        <f t="shared" si="9"/>
        <v>34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5</v>
      </c>
      <c r="F18" s="50">
        <v>5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f>SUM([1]Sheet1!R446:U446)</f>
        <v>0</v>
      </c>
      <c r="M18" s="50">
        <v>4</v>
      </c>
      <c r="N18" s="50">
        <v>0</v>
      </c>
      <c r="O18" s="15">
        <f t="shared" si="0"/>
        <v>13</v>
      </c>
      <c r="P18" s="15">
        <f t="shared" si="1"/>
        <v>17</v>
      </c>
      <c r="R18" s="1" t="s">
        <v>14</v>
      </c>
      <c r="S18" s="17">
        <f t="shared" ref="S18:AF18" si="10">SUM(C42:C45)</f>
        <v>5</v>
      </c>
      <c r="T18" s="17">
        <f t="shared" si="10"/>
        <v>0</v>
      </c>
      <c r="U18" s="17">
        <f t="shared" si="10"/>
        <v>9</v>
      </c>
      <c r="V18" s="17">
        <f t="shared" si="10"/>
        <v>7</v>
      </c>
      <c r="W18" s="17">
        <f t="shared" si="10"/>
        <v>1</v>
      </c>
      <c r="X18" s="17">
        <f t="shared" si="10"/>
        <v>3</v>
      </c>
      <c r="Y18" s="17">
        <f t="shared" si="10"/>
        <v>5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8</v>
      </c>
      <c r="AD18" s="17">
        <f t="shared" si="10"/>
        <v>0</v>
      </c>
      <c r="AE18" s="31">
        <f t="shared" si="10"/>
        <v>30</v>
      </c>
      <c r="AF18" s="31">
        <f t="shared" si="10"/>
        <v>38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2</v>
      </c>
      <c r="F19" s="50">
        <v>1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f>SUM([1]Sheet1!R447:U447)</f>
        <v>0</v>
      </c>
      <c r="M19" s="50">
        <v>3</v>
      </c>
      <c r="N19" s="50">
        <v>0</v>
      </c>
      <c r="O19" s="15">
        <f t="shared" si="0"/>
        <v>6</v>
      </c>
      <c r="P19" s="15">
        <f t="shared" si="1"/>
        <v>9</v>
      </c>
      <c r="R19" s="1" t="s">
        <v>15</v>
      </c>
      <c r="S19" s="17">
        <f t="shared" ref="S19:AF19" si="11">SUM(C46:C49)</f>
        <v>8</v>
      </c>
      <c r="T19" s="17">
        <f t="shared" si="11"/>
        <v>0</v>
      </c>
      <c r="U19" s="17">
        <f t="shared" si="11"/>
        <v>20</v>
      </c>
      <c r="V19" s="17">
        <f t="shared" si="11"/>
        <v>11</v>
      </c>
      <c r="W19" s="17">
        <f t="shared" si="11"/>
        <v>1</v>
      </c>
      <c r="X19" s="17">
        <f t="shared" si="11"/>
        <v>4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6</v>
      </c>
      <c r="AD19" s="17">
        <f t="shared" si="11"/>
        <v>1</v>
      </c>
      <c r="AE19" s="31">
        <f t="shared" si="11"/>
        <v>46</v>
      </c>
      <c r="AF19" s="31">
        <f t="shared" si="11"/>
        <v>52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1</v>
      </c>
      <c r="F20" s="50">
        <v>0</v>
      </c>
      <c r="G20" s="50">
        <v>0</v>
      </c>
      <c r="H20" s="50">
        <v>1</v>
      </c>
      <c r="I20" s="50">
        <v>1</v>
      </c>
      <c r="J20" s="50">
        <v>0</v>
      </c>
      <c r="K20" s="50">
        <v>0</v>
      </c>
      <c r="L20" s="50">
        <f>SUM([1]Sheet1!R448:U448)</f>
        <v>0</v>
      </c>
      <c r="M20" s="50">
        <v>2</v>
      </c>
      <c r="N20" s="50">
        <v>0</v>
      </c>
      <c r="O20" s="15">
        <f t="shared" si="0"/>
        <v>6</v>
      </c>
      <c r="P20" s="15">
        <f t="shared" si="1"/>
        <v>8</v>
      </c>
      <c r="R20" s="1" t="s">
        <v>16</v>
      </c>
      <c r="S20" s="17">
        <f t="shared" ref="S20:AF20" si="12">SUM(C50:C53)</f>
        <v>8</v>
      </c>
      <c r="T20" s="17">
        <f t="shared" si="12"/>
        <v>0</v>
      </c>
      <c r="U20" s="17">
        <f t="shared" si="12"/>
        <v>16</v>
      </c>
      <c r="V20" s="17">
        <f t="shared" si="12"/>
        <v>7</v>
      </c>
      <c r="W20" s="17">
        <f t="shared" si="12"/>
        <v>0</v>
      </c>
      <c r="X20" s="17">
        <f t="shared" si="12"/>
        <v>1</v>
      </c>
      <c r="Y20" s="17">
        <f t="shared" si="12"/>
        <v>4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11</v>
      </c>
      <c r="AD20" s="17">
        <f t="shared" si="12"/>
        <v>0</v>
      </c>
      <c r="AE20" s="31">
        <f t="shared" si="12"/>
        <v>36</v>
      </c>
      <c r="AF20" s="31">
        <f t="shared" si="12"/>
        <v>47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5</v>
      </c>
      <c r="F21" s="50">
        <v>1</v>
      </c>
      <c r="G21" s="50">
        <v>0</v>
      </c>
      <c r="H21" s="50">
        <v>1</v>
      </c>
      <c r="I21" s="50">
        <v>0</v>
      </c>
      <c r="J21" s="50">
        <v>0</v>
      </c>
      <c r="K21" s="50">
        <v>0</v>
      </c>
      <c r="L21" s="50">
        <f>SUM([1]Sheet1!R449:U449)</f>
        <v>0</v>
      </c>
      <c r="M21" s="50">
        <v>1</v>
      </c>
      <c r="N21" s="50">
        <v>0</v>
      </c>
      <c r="O21" s="15">
        <f t="shared" si="0"/>
        <v>9</v>
      </c>
      <c r="P21" s="15">
        <f t="shared" si="1"/>
        <v>10</v>
      </c>
      <c r="R21" s="36" t="s">
        <v>20</v>
      </c>
      <c r="S21" s="34">
        <f t="shared" ref="S21:AF21" si="13">SUM(C54:C57)</f>
        <v>10</v>
      </c>
      <c r="T21" s="17">
        <f t="shared" si="13"/>
        <v>0</v>
      </c>
      <c r="U21" s="17">
        <f t="shared" si="13"/>
        <v>14</v>
      </c>
      <c r="V21" s="17">
        <f t="shared" si="13"/>
        <v>7</v>
      </c>
      <c r="W21" s="17">
        <f t="shared" si="13"/>
        <v>0</v>
      </c>
      <c r="X21" s="17">
        <f t="shared" si="13"/>
        <v>2</v>
      </c>
      <c r="Y21" s="17">
        <f t="shared" si="13"/>
        <v>8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10</v>
      </c>
      <c r="AD21" s="17">
        <f t="shared" si="13"/>
        <v>0</v>
      </c>
      <c r="AE21" s="31">
        <f t="shared" si="13"/>
        <v>41</v>
      </c>
      <c r="AF21" s="31">
        <f t="shared" si="13"/>
        <v>51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5</v>
      </c>
      <c r="F22" s="50">
        <v>1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f>SUM([1]Sheet1!R450:U450)</f>
        <v>0</v>
      </c>
      <c r="M22" s="50">
        <v>3</v>
      </c>
      <c r="N22" s="50">
        <v>0</v>
      </c>
      <c r="O22" s="15">
        <f t="shared" si="0"/>
        <v>8</v>
      </c>
      <c r="P22" s="15">
        <f t="shared" si="1"/>
        <v>11</v>
      </c>
      <c r="R22" s="38" t="s">
        <v>90</v>
      </c>
      <c r="S22" s="39">
        <f>MAX(S10:S12)</f>
        <v>10</v>
      </c>
      <c r="T22" s="39">
        <f t="shared" ref="T22:AF22" si="14">MAX(T10:T12)</f>
        <v>0</v>
      </c>
      <c r="U22" s="39">
        <f t="shared" si="14"/>
        <v>13</v>
      </c>
      <c r="V22" s="39">
        <f t="shared" si="14"/>
        <v>11</v>
      </c>
      <c r="W22" s="39">
        <f t="shared" si="14"/>
        <v>1</v>
      </c>
      <c r="X22" s="39">
        <f t="shared" si="14"/>
        <v>2</v>
      </c>
      <c r="Y22" s="39">
        <f t="shared" si="14"/>
        <v>2</v>
      </c>
      <c r="Z22" s="39">
        <f t="shared" si="14"/>
        <v>3</v>
      </c>
      <c r="AA22" s="39">
        <f t="shared" si="14"/>
        <v>1</v>
      </c>
      <c r="AB22" s="39">
        <f t="shared" si="14"/>
        <v>0</v>
      </c>
      <c r="AC22" s="39">
        <f t="shared" si="14"/>
        <v>10</v>
      </c>
      <c r="AD22" s="39">
        <f t="shared" si="14"/>
        <v>0</v>
      </c>
      <c r="AE22" s="40">
        <f t="shared" si="14"/>
        <v>34</v>
      </c>
      <c r="AF22" s="40">
        <f t="shared" si="14"/>
        <v>44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3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f>SUM([1]Sheet1!R451:U451)</f>
        <v>0</v>
      </c>
      <c r="M23" s="50">
        <v>0</v>
      </c>
      <c r="N23" s="50">
        <v>0</v>
      </c>
      <c r="O23" s="15">
        <f t="shared" si="0"/>
        <v>6</v>
      </c>
      <c r="P23" s="15">
        <f t="shared" si="1"/>
        <v>6</v>
      </c>
      <c r="R23" s="38" t="s">
        <v>91</v>
      </c>
      <c r="S23" s="39">
        <f>MAX(S13:S18)</f>
        <v>9</v>
      </c>
      <c r="T23" s="39">
        <f t="shared" ref="T23:AF23" si="15">MAX(T13:T18)</f>
        <v>0</v>
      </c>
      <c r="U23" s="39">
        <f t="shared" si="15"/>
        <v>15</v>
      </c>
      <c r="V23" s="39">
        <f t="shared" si="15"/>
        <v>10</v>
      </c>
      <c r="W23" s="39">
        <f t="shared" si="15"/>
        <v>2</v>
      </c>
      <c r="X23" s="39">
        <f t="shared" si="15"/>
        <v>3</v>
      </c>
      <c r="Y23" s="39">
        <f t="shared" si="15"/>
        <v>5</v>
      </c>
      <c r="Z23" s="39">
        <f t="shared" si="15"/>
        <v>0</v>
      </c>
      <c r="AA23" s="39">
        <f t="shared" si="15"/>
        <v>1</v>
      </c>
      <c r="AB23" s="39">
        <f t="shared" si="15"/>
        <v>0</v>
      </c>
      <c r="AC23" s="39">
        <f t="shared" si="15"/>
        <v>11</v>
      </c>
      <c r="AD23" s="39">
        <f t="shared" si="15"/>
        <v>0</v>
      </c>
      <c r="AE23" s="40">
        <f t="shared" si="15"/>
        <v>36</v>
      </c>
      <c r="AF23" s="40">
        <f t="shared" si="15"/>
        <v>45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2</v>
      </c>
      <c r="F24" s="50">
        <v>3</v>
      </c>
      <c r="G24" s="50">
        <v>0</v>
      </c>
      <c r="H24" s="50">
        <v>1</v>
      </c>
      <c r="I24" s="50">
        <v>0</v>
      </c>
      <c r="J24" s="50">
        <v>0</v>
      </c>
      <c r="K24" s="50">
        <v>0</v>
      </c>
      <c r="L24" s="50">
        <f>SUM([1]Sheet1!R452:U452)</f>
        <v>0</v>
      </c>
      <c r="M24" s="50">
        <v>3</v>
      </c>
      <c r="N24" s="50">
        <v>0</v>
      </c>
      <c r="O24" s="15">
        <f t="shared" si="0"/>
        <v>7</v>
      </c>
      <c r="P24" s="15">
        <f t="shared" si="1"/>
        <v>10</v>
      </c>
      <c r="R24" s="38" t="s">
        <v>92</v>
      </c>
      <c r="S24" s="39">
        <f>MAX(S19:S21)</f>
        <v>10</v>
      </c>
      <c r="T24" s="39">
        <f t="shared" ref="T24:AF24" si="16">MAX(T19:T21)</f>
        <v>0</v>
      </c>
      <c r="U24" s="39">
        <f t="shared" si="16"/>
        <v>20</v>
      </c>
      <c r="V24" s="39">
        <f t="shared" si="16"/>
        <v>11</v>
      </c>
      <c r="W24" s="39">
        <f t="shared" si="16"/>
        <v>1</v>
      </c>
      <c r="X24" s="39">
        <f t="shared" si="16"/>
        <v>4</v>
      </c>
      <c r="Y24" s="39">
        <f t="shared" si="16"/>
        <v>8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11</v>
      </c>
      <c r="AD24" s="39">
        <f t="shared" si="16"/>
        <v>1</v>
      </c>
      <c r="AE24" s="40">
        <f t="shared" si="16"/>
        <v>46</v>
      </c>
      <c r="AF24" s="40">
        <f t="shared" si="16"/>
        <v>52</v>
      </c>
    </row>
    <row r="25" spans="2:32" ht="23.1" customHeight="1" x14ac:dyDescent="0.25">
      <c r="B25" s="23" t="s">
        <v>52</v>
      </c>
      <c r="C25" s="50">
        <v>5</v>
      </c>
      <c r="D25" s="50">
        <v>0</v>
      </c>
      <c r="E25" s="50">
        <v>5</v>
      </c>
      <c r="F25" s="50">
        <v>3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f>SUM([1]Sheet1!R453:U453)</f>
        <v>0</v>
      </c>
      <c r="M25" s="50">
        <v>4</v>
      </c>
      <c r="N25" s="50">
        <v>0</v>
      </c>
      <c r="O25" s="15">
        <f t="shared" si="0"/>
        <v>14</v>
      </c>
      <c r="P25" s="15">
        <f t="shared" si="1"/>
        <v>18</v>
      </c>
      <c r="R25" s="37" t="s">
        <v>85</v>
      </c>
      <c r="S25" s="35">
        <f t="shared" ref="S25:AF25" si="17">SUM(S10:S12)</f>
        <v>16</v>
      </c>
      <c r="T25" s="16">
        <f t="shared" si="17"/>
        <v>0</v>
      </c>
      <c r="U25" s="16">
        <f t="shared" si="17"/>
        <v>21</v>
      </c>
      <c r="V25" s="16">
        <f t="shared" si="17"/>
        <v>23</v>
      </c>
      <c r="W25" s="16">
        <f t="shared" si="17"/>
        <v>1</v>
      </c>
      <c r="X25" s="16">
        <f t="shared" si="17"/>
        <v>3</v>
      </c>
      <c r="Y25" s="16">
        <f t="shared" si="17"/>
        <v>3</v>
      </c>
      <c r="Z25" s="16">
        <f t="shared" si="17"/>
        <v>3</v>
      </c>
      <c r="AA25" s="16">
        <f t="shared" si="17"/>
        <v>1</v>
      </c>
      <c r="AB25" s="16">
        <f t="shared" si="17"/>
        <v>0</v>
      </c>
      <c r="AC25" s="16">
        <f t="shared" si="17"/>
        <v>27</v>
      </c>
      <c r="AD25" s="16">
        <f t="shared" si="17"/>
        <v>0</v>
      </c>
      <c r="AE25" s="32">
        <f t="shared" si="17"/>
        <v>71</v>
      </c>
      <c r="AF25" s="32">
        <f t="shared" si="17"/>
        <v>98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3</v>
      </c>
      <c r="F26" s="50">
        <v>3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f>SUM([1]Sheet1!R454:U454)</f>
        <v>0</v>
      </c>
      <c r="M26" s="50">
        <v>3</v>
      </c>
      <c r="N26" s="50">
        <v>0</v>
      </c>
      <c r="O26" s="15">
        <f t="shared" si="0"/>
        <v>7</v>
      </c>
      <c r="P26" s="15">
        <f t="shared" si="1"/>
        <v>10</v>
      </c>
      <c r="R26" s="28" t="s">
        <v>86</v>
      </c>
      <c r="S26" s="16">
        <f t="shared" ref="S26:AF26" si="18">SUM(S13:S18)</f>
        <v>34</v>
      </c>
      <c r="T26" s="16">
        <f t="shared" si="18"/>
        <v>0</v>
      </c>
      <c r="U26" s="16">
        <f t="shared" si="18"/>
        <v>73</v>
      </c>
      <c r="V26" s="16">
        <f t="shared" si="18"/>
        <v>48</v>
      </c>
      <c r="W26" s="16">
        <f t="shared" si="18"/>
        <v>3</v>
      </c>
      <c r="X26" s="16">
        <f t="shared" si="18"/>
        <v>10</v>
      </c>
      <c r="Y26" s="16">
        <f t="shared" si="18"/>
        <v>16</v>
      </c>
      <c r="Z26" s="16">
        <f t="shared" si="18"/>
        <v>0</v>
      </c>
      <c r="AA26" s="16">
        <f t="shared" si="18"/>
        <v>1</v>
      </c>
      <c r="AB26" s="16">
        <f t="shared" si="18"/>
        <v>0</v>
      </c>
      <c r="AC26" s="16">
        <f t="shared" si="18"/>
        <v>43</v>
      </c>
      <c r="AD26" s="16">
        <f t="shared" si="18"/>
        <v>0</v>
      </c>
      <c r="AE26" s="32">
        <f t="shared" si="18"/>
        <v>185</v>
      </c>
      <c r="AF26" s="32">
        <f t="shared" si="18"/>
        <v>228</v>
      </c>
    </row>
    <row r="27" spans="2:32" ht="23.1" customHeight="1" x14ac:dyDescent="0.25">
      <c r="B27" s="23" t="s">
        <v>54</v>
      </c>
      <c r="C27" s="50">
        <v>2</v>
      </c>
      <c r="D27" s="50">
        <v>0</v>
      </c>
      <c r="E27" s="50">
        <v>0</v>
      </c>
      <c r="F27" s="50">
        <v>3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f>SUM([1]Sheet1!R455:U455)</f>
        <v>0</v>
      </c>
      <c r="M27" s="50">
        <v>2</v>
      </c>
      <c r="N27" s="50">
        <v>0</v>
      </c>
      <c r="O27" s="15">
        <f t="shared" si="0"/>
        <v>5</v>
      </c>
      <c r="P27" s="15">
        <f t="shared" si="1"/>
        <v>7</v>
      </c>
      <c r="R27" s="29" t="s">
        <v>87</v>
      </c>
      <c r="S27" s="16">
        <f t="shared" ref="S27:AF27" si="19">SUM(S19:S21)</f>
        <v>26</v>
      </c>
      <c r="T27" s="16">
        <f t="shared" si="19"/>
        <v>0</v>
      </c>
      <c r="U27" s="16">
        <f t="shared" si="19"/>
        <v>50</v>
      </c>
      <c r="V27" s="16">
        <f t="shared" si="19"/>
        <v>25</v>
      </c>
      <c r="W27" s="16">
        <f t="shared" si="19"/>
        <v>1</v>
      </c>
      <c r="X27" s="16">
        <f t="shared" si="19"/>
        <v>7</v>
      </c>
      <c r="Y27" s="16">
        <f t="shared" si="19"/>
        <v>13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27</v>
      </c>
      <c r="AD27" s="16">
        <f t="shared" si="19"/>
        <v>1</v>
      </c>
      <c r="AE27" s="32">
        <f t="shared" si="19"/>
        <v>123</v>
      </c>
      <c r="AF27" s="32">
        <f t="shared" si="19"/>
        <v>150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f>SUM([1]Sheet1!R456:U456)</f>
        <v>0</v>
      </c>
      <c r="M28" s="50">
        <v>1</v>
      </c>
      <c r="N28" s="50">
        <v>0</v>
      </c>
      <c r="O28" s="15">
        <f t="shared" si="0"/>
        <v>2</v>
      </c>
      <c r="P28" s="15">
        <f t="shared" si="1"/>
        <v>3</v>
      </c>
      <c r="R28" s="5" t="s">
        <v>17</v>
      </c>
      <c r="S28" s="16">
        <f t="shared" ref="S28:AF28" si="20">SUM(S10:S21)</f>
        <v>76</v>
      </c>
      <c r="T28" s="16">
        <f t="shared" si="20"/>
        <v>0</v>
      </c>
      <c r="U28" s="16">
        <f t="shared" si="20"/>
        <v>144</v>
      </c>
      <c r="V28" s="16">
        <f t="shared" si="20"/>
        <v>96</v>
      </c>
      <c r="W28" s="16">
        <f t="shared" si="20"/>
        <v>5</v>
      </c>
      <c r="X28" s="16">
        <f t="shared" si="20"/>
        <v>20</v>
      </c>
      <c r="Y28" s="16">
        <f t="shared" si="20"/>
        <v>32</v>
      </c>
      <c r="Z28" s="16">
        <f t="shared" si="20"/>
        <v>3</v>
      </c>
      <c r="AA28" s="16">
        <f t="shared" si="20"/>
        <v>2</v>
      </c>
      <c r="AB28" s="16">
        <f t="shared" si="20"/>
        <v>0</v>
      </c>
      <c r="AC28" s="16">
        <f t="shared" si="20"/>
        <v>97</v>
      </c>
      <c r="AD28" s="16">
        <f t="shared" si="20"/>
        <v>1</v>
      </c>
      <c r="AE28" s="32">
        <f t="shared" si="20"/>
        <v>379</v>
      </c>
      <c r="AF28" s="32">
        <f t="shared" si="20"/>
        <v>476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5</v>
      </c>
      <c r="F29" s="50">
        <v>3</v>
      </c>
      <c r="G29" s="50">
        <v>0</v>
      </c>
      <c r="H29" s="50">
        <v>1</v>
      </c>
      <c r="I29" s="50">
        <v>0</v>
      </c>
      <c r="J29" s="50">
        <v>0</v>
      </c>
      <c r="K29" s="50">
        <v>0</v>
      </c>
      <c r="L29" s="50">
        <f>SUM([1]Sheet1!R457:U457)</f>
        <v>0</v>
      </c>
      <c r="M29" s="50">
        <v>5</v>
      </c>
      <c r="N29" s="50">
        <v>0</v>
      </c>
      <c r="O29" s="15">
        <f t="shared" si="0"/>
        <v>10</v>
      </c>
      <c r="P29" s="15">
        <f t="shared" si="1"/>
        <v>15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0</v>
      </c>
      <c r="E30" s="50">
        <v>1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f>SUM([1]Sheet1!R458:U458)</f>
        <v>0</v>
      </c>
      <c r="M30" s="50">
        <v>0</v>
      </c>
      <c r="N30" s="50">
        <v>0</v>
      </c>
      <c r="O30" s="15">
        <f t="shared" si="0"/>
        <v>5</v>
      </c>
      <c r="P30" s="15">
        <f t="shared" si="1"/>
        <v>5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6</v>
      </c>
      <c r="F31" s="50">
        <v>4</v>
      </c>
      <c r="G31" s="50">
        <v>0</v>
      </c>
      <c r="H31" s="50">
        <v>2</v>
      </c>
      <c r="I31" s="50">
        <v>0</v>
      </c>
      <c r="J31" s="50">
        <v>0</v>
      </c>
      <c r="K31" s="50">
        <v>0</v>
      </c>
      <c r="L31" s="50">
        <f>SUM([1]Sheet1!R459:U459)</f>
        <v>0</v>
      </c>
      <c r="M31" s="50">
        <v>3</v>
      </c>
      <c r="N31" s="50">
        <v>0</v>
      </c>
      <c r="O31" s="15">
        <f t="shared" si="0"/>
        <v>15</v>
      </c>
      <c r="P31" s="15">
        <f t="shared" si="1"/>
        <v>18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f>SUM([1]Sheet1!R460:U460)</f>
        <v>0</v>
      </c>
      <c r="M32" s="50">
        <v>0</v>
      </c>
      <c r="N32" s="50">
        <v>0</v>
      </c>
      <c r="O32" s="15">
        <f t="shared" si="0"/>
        <v>3</v>
      </c>
      <c r="P32" s="15">
        <f t="shared" si="1"/>
        <v>3</v>
      </c>
    </row>
    <row r="33" spans="2:20" ht="23.1" customHeight="1" x14ac:dyDescent="0.25">
      <c r="B33" s="23" t="s">
        <v>60</v>
      </c>
      <c r="C33" s="50">
        <v>3</v>
      </c>
      <c r="D33" s="50">
        <v>0</v>
      </c>
      <c r="E33" s="50">
        <v>3</v>
      </c>
      <c r="F33" s="50">
        <v>3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f>SUM([1]Sheet1!R461:U461)</f>
        <v>0</v>
      </c>
      <c r="M33" s="50">
        <v>1</v>
      </c>
      <c r="N33" s="50">
        <v>0</v>
      </c>
      <c r="O33" s="15">
        <f t="shared" si="0"/>
        <v>9</v>
      </c>
      <c r="P33" s="15">
        <f t="shared" si="1"/>
        <v>10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2</v>
      </c>
      <c r="F34" s="50">
        <v>3</v>
      </c>
      <c r="G34" s="50">
        <v>0</v>
      </c>
      <c r="H34" s="50">
        <v>0</v>
      </c>
      <c r="I34" s="50">
        <v>1</v>
      </c>
      <c r="J34" s="50">
        <v>0</v>
      </c>
      <c r="K34" s="50">
        <v>1</v>
      </c>
      <c r="L34" s="50">
        <f>SUM([1]Sheet1!R462:U462)</f>
        <v>0</v>
      </c>
      <c r="M34" s="50">
        <v>0</v>
      </c>
      <c r="N34" s="50">
        <v>0</v>
      </c>
      <c r="O34" s="15">
        <f t="shared" si="0"/>
        <v>8</v>
      </c>
      <c r="P34" s="15">
        <f t="shared" si="1"/>
        <v>8</v>
      </c>
    </row>
    <row r="35" spans="2:20" ht="23.1" customHeight="1" x14ac:dyDescent="0.25">
      <c r="B35" s="24" t="s">
        <v>62</v>
      </c>
      <c r="C35" s="50">
        <v>3</v>
      </c>
      <c r="D35" s="50">
        <v>0</v>
      </c>
      <c r="E35" s="50">
        <v>3</v>
      </c>
      <c r="F35" s="50">
        <v>2</v>
      </c>
      <c r="G35" s="50">
        <v>0</v>
      </c>
      <c r="H35" s="50">
        <v>2</v>
      </c>
      <c r="I35" s="50">
        <v>1</v>
      </c>
      <c r="J35" s="50">
        <v>0</v>
      </c>
      <c r="K35" s="50">
        <v>0</v>
      </c>
      <c r="L35" s="50">
        <f>SUM([1]Sheet1!R463:U463)</f>
        <v>0</v>
      </c>
      <c r="M35" s="50">
        <v>0</v>
      </c>
      <c r="N35" s="50">
        <v>0</v>
      </c>
      <c r="O35" s="15">
        <f t="shared" si="0"/>
        <v>11</v>
      </c>
      <c r="P35" s="15">
        <f t="shared" si="1"/>
        <v>11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5</v>
      </c>
      <c r="F36" s="50">
        <v>4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f>SUM([1]Sheet1!R464:U464)</f>
        <v>0</v>
      </c>
      <c r="M36" s="50">
        <v>4</v>
      </c>
      <c r="N36" s="50">
        <v>0</v>
      </c>
      <c r="O36" s="15">
        <f t="shared" si="0"/>
        <v>10</v>
      </c>
      <c r="P36" s="15">
        <f t="shared" si="1"/>
        <v>14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5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f>SUM([1]Sheet1!R465:U465)</f>
        <v>0</v>
      </c>
      <c r="M37" s="50">
        <v>0</v>
      </c>
      <c r="N37" s="50">
        <v>0</v>
      </c>
      <c r="O37" s="15">
        <f t="shared" si="0"/>
        <v>7</v>
      </c>
      <c r="P37" s="15">
        <f t="shared" si="1"/>
        <v>7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5</v>
      </c>
      <c r="F38" s="50">
        <v>1</v>
      </c>
      <c r="G38" s="50">
        <v>0</v>
      </c>
      <c r="H38" s="50">
        <v>1</v>
      </c>
      <c r="I38" s="50">
        <v>0</v>
      </c>
      <c r="J38" s="50">
        <v>0</v>
      </c>
      <c r="K38" s="50">
        <v>0</v>
      </c>
      <c r="L38" s="50">
        <f>SUM([1]Sheet1!R466:U466)</f>
        <v>0</v>
      </c>
      <c r="M38" s="50">
        <v>2</v>
      </c>
      <c r="N38" s="50">
        <v>0</v>
      </c>
      <c r="O38" s="15">
        <f t="shared" si="0"/>
        <v>7</v>
      </c>
      <c r="P38" s="15">
        <f t="shared" si="1"/>
        <v>9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2</v>
      </c>
      <c r="F39" s="50">
        <v>4</v>
      </c>
      <c r="G39" s="50">
        <v>1</v>
      </c>
      <c r="H39" s="50">
        <v>0</v>
      </c>
      <c r="I39" s="50">
        <v>4</v>
      </c>
      <c r="J39" s="50">
        <v>0</v>
      </c>
      <c r="K39" s="50">
        <v>0</v>
      </c>
      <c r="L39" s="50">
        <f>SUM([1]Sheet1!R467:U467)</f>
        <v>0</v>
      </c>
      <c r="M39" s="50">
        <v>0</v>
      </c>
      <c r="N39" s="50">
        <v>0</v>
      </c>
      <c r="O39" s="15">
        <f t="shared" si="0"/>
        <v>12</v>
      </c>
      <c r="P39" s="15">
        <f t="shared" si="1"/>
        <v>12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3</v>
      </c>
      <c r="F40" s="50">
        <v>0</v>
      </c>
      <c r="G40" s="50">
        <v>1</v>
      </c>
      <c r="H40" s="50">
        <v>0</v>
      </c>
      <c r="I40" s="50">
        <v>0</v>
      </c>
      <c r="J40" s="50">
        <v>0</v>
      </c>
      <c r="K40" s="50">
        <v>0</v>
      </c>
      <c r="L40" s="50">
        <f>SUM([1]Sheet1!R468:U468)</f>
        <v>0</v>
      </c>
      <c r="M40" s="50">
        <v>0</v>
      </c>
      <c r="N40" s="50">
        <v>0</v>
      </c>
      <c r="O40" s="15">
        <f t="shared" si="0"/>
        <v>4</v>
      </c>
      <c r="P40" s="15">
        <f t="shared" si="1"/>
        <v>4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3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f>SUM([1]Sheet1!R469:U469)</f>
        <v>0</v>
      </c>
      <c r="M41" s="50">
        <v>4</v>
      </c>
      <c r="N41" s="50">
        <v>0</v>
      </c>
      <c r="O41" s="15">
        <f t="shared" si="0"/>
        <v>5</v>
      </c>
      <c r="P41" s="15">
        <f t="shared" si="1"/>
        <v>9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2</v>
      </c>
      <c r="F42" s="50">
        <v>2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f>SUM([1]Sheet1!R470:U470)</f>
        <v>0</v>
      </c>
      <c r="M42" s="50">
        <v>3</v>
      </c>
      <c r="N42" s="50">
        <v>0</v>
      </c>
      <c r="O42" s="15">
        <f t="shared" si="0"/>
        <v>6</v>
      </c>
      <c r="P42" s="15">
        <f t="shared" si="1"/>
        <v>9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1</v>
      </c>
      <c r="F43" s="50">
        <v>1</v>
      </c>
      <c r="G43" s="50">
        <v>0</v>
      </c>
      <c r="H43" s="50">
        <v>1</v>
      </c>
      <c r="I43" s="50">
        <v>2</v>
      </c>
      <c r="J43" s="50">
        <v>0</v>
      </c>
      <c r="K43" s="50">
        <v>0</v>
      </c>
      <c r="L43" s="50">
        <f>SUM([1]Sheet1!R471:U471)</f>
        <v>0</v>
      </c>
      <c r="M43" s="50">
        <v>2</v>
      </c>
      <c r="N43" s="50">
        <v>0</v>
      </c>
      <c r="O43" s="15">
        <f t="shared" si="0"/>
        <v>6</v>
      </c>
      <c r="P43" s="15">
        <f t="shared" si="1"/>
        <v>8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2</v>
      </c>
      <c r="F44" s="50">
        <v>2</v>
      </c>
      <c r="G44" s="50">
        <v>1</v>
      </c>
      <c r="H44" s="50">
        <v>1</v>
      </c>
      <c r="I44" s="50">
        <v>1</v>
      </c>
      <c r="J44" s="50">
        <v>0</v>
      </c>
      <c r="K44" s="50">
        <v>0</v>
      </c>
      <c r="L44" s="50">
        <f>SUM([1]Sheet1!R472:U472)</f>
        <v>0</v>
      </c>
      <c r="M44" s="50">
        <v>1</v>
      </c>
      <c r="N44" s="50">
        <v>0</v>
      </c>
      <c r="O44" s="15">
        <f t="shared" si="0"/>
        <v>8</v>
      </c>
      <c r="P44" s="15">
        <f t="shared" si="1"/>
        <v>9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4</v>
      </c>
      <c r="F45" s="50">
        <v>2</v>
      </c>
      <c r="G45" s="50">
        <v>0</v>
      </c>
      <c r="H45" s="50">
        <v>1</v>
      </c>
      <c r="I45" s="50">
        <v>2</v>
      </c>
      <c r="J45" s="50">
        <v>0</v>
      </c>
      <c r="K45" s="50">
        <v>0</v>
      </c>
      <c r="L45" s="50">
        <f>SUM([1]Sheet1!R473:U473)</f>
        <v>0</v>
      </c>
      <c r="M45" s="50">
        <v>2</v>
      </c>
      <c r="N45" s="50">
        <v>0</v>
      </c>
      <c r="O45" s="15">
        <f t="shared" si="0"/>
        <v>10</v>
      </c>
      <c r="P45" s="15">
        <f t="shared" si="1"/>
        <v>12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2</v>
      </c>
      <c r="F46" s="50">
        <v>3</v>
      </c>
      <c r="G46" s="50">
        <v>0</v>
      </c>
      <c r="H46" s="50">
        <v>2</v>
      </c>
      <c r="I46" s="50">
        <v>1</v>
      </c>
      <c r="J46" s="50">
        <v>0</v>
      </c>
      <c r="K46" s="50">
        <v>0</v>
      </c>
      <c r="L46" s="50">
        <f>SUM([1]Sheet1!R474:U474)</f>
        <v>0</v>
      </c>
      <c r="M46" s="50">
        <v>2</v>
      </c>
      <c r="N46" s="50">
        <v>0</v>
      </c>
      <c r="O46" s="15">
        <f t="shared" si="0"/>
        <v>9</v>
      </c>
      <c r="P46" s="15">
        <f t="shared" si="1"/>
        <v>11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6</v>
      </c>
      <c r="F47" s="50">
        <v>2</v>
      </c>
      <c r="G47" s="50">
        <v>0</v>
      </c>
      <c r="H47" s="50">
        <v>1</v>
      </c>
      <c r="I47" s="50">
        <v>0</v>
      </c>
      <c r="J47" s="50">
        <v>0</v>
      </c>
      <c r="K47" s="50">
        <v>0</v>
      </c>
      <c r="L47" s="50">
        <f>SUM([1]Sheet1!R475:U475)</f>
        <v>0</v>
      </c>
      <c r="M47" s="50">
        <v>2</v>
      </c>
      <c r="N47" s="50">
        <v>1</v>
      </c>
      <c r="O47" s="15">
        <f t="shared" si="0"/>
        <v>12</v>
      </c>
      <c r="P47" s="15">
        <f t="shared" si="1"/>
        <v>14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4</v>
      </c>
      <c r="F48" s="50">
        <v>3</v>
      </c>
      <c r="G48" s="50">
        <v>1</v>
      </c>
      <c r="H48" s="50">
        <v>0</v>
      </c>
      <c r="I48" s="50">
        <v>0</v>
      </c>
      <c r="J48" s="50">
        <v>0</v>
      </c>
      <c r="K48" s="50">
        <v>0</v>
      </c>
      <c r="L48" s="50">
        <f>SUM([1]Sheet1!R476:U476)</f>
        <v>0</v>
      </c>
      <c r="M48" s="50">
        <v>1</v>
      </c>
      <c r="N48" s="50">
        <v>0</v>
      </c>
      <c r="O48" s="15">
        <f t="shared" si="0"/>
        <v>8</v>
      </c>
      <c r="P48" s="15">
        <f t="shared" si="1"/>
        <v>9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0</v>
      </c>
      <c r="E49" s="50">
        <v>8</v>
      </c>
      <c r="F49" s="50">
        <v>3</v>
      </c>
      <c r="G49" s="50">
        <v>0</v>
      </c>
      <c r="H49" s="50">
        <v>1</v>
      </c>
      <c r="I49" s="50">
        <v>0</v>
      </c>
      <c r="J49" s="50">
        <v>0</v>
      </c>
      <c r="K49" s="50">
        <v>0</v>
      </c>
      <c r="L49" s="50">
        <f>SUM([1]Sheet1!R477:U477)</f>
        <v>0</v>
      </c>
      <c r="M49" s="50">
        <v>1</v>
      </c>
      <c r="N49" s="50">
        <v>0</v>
      </c>
      <c r="O49" s="15">
        <f t="shared" si="0"/>
        <v>17</v>
      </c>
      <c r="P49" s="15">
        <f t="shared" si="1"/>
        <v>18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1</v>
      </c>
      <c r="F50" s="50">
        <v>1</v>
      </c>
      <c r="G50" s="50">
        <v>0</v>
      </c>
      <c r="H50" s="50">
        <v>0</v>
      </c>
      <c r="I50" s="50">
        <v>3</v>
      </c>
      <c r="J50" s="50">
        <v>0</v>
      </c>
      <c r="K50" s="50">
        <v>0</v>
      </c>
      <c r="L50" s="50">
        <f>SUM([1]Sheet1!R478:U478)</f>
        <v>0</v>
      </c>
      <c r="M50" s="50">
        <v>2</v>
      </c>
      <c r="N50" s="50">
        <v>0</v>
      </c>
      <c r="O50" s="15">
        <f t="shared" si="0"/>
        <v>5</v>
      </c>
      <c r="P50" s="15">
        <f t="shared" si="1"/>
        <v>7</v>
      </c>
      <c r="R50" s="8"/>
      <c r="T50"/>
    </row>
    <row r="51" spans="2:20" ht="23.1" customHeight="1" x14ac:dyDescent="0.25">
      <c r="B51" s="24" t="s">
        <v>78</v>
      </c>
      <c r="C51" s="50">
        <v>5</v>
      </c>
      <c r="D51" s="50">
        <v>0</v>
      </c>
      <c r="E51" s="50">
        <v>7</v>
      </c>
      <c r="F51" s="50">
        <v>3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f>SUM([1]Sheet1!R479:U479)</f>
        <v>0</v>
      </c>
      <c r="M51" s="50">
        <v>4</v>
      </c>
      <c r="N51" s="50">
        <v>0</v>
      </c>
      <c r="O51" s="15">
        <f t="shared" si="0"/>
        <v>15</v>
      </c>
      <c r="P51" s="15">
        <f t="shared" si="1"/>
        <v>19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3</v>
      </c>
      <c r="F52" s="50">
        <v>1</v>
      </c>
      <c r="G52" s="50">
        <v>0</v>
      </c>
      <c r="H52" s="50">
        <v>1</v>
      </c>
      <c r="I52" s="50">
        <v>1</v>
      </c>
      <c r="J52" s="50">
        <v>0</v>
      </c>
      <c r="K52" s="50">
        <v>0</v>
      </c>
      <c r="L52" s="50">
        <f>SUM([1]Sheet1!R480:U480)</f>
        <v>0</v>
      </c>
      <c r="M52" s="50">
        <v>5</v>
      </c>
      <c r="N52" s="50">
        <v>0</v>
      </c>
      <c r="O52" s="15">
        <f t="shared" si="0"/>
        <v>7</v>
      </c>
      <c r="P52" s="15">
        <f t="shared" si="1"/>
        <v>12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5</v>
      </c>
      <c r="F53" s="50">
        <v>2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f>SUM([1]Sheet1!R481:U481)</f>
        <v>0</v>
      </c>
      <c r="M53" s="50">
        <v>0</v>
      </c>
      <c r="N53" s="50">
        <v>0</v>
      </c>
      <c r="O53" s="15">
        <f t="shared" si="0"/>
        <v>9</v>
      </c>
      <c r="P53" s="15">
        <f t="shared" si="1"/>
        <v>9</v>
      </c>
      <c r="R53" s="8"/>
      <c r="T53"/>
    </row>
    <row r="54" spans="2:20" ht="23.1" customHeight="1" x14ac:dyDescent="0.25">
      <c r="B54" s="23" t="s">
        <v>81</v>
      </c>
      <c r="C54" s="50">
        <v>6</v>
      </c>
      <c r="D54" s="50">
        <v>0</v>
      </c>
      <c r="E54" s="50">
        <v>5</v>
      </c>
      <c r="F54" s="50">
        <v>2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f>SUM([1]Sheet1!R482:U482)</f>
        <v>0</v>
      </c>
      <c r="M54" s="50">
        <v>4</v>
      </c>
      <c r="N54" s="50">
        <v>0</v>
      </c>
      <c r="O54" s="15">
        <f t="shared" si="0"/>
        <v>16</v>
      </c>
      <c r="P54" s="15">
        <f t="shared" si="1"/>
        <v>20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5</v>
      </c>
      <c r="F55" s="50">
        <v>3</v>
      </c>
      <c r="G55" s="50">
        <v>0</v>
      </c>
      <c r="H55" s="50">
        <v>1</v>
      </c>
      <c r="I55" s="50">
        <v>0</v>
      </c>
      <c r="J55" s="50">
        <v>0</v>
      </c>
      <c r="K55" s="50">
        <v>0</v>
      </c>
      <c r="L55" s="50">
        <f>SUM([1]Sheet1!R483:U483)</f>
        <v>0</v>
      </c>
      <c r="M55" s="50">
        <v>4</v>
      </c>
      <c r="N55" s="50">
        <v>0</v>
      </c>
      <c r="O55" s="15">
        <f t="shared" si="0"/>
        <v>10</v>
      </c>
      <c r="P55" s="15">
        <f t="shared" si="1"/>
        <v>14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3</v>
      </c>
      <c r="F56" s="50">
        <v>2</v>
      </c>
      <c r="G56" s="50">
        <v>0</v>
      </c>
      <c r="H56" s="50">
        <v>0</v>
      </c>
      <c r="I56" s="50">
        <v>5</v>
      </c>
      <c r="J56" s="50">
        <v>0</v>
      </c>
      <c r="K56" s="50">
        <v>0</v>
      </c>
      <c r="L56" s="50">
        <f>SUM([1]Sheet1!R484:U484)</f>
        <v>0</v>
      </c>
      <c r="M56" s="50">
        <v>2</v>
      </c>
      <c r="N56" s="50">
        <v>0</v>
      </c>
      <c r="O56" s="15">
        <f t="shared" si="0"/>
        <v>12</v>
      </c>
      <c r="P56" s="15">
        <f t="shared" si="1"/>
        <v>14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1</v>
      </c>
      <c r="F57" s="50">
        <v>0</v>
      </c>
      <c r="G57" s="50">
        <v>0</v>
      </c>
      <c r="H57" s="50">
        <v>1</v>
      </c>
      <c r="I57" s="50">
        <v>0</v>
      </c>
      <c r="J57" s="50">
        <v>0</v>
      </c>
      <c r="K57" s="50">
        <v>0</v>
      </c>
      <c r="L57" s="50">
        <f>SUM([1]Sheet1!R485:U485)</f>
        <v>0</v>
      </c>
      <c r="M57" s="50">
        <v>0</v>
      </c>
      <c r="N57" s="50">
        <v>0</v>
      </c>
      <c r="O57" s="15">
        <f t="shared" si="0"/>
        <v>3</v>
      </c>
      <c r="P57" s="15">
        <f t="shared" si="1"/>
        <v>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76</v>
      </c>
      <c r="D58" s="16">
        <f t="shared" si="21"/>
        <v>0</v>
      </c>
      <c r="E58" s="16">
        <f t="shared" si="21"/>
        <v>144</v>
      </c>
      <c r="F58" s="16">
        <f t="shared" si="21"/>
        <v>96</v>
      </c>
      <c r="G58" s="16">
        <f t="shared" si="21"/>
        <v>5</v>
      </c>
      <c r="H58" s="16">
        <f t="shared" si="21"/>
        <v>20</v>
      </c>
      <c r="I58" s="16">
        <f t="shared" si="21"/>
        <v>32</v>
      </c>
      <c r="J58" s="16">
        <f t="shared" si="21"/>
        <v>3</v>
      </c>
      <c r="K58" s="16">
        <f t="shared" si="21"/>
        <v>2</v>
      </c>
      <c r="L58" s="16">
        <f t="shared" si="21"/>
        <v>0</v>
      </c>
      <c r="M58" s="16">
        <f t="shared" si="21"/>
        <v>97</v>
      </c>
      <c r="N58" s="16">
        <f t="shared" si="21"/>
        <v>1</v>
      </c>
      <c r="O58" s="16">
        <f t="shared" si="21"/>
        <v>379</v>
      </c>
      <c r="P58" s="16">
        <f t="shared" si="21"/>
        <v>476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0.15966386554621848</v>
      </c>
      <c r="D59" s="43">
        <f t="shared" si="22"/>
        <v>0</v>
      </c>
      <c r="E59" s="43">
        <f t="shared" si="22"/>
        <v>0.30252100840336132</v>
      </c>
      <c r="F59" s="43">
        <f t="shared" si="22"/>
        <v>0.20168067226890757</v>
      </c>
      <c r="G59" s="43">
        <f t="shared" si="22"/>
        <v>1.050420168067227E-2</v>
      </c>
      <c r="H59" s="43">
        <f t="shared" si="22"/>
        <v>4.2016806722689079E-2</v>
      </c>
      <c r="I59" s="43">
        <f t="shared" si="22"/>
        <v>6.7226890756302518E-2</v>
      </c>
      <c r="J59" s="43">
        <f t="shared" si="22"/>
        <v>6.3025210084033615E-3</v>
      </c>
      <c r="K59" s="43">
        <f t="shared" si="22"/>
        <v>4.2016806722689074E-3</v>
      </c>
      <c r="L59" s="43">
        <f t="shared" si="22"/>
        <v>0</v>
      </c>
      <c r="M59" s="43">
        <f t="shared" si="22"/>
        <v>0.20378151260504201</v>
      </c>
      <c r="N59" s="43">
        <f t="shared" si="22"/>
        <v>2.1008403361344537E-3</v>
      </c>
      <c r="R59" s="8"/>
      <c r="T59"/>
    </row>
    <row r="60" spans="2:20" ht="23.1" customHeight="1" x14ac:dyDescent="0.25">
      <c r="B60" s="42" t="s">
        <v>94</v>
      </c>
      <c r="C60" s="44">
        <f>C58/$O$58</f>
        <v>0.20052770448548812</v>
      </c>
      <c r="D60" s="44">
        <f t="shared" ref="D60:N60" si="23">D58/$O$58</f>
        <v>0</v>
      </c>
      <c r="E60" s="44">
        <f t="shared" si="23"/>
        <v>0.37994722955145116</v>
      </c>
      <c r="F60" s="44">
        <f t="shared" si="23"/>
        <v>0.25329815303430081</v>
      </c>
      <c r="G60" s="44">
        <f t="shared" si="23"/>
        <v>1.3192612137203167E-2</v>
      </c>
      <c r="H60" s="44">
        <f t="shared" si="23"/>
        <v>5.2770448548812667E-2</v>
      </c>
      <c r="I60" s="44">
        <f t="shared" si="23"/>
        <v>8.4432717678100261E-2</v>
      </c>
      <c r="J60" s="44">
        <f t="shared" si="23"/>
        <v>7.9155672823219003E-3</v>
      </c>
      <c r="K60" s="44">
        <f t="shared" si="23"/>
        <v>5.2770448548812663E-3</v>
      </c>
      <c r="L60" s="44">
        <f t="shared" si="23"/>
        <v>0</v>
      </c>
      <c r="M60" s="44"/>
      <c r="N60" s="44">
        <f t="shared" si="23"/>
        <v>2.6385224274406332E-3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zoomScale="60" workbookViewId="0">
      <selection activeCell="S58" sqref="S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KYENJOJO-FORTPORTAL'!C3:G3</f>
        <v>C4 - STN107-FORTPORTAL-KYENJONJO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63" t="str">
        <f>'29.07 KYENJOJO-FORTPORTAL'!G5:H5</f>
        <v>xxx</v>
      </c>
      <c r="H5" s="64"/>
      <c r="I5" s="14"/>
      <c r="J5" s="2" t="s">
        <v>5</v>
      </c>
      <c r="K5" s="63" t="str">
        <f>'29.07 KYENJOJO-FORTPORTAL'!K5:L5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KYENJOJO-FORTPORTAL'!D6:E6</f>
        <v>KYENJOJO</v>
      </c>
      <c r="E6" s="64"/>
      <c r="F6" s="2" t="s">
        <v>2</v>
      </c>
      <c r="G6" s="63" t="str">
        <f>'29.07 KYENJOJO-FORTPORTAL'!G6:H6</f>
        <v>FORTPORTAL</v>
      </c>
      <c r="H6" s="64"/>
      <c r="J6" s="2" t="s">
        <v>21</v>
      </c>
      <c r="K6" s="63" t="str">
        <f>'29.07 KYENJOJO-FORTPORTAL'!K6:L6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2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1</v>
      </c>
      <c r="M10" s="50">
        <v>0</v>
      </c>
      <c r="N10" s="50">
        <v>0</v>
      </c>
      <c r="O10" s="15">
        <f t="shared" ref="O10:O57" si="0">SUM(C10:L10,N10)</f>
        <v>6</v>
      </c>
      <c r="P10" s="15">
        <f t="shared" ref="P10:P57" si="1">SUM(C10:N10)</f>
        <v>6</v>
      </c>
      <c r="R10" s="1" t="s">
        <v>6</v>
      </c>
      <c r="S10" s="17">
        <f t="shared" ref="S10:AF10" si="2">SUM(C10:C13)</f>
        <v>5</v>
      </c>
      <c r="T10" s="17">
        <f t="shared" si="2"/>
        <v>0</v>
      </c>
      <c r="U10" s="17">
        <f t="shared" si="2"/>
        <v>4</v>
      </c>
      <c r="V10" s="17">
        <f t="shared" si="2"/>
        <v>4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1</v>
      </c>
      <c r="AA10" s="17">
        <f t="shared" si="2"/>
        <v>0</v>
      </c>
      <c r="AB10" s="17">
        <f t="shared" si="2"/>
        <v>2</v>
      </c>
      <c r="AC10" s="17">
        <f t="shared" si="2"/>
        <v>0</v>
      </c>
      <c r="AD10" s="17">
        <f t="shared" si="2"/>
        <v>0</v>
      </c>
      <c r="AE10" s="31">
        <f t="shared" si="2"/>
        <v>18</v>
      </c>
      <c r="AF10" s="31">
        <f t="shared" si="2"/>
        <v>18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2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3</v>
      </c>
      <c r="P11" s="15">
        <f t="shared" si="1"/>
        <v>3</v>
      </c>
      <c r="R11" s="1" t="s">
        <v>7</v>
      </c>
      <c r="S11" s="17">
        <f t="shared" ref="S11:AF11" si="3">SUM(C14:C17)</f>
        <v>6</v>
      </c>
      <c r="T11" s="17">
        <f t="shared" si="3"/>
        <v>0</v>
      </c>
      <c r="U11" s="17">
        <f t="shared" si="3"/>
        <v>6</v>
      </c>
      <c r="V11" s="17">
        <f t="shared" si="3"/>
        <v>9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12</v>
      </c>
      <c r="AD11" s="17">
        <f t="shared" si="3"/>
        <v>0</v>
      </c>
      <c r="AE11" s="31">
        <f t="shared" si="3"/>
        <v>23</v>
      </c>
      <c r="AF11" s="31">
        <f t="shared" si="3"/>
        <v>35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1</v>
      </c>
      <c r="F12" s="50">
        <v>1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5</v>
      </c>
      <c r="P12" s="15">
        <f t="shared" si="1"/>
        <v>5</v>
      </c>
      <c r="R12" s="1" t="s">
        <v>8</v>
      </c>
      <c r="S12" s="17">
        <f t="shared" ref="S12:AF12" si="4">SUM(C18:C21)</f>
        <v>1</v>
      </c>
      <c r="T12" s="17">
        <f t="shared" si="4"/>
        <v>0</v>
      </c>
      <c r="U12" s="17">
        <f t="shared" si="4"/>
        <v>6</v>
      </c>
      <c r="V12" s="17">
        <f t="shared" si="4"/>
        <v>4</v>
      </c>
      <c r="W12" s="17">
        <f t="shared" si="4"/>
        <v>0</v>
      </c>
      <c r="X12" s="17">
        <f t="shared" si="4"/>
        <v>1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3</v>
      </c>
      <c r="AC12" s="17">
        <f t="shared" si="4"/>
        <v>2</v>
      </c>
      <c r="AD12" s="17">
        <f t="shared" si="4"/>
        <v>0</v>
      </c>
      <c r="AE12" s="31">
        <f t="shared" si="4"/>
        <v>15</v>
      </c>
      <c r="AF12" s="31">
        <f t="shared" si="4"/>
        <v>17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1</v>
      </c>
      <c r="M13" s="50">
        <v>0</v>
      </c>
      <c r="N13" s="50">
        <v>0</v>
      </c>
      <c r="O13" s="15">
        <f t="shared" si="0"/>
        <v>4</v>
      </c>
      <c r="P13" s="15">
        <f t="shared" si="1"/>
        <v>4</v>
      </c>
      <c r="R13" s="1" t="s">
        <v>9</v>
      </c>
      <c r="S13" s="17">
        <f t="shared" ref="S13:AF13" si="5">SUM(C22:C25)</f>
        <v>4</v>
      </c>
      <c r="T13" s="17">
        <f t="shared" si="5"/>
        <v>0</v>
      </c>
      <c r="U13" s="17">
        <f t="shared" si="5"/>
        <v>5</v>
      </c>
      <c r="V13" s="17">
        <f t="shared" si="5"/>
        <v>5</v>
      </c>
      <c r="W13" s="17">
        <f t="shared" si="5"/>
        <v>0</v>
      </c>
      <c r="X13" s="17">
        <f t="shared" si="5"/>
        <v>1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3</v>
      </c>
      <c r="AC13" s="17">
        <f t="shared" si="5"/>
        <v>0</v>
      </c>
      <c r="AD13" s="17">
        <f t="shared" si="5"/>
        <v>0</v>
      </c>
      <c r="AE13" s="31">
        <f t="shared" si="5"/>
        <v>20</v>
      </c>
      <c r="AF13" s="31">
        <f t="shared" si="5"/>
        <v>20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2</v>
      </c>
      <c r="F14" s="50">
        <v>3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1</v>
      </c>
      <c r="M14" s="50">
        <v>3</v>
      </c>
      <c r="N14" s="50">
        <v>0</v>
      </c>
      <c r="O14" s="15">
        <f t="shared" si="0"/>
        <v>9</v>
      </c>
      <c r="P14" s="15">
        <f t="shared" si="1"/>
        <v>12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10</v>
      </c>
      <c r="V14" s="17">
        <f t="shared" si="6"/>
        <v>7</v>
      </c>
      <c r="W14" s="17">
        <f t="shared" si="6"/>
        <v>0</v>
      </c>
      <c r="X14" s="17">
        <f t="shared" si="6"/>
        <v>2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2</v>
      </c>
      <c r="AC14" s="17">
        <f t="shared" si="6"/>
        <v>0</v>
      </c>
      <c r="AD14" s="17">
        <f t="shared" si="6"/>
        <v>0</v>
      </c>
      <c r="AE14" s="31">
        <f t="shared" si="6"/>
        <v>26</v>
      </c>
      <c r="AF14" s="31">
        <f t="shared" si="6"/>
        <v>26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2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5</v>
      </c>
      <c r="P15" s="15">
        <f t="shared" si="1"/>
        <v>8</v>
      </c>
      <c r="R15" s="1" t="s">
        <v>11</v>
      </c>
      <c r="S15" s="17">
        <f t="shared" ref="S15:AF15" si="7">SUM(C30:C33)</f>
        <v>12</v>
      </c>
      <c r="T15" s="17">
        <f t="shared" si="7"/>
        <v>0</v>
      </c>
      <c r="U15" s="17">
        <f t="shared" si="7"/>
        <v>8</v>
      </c>
      <c r="V15" s="17">
        <f t="shared" si="7"/>
        <v>8</v>
      </c>
      <c r="W15" s="17">
        <f t="shared" si="7"/>
        <v>1</v>
      </c>
      <c r="X15" s="17">
        <f t="shared" si="7"/>
        <v>2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2</v>
      </c>
      <c r="AC15" s="17">
        <f t="shared" si="7"/>
        <v>3</v>
      </c>
      <c r="AD15" s="17">
        <f t="shared" si="7"/>
        <v>0</v>
      </c>
      <c r="AE15" s="31">
        <f t="shared" si="7"/>
        <v>34</v>
      </c>
      <c r="AF15" s="31">
        <f t="shared" si="7"/>
        <v>37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2</v>
      </c>
      <c r="F16" s="50">
        <v>3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5</v>
      </c>
      <c r="N16" s="50">
        <v>0</v>
      </c>
      <c r="O16" s="15">
        <f t="shared" si="0"/>
        <v>5</v>
      </c>
      <c r="P16" s="15">
        <f t="shared" si="1"/>
        <v>10</v>
      </c>
      <c r="R16" s="1" t="s">
        <v>12</v>
      </c>
      <c r="S16" s="17">
        <f t="shared" ref="S16:AF16" si="8">SUM(C34:C37)</f>
        <v>7</v>
      </c>
      <c r="T16" s="17">
        <f t="shared" si="8"/>
        <v>0</v>
      </c>
      <c r="U16" s="17">
        <f t="shared" si="8"/>
        <v>3</v>
      </c>
      <c r="V16" s="17">
        <f t="shared" si="8"/>
        <v>8</v>
      </c>
      <c r="W16" s="17">
        <f t="shared" si="8"/>
        <v>0</v>
      </c>
      <c r="X16" s="17">
        <f t="shared" si="8"/>
        <v>1</v>
      </c>
      <c r="Y16" s="17">
        <f t="shared" si="8"/>
        <v>1</v>
      </c>
      <c r="Z16" s="17">
        <f t="shared" si="8"/>
        <v>2</v>
      </c>
      <c r="AA16" s="17">
        <f t="shared" si="8"/>
        <v>0</v>
      </c>
      <c r="AB16" s="17">
        <f t="shared" si="8"/>
        <v>1</v>
      </c>
      <c r="AC16" s="17">
        <f t="shared" si="8"/>
        <v>8</v>
      </c>
      <c r="AD16" s="17">
        <f t="shared" si="8"/>
        <v>0</v>
      </c>
      <c r="AE16" s="31">
        <f t="shared" si="8"/>
        <v>23</v>
      </c>
      <c r="AF16" s="31">
        <f t="shared" si="8"/>
        <v>31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0</v>
      </c>
      <c r="F17" s="50">
        <v>2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</v>
      </c>
      <c r="N17" s="50">
        <v>0</v>
      </c>
      <c r="O17" s="15">
        <f t="shared" si="0"/>
        <v>4</v>
      </c>
      <c r="P17" s="15">
        <f t="shared" si="1"/>
        <v>5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9</v>
      </c>
      <c r="V17" s="17">
        <f t="shared" si="9"/>
        <v>7</v>
      </c>
      <c r="W17" s="17">
        <f t="shared" si="9"/>
        <v>0</v>
      </c>
      <c r="X17" s="17">
        <f t="shared" si="9"/>
        <v>1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7</v>
      </c>
      <c r="AD17" s="17">
        <f t="shared" si="9"/>
        <v>0</v>
      </c>
      <c r="AE17" s="31">
        <f t="shared" si="9"/>
        <v>22</v>
      </c>
      <c r="AF17" s="31">
        <f t="shared" si="9"/>
        <v>29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2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</v>
      </c>
      <c r="N18" s="50">
        <v>0</v>
      </c>
      <c r="O18" s="15">
        <f t="shared" si="0"/>
        <v>3</v>
      </c>
      <c r="P18" s="15">
        <f t="shared" si="1"/>
        <v>4</v>
      </c>
      <c r="R18" s="1" t="s">
        <v>14</v>
      </c>
      <c r="S18" s="17">
        <f t="shared" ref="S18:AF18" si="10">SUM(C42:C45)</f>
        <v>8</v>
      </c>
      <c r="T18" s="17">
        <f t="shared" si="10"/>
        <v>0</v>
      </c>
      <c r="U18" s="17">
        <f t="shared" si="10"/>
        <v>9</v>
      </c>
      <c r="V18" s="17">
        <f t="shared" si="10"/>
        <v>11</v>
      </c>
      <c r="W18" s="17">
        <f t="shared" si="10"/>
        <v>0</v>
      </c>
      <c r="X18" s="17">
        <f t="shared" si="10"/>
        <v>2</v>
      </c>
      <c r="Y18" s="17">
        <f t="shared" si="10"/>
        <v>3</v>
      </c>
      <c r="Z18" s="17">
        <f t="shared" si="10"/>
        <v>0</v>
      </c>
      <c r="AA18" s="17">
        <f t="shared" si="10"/>
        <v>0</v>
      </c>
      <c r="AB18" s="17">
        <f t="shared" si="10"/>
        <v>2</v>
      </c>
      <c r="AC18" s="17">
        <f t="shared" si="10"/>
        <v>10</v>
      </c>
      <c r="AD18" s="17">
        <f t="shared" si="10"/>
        <v>0</v>
      </c>
      <c r="AE18" s="31">
        <f t="shared" si="10"/>
        <v>35</v>
      </c>
      <c r="AF18" s="31">
        <f t="shared" si="10"/>
        <v>45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3</v>
      </c>
      <c r="F19" s="50">
        <v>0</v>
      </c>
      <c r="G19" s="50">
        <v>0</v>
      </c>
      <c r="H19" s="50">
        <v>1</v>
      </c>
      <c r="I19" s="50">
        <v>0</v>
      </c>
      <c r="J19" s="50">
        <v>0</v>
      </c>
      <c r="K19" s="50">
        <v>0</v>
      </c>
      <c r="L19" s="50">
        <v>1</v>
      </c>
      <c r="M19" s="50">
        <v>0</v>
      </c>
      <c r="N19" s="50">
        <v>0</v>
      </c>
      <c r="O19" s="15">
        <f t="shared" si="0"/>
        <v>5</v>
      </c>
      <c r="P19" s="15">
        <f t="shared" si="1"/>
        <v>5</v>
      </c>
      <c r="R19" s="1" t="s">
        <v>15</v>
      </c>
      <c r="S19" s="17">
        <f t="shared" ref="S19:AF19" si="11">SUM(C46:C49)</f>
        <v>3</v>
      </c>
      <c r="T19" s="17">
        <f t="shared" si="11"/>
        <v>0</v>
      </c>
      <c r="U19" s="17">
        <f t="shared" si="11"/>
        <v>9</v>
      </c>
      <c r="V19" s="17">
        <f t="shared" si="11"/>
        <v>5</v>
      </c>
      <c r="W19" s="17">
        <f t="shared" si="11"/>
        <v>0</v>
      </c>
      <c r="X19" s="17">
        <f t="shared" si="11"/>
        <v>1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2</v>
      </c>
      <c r="AC19" s="17">
        <f t="shared" si="11"/>
        <v>4</v>
      </c>
      <c r="AD19" s="17">
        <f t="shared" si="11"/>
        <v>0</v>
      </c>
      <c r="AE19" s="31">
        <f t="shared" si="11"/>
        <v>22</v>
      </c>
      <c r="AF19" s="31">
        <f t="shared" si="11"/>
        <v>26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2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3</v>
      </c>
      <c r="P20" s="15">
        <f t="shared" si="1"/>
        <v>3</v>
      </c>
      <c r="R20" s="1" t="s">
        <v>16</v>
      </c>
      <c r="S20" s="17">
        <f t="shared" ref="S20:AF20" si="12">SUM(C50:C53)</f>
        <v>9</v>
      </c>
      <c r="T20" s="17">
        <f t="shared" si="12"/>
        <v>0</v>
      </c>
      <c r="U20" s="17">
        <f t="shared" si="12"/>
        <v>17</v>
      </c>
      <c r="V20" s="17">
        <f t="shared" si="12"/>
        <v>12</v>
      </c>
      <c r="W20" s="17">
        <f t="shared" si="12"/>
        <v>0</v>
      </c>
      <c r="X20" s="17">
        <f t="shared" si="12"/>
        <v>6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3</v>
      </c>
      <c r="AC20" s="17">
        <f t="shared" si="12"/>
        <v>7</v>
      </c>
      <c r="AD20" s="17">
        <f t="shared" si="12"/>
        <v>0</v>
      </c>
      <c r="AE20" s="31">
        <f t="shared" si="12"/>
        <v>49</v>
      </c>
      <c r="AF20" s="31">
        <f t="shared" si="12"/>
        <v>56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2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2</v>
      </c>
      <c r="M21" s="50">
        <v>1</v>
      </c>
      <c r="N21" s="50">
        <v>0</v>
      </c>
      <c r="O21" s="15">
        <f t="shared" si="0"/>
        <v>4</v>
      </c>
      <c r="P21" s="15">
        <f t="shared" si="1"/>
        <v>5</v>
      </c>
      <c r="R21" s="36" t="s">
        <v>20</v>
      </c>
      <c r="S21" s="34">
        <f t="shared" ref="S21:AF21" si="13">SUM(C54:C57)</f>
        <v>8</v>
      </c>
      <c r="T21" s="17">
        <f t="shared" si="13"/>
        <v>0</v>
      </c>
      <c r="U21" s="17">
        <f t="shared" si="13"/>
        <v>16</v>
      </c>
      <c r="V21" s="17">
        <f t="shared" si="13"/>
        <v>14</v>
      </c>
      <c r="W21" s="17">
        <f t="shared" si="13"/>
        <v>3</v>
      </c>
      <c r="X21" s="17">
        <f t="shared" si="13"/>
        <v>1</v>
      </c>
      <c r="Y21" s="17">
        <f t="shared" si="13"/>
        <v>8</v>
      </c>
      <c r="Z21" s="17">
        <f t="shared" si="13"/>
        <v>0</v>
      </c>
      <c r="AA21" s="17">
        <f t="shared" si="13"/>
        <v>0</v>
      </c>
      <c r="AB21" s="17">
        <f t="shared" si="13"/>
        <v>2</v>
      </c>
      <c r="AC21" s="17">
        <f t="shared" si="13"/>
        <v>4</v>
      </c>
      <c r="AD21" s="17">
        <f t="shared" si="13"/>
        <v>0</v>
      </c>
      <c r="AE21" s="31">
        <f t="shared" si="13"/>
        <v>52</v>
      </c>
      <c r="AF21" s="31">
        <f t="shared" si="13"/>
        <v>56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2</v>
      </c>
      <c r="F22" s="50">
        <v>2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1</v>
      </c>
      <c r="M22" s="50">
        <v>0</v>
      </c>
      <c r="N22" s="50">
        <v>0</v>
      </c>
      <c r="O22" s="15">
        <f t="shared" si="0"/>
        <v>5</v>
      </c>
      <c r="P22" s="15">
        <f t="shared" si="1"/>
        <v>5</v>
      </c>
      <c r="R22" s="38" t="s">
        <v>90</v>
      </c>
      <c r="S22" s="39">
        <f>MAX(S10:S12)</f>
        <v>6</v>
      </c>
      <c r="T22" s="39">
        <f t="shared" ref="T22:AF22" si="14">MAX(T10:T12)</f>
        <v>0</v>
      </c>
      <c r="U22" s="39">
        <f t="shared" si="14"/>
        <v>6</v>
      </c>
      <c r="V22" s="39">
        <f t="shared" si="14"/>
        <v>9</v>
      </c>
      <c r="W22" s="39">
        <f t="shared" si="14"/>
        <v>0</v>
      </c>
      <c r="X22" s="39">
        <f t="shared" si="14"/>
        <v>1</v>
      </c>
      <c r="Y22" s="39">
        <f t="shared" si="14"/>
        <v>2</v>
      </c>
      <c r="Z22" s="39">
        <f t="shared" si="14"/>
        <v>1</v>
      </c>
      <c r="AA22" s="39">
        <f t="shared" si="14"/>
        <v>0</v>
      </c>
      <c r="AB22" s="39">
        <f t="shared" si="14"/>
        <v>3</v>
      </c>
      <c r="AC22" s="39">
        <f t="shared" si="14"/>
        <v>12</v>
      </c>
      <c r="AD22" s="39">
        <f t="shared" si="14"/>
        <v>0</v>
      </c>
      <c r="AE22" s="40">
        <f t="shared" si="14"/>
        <v>23</v>
      </c>
      <c r="AF22" s="40">
        <f t="shared" si="14"/>
        <v>35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1</v>
      </c>
      <c r="F23" s="50">
        <v>0</v>
      </c>
      <c r="G23" s="50">
        <v>0</v>
      </c>
      <c r="H23" s="50">
        <v>1</v>
      </c>
      <c r="I23" s="50">
        <v>2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4</v>
      </c>
      <c r="P23" s="15">
        <f t="shared" si="1"/>
        <v>4</v>
      </c>
      <c r="R23" s="38" t="s">
        <v>91</v>
      </c>
      <c r="S23" s="39">
        <f>MAX(S13:S18)</f>
        <v>12</v>
      </c>
      <c r="T23" s="39">
        <f t="shared" ref="T23:AF23" si="15">MAX(T13:T18)</f>
        <v>0</v>
      </c>
      <c r="U23" s="39">
        <f t="shared" si="15"/>
        <v>10</v>
      </c>
      <c r="V23" s="39">
        <f t="shared" si="15"/>
        <v>11</v>
      </c>
      <c r="W23" s="39">
        <f t="shared" si="15"/>
        <v>1</v>
      </c>
      <c r="X23" s="39">
        <f t="shared" si="15"/>
        <v>2</v>
      </c>
      <c r="Y23" s="39">
        <f t="shared" si="15"/>
        <v>3</v>
      </c>
      <c r="Z23" s="39">
        <f t="shared" si="15"/>
        <v>2</v>
      </c>
      <c r="AA23" s="39">
        <f t="shared" si="15"/>
        <v>0</v>
      </c>
      <c r="AB23" s="39">
        <f t="shared" si="15"/>
        <v>3</v>
      </c>
      <c r="AC23" s="39">
        <f t="shared" si="15"/>
        <v>10</v>
      </c>
      <c r="AD23" s="39">
        <f t="shared" si="15"/>
        <v>0</v>
      </c>
      <c r="AE23" s="40">
        <f t="shared" si="15"/>
        <v>35</v>
      </c>
      <c r="AF23" s="40">
        <f t="shared" si="15"/>
        <v>45</v>
      </c>
    </row>
    <row r="24" spans="2:32" ht="23.1" customHeight="1" x14ac:dyDescent="0.25">
      <c r="B24" s="23" t="s">
        <v>51</v>
      </c>
      <c r="C24" s="50">
        <v>3</v>
      </c>
      <c r="D24" s="50">
        <v>0</v>
      </c>
      <c r="E24" s="50">
        <v>2</v>
      </c>
      <c r="F24" s="50">
        <v>2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1</v>
      </c>
      <c r="M24" s="50">
        <v>0</v>
      </c>
      <c r="N24" s="50">
        <v>0</v>
      </c>
      <c r="O24" s="15">
        <f t="shared" si="0"/>
        <v>8</v>
      </c>
      <c r="P24" s="15">
        <f t="shared" si="1"/>
        <v>8</v>
      </c>
      <c r="R24" s="38" t="s">
        <v>92</v>
      </c>
      <c r="S24" s="39">
        <f>MAX(S19:S21)</f>
        <v>9</v>
      </c>
      <c r="T24" s="39">
        <f t="shared" ref="T24:AF24" si="16">MAX(T19:T21)</f>
        <v>0</v>
      </c>
      <c r="U24" s="39">
        <f t="shared" si="16"/>
        <v>17</v>
      </c>
      <c r="V24" s="39">
        <f t="shared" si="16"/>
        <v>14</v>
      </c>
      <c r="W24" s="39">
        <f t="shared" si="16"/>
        <v>3</v>
      </c>
      <c r="X24" s="39">
        <f t="shared" si="16"/>
        <v>6</v>
      </c>
      <c r="Y24" s="39">
        <f t="shared" si="16"/>
        <v>8</v>
      </c>
      <c r="Z24" s="39">
        <f t="shared" si="16"/>
        <v>0</v>
      </c>
      <c r="AA24" s="39">
        <f t="shared" si="16"/>
        <v>0</v>
      </c>
      <c r="AB24" s="39">
        <f t="shared" si="16"/>
        <v>3</v>
      </c>
      <c r="AC24" s="39">
        <f t="shared" si="16"/>
        <v>7</v>
      </c>
      <c r="AD24" s="39">
        <f t="shared" si="16"/>
        <v>0</v>
      </c>
      <c r="AE24" s="40">
        <f t="shared" si="16"/>
        <v>52</v>
      </c>
      <c r="AF24" s="40">
        <f t="shared" si="16"/>
        <v>56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1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0</v>
      </c>
      <c r="N25" s="50">
        <v>0</v>
      </c>
      <c r="O25" s="15">
        <f t="shared" si="0"/>
        <v>3</v>
      </c>
      <c r="P25" s="15">
        <f t="shared" si="1"/>
        <v>3</v>
      </c>
      <c r="R25" s="37" t="s">
        <v>85</v>
      </c>
      <c r="S25" s="35">
        <f t="shared" ref="S25:AF25" si="17">SUM(S10:S12)</f>
        <v>12</v>
      </c>
      <c r="T25" s="16">
        <f t="shared" si="17"/>
        <v>0</v>
      </c>
      <c r="U25" s="16">
        <f t="shared" si="17"/>
        <v>16</v>
      </c>
      <c r="V25" s="16">
        <f t="shared" si="17"/>
        <v>17</v>
      </c>
      <c r="W25" s="16">
        <f t="shared" si="17"/>
        <v>0</v>
      </c>
      <c r="X25" s="16">
        <f t="shared" si="17"/>
        <v>1</v>
      </c>
      <c r="Y25" s="16">
        <f t="shared" si="17"/>
        <v>3</v>
      </c>
      <c r="Z25" s="16">
        <f t="shared" si="17"/>
        <v>1</v>
      </c>
      <c r="AA25" s="16">
        <f t="shared" si="17"/>
        <v>0</v>
      </c>
      <c r="AB25" s="16">
        <f t="shared" si="17"/>
        <v>6</v>
      </c>
      <c r="AC25" s="16">
        <f t="shared" si="17"/>
        <v>14</v>
      </c>
      <c r="AD25" s="16">
        <f t="shared" si="17"/>
        <v>0</v>
      </c>
      <c r="AE25" s="32">
        <f t="shared" si="17"/>
        <v>56</v>
      </c>
      <c r="AF25" s="32">
        <f t="shared" si="17"/>
        <v>70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5</v>
      </c>
      <c r="F26" s="50">
        <v>2</v>
      </c>
      <c r="G26" s="50">
        <v>0</v>
      </c>
      <c r="H26" s="50">
        <v>1</v>
      </c>
      <c r="I26" s="50">
        <v>2</v>
      </c>
      <c r="J26" s="50">
        <v>0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12</v>
      </c>
      <c r="P26" s="15">
        <f t="shared" si="1"/>
        <v>12</v>
      </c>
      <c r="R26" s="28" t="s">
        <v>86</v>
      </c>
      <c r="S26" s="16">
        <f t="shared" ref="S26:AF26" si="18">SUM(S13:S18)</f>
        <v>37</v>
      </c>
      <c r="T26" s="16">
        <f t="shared" si="18"/>
        <v>0</v>
      </c>
      <c r="U26" s="16">
        <f t="shared" si="18"/>
        <v>44</v>
      </c>
      <c r="V26" s="16">
        <f t="shared" si="18"/>
        <v>46</v>
      </c>
      <c r="W26" s="16">
        <f t="shared" si="18"/>
        <v>1</v>
      </c>
      <c r="X26" s="16">
        <f t="shared" si="18"/>
        <v>9</v>
      </c>
      <c r="Y26" s="16">
        <f t="shared" si="18"/>
        <v>11</v>
      </c>
      <c r="Z26" s="16">
        <f t="shared" si="18"/>
        <v>2</v>
      </c>
      <c r="AA26" s="16">
        <f t="shared" si="18"/>
        <v>0</v>
      </c>
      <c r="AB26" s="16">
        <f t="shared" si="18"/>
        <v>10</v>
      </c>
      <c r="AC26" s="16">
        <f t="shared" si="18"/>
        <v>28</v>
      </c>
      <c r="AD26" s="16">
        <f t="shared" si="18"/>
        <v>0</v>
      </c>
      <c r="AE26" s="32">
        <f t="shared" si="18"/>
        <v>160</v>
      </c>
      <c r="AF26" s="32">
        <f t="shared" si="18"/>
        <v>188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1</v>
      </c>
      <c r="F27" s="50">
        <v>2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0</v>
      </c>
      <c r="N27" s="50">
        <v>0</v>
      </c>
      <c r="O27" s="15">
        <f t="shared" si="0"/>
        <v>3</v>
      </c>
      <c r="P27" s="15">
        <f t="shared" si="1"/>
        <v>3</v>
      </c>
      <c r="R27" s="29" t="s">
        <v>87</v>
      </c>
      <c r="S27" s="16">
        <f t="shared" ref="S27:AF27" si="19">SUM(S19:S21)</f>
        <v>20</v>
      </c>
      <c r="T27" s="16">
        <f t="shared" si="19"/>
        <v>0</v>
      </c>
      <c r="U27" s="16">
        <f t="shared" si="19"/>
        <v>42</v>
      </c>
      <c r="V27" s="16">
        <f t="shared" si="19"/>
        <v>31</v>
      </c>
      <c r="W27" s="16">
        <f t="shared" si="19"/>
        <v>3</v>
      </c>
      <c r="X27" s="16">
        <f t="shared" si="19"/>
        <v>8</v>
      </c>
      <c r="Y27" s="16">
        <f t="shared" si="19"/>
        <v>12</v>
      </c>
      <c r="Z27" s="16">
        <f t="shared" si="19"/>
        <v>0</v>
      </c>
      <c r="AA27" s="16">
        <f t="shared" si="19"/>
        <v>0</v>
      </c>
      <c r="AB27" s="16">
        <f t="shared" si="19"/>
        <v>7</v>
      </c>
      <c r="AC27" s="16">
        <f t="shared" si="19"/>
        <v>15</v>
      </c>
      <c r="AD27" s="16">
        <f t="shared" si="19"/>
        <v>0</v>
      </c>
      <c r="AE27" s="32">
        <f t="shared" si="19"/>
        <v>123</v>
      </c>
      <c r="AF27" s="32">
        <f t="shared" si="19"/>
        <v>138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2</v>
      </c>
      <c r="F28" s="50">
        <v>2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0</v>
      </c>
      <c r="N28" s="50">
        <v>0</v>
      </c>
      <c r="O28" s="15">
        <f t="shared" si="0"/>
        <v>5</v>
      </c>
      <c r="P28" s="15">
        <f t="shared" si="1"/>
        <v>5</v>
      </c>
      <c r="R28" s="5" t="s">
        <v>17</v>
      </c>
      <c r="S28" s="16">
        <f t="shared" ref="S28:AF28" si="20">SUM(S10:S21)</f>
        <v>69</v>
      </c>
      <c r="T28" s="16">
        <f t="shared" si="20"/>
        <v>0</v>
      </c>
      <c r="U28" s="16">
        <f t="shared" si="20"/>
        <v>102</v>
      </c>
      <c r="V28" s="16">
        <f t="shared" si="20"/>
        <v>94</v>
      </c>
      <c r="W28" s="16">
        <f t="shared" si="20"/>
        <v>4</v>
      </c>
      <c r="X28" s="16">
        <f t="shared" si="20"/>
        <v>18</v>
      </c>
      <c r="Y28" s="16">
        <f t="shared" si="20"/>
        <v>26</v>
      </c>
      <c r="Z28" s="16">
        <f t="shared" si="20"/>
        <v>3</v>
      </c>
      <c r="AA28" s="16">
        <f t="shared" si="20"/>
        <v>0</v>
      </c>
      <c r="AB28" s="16">
        <f t="shared" si="20"/>
        <v>23</v>
      </c>
      <c r="AC28" s="16">
        <f t="shared" si="20"/>
        <v>57</v>
      </c>
      <c r="AD28" s="16">
        <f t="shared" si="20"/>
        <v>0</v>
      </c>
      <c r="AE28" s="32">
        <f t="shared" si="20"/>
        <v>339</v>
      </c>
      <c r="AF28" s="32">
        <f t="shared" si="20"/>
        <v>396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2</v>
      </c>
      <c r="F29" s="50">
        <v>1</v>
      </c>
      <c r="G29" s="50">
        <v>0</v>
      </c>
      <c r="H29" s="50">
        <v>1</v>
      </c>
      <c r="I29" s="50">
        <v>0</v>
      </c>
      <c r="J29" s="50">
        <v>0</v>
      </c>
      <c r="K29" s="50">
        <v>0</v>
      </c>
      <c r="L29" s="50">
        <v>2</v>
      </c>
      <c r="M29" s="50">
        <v>0</v>
      </c>
      <c r="N29" s="50">
        <v>0</v>
      </c>
      <c r="O29" s="15">
        <f t="shared" si="0"/>
        <v>6</v>
      </c>
      <c r="P29" s="15">
        <f t="shared" si="1"/>
        <v>6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3</v>
      </c>
      <c r="F30" s="50">
        <v>0</v>
      </c>
      <c r="G30" s="50">
        <v>1</v>
      </c>
      <c r="H30" s="50">
        <v>1</v>
      </c>
      <c r="I30" s="50">
        <v>0</v>
      </c>
      <c r="J30" s="50">
        <v>0</v>
      </c>
      <c r="K30" s="50">
        <v>0</v>
      </c>
      <c r="L30" s="50">
        <v>1</v>
      </c>
      <c r="M30" s="50">
        <v>1</v>
      </c>
      <c r="N30" s="50">
        <v>0</v>
      </c>
      <c r="O30" s="15">
        <f t="shared" si="0"/>
        <v>6</v>
      </c>
      <c r="P30" s="15">
        <f t="shared" si="1"/>
        <v>7</v>
      </c>
    </row>
    <row r="31" spans="2:32" ht="23.1" customHeight="1" x14ac:dyDescent="0.25">
      <c r="B31" s="24" t="s">
        <v>58</v>
      </c>
      <c r="C31" s="50">
        <v>4</v>
      </c>
      <c r="D31" s="50">
        <v>0</v>
      </c>
      <c r="E31" s="50">
        <v>4</v>
      </c>
      <c r="F31" s="50">
        <v>2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0</v>
      </c>
      <c r="N31" s="50">
        <v>0</v>
      </c>
      <c r="O31" s="15">
        <f t="shared" si="0"/>
        <v>10</v>
      </c>
      <c r="P31" s="15">
        <f t="shared" si="1"/>
        <v>10</v>
      </c>
    </row>
    <row r="32" spans="2:32" ht="23.1" customHeight="1" x14ac:dyDescent="0.25">
      <c r="B32" s="24" t="s">
        <v>59</v>
      </c>
      <c r="C32" s="50">
        <v>4</v>
      </c>
      <c r="D32" s="50">
        <v>0</v>
      </c>
      <c r="E32" s="50">
        <v>0</v>
      </c>
      <c r="F32" s="50">
        <v>3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1</v>
      </c>
      <c r="M32" s="50">
        <v>1</v>
      </c>
      <c r="N32" s="50">
        <v>0</v>
      </c>
      <c r="O32" s="15">
        <f t="shared" si="0"/>
        <v>8</v>
      </c>
      <c r="P32" s="15">
        <f t="shared" si="1"/>
        <v>9</v>
      </c>
    </row>
    <row r="33" spans="2:20" ht="23.1" customHeight="1" x14ac:dyDescent="0.25">
      <c r="B33" s="23" t="s">
        <v>60</v>
      </c>
      <c r="C33" s="50">
        <v>4</v>
      </c>
      <c r="D33" s="50">
        <v>0</v>
      </c>
      <c r="E33" s="50">
        <v>1</v>
      </c>
      <c r="F33" s="50">
        <v>3</v>
      </c>
      <c r="G33" s="50">
        <v>0</v>
      </c>
      <c r="H33" s="50">
        <v>1</v>
      </c>
      <c r="I33" s="50">
        <v>1</v>
      </c>
      <c r="J33" s="50">
        <v>0</v>
      </c>
      <c r="K33" s="50">
        <v>0</v>
      </c>
      <c r="L33" s="50">
        <v>0</v>
      </c>
      <c r="M33" s="50">
        <v>1</v>
      </c>
      <c r="N33" s="50">
        <v>0</v>
      </c>
      <c r="O33" s="15">
        <f t="shared" si="0"/>
        <v>10</v>
      </c>
      <c r="P33" s="15">
        <f t="shared" si="1"/>
        <v>11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1</v>
      </c>
      <c r="F34" s="50">
        <v>3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2</v>
      </c>
      <c r="N34" s="50">
        <v>0</v>
      </c>
      <c r="O34" s="15">
        <f t="shared" si="0"/>
        <v>8</v>
      </c>
      <c r="P34" s="15">
        <f t="shared" si="1"/>
        <v>10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1</v>
      </c>
      <c r="F35" s="50">
        <v>2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1</v>
      </c>
      <c r="M35" s="50">
        <v>0</v>
      </c>
      <c r="N35" s="50">
        <v>0</v>
      </c>
      <c r="O35" s="15">
        <f t="shared" si="0"/>
        <v>6</v>
      </c>
      <c r="P35" s="15">
        <f t="shared" si="1"/>
        <v>6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1</v>
      </c>
      <c r="F36" s="50">
        <v>2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2</v>
      </c>
      <c r="N36" s="50">
        <v>0</v>
      </c>
      <c r="O36" s="15">
        <f t="shared" si="0"/>
        <v>6</v>
      </c>
      <c r="P36" s="15">
        <f t="shared" si="1"/>
        <v>8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0</v>
      </c>
      <c r="F37" s="50">
        <v>1</v>
      </c>
      <c r="G37" s="50">
        <v>0</v>
      </c>
      <c r="H37" s="50">
        <v>1</v>
      </c>
      <c r="I37" s="50">
        <v>0</v>
      </c>
      <c r="J37" s="50">
        <v>0</v>
      </c>
      <c r="K37" s="50">
        <v>0</v>
      </c>
      <c r="L37" s="50">
        <v>0</v>
      </c>
      <c r="M37" s="50">
        <v>4</v>
      </c>
      <c r="N37" s="50">
        <v>0</v>
      </c>
      <c r="O37" s="15">
        <f t="shared" si="0"/>
        <v>3</v>
      </c>
      <c r="P37" s="15">
        <f t="shared" si="1"/>
        <v>7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3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</v>
      </c>
      <c r="N38" s="50">
        <v>0</v>
      </c>
      <c r="O38" s="15">
        <f t="shared" si="0"/>
        <v>3</v>
      </c>
      <c r="P38" s="15">
        <f t="shared" si="1"/>
        <v>4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3</v>
      </c>
      <c r="F39" s="50">
        <v>2</v>
      </c>
      <c r="G39" s="50">
        <v>0</v>
      </c>
      <c r="H39" s="50">
        <v>1</v>
      </c>
      <c r="I39" s="50">
        <v>2</v>
      </c>
      <c r="J39" s="50">
        <v>0</v>
      </c>
      <c r="K39" s="50">
        <v>0</v>
      </c>
      <c r="L39" s="50">
        <v>0</v>
      </c>
      <c r="M39" s="50">
        <v>3</v>
      </c>
      <c r="N39" s="50">
        <v>0</v>
      </c>
      <c r="O39" s="15">
        <f t="shared" si="0"/>
        <v>8</v>
      </c>
      <c r="P39" s="15">
        <f t="shared" si="1"/>
        <v>11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4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7</v>
      </c>
      <c r="P40" s="15">
        <f t="shared" si="1"/>
        <v>10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2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4</v>
      </c>
      <c r="P41" s="15">
        <f t="shared" si="1"/>
        <v>4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1</v>
      </c>
      <c r="F42" s="50">
        <v>2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2</v>
      </c>
      <c r="N42" s="50">
        <v>0</v>
      </c>
      <c r="O42" s="15">
        <f t="shared" si="0"/>
        <v>5</v>
      </c>
      <c r="P42" s="15">
        <f t="shared" si="1"/>
        <v>7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3</v>
      </c>
      <c r="F43" s="50">
        <v>3</v>
      </c>
      <c r="G43" s="50">
        <v>0</v>
      </c>
      <c r="H43" s="50">
        <v>1</v>
      </c>
      <c r="I43" s="50">
        <v>2</v>
      </c>
      <c r="J43" s="50">
        <v>0</v>
      </c>
      <c r="K43" s="50">
        <v>0</v>
      </c>
      <c r="L43" s="50">
        <v>0</v>
      </c>
      <c r="M43" s="50">
        <v>4</v>
      </c>
      <c r="N43" s="50">
        <v>0</v>
      </c>
      <c r="O43" s="15">
        <f t="shared" si="0"/>
        <v>11</v>
      </c>
      <c r="P43" s="15">
        <f t="shared" si="1"/>
        <v>15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3</v>
      </c>
      <c r="F44" s="50">
        <v>4</v>
      </c>
      <c r="G44" s="50">
        <v>0</v>
      </c>
      <c r="H44" s="50">
        <v>1</v>
      </c>
      <c r="I44" s="50">
        <v>0</v>
      </c>
      <c r="J44" s="50">
        <v>0</v>
      </c>
      <c r="K44" s="50">
        <v>0</v>
      </c>
      <c r="L44" s="50">
        <v>1</v>
      </c>
      <c r="M44" s="50">
        <v>1</v>
      </c>
      <c r="N44" s="50">
        <v>0</v>
      </c>
      <c r="O44" s="15">
        <f t="shared" si="0"/>
        <v>10</v>
      </c>
      <c r="P44" s="15">
        <f t="shared" si="1"/>
        <v>11</v>
      </c>
    </row>
    <row r="45" spans="2:20" ht="23.1" customHeight="1" x14ac:dyDescent="0.25">
      <c r="B45" s="23" t="s">
        <v>72</v>
      </c>
      <c r="C45" s="50">
        <v>4</v>
      </c>
      <c r="D45" s="50">
        <v>0</v>
      </c>
      <c r="E45" s="50">
        <v>2</v>
      </c>
      <c r="F45" s="50">
        <v>2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1</v>
      </c>
      <c r="M45" s="50">
        <v>3</v>
      </c>
      <c r="N45" s="50">
        <v>0</v>
      </c>
      <c r="O45" s="15">
        <f t="shared" si="0"/>
        <v>9</v>
      </c>
      <c r="P45" s="15">
        <f t="shared" si="1"/>
        <v>12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3</v>
      </c>
      <c r="F46" s="50">
        <v>1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</v>
      </c>
      <c r="N46" s="50">
        <v>0</v>
      </c>
      <c r="O46" s="15">
        <f t="shared" si="0"/>
        <v>6</v>
      </c>
      <c r="P46" s="15">
        <f t="shared" si="1"/>
        <v>7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3</v>
      </c>
      <c r="F47" s="50">
        <v>2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1</v>
      </c>
      <c r="M47" s="50">
        <v>3</v>
      </c>
      <c r="N47" s="50">
        <v>0</v>
      </c>
      <c r="O47" s="15">
        <f t="shared" si="0"/>
        <v>7</v>
      </c>
      <c r="P47" s="15">
        <f t="shared" si="1"/>
        <v>10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2</v>
      </c>
      <c r="F48" s="50">
        <v>2</v>
      </c>
      <c r="G48" s="50">
        <v>0</v>
      </c>
      <c r="H48" s="50">
        <v>1</v>
      </c>
      <c r="I48" s="50">
        <v>0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5</v>
      </c>
      <c r="P48" s="15">
        <f t="shared" si="1"/>
        <v>5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1</v>
      </c>
      <c r="M49" s="50">
        <v>0</v>
      </c>
      <c r="N49" s="50">
        <v>0</v>
      </c>
      <c r="O49" s="15">
        <f t="shared" si="0"/>
        <v>4</v>
      </c>
      <c r="P49" s="15">
        <f t="shared" si="1"/>
        <v>4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10</v>
      </c>
      <c r="F50" s="50">
        <v>5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1</v>
      </c>
      <c r="M50" s="50">
        <v>3</v>
      </c>
      <c r="N50" s="50">
        <v>0</v>
      </c>
      <c r="O50" s="15">
        <f t="shared" si="0"/>
        <v>19</v>
      </c>
      <c r="P50" s="15">
        <f t="shared" si="1"/>
        <v>22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3</v>
      </c>
      <c r="F51" s="50">
        <v>1</v>
      </c>
      <c r="G51" s="50">
        <v>0</v>
      </c>
      <c r="H51" s="50">
        <v>3</v>
      </c>
      <c r="I51" s="50">
        <v>0</v>
      </c>
      <c r="J51" s="50">
        <v>0</v>
      </c>
      <c r="K51" s="50">
        <v>0</v>
      </c>
      <c r="L51" s="50">
        <v>0</v>
      </c>
      <c r="M51" s="50">
        <v>1</v>
      </c>
      <c r="N51" s="50">
        <v>0</v>
      </c>
      <c r="O51" s="15">
        <f t="shared" si="0"/>
        <v>8</v>
      </c>
      <c r="P51" s="15">
        <f t="shared" si="1"/>
        <v>9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0</v>
      </c>
      <c r="E52" s="50">
        <v>3</v>
      </c>
      <c r="F52" s="50">
        <v>4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2</v>
      </c>
      <c r="M52" s="50">
        <v>1</v>
      </c>
      <c r="N52" s="50">
        <v>0</v>
      </c>
      <c r="O52" s="15">
        <f t="shared" si="0"/>
        <v>14</v>
      </c>
      <c r="P52" s="15">
        <f t="shared" si="1"/>
        <v>15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1</v>
      </c>
      <c r="F53" s="50">
        <v>2</v>
      </c>
      <c r="G53" s="50">
        <v>0</v>
      </c>
      <c r="H53" s="50">
        <v>3</v>
      </c>
      <c r="I53" s="50">
        <v>1</v>
      </c>
      <c r="J53" s="50">
        <v>0</v>
      </c>
      <c r="K53" s="50">
        <v>0</v>
      </c>
      <c r="L53" s="50">
        <v>0</v>
      </c>
      <c r="M53" s="50">
        <v>2</v>
      </c>
      <c r="N53" s="50">
        <v>0</v>
      </c>
      <c r="O53" s="15">
        <f t="shared" si="0"/>
        <v>8</v>
      </c>
      <c r="P53" s="15">
        <f t="shared" si="1"/>
        <v>10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3</v>
      </c>
      <c r="F54" s="50">
        <v>6</v>
      </c>
      <c r="G54" s="50">
        <v>1</v>
      </c>
      <c r="H54" s="50">
        <v>0</v>
      </c>
      <c r="I54" s="50">
        <v>1</v>
      </c>
      <c r="J54" s="50">
        <v>0</v>
      </c>
      <c r="K54" s="50">
        <v>0</v>
      </c>
      <c r="L54" s="50">
        <v>2</v>
      </c>
      <c r="M54" s="50">
        <v>0</v>
      </c>
      <c r="N54" s="50">
        <v>0</v>
      </c>
      <c r="O54" s="15">
        <f t="shared" si="0"/>
        <v>15</v>
      </c>
      <c r="P54" s="15">
        <f t="shared" si="1"/>
        <v>15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4</v>
      </c>
      <c r="F55" s="50">
        <v>4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3</v>
      </c>
      <c r="N55" s="50">
        <v>0</v>
      </c>
      <c r="O55" s="15">
        <f t="shared" si="0"/>
        <v>8</v>
      </c>
      <c r="P55" s="15">
        <f t="shared" si="1"/>
        <v>11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5</v>
      </c>
      <c r="F56" s="50">
        <v>2</v>
      </c>
      <c r="G56" s="50">
        <v>1</v>
      </c>
      <c r="H56" s="50">
        <v>0</v>
      </c>
      <c r="I56" s="50">
        <v>4</v>
      </c>
      <c r="J56" s="50">
        <v>0</v>
      </c>
      <c r="K56" s="50">
        <v>0</v>
      </c>
      <c r="L56" s="50">
        <v>0</v>
      </c>
      <c r="M56" s="50">
        <v>1</v>
      </c>
      <c r="N56" s="50">
        <v>0</v>
      </c>
      <c r="O56" s="15">
        <f t="shared" si="0"/>
        <v>13</v>
      </c>
      <c r="P56" s="15">
        <f t="shared" si="1"/>
        <v>14</v>
      </c>
      <c r="R56" s="8"/>
      <c r="T56"/>
    </row>
    <row r="57" spans="2:20" ht="23.1" customHeight="1" x14ac:dyDescent="0.25">
      <c r="B57" s="23" t="s">
        <v>84</v>
      </c>
      <c r="C57" s="50">
        <v>5</v>
      </c>
      <c r="D57" s="50">
        <v>0</v>
      </c>
      <c r="E57" s="50">
        <v>4</v>
      </c>
      <c r="F57" s="50">
        <v>2</v>
      </c>
      <c r="G57" s="50">
        <v>1</v>
      </c>
      <c r="H57" s="50">
        <v>1</v>
      </c>
      <c r="I57" s="50">
        <v>3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16</v>
      </c>
      <c r="P57" s="15">
        <f t="shared" si="1"/>
        <v>16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69</v>
      </c>
      <c r="D58" s="16">
        <f t="shared" si="21"/>
        <v>0</v>
      </c>
      <c r="E58" s="16">
        <f t="shared" si="21"/>
        <v>102</v>
      </c>
      <c r="F58" s="16">
        <f t="shared" si="21"/>
        <v>94</v>
      </c>
      <c r="G58" s="16">
        <f t="shared" si="21"/>
        <v>4</v>
      </c>
      <c r="H58" s="16">
        <f t="shared" si="21"/>
        <v>18</v>
      </c>
      <c r="I58" s="16">
        <f t="shared" si="21"/>
        <v>26</v>
      </c>
      <c r="J58" s="16">
        <f t="shared" si="21"/>
        <v>3</v>
      </c>
      <c r="K58" s="16">
        <f t="shared" si="21"/>
        <v>0</v>
      </c>
      <c r="L58" s="16">
        <f t="shared" si="21"/>
        <v>23</v>
      </c>
      <c r="M58" s="16">
        <f t="shared" si="21"/>
        <v>57</v>
      </c>
      <c r="N58" s="16">
        <f t="shared" si="21"/>
        <v>0</v>
      </c>
      <c r="O58" s="16">
        <f t="shared" si="21"/>
        <v>339</v>
      </c>
      <c r="P58" s="16">
        <f t="shared" si="21"/>
        <v>396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0.17424242424242425</v>
      </c>
      <c r="D59" s="43">
        <f t="shared" si="22"/>
        <v>0</v>
      </c>
      <c r="E59" s="43">
        <f t="shared" si="22"/>
        <v>0.25757575757575757</v>
      </c>
      <c r="F59" s="43">
        <f t="shared" si="22"/>
        <v>0.23737373737373738</v>
      </c>
      <c r="G59" s="43">
        <f t="shared" si="22"/>
        <v>1.0101010101010102E-2</v>
      </c>
      <c r="H59" s="43">
        <f t="shared" si="22"/>
        <v>4.5454545454545456E-2</v>
      </c>
      <c r="I59" s="43">
        <f t="shared" si="22"/>
        <v>6.5656565656565663E-2</v>
      </c>
      <c r="J59" s="43">
        <f t="shared" si="22"/>
        <v>7.575757575757576E-3</v>
      </c>
      <c r="K59" s="43">
        <f t="shared" si="22"/>
        <v>0</v>
      </c>
      <c r="L59" s="43">
        <f t="shared" si="22"/>
        <v>5.808080808080808E-2</v>
      </c>
      <c r="M59" s="43">
        <f t="shared" si="22"/>
        <v>0.14393939393939395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0.20353982300884957</v>
      </c>
      <c r="D60" s="44">
        <f t="shared" ref="D60:N60" si="23">D58/$O$58</f>
        <v>0</v>
      </c>
      <c r="E60" s="44">
        <f t="shared" si="23"/>
        <v>0.30088495575221241</v>
      </c>
      <c r="F60" s="44">
        <f t="shared" si="23"/>
        <v>0.27728613569321536</v>
      </c>
      <c r="G60" s="44">
        <f t="shared" si="23"/>
        <v>1.1799410029498525E-2</v>
      </c>
      <c r="H60" s="44">
        <f t="shared" si="23"/>
        <v>5.3097345132743362E-2</v>
      </c>
      <c r="I60" s="44">
        <f t="shared" si="23"/>
        <v>7.6696165191740412E-2</v>
      </c>
      <c r="J60" s="44">
        <f t="shared" si="23"/>
        <v>8.8495575221238937E-3</v>
      </c>
      <c r="K60" s="44">
        <f t="shared" si="23"/>
        <v>0</v>
      </c>
      <c r="L60" s="44">
        <f t="shared" si="23"/>
        <v>6.7846607669616518E-2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P6" sqref="P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FORTPORTAL-KYENJOJO'!C3:G3</f>
        <v>C4 - STN107-FORTPORTAL-KYENJONJO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'30.07 KYENJOJO-FORTPORTAL'!D5</f>
        <v>30.07.19</v>
      </c>
      <c r="E5" s="3"/>
      <c r="F5" s="41" t="s">
        <v>1</v>
      </c>
      <c r="G5" s="63" t="str">
        <f>'29.07 KYENJOJO-FORTPORTAL'!G5:H5</f>
        <v>xxx</v>
      </c>
      <c r="H5" s="64"/>
      <c r="I5" s="14"/>
      <c r="J5" s="2" t="s">
        <v>5</v>
      </c>
      <c r="K5" s="63" t="str">
        <f>'29.07 KYENJOJO-FORTPORTAL'!K5:L5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FORTPORTAL-KYENJOJO'!D6:E6</f>
        <v>FORTPORTAL</v>
      </c>
      <c r="E6" s="64"/>
      <c r="F6" s="2" t="s">
        <v>2</v>
      </c>
      <c r="G6" s="63" t="str">
        <f>'29.07 FORTPORTAL-KYENJOJO'!G6:H6</f>
        <v>KYENJOJO</v>
      </c>
      <c r="H6" s="64"/>
      <c r="J6" s="2" t="s">
        <v>21</v>
      </c>
      <c r="K6" s="63" t="str">
        <f>'29.07 KYENJOJO-FORTPORTAL'!K6:L6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2</v>
      </c>
      <c r="F10" s="50">
        <v>3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f>SUM([1]Sheet1!R486:U486)</f>
        <v>0</v>
      </c>
      <c r="M10" s="50">
        <v>1</v>
      </c>
      <c r="N10" s="50">
        <v>0</v>
      </c>
      <c r="O10" s="15">
        <f t="shared" ref="O10:O57" si="0">SUM(C10:L10,N10)</f>
        <v>8</v>
      </c>
      <c r="P10" s="15">
        <f t="shared" ref="P10:P57" si="1">SUM(C10:N10)</f>
        <v>9</v>
      </c>
      <c r="R10" s="1" t="s">
        <v>6</v>
      </c>
      <c r="S10" s="17">
        <f t="shared" ref="S10:AF10" si="2">SUM(C10:C13)</f>
        <v>9</v>
      </c>
      <c r="T10" s="17">
        <f t="shared" si="2"/>
        <v>0</v>
      </c>
      <c r="U10" s="17">
        <f t="shared" si="2"/>
        <v>9</v>
      </c>
      <c r="V10" s="17">
        <f t="shared" si="2"/>
        <v>9</v>
      </c>
      <c r="W10" s="17">
        <f t="shared" si="2"/>
        <v>0</v>
      </c>
      <c r="X10" s="17">
        <f t="shared" si="2"/>
        <v>1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</v>
      </c>
      <c r="AD10" s="17">
        <f t="shared" si="2"/>
        <v>0</v>
      </c>
      <c r="AE10" s="31">
        <f t="shared" si="2"/>
        <v>29</v>
      </c>
      <c r="AF10" s="31">
        <f t="shared" si="2"/>
        <v>31</v>
      </c>
    </row>
    <row r="11" spans="2:32" s="6" customFormat="1" ht="23.1" customHeight="1" x14ac:dyDescent="0.25">
      <c r="B11" s="23" t="s">
        <v>38</v>
      </c>
      <c r="C11" s="50">
        <v>3</v>
      </c>
      <c r="D11" s="50">
        <v>0</v>
      </c>
      <c r="E11" s="50">
        <v>1</v>
      </c>
      <c r="F11" s="50">
        <v>3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f>SUM([1]Sheet1!R487:U487)</f>
        <v>0</v>
      </c>
      <c r="M11" s="50">
        <v>0</v>
      </c>
      <c r="N11" s="50">
        <v>0</v>
      </c>
      <c r="O11" s="15">
        <f t="shared" si="0"/>
        <v>7</v>
      </c>
      <c r="P11" s="15">
        <f t="shared" si="1"/>
        <v>7</v>
      </c>
      <c r="R11" s="1" t="s">
        <v>7</v>
      </c>
      <c r="S11" s="17">
        <f t="shared" ref="S11:AF11" si="3">SUM(C14:C17)</f>
        <v>5</v>
      </c>
      <c r="T11" s="17">
        <f t="shared" si="3"/>
        <v>0</v>
      </c>
      <c r="U11" s="17">
        <f t="shared" si="3"/>
        <v>6</v>
      </c>
      <c r="V11" s="17">
        <f t="shared" si="3"/>
        <v>6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</v>
      </c>
      <c r="AD11" s="17">
        <f t="shared" si="3"/>
        <v>0</v>
      </c>
      <c r="AE11" s="31">
        <f t="shared" si="3"/>
        <v>19</v>
      </c>
      <c r="AF11" s="31">
        <f t="shared" si="3"/>
        <v>21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3</v>
      </c>
      <c r="F12" s="50">
        <v>2</v>
      </c>
      <c r="G12" s="50">
        <v>0</v>
      </c>
      <c r="H12" s="50">
        <v>1</v>
      </c>
      <c r="I12" s="50">
        <v>0</v>
      </c>
      <c r="J12" s="50">
        <v>0</v>
      </c>
      <c r="K12" s="50">
        <v>0</v>
      </c>
      <c r="L12" s="50">
        <f>SUM([1]Sheet1!R488:U488)</f>
        <v>0</v>
      </c>
      <c r="M12" s="50">
        <v>1</v>
      </c>
      <c r="N12" s="50">
        <v>0</v>
      </c>
      <c r="O12" s="15">
        <f t="shared" si="0"/>
        <v>8</v>
      </c>
      <c r="P12" s="15">
        <f t="shared" si="1"/>
        <v>9</v>
      </c>
      <c r="R12" s="1" t="s">
        <v>8</v>
      </c>
      <c r="S12" s="17">
        <f t="shared" ref="S12:AF12" si="4">SUM(C18:C21)</f>
        <v>4</v>
      </c>
      <c r="T12" s="17">
        <f t="shared" si="4"/>
        <v>0</v>
      </c>
      <c r="U12" s="17">
        <f t="shared" si="4"/>
        <v>8</v>
      </c>
      <c r="V12" s="17">
        <f t="shared" si="4"/>
        <v>9</v>
      </c>
      <c r="W12" s="17">
        <f t="shared" si="4"/>
        <v>1</v>
      </c>
      <c r="X12" s="17">
        <f t="shared" si="4"/>
        <v>0</v>
      </c>
      <c r="Y12" s="17">
        <f t="shared" si="4"/>
        <v>2</v>
      </c>
      <c r="Z12" s="17">
        <f t="shared" si="4"/>
        <v>1</v>
      </c>
      <c r="AA12" s="17">
        <f t="shared" si="4"/>
        <v>1</v>
      </c>
      <c r="AB12" s="17">
        <f t="shared" si="4"/>
        <v>0</v>
      </c>
      <c r="AC12" s="17">
        <f t="shared" si="4"/>
        <v>2</v>
      </c>
      <c r="AD12" s="17">
        <f t="shared" si="4"/>
        <v>0</v>
      </c>
      <c r="AE12" s="31">
        <f t="shared" si="4"/>
        <v>26</v>
      </c>
      <c r="AF12" s="31">
        <f t="shared" si="4"/>
        <v>28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3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f>SUM([1]Sheet1!R489:U489)</f>
        <v>0</v>
      </c>
      <c r="M13" s="50">
        <v>0</v>
      </c>
      <c r="N13" s="50">
        <v>0</v>
      </c>
      <c r="O13" s="15">
        <f t="shared" si="0"/>
        <v>6</v>
      </c>
      <c r="P13" s="15">
        <f t="shared" si="1"/>
        <v>6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22</v>
      </c>
      <c r="V13" s="17">
        <f t="shared" si="5"/>
        <v>10</v>
      </c>
      <c r="W13" s="17">
        <f t="shared" si="5"/>
        <v>0</v>
      </c>
      <c r="X13" s="17">
        <f t="shared" si="5"/>
        <v>1</v>
      </c>
      <c r="Y13" s="17">
        <f t="shared" si="5"/>
        <v>3</v>
      </c>
      <c r="Z13" s="17">
        <f t="shared" si="5"/>
        <v>0</v>
      </c>
      <c r="AA13" s="17">
        <f t="shared" si="5"/>
        <v>1</v>
      </c>
      <c r="AB13" s="17">
        <f t="shared" si="5"/>
        <v>0</v>
      </c>
      <c r="AC13" s="17">
        <f t="shared" si="5"/>
        <v>7</v>
      </c>
      <c r="AD13" s="17">
        <f t="shared" si="5"/>
        <v>1</v>
      </c>
      <c r="AE13" s="31">
        <f t="shared" si="5"/>
        <v>41</v>
      </c>
      <c r="AF13" s="31">
        <f t="shared" si="5"/>
        <v>48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f>SUM([1]Sheet1!R490:U490)</f>
        <v>0</v>
      </c>
      <c r="M14" s="50">
        <v>0</v>
      </c>
      <c r="N14" s="50">
        <v>0</v>
      </c>
      <c r="O14" s="15">
        <f t="shared" si="0"/>
        <v>3</v>
      </c>
      <c r="P14" s="15">
        <f t="shared" si="1"/>
        <v>3</v>
      </c>
      <c r="R14" s="1" t="s">
        <v>10</v>
      </c>
      <c r="S14" s="17">
        <f t="shared" ref="S14:AF14" si="6">SUM(C26:C29)</f>
        <v>6</v>
      </c>
      <c r="T14" s="17">
        <f t="shared" si="6"/>
        <v>0</v>
      </c>
      <c r="U14" s="17">
        <f t="shared" si="6"/>
        <v>15</v>
      </c>
      <c r="V14" s="17">
        <f t="shared" si="6"/>
        <v>11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4</v>
      </c>
      <c r="AD14" s="17">
        <f t="shared" si="6"/>
        <v>0</v>
      </c>
      <c r="AE14" s="31">
        <f t="shared" si="6"/>
        <v>37</v>
      </c>
      <c r="AF14" s="31">
        <f t="shared" si="6"/>
        <v>41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f>SUM([1]Sheet1!R491:U491)</f>
        <v>0</v>
      </c>
      <c r="M15" s="50">
        <v>0</v>
      </c>
      <c r="N15" s="50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11</v>
      </c>
      <c r="V15" s="17">
        <f t="shared" si="7"/>
        <v>9</v>
      </c>
      <c r="W15" s="17">
        <f t="shared" si="7"/>
        <v>2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</v>
      </c>
      <c r="AD15" s="17">
        <f t="shared" si="7"/>
        <v>0</v>
      </c>
      <c r="AE15" s="31">
        <f t="shared" si="7"/>
        <v>26</v>
      </c>
      <c r="AF15" s="31">
        <f t="shared" si="7"/>
        <v>27</v>
      </c>
    </row>
    <row r="16" spans="2:32" ht="23.1" customHeight="1" x14ac:dyDescent="0.25">
      <c r="B16" s="23" t="s">
        <v>43</v>
      </c>
      <c r="C16" s="50">
        <v>3</v>
      </c>
      <c r="D16" s="50">
        <v>0</v>
      </c>
      <c r="E16" s="50">
        <v>2</v>
      </c>
      <c r="F16" s="50">
        <v>1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f>SUM([1]Sheet1!R492:U492)</f>
        <v>0</v>
      </c>
      <c r="M16" s="50">
        <v>1</v>
      </c>
      <c r="N16" s="50">
        <v>0</v>
      </c>
      <c r="O16" s="15">
        <f t="shared" si="0"/>
        <v>7</v>
      </c>
      <c r="P16" s="15">
        <f t="shared" si="1"/>
        <v>8</v>
      </c>
      <c r="R16" s="1" t="s">
        <v>12</v>
      </c>
      <c r="S16" s="17">
        <f t="shared" ref="S16:AF16" si="8">SUM(C34:C37)</f>
        <v>5</v>
      </c>
      <c r="T16" s="17">
        <f t="shared" si="8"/>
        <v>0</v>
      </c>
      <c r="U16" s="17">
        <f t="shared" si="8"/>
        <v>9</v>
      </c>
      <c r="V16" s="17">
        <f t="shared" si="8"/>
        <v>6</v>
      </c>
      <c r="W16" s="17">
        <f t="shared" si="8"/>
        <v>0</v>
      </c>
      <c r="X16" s="17">
        <f t="shared" si="8"/>
        <v>2</v>
      </c>
      <c r="Y16" s="17">
        <f t="shared" si="8"/>
        <v>4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4</v>
      </c>
      <c r="AD16" s="17">
        <f t="shared" si="8"/>
        <v>0</v>
      </c>
      <c r="AE16" s="31">
        <f t="shared" si="8"/>
        <v>26</v>
      </c>
      <c r="AF16" s="31">
        <f t="shared" si="8"/>
        <v>30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4</v>
      </c>
      <c r="F17" s="50">
        <v>4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f>SUM([1]Sheet1!R493:U493)</f>
        <v>0</v>
      </c>
      <c r="M17" s="50">
        <v>1</v>
      </c>
      <c r="N17" s="50">
        <v>0</v>
      </c>
      <c r="O17" s="15">
        <f t="shared" si="0"/>
        <v>9</v>
      </c>
      <c r="P17" s="15">
        <f t="shared" si="1"/>
        <v>10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6</v>
      </c>
      <c r="V17" s="17">
        <f t="shared" si="9"/>
        <v>8</v>
      </c>
      <c r="W17" s="17">
        <f t="shared" si="9"/>
        <v>0</v>
      </c>
      <c r="X17" s="17">
        <f t="shared" si="9"/>
        <v>3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5</v>
      </c>
      <c r="AD17" s="17">
        <f t="shared" si="9"/>
        <v>0</v>
      </c>
      <c r="AE17" s="31">
        <f t="shared" si="9"/>
        <v>22</v>
      </c>
      <c r="AF17" s="31">
        <f t="shared" si="9"/>
        <v>27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1</v>
      </c>
      <c r="F18" s="50">
        <v>2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f>SUM([1]Sheet1!R494:U494)</f>
        <v>0</v>
      </c>
      <c r="M18" s="50">
        <v>0</v>
      </c>
      <c r="N18" s="50">
        <v>0</v>
      </c>
      <c r="O18" s="15">
        <f t="shared" si="0"/>
        <v>7</v>
      </c>
      <c r="P18" s="15">
        <f t="shared" si="1"/>
        <v>7</v>
      </c>
      <c r="R18" s="1" t="s">
        <v>14</v>
      </c>
      <c r="S18" s="17">
        <f t="shared" ref="S18:AF18" si="10">SUM(C42:C45)</f>
        <v>1</v>
      </c>
      <c r="T18" s="17">
        <f t="shared" si="10"/>
        <v>0</v>
      </c>
      <c r="U18" s="17">
        <f t="shared" si="10"/>
        <v>8</v>
      </c>
      <c r="V18" s="17">
        <f t="shared" si="10"/>
        <v>4</v>
      </c>
      <c r="W18" s="17">
        <f t="shared" si="10"/>
        <v>0</v>
      </c>
      <c r="X18" s="17">
        <f t="shared" si="10"/>
        <v>2</v>
      </c>
      <c r="Y18" s="17">
        <f t="shared" si="10"/>
        <v>7</v>
      </c>
      <c r="Z18" s="17">
        <f t="shared" si="10"/>
        <v>0</v>
      </c>
      <c r="AA18" s="17">
        <f t="shared" si="10"/>
        <v>1</v>
      </c>
      <c r="AB18" s="17">
        <f t="shared" si="10"/>
        <v>0</v>
      </c>
      <c r="AC18" s="17">
        <f t="shared" si="10"/>
        <v>2</v>
      </c>
      <c r="AD18" s="17">
        <f t="shared" si="10"/>
        <v>0</v>
      </c>
      <c r="AE18" s="31">
        <f t="shared" si="10"/>
        <v>23</v>
      </c>
      <c r="AF18" s="31">
        <f t="shared" si="10"/>
        <v>25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3</v>
      </c>
      <c r="F19" s="50">
        <v>3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f>SUM([1]Sheet1!R495:U495)</f>
        <v>0</v>
      </c>
      <c r="M19" s="50">
        <v>0</v>
      </c>
      <c r="N19" s="50">
        <v>0</v>
      </c>
      <c r="O19" s="15">
        <f t="shared" si="0"/>
        <v>8</v>
      </c>
      <c r="P19" s="15">
        <f t="shared" si="1"/>
        <v>8</v>
      </c>
      <c r="R19" s="1" t="s">
        <v>15</v>
      </c>
      <c r="S19" s="17">
        <f t="shared" ref="S19:AF19" si="11">SUM(C46:C49)</f>
        <v>4</v>
      </c>
      <c r="T19" s="17">
        <f t="shared" si="11"/>
        <v>0</v>
      </c>
      <c r="U19" s="17">
        <f t="shared" si="11"/>
        <v>9</v>
      </c>
      <c r="V19" s="17">
        <f t="shared" si="11"/>
        <v>9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</v>
      </c>
      <c r="AD19" s="17">
        <f t="shared" si="11"/>
        <v>0</v>
      </c>
      <c r="AE19" s="31">
        <f t="shared" si="11"/>
        <v>25</v>
      </c>
      <c r="AF19" s="31">
        <f t="shared" si="11"/>
        <v>26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3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f>SUM([1]Sheet1!R496:U496)</f>
        <v>0</v>
      </c>
      <c r="M20" s="50">
        <v>2</v>
      </c>
      <c r="N20" s="50">
        <v>0</v>
      </c>
      <c r="O20" s="15">
        <f t="shared" si="0"/>
        <v>4</v>
      </c>
      <c r="P20" s="15">
        <f t="shared" si="1"/>
        <v>6</v>
      </c>
      <c r="R20" s="1" t="s">
        <v>16</v>
      </c>
      <c r="S20" s="17">
        <f t="shared" ref="S20:AF20" si="12">SUM(C50:C53)</f>
        <v>3</v>
      </c>
      <c r="T20" s="17">
        <f t="shared" si="12"/>
        <v>0</v>
      </c>
      <c r="U20" s="17">
        <f t="shared" si="12"/>
        <v>10</v>
      </c>
      <c r="V20" s="17">
        <f t="shared" si="12"/>
        <v>10</v>
      </c>
      <c r="W20" s="17">
        <f t="shared" si="12"/>
        <v>3</v>
      </c>
      <c r="X20" s="17">
        <f t="shared" si="12"/>
        <v>5</v>
      </c>
      <c r="Y20" s="17">
        <f t="shared" si="12"/>
        <v>5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7</v>
      </c>
      <c r="AD20" s="17">
        <f t="shared" si="12"/>
        <v>0</v>
      </c>
      <c r="AE20" s="31">
        <f t="shared" si="12"/>
        <v>36</v>
      </c>
      <c r="AF20" s="31">
        <f t="shared" si="12"/>
        <v>43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1</v>
      </c>
      <c r="F21" s="50">
        <v>3</v>
      </c>
      <c r="G21" s="50">
        <v>1</v>
      </c>
      <c r="H21" s="50">
        <v>0</v>
      </c>
      <c r="I21" s="50">
        <v>0</v>
      </c>
      <c r="J21" s="50">
        <v>1</v>
      </c>
      <c r="K21" s="50">
        <v>1</v>
      </c>
      <c r="L21" s="50">
        <f>SUM([1]Sheet1!R497:U497)</f>
        <v>0</v>
      </c>
      <c r="M21" s="50">
        <v>0</v>
      </c>
      <c r="N21" s="50">
        <v>0</v>
      </c>
      <c r="O21" s="15">
        <f t="shared" si="0"/>
        <v>7</v>
      </c>
      <c r="P21" s="15">
        <f t="shared" si="1"/>
        <v>7</v>
      </c>
      <c r="R21" s="36" t="s">
        <v>20</v>
      </c>
      <c r="S21" s="34">
        <f t="shared" ref="S21:AF21" si="13">SUM(C54:C57)</f>
        <v>9</v>
      </c>
      <c r="T21" s="17">
        <f t="shared" si="13"/>
        <v>0</v>
      </c>
      <c r="U21" s="17">
        <f t="shared" si="13"/>
        <v>10</v>
      </c>
      <c r="V21" s="17">
        <f t="shared" si="13"/>
        <v>3</v>
      </c>
      <c r="W21" s="17">
        <f t="shared" si="13"/>
        <v>0</v>
      </c>
      <c r="X21" s="17">
        <f t="shared" si="13"/>
        <v>1</v>
      </c>
      <c r="Y21" s="17">
        <f t="shared" si="13"/>
        <v>6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</v>
      </c>
      <c r="AD21" s="17">
        <f t="shared" si="13"/>
        <v>0</v>
      </c>
      <c r="AE21" s="31">
        <f t="shared" si="13"/>
        <v>29</v>
      </c>
      <c r="AF21" s="31">
        <f t="shared" si="13"/>
        <v>31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4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f>SUM([1]Sheet1!R498:U498)</f>
        <v>0</v>
      </c>
      <c r="M22" s="50">
        <v>0</v>
      </c>
      <c r="N22" s="50">
        <v>0</v>
      </c>
      <c r="O22" s="15">
        <f t="shared" si="0"/>
        <v>5</v>
      </c>
      <c r="P22" s="15">
        <f t="shared" si="1"/>
        <v>5</v>
      </c>
      <c r="R22" s="38" t="s">
        <v>90</v>
      </c>
      <c r="S22" s="39">
        <f>MAX(S10:S12)</f>
        <v>9</v>
      </c>
      <c r="T22" s="39">
        <f t="shared" ref="T22:AF22" si="14">MAX(T10:T12)</f>
        <v>0</v>
      </c>
      <c r="U22" s="39">
        <f t="shared" si="14"/>
        <v>9</v>
      </c>
      <c r="V22" s="39">
        <f t="shared" si="14"/>
        <v>9</v>
      </c>
      <c r="W22" s="39">
        <f t="shared" si="14"/>
        <v>1</v>
      </c>
      <c r="X22" s="39">
        <f t="shared" si="14"/>
        <v>1</v>
      </c>
      <c r="Y22" s="39">
        <f t="shared" si="14"/>
        <v>2</v>
      </c>
      <c r="Z22" s="39">
        <f t="shared" si="14"/>
        <v>1</v>
      </c>
      <c r="AA22" s="39">
        <f t="shared" si="14"/>
        <v>1</v>
      </c>
      <c r="AB22" s="39">
        <f t="shared" si="14"/>
        <v>0</v>
      </c>
      <c r="AC22" s="39">
        <f t="shared" si="14"/>
        <v>2</v>
      </c>
      <c r="AD22" s="39">
        <f t="shared" si="14"/>
        <v>0</v>
      </c>
      <c r="AE22" s="40">
        <f t="shared" si="14"/>
        <v>29</v>
      </c>
      <c r="AF22" s="40">
        <f t="shared" si="14"/>
        <v>31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6</v>
      </c>
      <c r="F23" s="50">
        <v>2</v>
      </c>
      <c r="G23" s="50">
        <v>0</v>
      </c>
      <c r="H23" s="50">
        <v>1</v>
      </c>
      <c r="I23" s="50">
        <v>0</v>
      </c>
      <c r="J23" s="50">
        <v>0</v>
      </c>
      <c r="K23" s="50">
        <v>1</v>
      </c>
      <c r="L23" s="50">
        <f>SUM([1]Sheet1!R499:U499)</f>
        <v>0</v>
      </c>
      <c r="M23" s="50">
        <v>2</v>
      </c>
      <c r="N23" s="50">
        <v>1</v>
      </c>
      <c r="O23" s="15">
        <f t="shared" si="0"/>
        <v>12</v>
      </c>
      <c r="P23" s="15">
        <f t="shared" si="1"/>
        <v>14</v>
      </c>
      <c r="R23" s="38" t="s">
        <v>91</v>
      </c>
      <c r="S23" s="39">
        <f>MAX(S13:S18)</f>
        <v>6</v>
      </c>
      <c r="T23" s="39">
        <f t="shared" ref="T23:AF23" si="15">MAX(T13:T18)</f>
        <v>0</v>
      </c>
      <c r="U23" s="39">
        <f t="shared" si="15"/>
        <v>22</v>
      </c>
      <c r="V23" s="39">
        <f t="shared" si="15"/>
        <v>11</v>
      </c>
      <c r="W23" s="39">
        <f t="shared" si="15"/>
        <v>2</v>
      </c>
      <c r="X23" s="39">
        <f t="shared" si="15"/>
        <v>3</v>
      </c>
      <c r="Y23" s="39">
        <f t="shared" si="15"/>
        <v>7</v>
      </c>
      <c r="Z23" s="39">
        <f t="shared" si="15"/>
        <v>2</v>
      </c>
      <c r="AA23" s="39">
        <f t="shared" si="15"/>
        <v>1</v>
      </c>
      <c r="AB23" s="39">
        <f t="shared" si="15"/>
        <v>0</v>
      </c>
      <c r="AC23" s="39">
        <f t="shared" si="15"/>
        <v>7</v>
      </c>
      <c r="AD23" s="39">
        <f t="shared" si="15"/>
        <v>1</v>
      </c>
      <c r="AE23" s="40">
        <f t="shared" si="15"/>
        <v>41</v>
      </c>
      <c r="AF23" s="40">
        <f t="shared" si="15"/>
        <v>48</v>
      </c>
    </row>
    <row r="24" spans="2:32" ht="23.1" customHeight="1" x14ac:dyDescent="0.25">
      <c r="B24" s="23" t="s">
        <v>51</v>
      </c>
      <c r="C24" s="50">
        <v>2</v>
      </c>
      <c r="D24" s="50">
        <v>0</v>
      </c>
      <c r="E24" s="50">
        <v>7</v>
      </c>
      <c r="F24" s="50">
        <v>1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f>SUM([1]Sheet1!R500:U500)</f>
        <v>0</v>
      </c>
      <c r="M24" s="50">
        <v>1</v>
      </c>
      <c r="N24" s="50">
        <v>0</v>
      </c>
      <c r="O24" s="15">
        <f t="shared" si="0"/>
        <v>10</v>
      </c>
      <c r="P24" s="15">
        <f t="shared" si="1"/>
        <v>11</v>
      </c>
      <c r="R24" s="38" t="s">
        <v>92</v>
      </c>
      <c r="S24" s="39">
        <f>MAX(S19:S21)</f>
        <v>9</v>
      </c>
      <c r="T24" s="39">
        <f t="shared" ref="T24:AF24" si="16">MAX(T19:T21)</f>
        <v>0</v>
      </c>
      <c r="U24" s="39">
        <f t="shared" si="16"/>
        <v>10</v>
      </c>
      <c r="V24" s="39">
        <f t="shared" si="16"/>
        <v>10</v>
      </c>
      <c r="W24" s="39">
        <f t="shared" si="16"/>
        <v>3</v>
      </c>
      <c r="X24" s="39">
        <f t="shared" si="16"/>
        <v>5</v>
      </c>
      <c r="Y24" s="39">
        <f t="shared" si="16"/>
        <v>6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7</v>
      </c>
      <c r="AD24" s="39">
        <f t="shared" si="16"/>
        <v>0</v>
      </c>
      <c r="AE24" s="40">
        <f t="shared" si="16"/>
        <v>36</v>
      </c>
      <c r="AF24" s="40">
        <f t="shared" si="16"/>
        <v>43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5</v>
      </c>
      <c r="F25" s="50">
        <v>6</v>
      </c>
      <c r="G25" s="50">
        <v>0</v>
      </c>
      <c r="H25" s="50">
        <v>0</v>
      </c>
      <c r="I25" s="50">
        <v>3</v>
      </c>
      <c r="J25" s="50">
        <v>0</v>
      </c>
      <c r="K25" s="50">
        <v>0</v>
      </c>
      <c r="L25" s="50">
        <f>SUM([1]Sheet1!R501:U501)</f>
        <v>0</v>
      </c>
      <c r="M25" s="50">
        <v>4</v>
      </c>
      <c r="N25" s="50">
        <v>0</v>
      </c>
      <c r="O25" s="15">
        <f t="shared" si="0"/>
        <v>14</v>
      </c>
      <c r="P25" s="15">
        <f t="shared" si="1"/>
        <v>18</v>
      </c>
      <c r="R25" s="37" t="s">
        <v>85</v>
      </c>
      <c r="S25" s="35">
        <f t="shared" ref="S25:AF25" si="17">SUM(S10:S12)</f>
        <v>18</v>
      </c>
      <c r="T25" s="16">
        <f t="shared" si="17"/>
        <v>0</v>
      </c>
      <c r="U25" s="16">
        <f t="shared" si="17"/>
        <v>23</v>
      </c>
      <c r="V25" s="16">
        <f t="shared" si="17"/>
        <v>24</v>
      </c>
      <c r="W25" s="16">
        <f t="shared" si="17"/>
        <v>1</v>
      </c>
      <c r="X25" s="16">
        <f t="shared" si="17"/>
        <v>1</v>
      </c>
      <c r="Y25" s="16">
        <f t="shared" si="17"/>
        <v>5</v>
      </c>
      <c r="Z25" s="16">
        <f t="shared" si="17"/>
        <v>1</v>
      </c>
      <c r="AA25" s="16">
        <f t="shared" si="17"/>
        <v>1</v>
      </c>
      <c r="AB25" s="16">
        <f t="shared" si="17"/>
        <v>0</v>
      </c>
      <c r="AC25" s="16">
        <f t="shared" si="17"/>
        <v>6</v>
      </c>
      <c r="AD25" s="16">
        <f t="shared" si="17"/>
        <v>0</v>
      </c>
      <c r="AE25" s="32">
        <f t="shared" si="17"/>
        <v>74</v>
      </c>
      <c r="AF25" s="32">
        <f t="shared" si="17"/>
        <v>80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8</v>
      </c>
      <c r="F26" s="50">
        <v>3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f>SUM([1]Sheet1!R502:U502)</f>
        <v>0</v>
      </c>
      <c r="M26" s="50">
        <v>0</v>
      </c>
      <c r="N26" s="50">
        <v>0</v>
      </c>
      <c r="O26" s="15">
        <f t="shared" si="0"/>
        <v>14</v>
      </c>
      <c r="P26" s="15">
        <f t="shared" si="1"/>
        <v>14</v>
      </c>
      <c r="R26" s="28" t="s">
        <v>86</v>
      </c>
      <c r="S26" s="16">
        <f t="shared" ref="S26:AF26" si="18">SUM(S13:S18)</f>
        <v>21</v>
      </c>
      <c r="T26" s="16">
        <f t="shared" si="18"/>
        <v>0</v>
      </c>
      <c r="U26" s="16">
        <f t="shared" si="18"/>
        <v>71</v>
      </c>
      <c r="V26" s="16">
        <f t="shared" si="18"/>
        <v>48</v>
      </c>
      <c r="W26" s="16">
        <f t="shared" si="18"/>
        <v>2</v>
      </c>
      <c r="X26" s="16">
        <f t="shared" si="18"/>
        <v>8</v>
      </c>
      <c r="Y26" s="16">
        <f t="shared" si="18"/>
        <v>20</v>
      </c>
      <c r="Z26" s="16">
        <f t="shared" si="18"/>
        <v>2</v>
      </c>
      <c r="AA26" s="16">
        <f t="shared" si="18"/>
        <v>2</v>
      </c>
      <c r="AB26" s="16">
        <f t="shared" si="18"/>
        <v>0</v>
      </c>
      <c r="AC26" s="16">
        <f t="shared" si="18"/>
        <v>23</v>
      </c>
      <c r="AD26" s="16">
        <f t="shared" si="18"/>
        <v>1</v>
      </c>
      <c r="AE26" s="32">
        <f t="shared" si="18"/>
        <v>175</v>
      </c>
      <c r="AF26" s="32">
        <f t="shared" si="18"/>
        <v>198</v>
      </c>
    </row>
    <row r="27" spans="2:32" ht="23.1" customHeight="1" x14ac:dyDescent="0.25">
      <c r="B27" s="23" t="s">
        <v>54</v>
      </c>
      <c r="C27" s="50">
        <v>2</v>
      </c>
      <c r="D27" s="50">
        <v>0</v>
      </c>
      <c r="E27" s="50">
        <v>2</v>
      </c>
      <c r="F27" s="50">
        <v>2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f>SUM([1]Sheet1!R503:U503)</f>
        <v>0</v>
      </c>
      <c r="M27" s="50">
        <v>0</v>
      </c>
      <c r="N27" s="50">
        <v>0</v>
      </c>
      <c r="O27" s="15">
        <f t="shared" si="0"/>
        <v>6</v>
      </c>
      <c r="P27" s="15">
        <f t="shared" si="1"/>
        <v>6</v>
      </c>
      <c r="R27" s="29" t="s">
        <v>87</v>
      </c>
      <c r="S27" s="16">
        <f t="shared" ref="S27:AF27" si="19">SUM(S19:S21)</f>
        <v>16</v>
      </c>
      <c r="T27" s="16">
        <f t="shared" si="19"/>
        <v>0</v>
      </c>
      <c r="U27" s="16">
        <f t="shared" si="19"/>
        <v>29</v>
      </c>
      <c r="V27" s="16">
        <f t="shared" si="19"/>
        <v>22</v>
      </c>
      <c r="W27" s="16">
        <f t="shared" si="19"/>
        <v>3</v>
      </c>
      <c r="X27" s="16">
        <f t="shared" si="19"/>
        <v>6</v>
      </c>
      <c r="Y27" s="16">
        <f t="shared" si="19"/>
        <v>14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10</v>
      </c>
      <c r="AD27" s="16">
        <f t="shared" si="19"/>
        <v>0</v>
      </c>
      <c r="AE27" s="32">
        <f t="shared" si="19"/>
        <v>90</v>
      </c>
      <c r="AF27" s="32">
        <f t="shared" si="19"/>
        <v>100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3</v>
      </c>
      <c r="F28" s="50">
        <v>5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f>SUM([1]Sheet1!R504:U504)</f>
        <v>0</v>
      </c>
      <c r="M28" s="50">
        <v>3</v>
      </c>
      <c r="N28" s="50">
        <v>0</v>
      </c>
      <c r="O28" s="15">
        <f t="shared" si="0"/>
        <v>10</v>
      </c>
      <c r="P28" s="15">
        <f t="shared" si="1"/>
        <v>13</v>
      </c>
      <c r="R28" s="5" t="s">
        <v>17</v>
      </c>
      <c r="S28" s="16">
        <f t="shared" ref="S28:AF28" si="20">SUM(S10:S21)</f>
        <v>55</v>
      </c>
      <c r="T28" s="16">
        <f t="shared" si="20"/>
        <v>0</v>
      </c>
      <c r="U28" s="16">
        <f t="shared" si="20"/>
        <v>123</v>
      </c>
      <c r="V28" s="16">
        <f t="shared" si="20"/>
        <v>94</v>
      </c>
      <c r="W28" s="16">
        <f t="shared" si="20"/>
        <v>6</v>
      </c>
      <c r="X28" s="16">
        <f t="shared" si="20"/>
        <v>15</v>
      </c>
      <c r="Y28" s="16">
        <f t="shared" si="20"/>
        <v>39</v>
      </c>
      <c r="Z28" s="16">
        <f t="shared" si="20"/>
        <v>3</v>
      </c>
      <c r="AA28" s="16">
        <f t="shared" si="20"/>
        <v>3</v>
      </c>
      <c r="AB28" s="16">
        <f t="shared" si="20"/>
        <v>0</v>
      </c>
      <c r="AC28" s="16">
        <f t="shared" si="20"/>
        <v>39</v>
      </c>
      <c r="AD28" s="16">
        <f t="shared" si="20"/>
        <v>1</v>
      </c>
      <c r="AE28" s="32">
        <f t="shared" si="20"/>
        <v>339</v>
      </c>
      <c r="AF28" s="32">
        <f t="shared" si="20"/>
        <v>378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2</v>
      </c>
      <c r="F29" s="50">
        <v>1</v>
      </c>
      <c r="G29" s="50">
        <v>0</v>
      </c>
      <c r="H29" s="50">
        <v>0</v>
      </c>
      <c r="I29" s="50">
        <v>2</v>
      </c>
      <c r="J29" s="50">
        <v>1</v>
      </c>
      <c r="K29" s="50">
        <v>0</v>
      </c>
      <c r="L29" s="50">
        <f>SUM([1]Sheet1!R505:U505)</f>
        <v>0</v>
      </c>
      <c r="M29" s="50">
        <v>1</v>
      </c>
      <c r="N29" s="50">
        <v>0</v>
      </c>
      <c r="O29" s="15">
        <f t="shared" si="0"/>
        <v>7</v>
      </c>
      <c r="P29" s="15">
        <f t="shared" si="1"/>
        <v>8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4</v>
      </c>
      <c r="F30" s="50">
        <v>3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f>SUM([1]Sheet1!R506:U506)</f>
        <v>0</v>
      </c>
      <c r="M30" s="50">
        <v>0</v>
      </c>
      <c r="N30" s="50">
        <v>0</v>
      </c>
      <c r="O30" s="15">
        <f t="shared" si="0"/>
        <v>8</v>
      </c>
      <c r="P30" s="15">
        <f t="shared" si="1"/>
        <v>8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4</v>
      </c>
      <c r="F31" s="50">
        <v>2</v>
      </c>
      <c r="G31" s="50">
        <v>2</v>
      </c>
      <c r="H31" s="50">
        <v>0</v>
      </c>
      <c r="I31" s="50">
        <v>0</v>
      </c>
      <c r="J31" s="50">
        <v>0</v>
      </c>
      <c r="K31" s="50">
        <v>0</v>
      </c>
      <c r="L31" s="50">
        <f>SUM([1]Sheet1!R507:U507)</f>
        <v>0</v>
      </c>
      <c r="M31" s="50">
        <v>1</v>
      </c>
      <c r="N31" s="50">
        <v>0</v>
      </c>
      <c r="O31" s="15">
        <f t="shared" si="0"/>
        <v>9</v>
      </c>
      <c r="P31" s="15">
        <f t="shared" si="1"/>
        <v>10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2</v>
      </c>
      <c r="F32" s="50">
        <v>2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f>SUM([1]Sheet1!R508:U508)</f>
        <v>0</v>
      </c>
      <c r="M32" s="50">
        <v>0</v>
      </c>
      <c r="N32" s="50">
        <v>0</v>
      </c>
      <c r="O32" s="15">
        <f t="shared" si="0"/>
        <v>6</v>
      </c>
      <c r="P32" s="15">
        <f t="shared" si="1"/>
        <v>6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1</v>
      </c>
      <c r="F33" s="50">
        <v>2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f>SUM([1]Sheet1!R509:U509)</f>
        <v>0</v>
      </c>
      <c r="M33" s="50">
        <v>0</v>
      </c>
      <c r="N33" s="50">
        <v>0</v>
      </c>
      <c r="O33" s="15">
        <f t="shared" si="0"/>
        <v>3</v>
      </c>
      <c r="P33" s="15">
        <f t="shared" si="1"/>
        <v>3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2</v>
      </c>
      <c r="F34" s="50">
        <v>2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f>SUM([1]Sheet1!R510:U510)</f>
        <v>0</v>
      </c>
      <c r="M34" s="50">
        <v>3</v>
      </c>
      <c r="N34" s="50">
        <v>0</v>
      </c>
      <c r="O34" s="15">
        <f t="shared" si="0"/>
        <v>8</v>
      </c>
      <c r="P34" s="15">
        <f t="shared" si="1"/>
        <v>11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1</v>
      </c>
      <c r="F35" s="50">
        <v>2</v>
      </c>
      <c r="G35" s="50">
        <v>0</v>
      </c>
      <c r="H35" s="50">
        <v>2</v>
      </c>
      <c r="I35" s="50">
        <v>1</v>
      </c>
      <c r="J35" s="50">
        <v>0</v>
      </c>
      <c r="K35" s="50">
        <v>0</v>
      </c>
      <c r="L35" s="50">
        <f>SUM([1]Sheet1!R511:U511)</f>
        <v>0</v>
      </c>
      <c r="M35" s="50">
        <v>0</v>
      </c>
      <c r="N35" s="50">
        <v>0</v>
      </c>
      <c r="O35" s="15">
        <f t="shared" si="0"/>
        <v>6</v>
      </c>
      <c r="P35" s="15">
        <f t="shared" si="1"/>
        <v>6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4</v>
      </c>
      <c r="F36" s="50">
        <v>1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f>SUM([1]Sheet1!R512:U512)</f>
        <v>0</v>
      </c>
      <c r="M36" s="50">
        <v>1</v>
      </c>
      <c r="N36" s="50">
        <v>0</v>
      </c>
      <c r="O36" s="15">
        <f t="shared" si="0"/>
        <v>9</v>
      </c>
      <c r="P36" s="15">
        <f t="shared" si="1"/>
        <v>10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2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f>SUM([1]Sheet1!R513:U513)</f>
        <v>0</v>
      </c>
      <c r="M37" s="50">
        <v>0</v>
      </c>
      <c r="N37" s="50">
        <v>0</v>
      </c>
      <c r="O37" s="15">
        <f t="shared" si="0"/>
        <v>3</v>
      </c>
      <c r="P37" s="15">
        <f t="shared" si="1"/>
        <v>3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2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f>SUM([1]Sheet1!R514:U514)</f>
        <v>0</v>
      </c>
      <c r="M38" s="50">
        <v>1</v>
      </c>
      <c r="N38" s="50">
        <v>0</v>
      </c>
      <c r="O38" s="15">
        <f t="shared" si="0"/>
        <v>2</v>
      </c>
      <c r="P38" s="15">
        <f t="shared" si="1"/>
        <v>3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1</v>
      </c>
      <c r="F39" s="50">
        <v>1</v>
      </c>
      <c r="G39" s="50">
        <v>0</v>
      </c>
      <c r="H39" s="50">
        <v>2</v>
      </c>
      <c r="I39" s="50">
        <v>1</v>
      </c>
      <c r="J39" s="50">
        <v>0</v>
      </c>
      <c r="K39" s="50">
        <v>0</v>
      </c>
      <c r="L39" s="50">
        <f>SUM([1]Sheet1!R515:U515)</f>
        <v>0</v>
      </c>
      <c r="M39" s="50">
        <v>1</v>
      </c>
      <c r="N39" s="50">
        <v>0</v>
      </c>
      <c r="O39" s="15">
        <f t="shared" si="0"/>
        <v>6</v>
      </c>
      <c r="P39" s="15">
        <f t="shared" si="1"/>
        <v>7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1</v>
      </c>
      <c r="F40" s="50">
        <v>2</v>
      </c>
      <c r="G40" s="50">
        <v>0</v>
      </c>
      <c r="H40" s="50">
        <v>1</v>
      </c>
      <c r="I40" s="50">
        <v>1</v>
      </c>
      <c r="J40" s="50">
        <v>0</v>
      </c>
      <c r="K40" s="50">
        <v>0</v>
      </c>
      <c r="L40" s="50">
        <f>SUM([1]Sheet1!R516:U516)</f>
        <v>0</v>
      </c>
      <c r="M40" s="50">
        <v>2</v>
      </c>
      <c r="N40" s="50">
        <v>0</v>
      </c>
      <c r="O40" s="15">
        <f t="shared" si="0"/>
        <v>5</v>
      </c>
      <c r="P40" s="15">
        <f t="shared" si="1"/>
        <v>7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4</v>
      </c>
      <c r="F41" s="50">
        <v>3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f>SUM([1]Sheet1!R517:U517)</f>
        <v>0</v>
      </c>
      <c r="M41" s="50">
        <v>1</v>
      </c>
      <c r="N41" s="50">
        <v>0</v>
      </c>
      <c r="O41" s="15">
        <f t="shared" si="0"/>
        <v>9</v>
      </c>
      <c r="P41" s="15">
        <f t="shared" si="1"/>
        <v>10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2</v>
      </c>
      <c r="G42" s="50">
        <v>0</v>
      </c>
      <c r="H42" s="50">
        <v>0</v>
      </c>
      <c r="I42" s="50">
        <v>4</v>
      </c>
      <c r="J42" s="50">
        <v>0</v>
      </c>
      <c r="K42" s="50">
        <v>0</v>
      </c>
      <c r="L42" s="50">
        <f>SUM([1]Sheet1!R518:U518)</f>
        <v>0</v>
      </c>
      <c r="M42" s="50">
        <v>1</v>
      </c>
      <c r="N42" s="50">
        <v>0</v>
      </c>
      <c r="O42" s="15">
        <f t="shared" si="0"/>
        <v>6</v>
      </c>
      <c r="P42" s="15">
        <f t="shared" si="1"/>
        <v>7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4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f>SUM([1]Sheet1!R519:U519)</f>
        <v>0</v>
      </c>
      <c r="M43" s="50">
        <v>0</v>
      </c>
      <c r="N43" s="50">
        <v>0</v>
      </c>
      <c r="O43" s="15">
        <f t="shared" si="0"/>
        <v>5</v>
      </c>
      <c r="P43" s="15">
        <f t="shared" si="1"/>
        <v>5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1</v>
      </c>
      <c r="J44" s="50">
        <v>0</v>
      </c>
      <c r="K44" s="50">
        <v>1</v>
      </c>
      <c r="L44" s="50">
        <f>SUM([1]Sheet1!R520:U520)</f>
        <v>0</v>
      </c>
      <c r="M44" s="50">
        <v>1</v>
      </c>
      <c r="N44" s="50">
        <v>0</v>
      </c>
      <c r="O44" s="15">
        <f t="shared" si="0"/>
        <v>3</v>
      </c>
      <c r="P44" s="15">
        <f t="shared" si="1"/>
        <v>4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4</v>
      </c>
      <c r="F45" s="50">
        <v>1</v>
      </c>
      <c r="G45" s="50">
        <v>0</v>
      </c>
      <c r="H45" s="50">
        <v>2</v>
      </c>
      <c r="I45" s="50">
        <v>2</v>
      </c>
      <c r="J45" s="50">
        <v>0</v>
      </c>
      <c r="K45" s="50">
        <v>0</v>
      </c>
      <c r="L45" s="50">
        <f>SUM([1]Sheet1!R521:U521)</f>
        <v>0</v>
      </c>
      <c r="M45" s="50">
        <v>0</v>
      </c>
      <c r="N45" s="50">
        <v>0</v>
      </c>
      <c r="O45" s="15">
        <f t="shared" si="0"/>
        <v>9</v>
      </c>
      <c r="P45" s="15">
        <f t="shared" si="1"/>
        <v>9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2</v>
      </c>
      <c r="F46" s="50">
        <v>2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f>SUM([1]Sheet1!R522:U522)</f>
        <v>0</v>
      </c>
      <c r="M46" s="50">
        <v>0</v>
      </c>
      <c r="N46" s="50">
        <v>0</v>
      </c>
      <c r="O46" s="15">
        <f t="shared" si="0"/>
        <v>6</v>
      </c>
      <c r="P46" s="15">
        <f t="shared" si="1"/>
        <v>6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5</v>
      </c>
      <c r="F47" s="50">
        <v>3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f>SUM([1]Sheet1!R523:U523)</f>
        <v>0</v>
      </c>
      <c r="M47" s="50">
        <v>1</v>
      </c>
      <c r="N47" s="50">
        <v>0</v>
      </c>
      <c r="O47" s="15">
        <f t="shared" si="0"/>
        <v>8</v>
      </c>
      <c r="P47" s="15">
        <f t="shared" si="1"/>
        <v>9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2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f>SUM([1]Sheet1!R524:U524)</f>
        <v>0</v>
      </c>
      <c r="M48" s="50">
        <v>0</v>
      </c>
      <c r="N48" s="50">
        <v>0</v>
      </c>
      <c r="O48" s="15">
        <f t="shared" si="0"/>
        <v>5</v>
      </c>
      <c r="P48" s="15">
        <f t="shared" si="1"/>
        <v>5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0</v>
      </c>
      <c r="F49" s="50">
        <v>3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f>SUM([1]Sheet1!R525:U525)</f>
        <v>0</v>
      </c>
      <c r="M49" s="50">
        <v>0</v>
      </c>
      <c r="N49" s="50">
        <v>0</v>
      </c>
      <c r="O49" s="15">
        <f t="shared" si="0"/>
        <v>6</v>
      </c>
      <c r="P49" s="15">
        <f t="shared" si="1"/>
        <v>6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4</v>
      </c>
      <c r="F50" s="50">
        <v>0</v>
      </c>
      <c r="G50" s="50">
        <v>0</v>
      </c>
      <c r="H50" s="50">
        <v>2</v>
      </c>
      <c r="I50" s="50">
        <v>0</v>
      </c>
      <c r="J50" s="50">
        <v>0</v>
      </c>
      <c r="K50" s="50">
        <v>0</v>
      </c>
      <c r="L50" s="50">
        <f>SUM([1]Sheet1!R526:U526)</f>
        <v>0</v>
      </c>
      <c r="M50" s="50">
        <v>1</v>
      </c>
      <c r="N50" s="50">
        <v>0</v>
      </c>
      <c r="O50" s="15">
        <f t="shared" si="0"/>
        <v>7</v>
      </c>
      <c r="P50" s="15">
        <f t="shared" si="1"/>
        <v>8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1</v>
      </c>
      <c r="F51" s="50">
        <v>7</v>
      </c>
      <c r="G51" s="50">
        <v>0</v>
      </c>
      <c r="H51" s="50">
        <v>1</v>
      </c>
      <c r="I51" s="50">
        <v>3</v>
      </c>
      <c r="J51" s="50">
        <v>0</v>
      </c>
      <c r="K51" s="50">
        <v>0</v>
      </c>
      <c r="L51" s="50">
        <f>SUM([1]Sheet1!R527:U527)</f>
        <v>0</v>
      </c>
      <c r="M51" s="50">
        <v>4</v>
      </c>
      <c r="N51" s="50">
        <v>0</v>
      </c>
      <c r="O51" s="15">
        <f t="shared" si="0"/>
        <v>14</v>
      </c>
      <c r="P51" s="15">
        <f t="shared" si="1"/>
        <v>18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4</v>
      </c>
      <c r="F52" s="50">
        <v>2</v>
      </c>
      <c r="G52" s="50">
        <v>2</v>
      </c>
      <c r="H52" s="50">
        <v>2</v>
      </c>
      <c r="I52" s="50">
        <v>2</v>
      </c>
      <c r="J52" s="50">
        <v>0</v>
      </c>
      <c r="K52" s="50">
        <v>0</v>
      </c>
      <c r="L52" s="50">
        <f>SUM([1]Sheet1!R528:U528)</f>
        <v>0</v>
      </c>
      <c r="M52" s="50">
        <v>0</v>
      </c>
      <c r="N52" s="50">
        <v>0</v>
      </c>
      <c r="O52" s="15">
        <f t="shared" si="0"/>
        <v>12</v>
      </c>
      <c r="P52" s="15">
        <f t="shared" si="1"/>
        <v>12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1</v>
      </c>
      <c r="F53" s="50">
        <v>1</v>
      </c>
      <c r="G53" s="50">
        <v>1</v>
      </c>
      <c r="H53" s="50">
        <v>0</v>
      </c>
      <c r="I53" s="50">
        <v>0</v>
      </c>
      <c r="J53" s="50">
        <v>0</v>
      </c>
      <c r="K53" s="50">
        <v>0</v>
      </c>
      <c r="L53" s="50">
        <f>SUM([1]Sheet1!R529:U529)</f>
        <v>0</v>
      </c>
      <c r="M53" s="50">
        <v>2</v>
      </c>
      <c r="N53" s="50">
        <v>0</v>
      </c>
      <c r="O53" s="15">
        <f t="shared" si="0"/>
        <v>3</v>
      </c>
      <c r="P53" s="15">
        <f t="shared" si="1"/>
        <v>5</v>
      </c>
      <c r="R53" s="8"/>
      <c r="T53"/>
    </row>
    <row r="54" spans="2:20" ht="23.1" customHeight="1" x14ac:dyDescent="0.25">
      <c r="B54" s="23" t="s">
        <v>81</v>
      </c>
      <c r="C54" s="50">
        <v>4</v>
      </c>
      <c r="D54" s="50">
        <v>0</v>
      </c>
      <c r="E54" s="50">
        <v>4</v>
      </c>
      <c r="F54" s="50">
        <v>1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f>SUM([1]Sheet1!R530:U530)</f>
        <v>0</v>
      </c>
      <c r="M54" s="50">
        <v>1</v>
      </c>
      <c r="N54" s="50">
        <v>0</v>
      </c>
      <c r="O54" s="15">
        <f t="shared" si="0"/>
        <v>10</v>
      </c>
      <c r="P54" s="15">
        <f t="shared" si="1"/>
        <v>11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f>SUM([1]Sheet1!R531:U531)</f>
        <v>0</v>
      </c>
      <c r="M55" s="50">
        <v>1</v>
      </c>
      <c r="N55" s="50">
        <v>0</v>
      </c>
      <c r="O55" s="15">
        <f t="shared" si="0"/>
        <v>5</v>
      </c>
      <c r="P55" s="15">
        <f t="shared" si="1"/>
        <v>6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3</v>
      </c>
      <c r="F56" s="50">
        <v>1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f>SUM([1]Sheet1!R532:U532)</f>
        <v>0</v>
      </c>
      <c r="M56" s="50">
        <v>0</v>
      </c>
      <c r="N56" s="50">
        <v>0</v>
      </c>
      <c r="O56" s="15">
        <f t="shared" si="0"/>
        <v>7</v>
      </c>
      <c r="P56" s="15">
        <f t="shared" si="1"/>
        <v>7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2</v>
      </c>
      <c r="F57" s="50">
        <v>1</v>
      </c>
      <c r="G57" s="50">
        <v>0</v>
      </c>
      <c r="H57" s="50">
        <v>1</v>
      </c>
      <c r="I57" s="50">
        <v>2</v>
      </c>
      <c r="J57" s="50">
        <v>0</v>
      </c>
      <c r="K57" s="50">
        <v>0</v>
      </c>
      <c r="L57" s="50">
        <f>SUM([1]Sheet1!R533:U533)</f>
        <v>0</v>
      </c>
      <c r="M57" s="50">
        <v>0</v>
      </c>
      <c r="N57" s="50">
        <v>0</v>
      </c>
      <c r="O57" s="15">
        <f t="shared" si="0"/>
        <v>7</v>
      </c>
      <c r="P57" s="15">
        <f t="shared" si="1"/>
        <v>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55</v>
      </c>
      <c r="D58" s="16">
        <f t="shared" si="21"/>
        <v>0</v>
      </c>
      <c r="E58" s="16">
        <f t="shared" si="21"/>
        <v>123</v>
      </c>
      <c r="F58" s="16">
        <f t="shared" si="21"/>
        <v>94</v>
      </c>
      <c r="G58" s="16">
        <f t="shared" si="21"/>
        <v>6</v>
      </c>
      <c r="H58" s="16">
        <f t="shared" si="21"/>
        <v>15</v>
      </c>
      <c r="I58" s="16">
        <f t="shared" si="21"/>
        <v>39</v>
      </c>
      <c r="J58" s="16">
        <f t="shared" si="21"/>
        <v>3</v>
      </c>
      <c r="K58" s="16">
        <f t="shared" si="21"/>
        <v>3</v>
      </c>
      <c r="L58" s="16">
        <f t="shared" si="21"/>
        <v>0</v>
      </c>
      <c r="M58" s="16">
        <f t="shared" si="21"/>
        <v>39</v>
      </c>
      <c r="N58" s="16">
        <f t="shared" si="21"/>
        <v>1</v>
      </c>
      <c r="O58" s="16">
        <f t="shared" si="21"/>
        <v>339</v>
      </c>
      <c r="P58" s="16">
        <f t="shared" si="21"/>
        <v>378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0.14550264550264549</v>
      </c>
      <c r="D59" s="43">
        <f t="shared" si="22"/>
        <v>0</v>
      </c>
      <c r="E59" s="43">
        <f t="shared" si="22"/>
        <v>0.32539682539682541</v>
      </c>
      <c r="F59" s="43">
        <f t="shared" si="22"/>
        <v>0.24867724867724866</v>
      </c>
      <c r="G59" s="43">
        <f t="shared" si="22"/>
        <v>1.5873015873015872E-2</v>
      </c>
      <c r="H59" s="43">
        <f t="shared" si="22"/>
        <v>3.968253968253968E-2</v>
      </c>
      <c r="I59" s="43">
        <f t="shared" si="22"/>
        <v>0.10317460317460317</v>
      </c>
      <c r="J59" s="43">
        <f t="shared" si="22"/>
        <v>7.9365079365079361E-3</v>
      </c>
      <c r="K59" s="43">
        <f t="shared" si="22"/>
        <v>7.9365079365079361E-3</v>
      </c>
      <c r="L59" s="43">
        <f t="shared" si="22"/>
        <v>0</v>
      </c>
      <c r="M59" s="43">
        <f t="shared" si="22"/>
        <v>0.10317460317460317</v>
      </c>
      <c r="N59" s="43">
        <f t="shared" si="22"/>
        <v>2.6455026455026454E-3</v>
      </c>
      <c r="R59" s="8"/>
      <c r="T59"/>
    </row>
    <row r="60" spans="2:20" ht="23.1" customHeight="1" x14ac:dyDescent="0.25">
      <c r="B60" s="42" t="s">
        <v>94</v>
      </c>
      <c r="C60" s="44">
        <f>C58/$O$58</f>
        <v>0.16224188790560473</v>
      </c>
      <c r="D60" s="44">
        <f t="shared" ref="D60:N60" si="23">D58/$O$58</f>
        <v>0</v>
      </c>
      <c r="E60" s="44">
        <f t="shared" si="23"/>
        <v>0.36283185840707965</v>
      </c>
      <c r="F60" s="44">
        <f t="shared" si="23"/>
        <v>0.27728613569321536</v>
      </c>
      <c r="G60" s="44">
        <f t="shared" si="23"/>
        <v>1.7699115044247787E-2</v>
      </c>
      <c r="H60" s="44">
        <f t="shared" si="23"/>
        <v>4.4247787610619468E-2</v>
      </c>
      <c r="I60" s="44">
        <f t="shared" si="23"/>
        <v>0.11504424778761062</v>
      </c>
      <c r="J60" s="44">
        <f t="shared" si="23"/>
        <v>8.8495575221238937E-3</v>
      </c>
      <c r="K60" s="44">
        <f t="shared" si="23"/>
        <v>8.8495575221238937E-3</v>
      </c>
      <c r="L60" s="44">
        <f t="shared" si="23"/>
        <v>0</v>
      </c>
      <c r="M60" s="44"/>
      <c r="N60" s="44">
        <f t="shared" si="23"/>
        <v>2.9498525073746312E-3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T6" sqref="T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KYENJOJO-FORTPORTAL'!C3:G3</f>
        <v>C4 - STN107-FORTPORTAL-KYENJONJO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63" t="str">
        <f>'29.07 KYENJOJO-FORTPORTAL'!G5:H5</f>
        <v>xxx</v>
      </c>
      <c r="H5" s="64"/>
      <c r="I5" s="14"/>
      <c r="J5" s="2" t="s">
        <v>5</v>
      </c>
      <c r="K5" s="63" t="str">
        <f>'29.07 KYENJOJO-FORTPORTAL'!K5:L5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KYENJOJO-FORTPORTAL'!D6:E6</f>
        <v>KYENJOJO</v>
      </c>
      <c r="E6" s="64"/>
      <c r="F6" s="2" t="s">
        <v>2</v>
      </c>
      <c r="G6" s="63" t="str">
        <f>'29.07 KYENJOJO-FORTPORTAL'!G6:H6</f>
        <v>FORTPORTAL</v>
      </c>
      <c r="H6" s="64"/>
      <c r="J6" s="2" t="s">
        <v>21</v>
      </c>
      <c r="K6" s="63" t="str">
        <f>'29.07 KYENJOJO-FORTPORTAL'!K6:L6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6</v>
      </c>
      <c r="R10" s="1" t="s">
        <v>6</v>
      </c>
      <c r="S10" s="17">
        <f t="shared" ref="S10:AF10" si="2">SUM(C10:C13)</f>
        <v>4</v>
      </c>
      <c r="T10" s="17">
        <f t="shared" si="2"/>
        <v>0</v>
      </c>
      <c r="U10" s="17">
        <f t="shared" si="2"/>
        <v>6</v>
      </c>
      <c r="V10" s="17">
        <f t="shared" si="2"/>
        <v>6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4</v>
      </c>
      <c r="AC10" s="17">
        <f t="shared" si="2"/>
        <v>5</v>
      </c>
      <c r="AD10" s="17">
        <f t="shared" si="2"/>
        <v>0</v>
      </c>
      <c r="AE10" s="31">
        <f t="shared" si="2"/>
        <v>22</v>
      </c>
      <c r="AF10" s="31">
        <f t="shared" si="2"/>
        <v>27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3</v>
      </c>
      <c r="F11" s="50">
        <v>2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2</v>
      </c>
      <c r="M11" s="50">
        <v>0</v>
      </c>
      <c r="N11" s="50">
        <v>0</v>
      </c>
      <c r="O11" s="15">
        <f t="shared" si="0"/>
        <v>9</v>
      </c>
      <c r="P11" s="15">
        <f t="shared" si="1"/>
        <v>9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4</v>
      </c>
      <c r="V11" s="17">
        <f t="shared" si="3"/>
        <v>3</v>
      </c>
      <c r="W11" s="17">
        <f t="shared" si="3"/>
        <v>1</v>
      </c>
      <c r="X11" s="17">
        <f t="shared" si="3"/>
        <v>1</v>
      </c>
      <c r="Y11" s="17">
        <f t="shared" si="3"/>
        <v>4</v>
      </c>
      <c r="Z11" s="17">
        <f t="shared" si="3"/>
        <v>0</v>
      </c>
      <c r="AA11" s="17">
        <f t="shared" si="3"/>
        <v>0</v>
      </c>
      <c r="AB11" s="17">
        <f t="shared" si="3"/>
        <v>2</v>
      </c>
      <c r="AC11" s="17">
        <f t="shared" si="3"/>
        <v>2</v>
      </c>
      <c r="AD11" s="17">
        <f t="shared" si="3"/>
        <v>0</v>
      </c>
      <c r="AE11" s="31">
        <f t="shared" si="3"/>
        <v>17</v>
      </c>
      <c r="AF11" s="31">
        <f t="shared" si="3"/>
        <v>19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1</v>
      </c>
      <c r="M12" s="50">
        <v>0</v>
      </c>
      <c r="N12" s="50">
        <v>0</v>
      </c>
      <c r="O12" s="15">
        <f t="shared" si="0"/>
        <v>3</v>
      </c>
      <c r="P12" s="15">
        <f t="shared" si="1"/>
        <v>3</v>
      </c>
      <c r="R12" s="1" t="s">
        <v>8</v>
      </c>
      <c r="S12" s="17">
        <f t="shared" ref="S12:AF12" si="4">SUM(C18:C21)</f>
        <v>4</v>
      </c>
      <c r="T12" s="17">
        <f t="shared" si="4"/>
        <v>0</v>
      </c>
      <c r="U12" s="17">
        <f t="shared" si="4"/>
        <v>11</v>
      </c>
      <c r="V12" s="17">
        <f t="shared" si="4"/>
        <v>8</v>
      </c>
      <c r="W12" s="17">
        <f t="shared" si="4"/>
        <v>0</v>
      </c>
      <c r="X12" s="17">
        <f t="shared" si="4"/>
        <v>2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2</v>
      </c>
      <c r="AC12" s="17">
        <f t="shared" si="4"/>
        <v>7</v>
      </c>
      <c r="AD12" s="17">
        <f t="shared" si="4"/>
        <v>0</v>
      </c>
      <c r="AE12" s="31">
        <f t="shared" si="4"/>
        <v>29</v>
      </c>
      <c r="AF12" s="31">
        <f t="shared" si="4"/>
        <v>36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2</v>
      </c>
      <c r="F13" s="50">
        <v>2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1</v>
      </c>
      <c r="M13" s="50">
        <v>2</v>
      </c>
      <c r="N13" s="50">
        <v>0</v>
      </c>
      <c r="O13" s="15">
        <f t="shared" si="0"/>
        <v>7</v>
      </c>
      <c r="P13" s="15">
        <f t="shared" si="1"/>
        <v>9</v>
      </c>
      <c r="R13" s="1" t="s">
        <v>9</v>
      </c>
      <c r="S13" s="17">
        <f t="shared" ref="S13:AF13" si="5">SUM(C22:C25)</f>
        <v>4</v>
      </c>
      <c r="T13" s="17">
        <f t="shared" si="5"/>
        <v>0</v>
      </c>
      <c r="U13" s="17">
        <f t="shared" si="5"/>
        <v>9</v>
      </c>
      <c r="V13" s="17">
        <f t="shared" si="5"/>
        <v>8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2</v>
      </c>
      <c r="AC13" s="17">
        <f t="shared" si="5"/>
        <v>10</v>
      </c>
      <c r="AD13" s="17">
        <f t="shared" si="5"/>
        <v>0</v>
      </c>
      <c r="AE13" s="31">
        <f t="shared" si="5"/>
        <v>24</v>
      </c>
      <c r="AF13" s="31">
        <f t="shared" si="5"/>
        <v>34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4</v>
      </c>
      <c r="J14" s="50">
        <v>0</v>
      </c>
      <c r="K14" s="50">
        <v>0</v>
      </c>
      <c r="L14" s="50">
        <v>0</v>
      </c>
      <c r="M14" s="50">
        <v>2</v>
      </c>
      <c r="N14" s="50">
        <v>0</v>
      </c>
      <c r="O14" s="15">
        <f t="shared" si="0"/>
        <v>6</v>
      </c>
      <c r="P14" s="15">
        <f t="shared" si="1"/>
        <v>8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15</v>
      </c>
      <c r="V14" s="17">
        <f t="shared" si="6"/>
        <v>7</v>
      </c>
      <c r="W14" s="17">
        <f t="shared" si="6"/>
        <v>0</v>
      </c>
      <c r="X14" s="17">
        <f t="shared" si="6"/>
        <v>2</v>
      </c>
      <c r="Y14" s="17">
        <f t="shared" si="6"/>
        <v>2</v>
      </c>
      <c r="Z14" s="17">
        <f t="shared" si="6"/>
        <v>1</v>
      </c>
      <c r="AA14" s="17">
        <f t="shared" si="6"/>
        <v>0</v>
      </c>
      <c r="AB14" s="17">
        <f t="shared" si="6"/>
        <v>2</v>
      </c>
      <c r="AC14" s="17">
        <f t="shared" si="6"/>
        <v>9</v>
      </c>
      <c r="AD14" s="17">
        <f t="shared" si="6"/>
        <v>0</v>
      </c>
      <c r="AE14" s="31">
        <f t="shared" si="6"/>
        <v>33</v>
      </c>
      <c r="AF14" s="31">
        <f t="shared" si="6"/>
        <v>42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1</v>
      </c>
      <c r="F15" s="50">
        <v>1</v>
      </c>
      <c r="G15" s="50">
        <v>0</v>
      </c>
      <c r="H15" s="50">
        <v>1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4</v>
      </c>
      <c r="P15" s="15">
        <f t="shared" si="1"/>
        <v>4</v>
      </c>
      <c r="R15" s="1" t="s">
        <v>11</v>
      </c>
      <c r="S15" s="17">
        <f t="shared" ref="S15:AF15" si="7">SUM(C30:C33)</f>
        <v>2</v>
      </c>
      <c r="T15" s="17">
        <f t="shared" si="7"/>
        <v>0</v>
      </c>
      <c r="U15" s="17">
        <f t="shared" si="7"/>
        <v>3</v>
      </c>
      <c r="V15" s="17">
        <f t="shared" si="7"/>
        <v>9</v>
      </c>
      <c r="W15" s="17">
        <f t="shared" si="7"/>
        <v>0</v>
      </c>
      <c r="X15" s="17">
        <f t="shared" si="7"/>
        <v>4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6</v>
      </c>
      <c r="AD15" s="17">
        <f t="shared" si="7"/>
        <v>0</v>
      </c>
      <c r="AE15" s="31">
        <f t="shared" si="7"/>
        <v>21</v>
      </c>
      <c r="AF15" s="31">
        <f t="shared" si="7"/>
        <v>27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1</v>
      </c>
      <c r="H16" s="50">
        <v>0</v>
      </c>
      <c r="I16" s="50">
        <v>0</v>
      </c>
      <c r="J16" s="50">
        <v>0</v>
      </c>
      <c r="K16" s="50">
        <v>0</v>
      </c>
      <c r="L16" s="50">
        <v>1</v>
      </c>
      <c r="M16" s="50">
        <v>0</v>
      </c>
      <c r="N16" s="50">
        <v>0</v>
      </c>
      <c r="O16" s="15">
        <f t="shared" si="0"/>
        <v>3</v>
      </c>
      <c r="P16" s="15">
        <f t="shared" si="1"/>
        <v>3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10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5</v>
      </c>
      <c r="AD16" s="17">
        <f t="shared" si="8"/>
        <v>0</v>
      </c>
      <c r="AE16" s="31">
        <f t="shared" si="8"/>
        <v>22</v>
      </c>
      <c r="AF16" s="31">
        <f t="shared" si="8"/>
        <v>27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2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1</v>
      </c>
      <c r="M17" s="50">
        <v>0</v>
      </c>
      <c r="N17" s="50">
        <v>0</v>
      </c>
      <c r="O17" s="15">
        <f t="shared" si="0"/>
        <v>4</v>
      </c>
      <c r="P17" s="15">
        <f t="shared" si="1"/>
        <v>4</v>
      </c>
      <c r="R17" s="1" t="s">
        <v>13</v>
      </c>
      <c r="S17" s="17">
        <f t="shared" ref="S17:AF17" si="9">SUM(C38:C41)</f>
        <v>7</v>
      </c>
      <c r="T17" s="17">
        <f t="shared" si="9"/>
        <v>0</v>
      </c>
      <c r="U17" s="17">
        <f t="shared" si="9"/>
        <v>6</v>
      </c>
      <c r="V17" s="17">
        <f t="shared" si="9"/>
        <v>10</v>
      </c>
      <c r="W17" s="17">
        <f t="shared" si="9"/>
        <v>0</v>
      </c>
      <c r="X17" s="17">
        <f t="shared" si="9"/>
        <v>3</v>
      </c>
      <c r="Y17" s="17">
        <f t="shared" si="9"/>
        <v>4</v>
      </c>
      <c r="Z17" s="17">
        <f t="shared" si="9"/>
        <v>0</v>
      </c>
      <c r="AA17" s="17">
        <f t="shared" si="9"/>
        <v>0</v>
      </c>
      <c r="AB17" s="17">
        <f t="shared" si="9"/>
        <v>1</v>
      </c>
      <c r="AC17" s="17">
        <f t="shared" si="9"/>
        <v>7</v>
      </c>
      <c r="AD17" s="17">
        <f t="shared" si="9"/>
        <v>0</v>
      </c>
      <c r="AE17" s="31">
        <f t="shared" si="9"/>
        <v>31</v>
      </c>
      <c r="AF17" s="31">
        <f t="shared" si="9"/>
        <v>38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3</v>
      </c>
      <c r="F18" s="50">
        <v>3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1</v>
      </c>
      <c r="M18" s="50">
        <v>1</v>
      </c>
      <c r="N18" s="50">
        <v>0</v>
      </c>
      <c r="O18" s="15">
        <f t="shared" si="0"/>
        <v>8</v>
      </c>
      <c r="P18" s="15">
        <f t="shared" si="1"/>
        <v>9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8</v>
      </c>
      <c r="V18" s="17">
        <f t="shared" si="10"/>
        <v>7</v>
      </c>
      <c r="W18" s="17">
        <f t="shared" si="10"/>
        <v>0</v>
      </c>
      <c r="X18" s="17">
        <f t="shared" si="10"/>
        <v>2</v>
      </c>
      <c r="Y18" s="17">
        <f t="shared" si="10"/>
        <v>2</v>
      </c>
      <c r="Z18" s="17">
        <f t="shared" si="10"/>
        <v>1</v>
      </c>
      <c r="AA18" s="17">
        <f t="shared" si="10"/>
        <v>0</v>
      </c>
      <c r="AB18" s="17">
        <f t="shared" si="10"/>
        <v>4</v>
      </c>
      <c r="AC18" s="17">
        <f t="shared" si="10"/>
        <v>5</v>
      </c>
      <c r="AD18" s="17">
        <f t="shared" si="10"/>
        <v>0</v>
      </c>
      <c r="AE18" s="31">
        <f t="shared" si="10"/>
        <v>28</v>
      </c>
      <c r="AF18" s="31">
        <f t="shared" si="10"/>
        <v>33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3</v>
      </c>
      <c r="F19" s="50">
        <v>3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2</v>
      </c>
      <c r="N19" s="50">
        <v>0</v>
      </c>
      <c r="O19" s="15">
        <f t="shared" si="0"/>
        <v>8</v>
      </c>
      <c r="P19" s="15">
        <f t="shared" si="1"/>
        <v>10</v>
      </c>
      <c r="R19" s="1" t="s">
        <v>15</v>
      </c>
      <c r="S19" s="17">
        <f t="shared" ref="S19:AF19" si="11">SUM(C46:C49)</f>
        <v>7</v>
      </c>
      <c r="T19" s="17">
        <f t="shared" si="11"/>
        <v>0</v>
      </c>
      <c r="U19" s="17">
        <f t="shared" si="11"/>
        <v>11</v>
      </c>
      <c r="V19" s="17">
        <f t="shared" si="11"/>
        <v>9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0</v>
      </c>
      <c r="AA19" s="17">
        <f t="shared" si="11"/>
        <v>0</v>
      </c>
      <c r="AB19" s="17">
        <f t="shared" si="11"/>
        <v>5</v>
      </c>
      <c r="AC19" s="17">
        <f t="shared" si="11"/>
        <v>5</v>
      </c>
      <c r="AD19" s="17">
        <f t="shared" si="11"/>
        <v>0</v>
      </c>
      <c r="AE19" s="31">
        <f t="shared" si="11"/>
        <v>36</v>
      </c>
      <c r="AF19" s="31">
        <f t="shared" si="11"/>
        <v>41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2</v>
      </c>
      <c r="F20" s="50">
        <v>0</v>
      </c>
      <c r="G20" s="50">
        <v>0</v>
      </c>
      <c r="H20" s="50">
        <v>2</v>
      </c>
      <c r="I20" s="50">
        <v>0</v>
      </c>
      <c r="J20" s="50">
        <v>0</v>
      </c>
      <c r="K20" s="50">
        <v>0</v>
      </c>
      <c r="L20" s="50">
        <v>1</v>
      </c>
      <c r="M20" s="50">
        <v>4</v>
      </c>
      <c r="N20" s="50">
        <v>0</v>
      </c>
      <c r="O20" s="15">
        <f t="shared" si="0"/>
        <v>5</v>
      </c>
      <c r="P20" s="15">
        <f t="shared" si="1"/>
        <v>9</v>
      </c>
      <c r="R20" s="1" t="s">
        <v>16</v>
      </c>
      <c r="S20" s="17">
        <f t="shared" ref="S20:AF20" si="12">SUM(C50:C53)</f>
        <v>8</v>
      </c>
      <c r="T20" s="17">
        <f t="shared" si="12"/>
        <v>0</v>
      </c>
      <c r="U20" s="17">
        <f t="shared" si="12"/>
        <v>23</v>
      </c>
      <c r="V20" s="17">
        <f t="shared" si="12"/>
        <v>12</v>
      </c>
      <c r="W20" s="17">
        <f t="shared" si="12"/>
        <v>0</v>
      </c>
      <c r="X20" s="17">
        <f t="shared" si="12"/>
        <v>3</v>
      </c>
      <c r="Y20" s="17">
        <f t="shared" si="12"/>
        <v>4</v>
      </c>
      <c r="Z20" s="17">
        <f t="shared" si="12"/>
        <v>4</v>
      </c>
      <c r="AA20" s="17">
        <f t="shared" si="12"/>
        <v>0</v>
      </c>
      <c r="AB20" s="17">
        <f t="shared" si="12"/>
        <v>8</v>
      </c>
      <c r="AC20" s="17">
        <f t="shared" si="12"/>
        <v>12</v>
      </c>
      <c r="AD20" s="17">
        <f t="shared" si="12"/>
        <v>0</v>
      </c>
      <c r="AE20" s="31">
        <f t="shared" si="12"/>
        <v>62</v>
      </c>
      <c r="AF20" s="31">
        <f t="shared" si="12"/>
        <v>74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3</v>
      </c>
      <c r="F21" s="50">
        <v>2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15">
        <f t="shared" si="0"/>
        <v>8</v>
      </c>
      <c r="P21" s="15">
        <f t="shared" si="1"/>
        <v>8</v>
      </c>
      <c r="R21" s="36" t="s">
        <v>20</v>
      </c>
      <c r="S21" s="34">
        <f t="shared" ref="S21:AF21" si="13">SUM(C54:C57)</f>
        <v>7</v>
      </c>
      <c r="T21" s="17">
        <f t="shared" si="13"/>
        <v>0</v>
      </c>
      <c r="U21" s="17">
        <f t="shared" si="13"/>
        <v>17</v>
      </c>
      <c r="V21" s="17">
        <f t="shared" si="13"/>
        <v>9</v>
      </c>
      <c r="W21" s="17">
        <f t="shared" si="13"/>
        <v>4</v>
      </c>
      <c r="X21" s="17">
        <f t="shared" si="13"/>
        <v>3</v>
      </c>
      <c r="Y21" s="17">
        <f t="shared" si="13"/>
        <v>8</v>
      </c>
      <c r="Z21" s="17">
        <f t="shared" si="13"/>
        <v>8</v>
      </c>
      <c r="AA21" s="17">
        <f t="shared" si="13"/>
        <v>0</v>
      </c>
      <c r="AB21" s="17">
        <f t="shared" si="13"/>
        <v>1</v>
      </c>
      <c r="AC21" s="17">
        <f t="shared" si="13"/>
        <v>6</v>
      </c>
      <c r="AD21" s="17">
        <f t="shared" si="13"/>
        <v>0</v>
      </c>
      <c r="AE21" s="31">
        <f t="shared" si="13"/>
        <v>57</v>
      </c>
      <c r="AF21" s="31">
        <f t="shared" si="13"/>
        <v>63</v>
      </c>
    </row>
    <row r="22" spans="2:32" ht="23.1" customHeight="1" x14ac:dyDescent="0.25">
      <c r="B22" s="23" t="s">
        <v>49</v>
      </c>
      <c r="C22" s="50">
        <v>3</v>
      </c>
      <c r="D22" s="50">
        <v>0</v>
      </c>
      <c r="E22" s="50">
        <v>2</v>
      </c>
      <c r="F22" s="50">
        <v>2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</v>
      </c>
      <c r="N22" s="50">
        <v>0</v>
      </c>
      <c r="O22" s="15">
        <f t="shared" si="0"/>
        <v>7</v>
      </c>
      <c r="P22" s="15">
        <f t="shared" si="1"/>
        <v>8</v>
      </c>
      <c r="R22" s="38" t="s">
        <v>90</v>
      </c>
      <c r="S22" s="39">
        <f>MAX(S10:S12)</f>
        <v>4</v>
      </c>
      <c r="T22" s="39">
        <f t="shared" ref="T22:AF22" si="14">MAX(T10:T12)</f>
        <v>0</v>
      </c>
      <c r="U22" s="39">
        <f t="shared" si="14"/>
        <v>11</v>
      </c>
      <c r="V22" s="39">
        <f t="shared" si="14"/>
        <v>8</v>
      </c>
      <c r="W22" s="39">
        <f t="shared" si="14"/>
        <v>1</v>
      </c>
      <c r="X22" s="39">
        <f t="shared" si="14"/>
        <v>2</v>
      </c>
      <c r="Y22" s="39">
        <f t="shared" si="14"/>
        <v>4</v>
      </c>
      <c r="Z22" s="39">
        <f t="shared" si="14"/>
        <v>0</v>
      </c>
      <c r="AA22" s="39">
        <f t="shared" si="14"/>
        <v>0</v>
      </c>
      <c r="AB22" s="39">
        <f t="shared" si="14"/>
        <v>4</v>
      </c>
      <c r="AC22" s="39">
        <f t="shared" si="14"/>
        <v>7</v>
      </c>
      <c r="AD22" s="39">
        <f t="shared" si="14"/>
        <v>0</v>
      </c>
      <c r="AE22" s="40">
        <f t="shared" si="14"/>
        <v>29</v>
      </c>
      <c r="AF22" s="40">
        <f t="shared" si="14"/>
        <v>36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2</v>
      </c>
      <c r="F23" s="50">
        <v>3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1</v>
      </c>
      <c r="M23" s="50">
        <v>4</v>
      </c>
      <c r="N23" s="50">
        <v>0</v>
      </c>
      <c r="O23" s="15">
        <f t="shared" si="0"/>
        <v>7</v>
      </c>
      <c r="P23" s="15">
        <f t="shared" si="1"/>
        <v>11</v>
      </c>
      <c r="R23" s="38" t="s">
        <v>91</v>
      </c>
      <c r="S23" s="39">
        <f>MAX(S13:S18)</f>
        <v>7</v>
      </c>
      <c r="T23" s="39">
        <f t="shared" ref="T23:AF23" si="15">MAX(T13:T18)</f>
        <v>0</v>
      </c>
      <c r="U23" s="39">
        <f t="shared" si="15"/>
        <v>15</v>
      </c>
      <c r="V23" s="39">
        <f t="shared" si="15"/>
        <v>10</v>
      </c>
      <c r="W23" s="39">
        <f t="shared" si="15"/>
        <v>0</v>
      </c>
      <c r="X23" s="39">
        <f t="shared" si="15"/>
        <v>4</v>
      </c>
      <c r="Y23" s="39">
        <f t="shared" si="15"/>
        <v>5</v>
      </c>
      <c r="Z23" s="39">
        <f t="shared" si="15"/>
        <v>1</v>
      </c>
      <c r="AA23" s="39">
        <f t="shared" si="15"/>
        <v>0</v>
      </c>
      <c r="AB23" s="39">
        <f t="shared" si="15"/>
        <v>4</v>
      </c>
      <c r="AC23" s="39">
        <f t="shared" si="15"/>
        <v>10</v>
      </c>
      <c r="AD23" s="39">
        <f t="shared" si="15"/>
        <v>0</v>
      </c>
      <c r="AE23" s="40">
        <f t="shared" si="15"/>
        <v>33</v>
      </c>
      <c r="AF23" s="40">
        <f t="shared" si="15"/>
        <v>42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3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2</v>
      </c>
      <c r="N24" s="50">
        <v>0</v>
      </c>
      <c r="O24" s="15">
        <f t="shared" si="0"/>
        <v>4</v>
      </c>
      <c r="P24" s="15">
        <f t="shared" si="1"/>
        <v>6</v>
      </c>
      <c r="R24" s="38" t="s">
        <v>92</v>
      </c>
      <c r="S24" s="39">
        <f>MAX(S19:S21)</f>
        <v>8</v>
      </c>
      <c r="T24" s="39">
        <f t="shared" ref="T24:AF24" si="16">MAX(T19:T21)</f>
        <v>0</v>
      </c>
      <c r="U24" s="39">
        <f t="shared" si="16"/>
        <v>23</v>
      </c>
      <c r="V24" s="39">
        <f t="shared" si="16"/>
        <v>12</v>
      </c>
      <c r="W24" s="39">
        <f t="shared" si="16"/>
        <v>4</v>
      </c>
      <c r="X24" s="39">
        <f t="shared" si="16"/>
        <v>3</v>
      </c>
      <c r="Y24" s="39">
        <f t="shared" si="16"/>
        <v>8</v>
      </c>
      <c r="Z24" s="39">
        <f t="shared" si="16"/>
        <v>8</v>
      </c>
      <c r="AA24" s="39">
        <f t="shared" si="16"/>
        <v>0</v>
      </c>
      <c r="AB24" s="39">
        <f t="shared" si="16"/>
        <v>8</v>
      </c>
      <c r="AC24" s="39">
        <f t="shared" si="16"/>
        <v>12</v>
      </c>
      <c r="AD24" s="39">
        <f t="shared" si="16"/>
        <v>0</v>
      </c>
      <c r="AE24" s="40">
        <f t="shared" si="16"/>
        <v>62</v>
      </c>
      <c r="AF24" s="40">
        <f t="shared" si="16"/>
        <v>74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2</v>
      </c>
      <c r="F25" s="50">
        <v>3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3</v>
      </c>
      <c r="N25" s="50">
        <v>0</v>
      </c>
      <c r="O25" s="15">
        <f t="shared" si="0"/>
        <v>6</v>
      </c>
      <c r="P25" s="15">
        <f t="shared" si="1"/>
        <v>9</v>
      </c>
      <c r="R25" s="37" t="s">
        <v>85</v>
      </c>
      <c r="S25" s="35">
        <f t="shared" ref="S25:AF25" si="17">SUM(S10:S12)</f>
        <v>10</v>
      </c>
      <c r="T25" s="16">
        <f t="shared" si="17"/>
        <v>0</v>
      </c>
      <c r="U25" s="16">
        <f t="shared" si="17"/>
        <v>21</v>
      </c>
      <c r="V25" s="16">
        <f t="shared" si="17"/>
        <v>17</v>
      </c>
      <c r="W25" s="16">
        <f t="shared" si="17"/>
        <v>1</v>
      </c>
      <c r="X25" s="16">
        <f t="shared" si="17"/>
        <v>3</v>
      </c>
      <c r="Y25" s="16">
        <f t="shared" si="17"/>
        <v>8</v>
      </c>
      <c r="Z25" s="16">
        <f t="shared" si="17"/>
        <v>0</v>
      </c>
      <c r="AA25" s="16">
        <f t="shared" si="17"/>
        <v>0</v>
      </c>
      <c r="AB25" s="16">
        <f t="shared" si="17"/>
        <v>8</v>
      </c>
      <c r="AC25" s="16">
        <f t="shared" si="17"/>
        <v>14</v>
      </c>
      <c r="AD25" s="16">
        <f t="shared" si="17"/>
        <v>0</v>
      </c>
      <c r="AE25" s="32">
        <f t="shared" si="17"/>
        <v>68</v>
      </c>
      <c r="AF25" s="32">
        <f t="shared" si="17"/>
        <v>82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1</v>
      </c>
      <c r="F26" s="50">
        <v>4</v>
      </c>
      <c r="G26" s="50">
        <v>0</v>
      </c>
      <c r="H26" s="50">
        <v>1</v>
      </c>
      <c r="I26" s="50">
        <v>0</v>
      </c>
      <c r="J26" s="50">
        <v>0</v>
      </c>
      <c r="K26" s="50">
        <v>0</v>
      </c>
      <c r="L26" s="50">
        <v>2</v>
      </c>
      <c r="M26" s="50">
        <v>4</v>
      </c>
      <c r="N26" s="50">
        <v>0</v>
      </c>
      <c r="O26" s="15">
        <f t="shared" si="0"/>
        <v>9</v>
      </c>
      <c r="P26" s="15">
        <f t="shared" si="1"/>
        <v>13</v>
      </c>
      <c r="R26" s="28" t="s">
        <v>86</v>
      </c>
      <c r="S26" s="16">
        <f t="shared" ref="S26:AF26" si="18">SUM(S13:S18)</f>
        <v>23</v>
      </c>
      <c r="T26" s="16">
        <f t="shared" si="18"/>
        <v>0</v>
      </c>
      <c r="U26" s="16">
        <f t="shared" si="18"/>
        <v>51</v>
      </c>
      <c r="V26" s="16">
        <f t="shared" si="18"/>
        <v>46</v>
      </c>
      <c r="W26" s="16">
        <f t="shared" si="18"/>
        <v>0</v>
      </c>
      <c r="X26" s="16">
        <f t="shared" si="18"/>
        <v>11</v>
      </c>
      <c r="Y26" s="16">
        <f t="shared" si="18"/>
        <v>16</v>
      </c>
      <c r="Z26" s="16">
        <f t="shared" si="18"/>
        <v>2</v>
      </c>
      <c r="AA26" s="16">
        <f t="shared" si="18"/>
        <v>0</v>
      </c>
      <c r="AB26" s="16">
        <f t="shared" si="18"/>
        <v>10</v>
      </c>
      <c r="AC26" s="16">
        <f t="shared" si="18"/>
        <v>42</v>
      </c>
      <c r="AD26" s="16">
        <f t="shared" si="18"/>
        <v>0</v>
      </c>
      <c r="AE26" s="32">
        <f t="shared" si="18"/>
        <v>159</v>
      </c>
      <c r="AF26" s="32">
        <f t="shared" si="18"/>
        <v>201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6</v>
      </c>
      <c r="F27" s="50">
        <v>1</v>
      </c>
      <c r="G27" s="50">
        <v>0</v>
      </c>
      <c r="H27" s="50">
        <v>1</v>
      </c>
      <c r="I27" s="50">
        <v>0</v>
      </c>
      <c r="J27" s="50">
        <v>1</v>
      </c>
      <c r="K27" s="50">
        <v>0</v>
      </c>
      <c r="L27" s="50">
        <v>0</v>
      </c>
      <c r="M27" s="50">
        <v>0</v>
      </c>
      <c r="N27" s="50">
        <v>0</v>
      </c>
      <c r="O27" s="15">
        <f t="shared" si="0"/>
        <v>10</v>
      </c>
      <c r="P27" s="15">
        <f t="shared" si="1"/>
        <v>10</v>
      </c>
      <c r="R27" s="29" t="s">
        <v>87</v>
      </c>
      <c r="S27" s="16">
        <f t="shared" ref="S27:AF27" si="19">SUM(S19:S21)</f>
        <v>22</v>
      </c>
      <c r="T27" s="16">
        <f t="shared" si="19"/>
        <v>0</v>
      </c>
      <c r="U27" s="16">
        <f t="shared" si="19"/>
        <v>51</v>
      </c>
      <c r="V27" s="16">
        <f t="shared" si="19"/>
        <v>30</v>
      </c>
      <c r="W27" s="16">
        <f t="shared" si="19"/>
        <v>4</v>
      </c>
      <c r="X27" s="16">
        <f t="shared" si="19"/>
        <v>6</v>
      </c>
      <c r="Y27" s="16">
        <f t="shared" si="19"/>
        <v>16</v>
      </c>
      <c r="Z27" s="16">
        <f t="shared" si="19"/>
        <v>12</v>
      </c>
      <c r="AA27" s="16">
        <f t="shared" si="19"/>
        <v>0</v>
      </c>
      <c r="AB27" s="16">
        <f t="shared" si="19"/>
        <v>14</v>
      </c>
      <c r="AC27" s="16">
        <f t="shared" si="19"/>
        <v>23</v>
      </c>
      <c r="AD27" s="16">
        <f t="shared" si="19"/>
        <v>0</v>
      </c>
      <c r="AE27" s="32">
        <f t="shared" si="19"/>
        <v>155</v>
      </c>
      <c r="AF27" s="32">
        <f t="shared" si="19"/>
        <v>178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6</v>
      </c>
      <c r="F28" s="50">
        <v>2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2</v>
      </c>
      <c r="N28" s="50">
        <v>0</v>
      </c>
      <c r="O28" s="15">
        <f t="shared" si="0"/>
        <v>11</v>
      </c>
      <c r="P28" s="15">
        <f t="shared" si="1"/>
        <v>13</v>
      </c>
      <c r="R28" s="5" t="s">
        <v>17</v>
      </c>
      <c r="S28" s="16">
        <f t="shared" ref="S28:AF28" si="20">SUM(S10:S21)</f>
        <v>55</v>
      </c>
      <c r="T28" s="16">
        <f t="shared" si="20"/>
        <v>0</v>
      </c>
      <c r="U28" s="16">
        <f t="shared" si="20"/>
        <v>123</v>
      </c>
      <c r="V28" s="16">
        <f t="shared" si="20"/>
        <v>93</v>
      </c>
      <c r="W28" s="16">
        <f t="shared" si="20"/>
        <v>5</v>
      </c>
      <c r="X28" s="16">
        <f t="shared" si="20"/>
        <v>20</v>
      </c>
      <c r="Y28" s="16">
        <f t="shared" si="20"/>
        <v>40</v>
      </c>
      <c r="Z28" s="16">
        <f t="shared" si="20"/>
        <v>14</v>
      </c>
      <c r="AA28" s="16">
        <f t="shared" si="20"/>
        <v>0</v>
      </c>
      <c r="AB28" s="16">
        <f t="shared" si="20"/>
        <v>32</v>
      </c>
      <c r="AC28" s="16">
        <f t="shared" si="20"/>
        <v>79</v>
      </c>
      <c r="AD28" s="16">
        <f t="shared" si="20"/>
        <v>0</v>
      </c>
      <c r="AE28" s="32">
        <f t="shared" si="20"/>
        <v>382</v>
      </c>
      <c r="AF28" s="32">
        <f t="shared" si="20"/>
        <v>461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2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3</v>
      </c>
      <c r="N29" s="50">
        <v>0</v>
      </c>
      <c r="O29" s="15">
        <f t="shared" si="0"/>
        <v>3</v>
      </c>
      <c r="P29" s="15">
        <f t="shared" si="1"/>
        <v>6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1</v>
      </c>
      <c r="F30" s="50">
        <v>3</v>
      </c>
      <c r="G30" s="50">
        <v>0</v>
      </c>
      <c r="H30" s="50">
        <v>1</v>
      </c>
      <c r="I30" s="50">
        <v>0</v>
      </c>
      <c r="J30" s="50">
        <v>0</v>
      </c>
      <c r="K30" s="50">
        <v>0</v>
      </c>
      <c r="L30" s="50">
        <v>1</v>
      </c>
      <c r="M30" s="50">
        <v>1</v>
      </c>
      <c r="N30" s="50">
        <v>0</v>
      </c>
      <c r="O30" s="15">
        <f t="shared" si="0"/>
        <v>7</v>
      </c>
      <c r="P30" s="15">
        <f t="shared" si="1"/>
        <v>8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2</v>
      </c>
      <c r="F31" s="50">
        <v>3</v>
      </c>
      <c r="G31" s="50">
        <v>0</v>
      </c>
      <c r="H31" s="50">
        <v>1</v>
      </c>
      <c r="I31" s="50">
        <v>1</v>
      </c>
      <c r="J31" s="50">
        <v>0</v>
      </c>
      <c r="K31" s="50">
        <v>0</v>
      </c>
      <c r="L31" s="50">
        <v>0</v>
      </c>
      <c r="M31" s="50">
        <v>1</v>
      </c>
      <c r="N31" s="50">
        <v>0</v>
      </c>
      <c r="O31" s="15">
        <f t="shared" si="0"/>
        <v>8</v>
      </c>
      <c r="P31" s="15">
        <f t="shared" si="1"/>
        <v>9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2</v>
      </c>
      <c r="G32" s="50">
        <v>0</v>
      </c>
      <c r="H32" s="50">
        <v>2</v>
      </c>
      <c r="I32" s="50">
        <v>0</v>
      </c>
      <c r="J32" s="50">
        <v>0</v>
      </c>
      <c r="K32" s="50">
        <v>0</v>
      </c>
      <c r="L32" s="50">
        <v>0</v>
      </c>
      <c r="M32" s="50">
        <v>2</v>
      </c>
      <c r="N32" s="50">
        <v>0</v>
      </c>
      <c r="O32" s="15">
        <f t="shared" si="0"/>
        <v>4</v>
      </c>
      <c r="P32" s="15">
        <f t="shared" si="1"/>
        <v>6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2</v>
      </c>
      <c r="N33" s="50">
        <v>0</v>
      </c>
      <c r="O33" s="15">
        <f t="shared" si="0"/>
        <v>2</v>
      </c>
      <c r="P33" s="15">
        <f t="shared" si="1"/>
        <v>4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4</v>
      </c>
      <c r="F34" s="50">
        <v>2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10</v>
      </c>
      <c r="P34" s="15">
        <f t="shared" si="1"/>
        <v>13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3</v>
      </c>
      <c r="F35" s="50">
        <v>1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</v>
      </c>
      <c r="N35" s="50">
        <v>0</v>
      </c>
      <c r="O35" s="15">
        <f t="shared" si="0"/>
        <v>5</v>
      </c>
      <c r="P35" s="15">
        <f t="shared" si="1"/>
        <v>6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3</v>
      </c>
      <c r="F36" s="50">
        <v>2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0</v>
      </c>
      <c r="N36" s="50">
        <v>0</v>
      </c>
      <c r="O36" s="15">
        <f t="shared" si="0"/>
        <v>7</v>
      </c>
      <c r="P36" s="15">
        <f t="shared" si="1"/>
        <v>7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</v>
      </c>
      <c r="N37" s="50">
        <v>0</v>
      </c>
      <c r="O37" s="15">
        <f t="shared" si="0"/>
        <v>0</v>
      </c>
      <c r="P37" s="15">
        <f t="shared" si="1"/>
        <v>1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2</v>
      </c>
      <c r="F38" s="50">
        <v>4</v>
      </c>
      <c r="G38" s="50">
        <v>0</v>
      </c>
      <c r="H38" s="50">
        <v>1</v>
      </c>
      <c r="I38" s="50">
        <v>0</v>
      </c>
      <c r="J38" s="50">
        <v>0</v>
      </c>
      <c r="K38" s="50">
        <v>0</v>
      </c>
      <c r="L38" s="50">
        <v>1</v>
      </c>
      <c r="M38" s="50">
        <v>4</v>
      </c>
      <c r="N38" s="50">
        <v>0</v>
      </c>
      <c r="O38" s="15">
        <f t="shared" si="0"/>
        <v>11</v>
      </c>
      <c r="P38" s="15">
        <f t="shared" si="1"/>
        <v>15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2</v>
      </c>
      <c r="F39" s="50">
        <v>2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2</v>
      </c>
      <c r="N39" s="50">
        <v>0</v>
      </c>
      <c r="O39" s="15">
        <f t="shared" si="0"/>
        <v>5</v>
      </c>
      <c r="P39" s="15">
        <f t="shared" si="1"/>
        <v>7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2</v>
      </c>
      <c r="F40" s="50">
        <v>2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1</v>
      </c>
      <c r="N40" s="50">
        <v>0</v>
      </c>
      <c r="O40" s="15">
        <f t="shared" si="0"/>
        <v>9</v>
      </c>
      <c r="P40" s="15">
        <f t="shared" si="1"/>
        <v>10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0</v>
      </c>
      <c r="F41" s="50">
        <v>2</v>
      </c>
      <c r="G41" s="50">
        <v>0</v>
      </c>
      <c r="H41" s="50">
        <v>2</v>
      </c>
      <c r="I41" s="50">
        <v>1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6</v>
      </c>
      <c r="P41" s="15">
        <f t="shared" si="1"/>
        <v>6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3</v>
      </c>
      <c r="F42" s="50">
        <v>2</v>
      </c>
      <c r="G42" s="50">
        <v>0</v>
      </c>
      <c r="H42" s="50">
        <v>1</v>
      </c>
      <c r="I42" s="50">
        <v>2</v>
      </c>
      <c r="J42" s="50">
        <v>0</v>
      </c>
      <c r="K42" s="50">
        <v>0</v>
      </c>
      <c r="L42" s="50">
        <v>1</v>
      </c>
      <c r="M42" s="50">
        <v>3</v>
      </c>
      <c r="N42" s="50">
        <v>0</v>
      </c>
      <c r="O42" s="15">
        <f t="shared" si="0"/>
        <v>10</v>
      </c>
      <c r="P42" s="15">
        <f t="shared" si="1"/>
        <v>13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3</v>
      </c>
      <c r="F43" s="50">
        <v>0</v>
      </c>
      <c r="G43" s="50">
        <v>0</v>
      </c>
      <c r="H43" s="50">
        <v>1</v>
      </c>
      <c r="I43" s="50">
        <v>0</v>
      </c>
      <c r="J43" s="50">
        <v>0</v>
      </c>
      <c r="K43" s="50">
        <v>0</v>
      </c>
      <c r="L43" s="50">
        <v>1</v>
      </c>
      <c r="M43" s="50">
        <v>1</v>
      </c>
      <c r="N43" s="50">
        <v>0</v>
      </c>
      <c r="O43" s="15">
        <f t="shared" si="0"/>
        <v>6</v>
      </c>
      <c r="P43" s="15">
        <f t="shared" si="1"/>
        <v>7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2</v>
      </c>
      <c r="F44" s="50">
        <v>4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1</v>
      </c>
      <c r="M44" s="50">
        <v>1</v>
      </c>
      <c r="N44" s="50">
        <v>0</v>
      </c>
      <c r="O44" s="15">
        <f t="shared" si="0"/>
        <v>8</v>
      </c>
      <c r="P44" s="15">
        <f t="shared" si="1"/>
        <v>9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0</v>
      </c>
      <c r="J45" s="50">
        <v>1</v>
      </c>
      <c r="K45" s="50">
        <v>0</v>
      </c>
      <c r="L45" s="50">
        <v>1</v>
      </c>
      <c r="M45" s="50">
        <v>0</v>
      </c>
      <c r="N45" s="50">
        <v>0</v>
      </c>
      <c r="O45" s="15">
        <f t="shared" si="0"/>
        <v>4</v>
      </c>
      <c r="P45" s="15">
        <f t="shared" si="1"/>
        <v>4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1</v>
      </c>
      <c r="F46" s="50">
        <v>3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6</v>
      </c>
      <c r="P46" s="15">
        <f t="shared" si="1"/>
        <v>6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0</v>
      </c>
      <c r="E47" s="50">
        <v>2</v>
      </c>
      <c r="F47" s="50">
        <v>2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2</v>
      </c>
      <c r="M47" s="50">
        <v>2</v>
      </c>
      <c r="N47" s="50">
        <v>0</v>
      </c>
      <c r="O47" s="15">
        <f t="shared" si="0"/>
        <v>12</v>
      </c>
      <c r="P47" s="15">
        <f t="shared" si="1"/>
        <v>14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3</v>
      </c>
      <c r="F48" s="50">
        <v>3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3</v>
      </c>
      <c r="N48" s="50">
        <v>0</v>
      </c>
      <c r="O48" s="15">
        <f t="shared" si="0"/>
        <v>7</v>
      </c>
      <c r="P48" s="15">
        <f t="shared" si="1"/>
        <v>10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5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3</v>
      </c>
      <c r="M49" s="50">
        <v>0</v>
      </c>
      <c r="N49" s="50">
        <v>0</v>
      </c>
      <c r="O49" s="15">
        <f t="shared" si="0"/>
        <v>11</v>
      </c>
      <c r="P49" s="15">
        <f t="shared" si="1"/>
        <v>11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4</v>
      </c>
      <c r="F50" s="50">
        <v>1</v>
      </c>
      <c r="G50" s="50">
        <v>0</v>
      </c>
      <c r="H50" s="50">
        <v>2</v>
      </c>
      <c r="I50" s="50">
        <v>1</v>
      </c>
      <c r="J50" s="50">
        <v>0</v>
      </c>
      <c r="K50" s="50">
        <v>0</v>
      </c>
      <c r="L50" s="50">
        <v>3</v>
      </c>
      <c r="M50" s="50">
        <v>5</v>
      </c>
      <c r="N50" s="50">
        <v>0</v>
      </c>
      <c r="O50" s="15">
        <f t="shared" si="0"/>
        <v>12</v>
      </c>
      <c r="P50" s="15">
        <f t="shared" si="1"/>
        <v>17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7</v>
      </c>
      <c r="F51" s="50">
        <v>6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2</v>
      </c>
      <c r="M51" s="50">
        <v>1</v>
      </c>
      <c r="N51" s="50">
        <v>0</v>
      </c>
      <c r="O51" s="15">
        <f t="shared" si="0"/>
        <v>17</v>
      </c>
      <c r="P51" s="15">
        <f t="shared" si="1"/>
        <v>18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7</v>
      </c>
      <c r="F52" s="50">
        <v>4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3</v>
      </c>
      <c r="M52" s="50">
        <v>2</v>
      </c>
      <c r="N52" s="50">
        <v>0</v>
      </c>
      <c r="O52" s="15">
        <f t="shared" si="0"/>
        <v>19</v>
      </c>
      <c r="P52" s="15">
        <f t="shared" si="1"/>
        <v>21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5</v>
      </c>
      <c r="F53" s="50">
        <v>1</v>
      </c>
      <c r="G53" s="50">
        <v>0</v>
      </c>
      <c r="H53" s="50">
        <v>1</v>
      </c>
      <c r="I53" s="50">
        <v>1</v>
      </c>
      <c r="J53" s="50">
        <v>4</v>
      </c>
      <c r="K53" s="50">
        <v>0</v>
      </c>
      <c r="L53" s="50">
        <v>0</v>
      </c>
      <c r="M53" s="50">
        <v>4</v>
      </c>
      <c r="N53" s="50">
        <v>0</v>
      </c>
      <c r="O53" s="15">
        <f t="shared" si="0"/>
        <v>14</v>
      </c>
      <c r="P53" s="15">
        <f t="shared" si="1"/>
        <v>18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1</v>
      </c>
      <c r="F54" s="50">
        <v>2</v>
      </c>
      <c r="G54" s="50">
        <v>2</v>
      </c>
      <c r="H54" s="50">
        <v>1</v>
      </c>
      <c r="I54" s="50">
        <v>0</v>
      </c>
      <c r="J54" s="50">
        <v>3</v>
      </c>
      <c r="K54" s="50">
        <v>0</v>
      </c>
      <c r="L54" s="50">
        <v>0</v>
      </c>
      <c r="M54" s="50">
        <v>0</v>
      </c>
      <c r="N54" s="50">
        <v>0</v>
      </c>
      <c r="O54" s="15">
        <f t="shared" si="0"/>
        <v>11</v>
      </c>
      <c r="P54" s="15">
        <f t="shared" si="1"/>
        <v>11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3</v>
      </c>
      <c r="F55" s="50">
        <v>4</v>
      </c>
      <c r="G55" s="50">
        <v>2</v>
      </c>
      <c r="H55" s="50">
        <v>1</v>
      </c>
      <c r="I55" s="50">
        <v>3</v>
      </c>
      <c r="J55" s="50">
        <v>1</v>
      </c>
      <c r="K55" s="50">
        <v>0</v>
      </c>
      <c r="L55" s="50">
        <v>1</v>
      </c>
      <c r="M55" s="50">
        <v>3</v>
      </c>
      <c r="N55" s="50">
        <v>0</v>
      </c>
      <c r="O55" s="15">
        <f t="shared" si="0"/>
        <v>17</v>
      </c>
      <c r="P55" s="15">
        <f t="shared" si="1"/>
        <v>20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9</v>
      </c>
      <c r="F56" s="50">
        <v>3</v>
      </c>
      <c r="G56" s="50">
        <v>0</v>
      </c>
      <c r="H56" s="50">
        <v>0</v>
      </c>
      <c r="I56" s="50">
        <v>2</v>
      </c>
      <c r="J56" s="50">
        <v>2</v>
      </c>
      <c r="K56" s="50">
        <v>0</v>
      </c>
      <c r="L56" s="50">
        <v>0</v>
      </c>
      <c r="M56" s="50">
        <v>1</v>
      </c>
      <c r="N56" s="50">
        <v>0</v>
      </c>
      <c r="O56" s="15">
        <f t="shared" si="0"/>
        <v>18</v>
      </c>
      <c r="P56" s="15">
        <f t="shared" si="1"/>
        <v>19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4</v>
      </c>
      <c r="F57" s="50">
        <v>0</v>
      </c>
      <c r="G57" s="50">
        <v>0</v>
      </c>
      <c r="H57" s="50">
        <v>1</v>
      </c>
      <c r="I57" s="50">
        <v>3</v>
      </c>
      <c r="J57" s="50">
        <v>2</v>
      </c>
      <c r="K57" s="50">
        <v>0</v>
      </c>
      <c r="L57" s="50">
        <v>0</v>
      </c>
      <c r="M57" s="50">
        <v>2</v>
      </c>
      <c r="N57" s="50">
        <v>0</v>
      </c>
      <c r="O57" s="15">
        <f t="shared" si="0"/>
        <v>11</v>
      </c>
      <c r="P57" s="15">
        <f t="shared" si="1"/>
        <v>13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55</v>
      </c>
      <c r="D58" s="16">
        <f t="shared" si="21"/>
        <v>0</v>
      </c>
      <c r="E58" s="16">
        <f t="shared" si="21"/>
        <v>123</v>
      </c>
      <c r="F58" s="16">
        <f t="shared" si="21"/>
        <v>93</v>
      </c>
      <c r="G58" s="16">
        <f t="shared" si="21"/>
        <v>5</v>
      </c>
      <c r="H58" s="16">
        <f t="shared" si="21"/>
        <v>20</v>
      </c>
      <c r="I58" s="16">
        <f t="shared" si="21"/>
        <v>40</v>
      </c>
      <c r="J58" s="16">
        <f t="shared" si="21"/>
        <v>14</v>
      </c>
      <c r="K58" s="16">
        <f t="shared" si="21"/>
        <v>0</v>
      </c>
      <c r="L58" s="16">
        <f t="shared" si="21"/>
        <v>32</v>
      </c>
      <c r="M58" s="16">
        <f t="shared" si="21"/>
        <v>79</v>
      </c>
      <c r="N58" s="16">
        <f t="shared" si="21"/>
        <v>0</v>
      </c>
      <c r="O58" s="16">
        <f t="shared" si="21"/>
        <v>382</v>
      </c>
      <c r="P58" s="16">
        <f t="shared" si="21"/>
        <v>461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0.1193058568329718</v>
      </c>
      <c r="D59" s="43">
        <f t="shared" si="22"/>
        <v>0</v>
      </c>
      <c r="E59" s="43">
        <f t="shared" si="22"/>
        <v>0.26681127982646419</v>
      </c>
      <c r="F59" s="43">
        <f t="shared" si="22"/>
        <v>0.2017353579175705</v>
      </c>
      <c r="G59" s="43">
        <f t="shared" si="22"/>
        <v>1.0845986984815618E-2</v>
      </c>
      <c r="H59" s="43">
        <f t="shared" si="22"/>
        <v>4.3383947939262472E-2</v>
      </c>
      <c r="I59" s="43">
        <f t="shared" si="22"/>
        <v>8.6767895878524945E-2</v>
      </c>
      <c r="J59" s="43">
        <f t="shared" si="22"/>
        <v>3.0368763557483729E-2</v>
      </c>
      <c r="K59" s="43">
        <f t="shared" si="22"/>
        <v>0</v>
      </c>
      <c r="L59" s="43">
        <f t="shared" si="22"/>
        <v>6.9414316702819959E-2</v>
      </c>
      <c r="M59" s="43">
        <f t="shared" si="22"/>
        <v>0.17136659436008678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0.14397905759162305</v>
      </c>
      <c r="D60" s="44">
        <f t="shared" ref="D60:N60" si="23">D58/$O$58</f>
        <v>0</v>
      </c>
      <c r="E60" s="44">
        <f t="shared" si="23"/>
        <v>0.3219895287958115</v>
      </c>
      <c r="F60" s="44">
        <f t="shared" si="23"/>
        <v>0.24345549738219896</v>
      </c>
      <c r="G60" s="44">
        <f t="shared" si="23"/>
        <v>1.3089005235602094E-2</v>
      </c>
      <c r="H60" s="44">
        <f t="shared" si="23"/>
        <v>5.2356020942408377E-2</v>
      </c>
      <c r="I60" s="44">
        <f t="shared" si="23"/>
        <v>0.10471204188481675</v>
      </c>
      <c r="J60" s="44">
        <f t="shared" si="23"/>
        <v>3.6649214659685861E-2</v>
      </c>
      <c r="K60" s="44">
        <f t="shared" si="23"/>
        <v>0</v>
      </c>
      <c r="L60" s="44">
        <f t="shared" si="23"/>
        <v>8.3769633507853408E-2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N10" sqref="N10: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FORTPORTAL-KYENJOJO'!C3:G3</f>
        <v>C4 - STN107-FORTPORTAL-KYENJONJO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'31.07 KYENJOJO-FORTPORTAL'!D5</f>
        <v>31.07.19</v>
      </c>
      <c r="E5" s="3"/>
      <c r="F5" s="41" t="s">
        <v>1</v>
      </c>
      <c r="G5" s="63" t="str">
        <f>'29.07 KYENJOJO-FORTPORTAL'!G5:H5</f>
        <v>xxx</v>
      </c>
      <c r="H5" s="64"/>
      <c r="I5" s="14"/>
      <c r="J5" s="2" t="s">
        <v>5</v>
      </c>
      <c r="K5" s="63" t="str">
        <f>'29.07 KYENJOJO-FORTPORTAL'!K5:L5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FORTPORTAL-KYENJOJO'!D6:E6</f>
        <v>FORTPORTAL</v>
      </c>
      <c r="E6" s="64"/>
      <c r="F6" s="2" t="s">
        <v>2</v>
      </c>
      <c r="G6" s="63" t="str">
        <f>'29.07 FORTPORTAL-KYENJOJO'!G6:H6</f>
        <v>KYENJOJO</v>
      </c>
      <c r="H6" s="64"/>
      <c r="J6" s="2" t="s">
        <v>21</v>
      </c>
      <c r="K6" s="63" t="str">
        <f>'29.07 KYENJOJO-FORTPORTAL'!K6:L6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1</v>
      </c>
      <c r="J10" s="50">
        <v>1</v>
      </c>
      <c r="K10" s="50">
        <v>0</v>
      </c>
      <c r="L10" s="50">
        <v>0</v>
      </c>
      <c r="M10" s="50">
        <v>1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4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1</v>
      </c>
      <c r="V10" s="17">
        <f t="shared" si="2"/>
        <v>6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3</v>
      </c>
      <c r="AA10" s="17">
        <f t="shared" si="2"/>
        <v>0</v>
      </c>
      <c r="AB10" s="17">
        <f t="shared" si="2"/>
        <v>5</v>
      </c>
      <c r="AC10" s="17">
        <f t="shared" si="2"/>
        <v>7</v>
      </c>
      <c r="AD10" s="17">
        <f t="shared" si="2"/>
        <v>0</v>
      </c>
      <c r="AE10" s="31">
        <f t="shared" si="2"/>
        <v>23</v>
      </c>
      <c r="AF10" s="31">
        <f t="shared" si="2"/>
        <v>30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2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4</v>
      </c>
      <c r="M11" s="50">
        <v>0</v>
      </c>
      <c r="N11" s="50">
        <v>0</v>
      </c>
      <c r="O11" s="15">
        <f t="shared" si="0"/>
        <v>8</v>
      </c>
      <c r="P11" s="15">
        <f t="shared" si="1"/>
        <v>8</v>
      </c>
      <c r="R11" s="1" t="s">
        <v>7</v>
      </c>
      <c r="S11" s="17">
        <f t="shared" ref="S11:AF11" si="3">SUM(C14:C17)</f>
        <v>5</v>
      </c>
      <c r="T11" s="17">
        <f t="shared" si="3"/>
        <v>0</v>
      </c>
      <c r="U11" s="17">
        <f t="shared" si="3"/>
        <v>12</v>
      </c>
      <c r="V11" s="17">
        <f t="shared" si="3"/>
        <v>8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1</v>
      </c>
      <c r="AA11" s="17">
        <f t="shared" si="3"/>
        <v>0</v>
      </c>
      <c r="AB11" s="17">
        <f t="shared" si="3"/>
        <v>1</v>
      </c>
      <c r="AC11" s="17">
        <f t="shared" si="3"/>
        <v>8</v>
      </c>
      <c r="AD11" s="17">
        <f t="shared" si="3"/>
        <v>0</v>
      </c>
      <c r="AE11" s="31">
        <f t="shared" si="3"/>
        <v>29</v>
      </c>
      <c r="AF11" s="31">
        <f t="shared" si="3"/>
        <v>37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3</v>
      </c>
      <c r="J12" s="50">
        <v>1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7</v>
      </c>
      <c r="P12" s="15">
        <f t="shared" si="1"/>
        <v>10</v>
      </c>
      <c r="R12" s="1" t="s">
        <v>8</v>
      </c>
      <c r="S12" s="17">
        <f t="shared" ref="S12:AF12" si="4">SUM(C18:C21)</f>
        <v>7</v>
      </c>
      <c r="T12" s="17">
        <f t="shared" si="4"/>
        <v>0</v>
      </c>
      <c r="U12" s="17">
        <f t="shared" si="4"/>
        <v>7</v>
      </c>
      <c r="V12" s="17">
        <f t="shared" si="4"/>
        <v>4</v>
      </c>
      <c r="W12" s="17">
        <f t="shared" si="4"/>
        <v>0</v>
      </c>
      <c r="X12" s="17">
        <f t="shared" si="4"/>
        <v>1</v>
      </c>
      <c r="Y12" s="17">
        <f t="shared" si="4"/>
        <v>7</v>
      </c>
      <c r="Z12" s="17">
        <f t="shared" si="4"/>
        <v>2</v>
      </c>
      <c r="AA12" s="17">
        <f t="shared" si="4"/>
        <v>0</v>
      </c>
      <c r="AB12" s="17">
        <f t="shared" si="4"/>
        <v>1</v>
      </c>
      <c r="AC12" s="17">
        <f t="shared" si="4"/>
        <v>5</v>
      </c>
      <c r="AD12" s="17">
        <f t="shared" si="4"/>
        <v>0</v>
      </c>
      <c r="AE12" s="31">
        <f t="shared" si="4"/>
        <v>29</v>
      </c>
      <c r="AF12" s="31">
        <f t="shared" si="4"/>
        <v>34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2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1</v>
      </c>
      <c r="M13" s="50">
        <v>3</v>
      </c>
      <c r="N13" s="50">
        <v>0</v>
      </c>
      <c r="O13" s="15">
        <f t="shared" si="0"/>
        <v>5</v>
      </c>
      <c r="P13" s="15">
        <f t="shared" si="1"/>
        <v>8</v>
      </c>
      <c r="R13" s="1" t="s">
        <v>9</v>
      </c>
      <c r="S13" s="17">
        <f t="shared" ref="S13:AF13" si="5">SUM(C22:C25)</f>
        <v>8</v>
      </c>
      <c r="T13" s="17">
        <f t="shared" si="5"/>
        <v>0</v>
      </c>
      <c r="U13" s="17">
        <f t="shared" si="5"/>
        <v>15</v>
      </c>
      <c r="V13" s="17">
        <f t="shared" si="5"/>
        <v>9</v>
      </c>
      <c r="W13" s="17">
        <f t="shared" si="5"/>
        <v>0</v>
      </c>
      <c r="X13" s="17">
        <f t="shared" si="5"/>
        <v>1</v>
      </c>
      <c r="Y13" s="17">
        <f t="shared" si="5"/>
        <v>4</v>
      </c>
      <c r="Z13" s="17">
        <f t="shared" si="5"/>
        <v>2</v>
      </c>
      <c r="AA13" s="17">
        <f t="shared" si="5"/>
        <v>0</v>
      </c>
      <c r="AB13" s="17">
        <f t="shared" si="5"/>
        <v>3</v>
      </c>
      <c r="AC13" s="17">
        <f t="shared" si="5"/>
        <v>8</v>
      </c>
      <c r="AD13" s="17">
        <f t="shared" si="5"/>
        <v>0</v>
      </c>
      <c r="AE13" s="31">
        <f t="shared" si="5"/>
        <v>42</v>
      </c>
      <c r="AF13" s="31">
        <f t="shared" si="5"/>
        <v>50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1</v>
      </c>
      <c r="F14" s="50">
        <v>2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0</v>
      </c>
      <c r="N14" s="50">
        <v>0</v>
      </c>
      <c r="O14" s="15">
        <f t="shared" si="0"/>
        <v>6</v>
      </c>
      <c r="P14" s="15">
        <f t="shared" si="1"/>
        <v>6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11</v>
      </c>
      <c r="V14" s="17">
        <f t="shared" si="6"/>
        <v>6</v>
      </c>
      <c r="W14" s="17">
        <f t="shared" si="6"/>
        <v>0</v>
      </c>
      <c r="X14" s="17">
        <f t="shared" si="6"/>
        <v>1</v>
      </c>
      <c r="Y14" s="17">
        <f t="shared" si="6"/>
        <v>6</v>
      </c>
      <c r="Z14" s="17">
        <f t="shared" si="6"/>
        <v>0</v>
      </c>
      <c r="AA14" s="17">
        <f t="shared" si="6"/>
        <v>0</v>
      </c>
      <c r="AB14" s="17">
        <f t="shared" si="6"/>
        <v>5</v>
      </c>
      <c r="AC14" s="17">
        <f t="shared" si="6"/>
        <v>14</v>
      </c>
      <c r="AD14" s="17">
        <f t="shared" si="6"/>
        <v>0</v>
      </c>
      <c r="AE14" s="31">
        <f t="shared" si="6"/>
        <v>32</v>
      </c>
      <c r="AF14" s="31">
        <f t="shared" si="6"/>
        <v>46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3</v>
      </c>
      <c r="F15" s="50">
        <v>2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8</v>
      </c>
      <c r="P15" s="15">
        <f t="shared" si="1"/>
        <v>11</v>
      </c>
      <c r="R15" s="1" t="s">
        <v>11</v>
      </c>
      <c r="S15" s="17">
        <f t="shared" ref="S15:AF15" si="7">SUM(C30:C33)</f>
        <v>2</v>
      </c>
      <c r="T15" s="17">
        <f t="shared" si="7"/>
        <v>0</v>
      </c>
      <c r="U15" s="17">
        <f t="shared" si="7"/>
        <v>10</v>
      </c>
      <c r="V15" s="17">
        <f t="shared" si="7"/>
        <v>8</v>
      </c>
      <c r="W15" s="17">
        <f t="shared" si="7"/>
        <v>0</v>
      </c>
      <c r="X15" s="17">
        <f t="shared" si="7"/>
        <v>1</v>
      </c>
      <c r="Y15" s="17">
        <f t="shared" si="7"/>
        <v>6</v>
      </c>
      <c r="Z15" s="17">
        <f t="shared" si="7"/>
        <v>0</v>
      </c>
      <c r="AA15" s="17">
        <f t="shared" si="7"/>
        <v>0</v>
      </c>
      <c r="AB15" s="17">
        <f t="shared" si="7"/>
        <v>2</v>
      </c>
      <c r="AC15" s="17">
        <f t="shared" si="7"/>
        <v>10</v>
      </c>
      <c r="AD15" s="17">
        <f t="shared" si="7"/>
        <v>0</v>
      </c>
      <c r="AE15" s="31">
        <f t="shared" si="7"/>
        <v>29</v>
      </c>
      <c r="AF15" s="31">
        <f t="shared" si="7"/>
        <v>39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5</v>
      </c>
      <c r="F16" s="50">
        <v>4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3</v>
      </c>
      <c r="N16" s="50">
        <v>0</v>
      </c>
      <c r="O16" s="15">
        <f t="shared" si="0"/>
        <v>12</v>
      </c>
      <c r="P16" s="15">
        <f t="shared" si="1"/>
        <v>15</v>
      </c>
      <c r="R16" s="1" t="s">
        <v>12</v>
      </c>
      <c r="S16" s="17">
        <f t="shared" ref="S16:AF16" si="8">SUM(C34:C37)</f>
        <v>5</v>
      </c>
      <c r="T16" s="17">
        <f t="shared" si="8"/>
        <v>0</v>
      </c>
      <c r="U16" s="17">
        <f t="shared" si="8"/>
        <v>7</v>
      </c>
      <c r="V16" s="17">
        <f t="shared" si="8"/>
        <v>10</v>
      </c>
      <c r="W16" s="17">
        <f t="shared" si="8"/>
        <v>0</v>
      </c>
      <c r="X16" s="17">
        <f t="shared" si="8"/>
        <v>2</v>
      </c>
      <c r="Y16" s="17">
        <f t="shared" si="8"/>
        <v>4</v>
      </c>
      <c r="Z16" s="17">
        <f t="shared" si="8"/>
        <v>0</v>
      </c>
      <c r="AA16" s="17">
        <f t="shared" si="8"/>
        <v>0</v>
      </c>
      <c r="AB16" s="17">
        <f t="shared" si="8"/>
        <v>1</v>
      </c>
      <c r="AC16" s="17">
        <f t="shared" si="8"/>
        <v>7</v>
      </c>
      <c r="AD16" s="17">
        <f t="shared" si="8"/>
        <v>0</v>
      </c>
      <c r="AE16" s="31">
        <f t="shared" si="8"/>
        <v>29</v>
      </c>
      <c r="AF16" s="31">
        <f t="shared" si="8"/>
        <v>36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3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</v>
      </c>
      <c r="N17" s="50">
        <v>0</v>
      </c>
      <c r="O17" s="15">
        <f t="shared" si="0"/>
        <v>3</v>
      </c>
      <c r="P17" s="15">
        <f t="shared" si="1"/>
        <v>5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12</v>
      </c>
      <c r="V17" s="17">
        <f t="shared" si="9"/>
        <v>7</v>
      </c>
      <c r="W17" s="17">
        <f t="shared" si="9"/>
        <v>0</v>
      </c>
      <c r="X17" s="17">
        <f t="shared" si="9"/>
        <v>5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4</v>
      </c>
      <c r="AC17" s="17">
        <f t="shared" si="9"/>
        <v>14</v>
      </c>
      <c r="AD17" s="17">
        <f t="shared" si="9"/>
        <v>0</v>
      </c>
      <c r="AE17" s="31">
        <f t="shared" si="9"/>
        <v>34</v>
      </c>
      <c r="AF17" s="31">
        <f t="shared" si="9"/>
        <v>48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0</v>
      </c>
      <c r="F18" s="50">
        <v>0</v>
      </c>
      <c r="G18" s="50">
        <v>0</v>
      </c>
      <c r="H18" s="50">
        <v>1</v>
      </c>
      <c r="I18" s="50">
        <v>1</v>
      </c>
      <c r="J18" s="50">
        <v>0</v>
      </c>
      <c r="K18" s="50">
        <v>0</v>
      </c>
      <c r="L18" s="50">
        <v>0</v>
      </c>
      <c r="M18" s="50">
        <v>3</v>
      </c>
      <c r="N18" s="50">
        <v>0</v>
      </c>
      <c r="O18" s="15">
        <f t="shared" si="0"/>
        <v>4</v>
      </c>
      <c r="P18" s="15">
        <f t="shared" si="1"/>
        <v>7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14</v>
      </c>
      <c r="V18" s="17">
        <f t="shared" si="10"/>
        <v>10</v>
      </c>
      <c r="W18" s="17">
        <f t="shared" si="10"/>
        <v>0</v>
      </c>
      <c r="X18" s="17">
        <f t="shared" si="10"/>
        <v>2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9</v>
      </c>
      <c r="AD18" s="17">
        <f t="shared" si="10"/>
        <v>0</v>
      </c>
      <c r="AE18" s="31">
        <f t="shared" si="10"/>
        <v>30</v>
      </c>
      <c r="AF18" s="31">
        <f t="shared" si="10"/>
        <v>39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1</v>
      </c>
      <c r="F19" s="50">
        <v>2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1</v>
      </c>
      <c r="M19" s="50">
        <v>1</v>
      </c>
      <c r="N19" s="50">
        <v>0</v>
      </c>
      <c r="O19" s="15">
        <f t="shared" si="0"/>
        <v>7</v>
      </c>
      <c r="P19" s="15">
        <f t="shared" si="1"/>
        <v>8</v>
      </c>
      <c r="R19" s="1" t="s">
        <v>15</v>
      </c>
      <c r="S19" s="17">
        <f t="shared" ref="S19:AF19" si="11">SUM(C46:C49)</f>
        <v>4</v>
      </c>
      <c r="T19" s="17">
        <f t="shared" si="11"/>
        <v>0</v>
      </c>
      <c r="U19" s="17">
        <f t="shared" si="11"/>
        <v>12</v>
      </c>
      <c r="V19" s="17">
        <f t="shared" si="11"/>
        <v>8</v>
      </c>
      <c r="W19" s="17">
        <f t="shared" si="11"/>
        <v>1</v>
      </c>
      <c r="X19" s="17">
        <f t="shared" si="11"/>
        <v>2</v>
      </c>
      <c r="Y19" s="17">
        <f t="shared" si="11"/>
        <v>4</v>
      </c>
      <c r="Z19" s="17">
        <f t="shared" si="11"/>
        <v>0</v>
      </c>
      <c r="AA19" s="17">
        <f t="shared" si="11"/>
        <v>1</v>
      </c>
      <c r="AB19" s="17">
        <f t="shared" si="11"/>
        <v>4</v>
      </c>
      <c r="AC19" s="17">
        <f t="shared" si="11"/>
        <v>14</v>
      </c>
      <c r="AD19" s="17">
        <f t="shared" si="11"/>
        <v>1</v>
      </c>
      <c r="AE19" s="31">
        <f t="shared" si="11"/>
        <v>37</v>
      </c>
      <c r="AF19" s="31">
        <f t="shared" si="11"/>
        <v>51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3</v>
      </c>
      <c r="J20" s="50">
        <v>1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6</v>
      </c>
      <c r="P20" s="15">
        <f t="shared" si="1"/>
        <v>6</v>
      </c>
      <c r="R20" s="1" t="s">
        <v>16</v>
      </c>
      <c r="S20" s="17">
        <f t="shared" ref="S20:AF20" si="12">SUM(C50:C53)</f>
        <v>9</v>
      </c>
      <c r="T20" s="17">
        <f t="shared" si="12"/>
        <v>0</v>
      </c>
      <c r="U20" s="17">
        <f t="shared" si="12"/>
        <v>11</v>
      </c>
      <c r="V20" s="17">
        <f t="shared" si="12"/>
        <v>7</v>
      </c>
      <c r="W20" s="17">
        <f t="shared" si="12"/>
        <v>1</v>
      </c>
      <c r="X20" s="17">
        <f t="shared" si="12"/>
        <v>0</v>
      </c>
      <c r="Y20" s="17">
        <f t="shared" si="12"/>
        <v>5</v>
      </c>
      <c r="Z20" s="17">
        <f t="shared" si="12"/>
        <v>0</v>
      </c>
      <c r="AA20" s="17">
        <f t="shared" si="12"/>
        <v>0</v>
      </c>
      <c r="AB20" s="17">
        <f t="shared" si="12"/>
        <v>3</v>
      </c>
      <c r="AC20" s="17">
        <f t="shared" si="12"/>
        <v>9</v>
      </c>
      <c r="AD20" s="17">
        <f t="shared" si="12"/>
        <v>0</v>
      </c>
      <c r="AE20" s="31">
        <f t="shared" si="12"/>
        <v>36</v>
      </c>
      <c r="AF20" s="31">
        <f t="shared" si="12"/>
        <v>45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6</v>
      </c>
      <c r="F21" s="50">
        <v>1</v>
      </c>
      <c r="G21" s="50">
        <v>0</v>
      </c>
      <c r="H21" s="50">
        <v>0</v>
      </c>
      <c r="I21" s="50">
        <v>2</v>
      </c>
      <c r="J21" s="50">
        <v>1</v>
      </c>
      <c r="K21" s="50">
        <v>0</v>
      </c>
      <c r="L21" s="50">
        <v>0</v>
      </c>
      <c r="M21" s="50">
        <v>1</v>
      </c>
      <c r="N21" s="50">
        <v>0</v>
      </c>
      <c r="O21" s="15">
        <f t="shared" si="0"/>
        <v>12</v>
      </c>
      <c r="P21" s="15">
        <f t="shared" si="1"/>
        <v>13</v>
      </c>
      <c r="R21" s="36" t="s">
        <v>20</v>
      </c>
      <c r="S21" s="34">
        <f t="shared" ref="S21:AF21" si="13">SUM(C54:C57)</f>
        <v>5</v>
      </c>
      <c r="T21" s="17">
        <f t="shared" si="13"/>
        <v>0</v>
      </c>
      <c r="U21" s="17">
        <f t="shared" si="13"/>
        <v>8</v>
      </c>
      <c r="V21" s="17">
        <f t="shared" si="13"/>
        <v>9</v>
      </c>
      <c r="W21" s="17">
        <f t="shared" si="13"/>
        <v>0</v>
      </c>
      <c r="X21" s="17">
        <f t="shared" si="13"/>
        <v>2</v>
      </c>
      <c r="Y21" s="17">
        <f t="shared" si="13"/>
        <v>2</v>
      </c>
      <c r="Z21" s="17">
        <f t="shared" si="13"/>
        <v>1</v>
      </c>
      <c r="AA21" s="17">
        <f t="shared" si="13"/>
        <v>0</v>
      </c>
      <c r="AB21" s="17">
        <f t="shared" si="13"/>
        <v>3</v>
      </c>
      <c r="AC21" s="17">
        <f t="shared" si="13"/>
        <v>8</v>
      </c>
      <c r="AD21" s="17">
        <f t="shared" si="13"/>
        <v>0</v>
      </c>
      <c r="AE21" s="31">
        <f t="shared" si="13"/>
        <v>30</v>
      </c>
      <c r="AF21" s="31">
        <f t="shared" si="13"/>
        <v>38</v>
      </c>
    </row>
    <row r="22" spans="2:32" ht="23.1" customHeight="1" x14ac:dyDescent="0.25">
      <c r="B22" s="23" t="s">
        <v>49</v>
      </c>
      <c r="C22" s="50">
        <v>6</v>
      </c>
      <c r="D22" s="50">
        <v>0</v>
      </c>
      <c r="E22" s="50">
        <v>4</v>
      </c>
      <c r="F22" s="50">
        <v>2</v>
      </c>
      <c r="G22" s="50">
        <v>0</v>
      </c>
      <c r="H22" s="50">
        <v>0</v>
      </c>
      <c r="I22" s="50">
        <v>1</v>
      </c>
      <c r="J22" s="50">
        <v>2</v>
      </c>
      <c r="K22" s="50">
        <v>0</v>
      </c>
      <c r="L22" s="50">
        <v>1</v>
      </c>
      <c r="M22" s="50">
        <v>2</v>
      </c>
      <c r="N22" s="50">
        <v>0</v>
      </c>
      <c r="O22" s="15">
        <f t="shared" si="0"/>
        <v>16</v>
      </c>
      <c r="P22" s="15">
        <f t="shared" si="1"/>
        <v>18</v>
      </c>
      <c r="R22" s="38" t="s">
        <v>90</v>
      </c>
      <c r="S22" s="39">
        <f>MAX(S10:S12)</f>
        <v>7</v>
      </c>
      <c r="T22" s="39">
        <f t="shared" ref="T22:AF22" si="14">MAX(T10:T12)</f>
        <v>0</v>
      </c>
      <c r="U22" s="39">
        <f t="shared" si="14"/>
        <v>12</v>
      </c>
      <c r="V22" s="39">
        <f t="shared" si="14"/>
        <v>8</v>
      </c>
      <c r="W22" s="39">
        <f t="shared" si="14"/>
        <v>0</v>
      </c>
      <c r="X22" s="39">
        <f t="shared" si="14"/>
        <v>1</v>
      </c>
      <c r="Y22" s="39">
        <f t="shared" si="14"/>
        <v>7</v>
      </c>
      <c r="Z22" s="39">
        <f t="shared" si="14"/>
        <v>3</v>
      </c>
      <c r="AA22" s="39">
        <f t="shared" si="14"/>
        <v>0</v>
      </c>
      <c r="AB22" s="39">
        <f t="shared" si="14"/>
        <v>5</v>
      </c>
      <c r="AC22" s="39">
        <f t="shared" si="14"/>
        <v>8</v>
      </c>
      <c r="AD22" s="39">
        <f t="shared" si="14"/>
        <v>0</v>
      </c>
      <c r="AE22" s="40">
        <f t="shared" si="14"/>
        <v>29</v>
      </c>
      <c r="AF22" s="40">
        <f t="shared" si="14"/>
        <v>37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4</v>
      </c>
      <c r="F23" s="50">
        <v>2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1</v>
      </c>
      <c r="M23" s="50">
        <v>1</v>
      </c>
      <c r="N23" s="50">
        <v>0</v>
      </c>
      <c r="O23" s="15">
        <f t="shared" si="0"/>
        <v>9</v>
      </c>
      <c r="P23" s="15">
        <f t="shared" si="1"/>
        <v>10</v>
      </c>
      <c r="R23" s="38" t="s">
        <v>91</v>
      </c>
      <c r="S23" s="39">
        <f>MAX(S13:S18)</f>
        <v>8</v>
      </c>
      <c r="T23" s="39">
        <f t="shared" ref="T23:AF23" si="15">MAX(T13:T18)</f>
        <v>0</v>
      </c>
      <c r="U23" s="39">
        <f t="shared" si="15"/>
        <v>15</v>
      </c>
      <c r="V23" s="39">
        <f t="shared" si="15"/>
        <v>10</v>
      </c>
      <c r="W23" s="39">
        <f t="shared" si="15"/>
        <v>0</v>
      </c>
      <c r="X23" s="39">
        <f t="shared" si="15"/>
        <v>5</v>
      </c>
      <c r="Y23" s="39">
        <f t="shared" si="15"/>
        <v>6</v>
      </c>
      <c r="Z23" s="39">
        <f t="shared" si="15"/>
        <v>2</v>
      </c>
      <c r="AA23" s="39">
        <f t="shared" si="15"/>
        <v>0</v>
      </c>
      <c r="AB23" s="39">
        <f t="shared" si="15"/>
        <v>5</v>
      </c>
      <c r="AC23" s="39">
        <f t="shared" si="15"/>
        <v>14</v>
      </c>
      <c r="AD23" s="39">
        <f t="shared" si="15"/>
        <v>0</v>
      </c>
      <c r="AE23" s="40">
        <f t="shared" si="15"/>
        <v>42</v>
      </c>
      <c r="AF23" s="40">
        <f t="shared" si="15"/>
        <v>50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5</v>
      </c>
      <c r="F24" s="50">
        <v>2</v>
      </c>
      <c r="G24" s="50">
        <v>0</v>
      </c>
      <c r="H24" s="50">
        <v>1</v>
      </c>
      <c r="I24" s="50">
        <v>0</v>
      </c>
      <c r="J24" s="50">
        <v>0</v>
      </c>
      <c r="K24" s="50">
        <v>0</v>
      </c>
      <c r="L24" s="50">
        <v>0</v>
      </c>
      <c r="M24" s="50">
        <v>2</v>
      </c>
      <c r="N24" s="50">
        <v>0</v>
      </c>
      <c r="O24" s="15">
        <f t="shared" si="0"/>
        <v>8</v>
      </c>
      <c r="P24" s="15">
        <f t="shared" si="1"/>
        <v>10</v>
      </c>
      <c r="R24" s="38" t="s">
        <v>92</v>
      </c>
      <c r="S24" s="39">
        <f>MAX(S19:S21)</f>
        <v>9</v>
      </c>
      <c r="T24" s="39">
        <f t="shared" ref="T24:AF24" si="16">MAX(T19:T21)</f>
        <v>0</v>
      </c>
      <c r="U24" s="39">
        <f t="shared" si="16"/>
        <v>12</v>
      </c>
      <c r="V24" s="39">
        <f t="shared" si="16"/>
        <v>9</v>
      </c>
      <c r="W24" s="39">
        <f t="shared" si="16"/>
        <v>1</v>
      </c>
      <c r="X24" s="39">
        <f t="shared" si="16"/>
        <v>2</v>
      </c>
      <c r="Y24" s="39">
        <f t="shared" si="16"/>
        <v>5</v>
      </c>
      <c r="Z24" s="39">
        <f t="shared" si="16"/>
        <v>1</v>
      </c>
      <c r="AA24" s="39">
        <f t="shared" si="16"/>
        <v>1</v>
      </c>
      <c r="AB24" s="39">
        <f t="shared" si="16"/>
        <v>4</v>
      </c>
      <c r="AC24" s="39">
        <f t="shared" si="16"/>
        <v>14</v>
      </c>
      <c r="AD24" s="39">
        <f t="shared" si="16"/>
        <v>1</v>
      </c>
      <c r="AE24" s="40">
        <f t="shared" si="16"/>
        <v>37</v>
      </c>
      <c r="AF24" s="40">
        <f t="shared" si="16"/>
        <v>51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2</v>
      </c>
      <c r="F25" s="50">
        <v>3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1</v>
      </c>
      <c r="M25" s="50">
        <v>3</v>
      </c>
      <c r="N25" s="50">
        <v>0</v>
      </c>
      <c r="O25" s="15">
        <f t="shared" si="0"/>
        <v>9</v>
      </c>
      <c r="P25" s="15">
        <f t="shared" si="1"/>
        <v>12</v>
      </c>
      <c r="R25" s="37" t="s">
        <v>85</v>
      </c>
      <c r="S25" s="35">
        <f t="shared" ref="S25:AF25" si="17">SUM(S10:S12)</f>
        <v>15</v>
      </c>
      <c r="T25" s="16">
        <f t="shared" si="17"/>
        <v>0</v>
      </c>
      <c r="U25" s="16">
        <f t="shared" si="17"/>
        <v>20</v>
      </c>
      <c r="V25" s="16">
        <f t="shared" si="17"/>
        <v>18</v>
      </c>
      <c r="W25" s="16">
        <f t="shared" si="17"/>
        <v>0</v>
      </c>
      <c r="X25" s="16">
        <f t="shared" si="17"/>
        <v>1</v>
      </c>
      <c r="Y25" s="16">
        <f t="shared" si="17"/>
        <v>14</v>
      </c>
      <c r="Z25" s="16">
        <f t="shared" si="17"/>
        <v>6</v>
      </c>
      <c r="AA25" s="16">
        <f t="shared" si="17"/>
        <v>0</v>
      </c>
      <c r="AB25" s="16">
        <f t="shared" si="17"/>
        <v>7</v>
      </c>
      <c r="AC25" s="16">
        <f t="shared" si="17"/>
        <v>20</v>
      </c>
      <c r="AD25" s="16">
        <f t="shared" si="17"/>
        <v>0</v>
      </c>
      <c r="AE25" s="32">
        <f t="shared" si="17"/>
        <v>81</v>
      </c>
      <c r="AF25" s="32">
        <f t="shared" si="17"/>
        <v>101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7</v>
      </c>
      <c r="F26" s="50">
        <v>1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1</v>
      </c>
      <c r="N26" s="50">
        <v>0</v>
      </c>
      <c r="O26" s="15">
        <f t="shared" si="0"/>
        <v>12</v>
      </c>
      <c r="P26" s="15">
        <f t="shared" si="1"/>
        <v>13</v>
      </c>
      <c r="R26" s="28" t="s">
        <v>86</v>
      </c>
      <c r="S26" s="16">
        <f t="shared" ref="S26:AF26" si="18">SUM(S13:S18)</f>
        <v>25</v>
      </c>
      <c r="T26" s="16">
        <f t="shared" si="18"/>
        <v>0</v>
      </c>
      <c r="U26" s="16">
        <f t="shared" si="18"/>
        <v>69</v>
      </c>
      <c r="V26" s="16">
        <f t="shared" si="18"/>
        <v>50</v>
      </c>
      <c r="W26" s="16">
        <f t="shared" si="18"/>
        <v>0</v>
      </c>
      <c r="X26" s="16">
        <f t="shared" si="18"/>
        <v>12</v>
      </c>
      <c r="Y26" s="16">
        <f t="shared" si="18"/>
        <v>23</v>
      </c>
      <c r="Z26" s="16">
        <f t="shared" si="18"/>
        <v>2</v>
      </c>
      <c r="AA26" s="16">
        <f t="shared" si="18"/>
        <v>0</v>
      </c>
      <c r="AB26" s="16">
        <f t="shared" si="18"/>
        <v>15</v>
      </c>
      <c r="AC26" s="16">
        <f t="shared" si="18"/>
        <v>62</v>
      </c>
      <c r="AD26" s="16">
        <f t="shared" si="18"/>
        <v>0</v>
      </c>
      <c r="AE26" s="32">
        <f t="shared" si="18"/>
        <v>196</v>
      </c>
      <c r="AF26" s="32">
        <f t="shared" si="18"/>
        <v>258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3</v>
      </c>
      <c r="F27" s="50">
        <v>4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1</v>
      </c>
      <c r="M27" s="50">
        <v>6</v>
      </c>
      <c r="N27" s="50">
        <v>0</v>
      </c>
      <c r="O27" s="15">
        <f t="shared" si="0"/>
        <v>10</v>
      </c>
      <c r="P27" s="15">
        <f t="shared" si="1"/>
        <v>16</v>
      </c>
      <c r="R27" s="29" t="s">
        <v>87</v>
      </c>
      <c r="S27" s="16">
        <f t="shared" ref="S27:AF27" si="19">SUM(S19:S21)</f>
        <v>18</v>
      </c>
      <c r="T27" s="16">
        <f t="shared" si="19"/>
        <v>0</v>
      </c>
      <c r="U27" s="16">
        <f t="shared" si="19"/>
        <v>31</v>
      </c>
      <c r="V27" s="16">
        <f t="shared" si="19"/>
        <v>24</v>
      </c>
      <c r="W27" s="16">
        <f t="shared" si="19"/>
        <v>2</v>
      </c>
      <c r="X27" s="16">
        <f t="shared" si="19"/>
        <v>4</v>
      </c>
      <c r="Y27" s="16">
        <f t="shared" si="19"/>
        <v>11</v>
      </c>
      <c r="Z27" s="16">
        <f t="shared" si="19"/>
        <v>1</v>
      </c>
      <c r="AA27" s="16">
        <f t="shared" si="19"/>
        <v>1</v>
      </c>
      <c r="AB27" s="16">
        <f t="shared" si="19"/>
        <v>10</v>
      </c>
      <c r="AC27" s="16">
        <f t="shared" si="19"/>
        <v>31</v>
      </c>
      <c r="AD27" s="16">
        <f t="shared" si="19"/>
        <v>1</v>
      </c>
      <c r="AE27" s="32">
        <f t="shared" si="19"/>
        <v>103</v>
      </c>
      <c r="AF27" s="32">
        <f t="shared" si="19"/>
        <v>134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1</v>
      </c>
      <c r="I28" s="50">
        <v>2</v>
      </c>
      <c r="J28" s="50">
        <v>0</v>
      </c>
      <c r="K28" s="50">
        <v>0</v>
      </c>
      <c r="L28" s="50">
        <v>2</v>
      </c>
      <c r="M28" s="50">
        <v>5</v>
      </c>
      <c r="N28" s="50">
        <v>0</v>
      </c>
      <c r="O28" s="15">
        <f t="shared" si="0"/>
        <v>5</v>
      </c>
      <c r="P28" s="15">
        <f t="shared" si="1"/>
        <v>10</v>
      </c>
      <c r="R28" s="5" t="s">
        <v>17</v>
      </c>
      <c r="S28" s="16">
        <f t="shared" ref="S28:AF28" si="20">SUM(S10:S21)</f>
        <v>58</v>
      </c>
      <c r="T28" s="16">
        <f t="shared" si="20"/>
        <v>0</v>
      </c>
      <c r="U28" s="16">
        <f t="shared" si="20"/>
        <v>120</v>
      </c>
      <c r="V28" s="16">
        <f t="shared" si="20"/>
        <v>92</v>
      </c>
      <c r="W28" s="16">
        <f t="shared" si="20"/>
        <v>2</v>
      </c>
      <c r="X28" s="16">
        <f t="shared" si="20"/>
        <v>17</v>
      </c>
      <c r="Y28" s="16">
        <f t="shared" si="20"/>
        <v>48</v>
      </c>
      <c r="Z28" s="16">
        <f t="shared" si="20"/>
        <v>9</v>
      </c>
      <c r="AA28" s="16">
        <f t="shared" si="20"/>
        <v>1</v>
      </c>
      <c r="AB28" s="16">
        <f t="shared" si="20"/>
        <v>32</v>
      </c>
      <c r="AC28" s="16">
        <f t="shared" si="20"/>
        <v>113</v>
      </c>
      <c r="AD28" s="16">
        <f t="shared" si="20"/>
        <v>1</v>
      </c>
      <c r="AE28" s="32">
        <f t="shared" si="20"/>
        <v>380</v>
      </c>
      <c r="AF28" s="32">
        <f t="shared" si="20"/>
        <v>493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2</v>
      </c>
      <c r="M29" s="50">
        <v>2</v>
      </c>
      <c r="N29" s="50">
        <v>0</v>
      </c>
      <c r="O29" s="15">
        <f t="shared" si="0"/>
        <v>5</v>
      </c>
      <c r="P29" s="15">
        <f t="shared" si="1"/>
        <v>7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6</v>
      </c>
      <c r="F30" s="50">
        <v>2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1</v>
      </c>
      <c r="M30" s="50">
        <v>2</v>
      </c>
      <c r="N30" s="50">
        <v>0</v>
      </c>
      <c r="O30" s="15">
        <f t="shared" si="0"/>
        <v>11</v>
      </c>
      <c r="P30" s="15">
        <f t="shared" si="1"/>
        <v>13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2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4</v>
      </c>
      <c r="N31" s="50">
        <v>0</v>
      </c>
      <c r="O31" s="15">
        <f t="shared" si="0"/>
        <v>6</v>
      </c>
      <c r="P31" s="15">
        <f t="shared" si="1"/>
        <v>10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1</v>
      </c>
      <c r="F32" s="50">
        <v>2</v>
      </c>
      <c r="G32" s="50">
        <v>0</v>
      </c>
      <c r="H32" s="50">
        <v>1</v>
      </c>
      <c r="I32" s="50">
        <v>0</v>
      </c>
      <c r="J32" s="50">
        <v>0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4</v>
      </c>
      <c r="P32" s="15">
        <f t="shared" si="1"/>
        <v>4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2</v>
      </c>
      <c r="F33" s="50">
        <v>2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1</v>
      </c>
      <c r="M33" s="50">
        <v>4</v>
      </c>
      <c r="N33" s="50">
        <v>0</v>
      </c>
      <c r="O33" s="15">
        <f t="shared" si="0"/>
        <v>8</v>
      </c>
      <c r="P33" s="15">
        <f t="shared" si="1"/>
        <v>12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2</v>
      </c>
      <c r="F34" s="50">
        <v>4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2</v>
      </c>
      <c r="N34" s="50">
        <v>0</v>
      </c>
      <c r="O34" s="15">
        <f t="shared" si="0"/>
        <v>8</v>
      </c>
      <c r="P34" s="15">
        <f t="shared" si="1"/>
        <v>10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2</v>
      </c>
      <c r="F35" s="50">
        <v>3</v>
      </c>
      <c r="G35" s="50">
        <v>0</v>
      </c>
      <c r="H35" s="50">
        <v>2</v>
      </c>
      <c r="I35" s="50">
        <v>0</v>
      </c>
      <c r="J35" s="50">
        <v>0</v>
      </c>
      <c r="K35" s="50">
        <v>0</v>
      </c>
      <c r="L35" s="50">
        <v>1</v>
      </c>
      <c r="M35" s="50">
        <v>2</v>
      </c>
      <c r="N35" s="50">
        <v>0</v>
      </c>
      <c r="O35" s="15">
        <f t="shared" si="0"/>
        <v>10</v>
      </c>
      <c r="P35" s="15">
        <f t="shared" si="1"/>
        <v>12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1</v>
      </c>
      <c r="F36" s="50">
        <v>2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0</v>
      </c>
      <c r="M36" s="50">
        <v>1</v>
      </c>
      <c r="N36" s="50">
        <v>0</v>
      </c>
      <c r="O36" s="15">
        <f t="shared" si="0"/>
        <v>7</v>
      </c>
      <c r="P36" s="15">
        <f t="shared" si="1"/>
        <v>8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2</v>
      </c>
      <c r="F37" s="50">
        <v>1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2</v>
      </c>
      <c r="N37" s="50">
        <v>0</v>
      </c>
      <c r="O37" s="15">
        <f t="shared" si="0"/>
        <v>4</v>
      </c>
      <c r="P37" s="15">
        <f t="shared" si="1"/>
        <v>6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2</v>
      </c>
      <c r="F38" s="50">
        <v>3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1</v>
      </c>
      <c r="M38" s="50">
        <v>2</v>
      </c>
      <c r="N38" s="50">
        <v>0</v>
      </c>
      <c r="O38" s="15">
        <f t="shared" si="0"/>
        <v>8</v>
      </c>
      <c r="P38" s="15">
        <f t="shared" si="1"/>
        <v>10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3</v>
      </c>
      <c r="F39" s="50">
        <v>2</v>
      </c>
      <c r="G39" s="50">
        <v>0</v>
      </c>
      <c r="H39" s="50">
        <v>2</v>
      </c>
      <c r="I39" s="50">
        <v>1</v>
      </c>
      <c r="J39" s="50">
        <v>0</v>
      </c>
      <c r="K39" s="50">
        <v>0</v>
      </c>
      <c r="L39" s="50">
        <v>0</v>
      </c>
      <c r="M39" s="50">
        <v>8</v>
      </c>
      <c r="N39" s="50">
        <v>0</v>
      </c>
      <c r="O39" s="15">
        <f t="shared" si="0"/>
        <v>10</v>
      </c>
      <c r="P39" s="15">
        <f t="shared" si="1"/>
        <v>18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3</v>
      </c>
      <c r="F40" s="50">
        <v>1</v>
      </c>
      <c r="G40" s="50">
        <v>0</v>
      </c>
      <c r="H40" s="50">
        <v>1</v>
      </c>
      <c r="I40" s="50">
        <v>0</v>
      </c>
      <c r="J40" s="50">
        <v>0</v>
      </c>
      <c r="K40" s="50">
        <v>0</v>
      </c>
      <c r="L40" s="50">
        <v>0</v>
      </c>
      <c r="M40" s="50">
        <v>2</v>
      </c>
      <c r="N40" s="50">
        <v>0</v>
      </c>
      <c r="O40" s="15">
        <f t="shared" si="0"/>
        <v>6</v>
      </c>
      <c r="P40" s="15">
        <f t="shared" si="1"/>
        <v>8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4</v>
      </c>
      <c r="F41" s="50">
        <v>1</v>
      </c>
      <c r="G41" s="50">
        <v>0</v>
      </c>
      <c r="H41" s="50">
        <v>2</v>
      </c>
      <c r="I41" s="50">
        <v>0</v>
      </c>
      <c r="J41" s="50">
        <v>0</v>
      </c>
      <c r="K41" s="50">
        <v>0</v>
      </c>
      <c r="L41" s="50">
        <v>3</v>
      </c>
      <c r="M41" s="50">
        <v>2</v>
      </c>
      <c r="N41" s="50">
        <v>0</v>
      </c>
      <c r="O41" s="15">
        <f t="shared" si="0"/>
        <v>10</v>
      </c>
      <c r="P41" s="15">
        <f t="shared" si="1"/>
        <v>12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2</v>
      </c>
      <c r="F42" s="50">
        <v>3</v>
      </c>
      <c r="G42" s="50">
        <v>0</v>
      </c>
      <c r="H42" s="50">
        <v>2</v>
      </c>
      <c r="I42" s="50">
        <v>0</v>
      </c>
      <c r="J42" s="50">
        <v>0</v>
      </c>
      <c r="K42" s="50">
        <v>0</v>
      </c>
      <c r="L42" s="50">
        <v>0</v>
      </c>
      <c r="M42" s="50">
        <v>2</v>
      </c>
      <c r="N42" s="50">
        <v>0</v>
      </c>
      <c r="O42" s="15">
        <f t="shared" si="0"/>
        <v>7</v>
      </c>
      <c r="P42" s="15">
        <f t="shared" si="1"/>
        <v>9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4</v>
      </c>
      <c r="F43" s="50">
        <v>2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</v>
      </c>
      <c r="N43" s="50">
        <v>0</v>
      </c>
      <c r="O43" s="15">
        <f t="shared" si="0"/>
        <v>6</v>
      </c>
      <c r="P43" s="15">
        <f t="shared" si="1"/>
        <v>7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2</v>
      </c>
      <c r="F44" s="50">
        <v>5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9</v>
      </c>
      <c r="P44" s="15">
        <f t="shared" si="1"/>
        <v>9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6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6</v>
      </c>
      <c r="N45" s="50">
        <v>0</v>
      </c>
      <c r="O45" s="15">
        <f t="shared" si="0"/>
        <v>8</v>
      </c>
      <c r="P45" s="15">
        <f t="shared" si="1"/>
        <v>14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3</v>
      </c>
      <c r="F46" s="50">
        <v>3</v>
      </c>
      <c r="G46" s="50">
        <v>0</v>
      </c>
      <c r="H46" s="50">
        <v>0</v>
      </c>
      <c r="I46" s="50">
        <v>1</v>
      </c>
      <c r="J46" s="50">
        <v>0</v>
      </c>
      <c r="K46" s="50">
        <v>1</v>
      </c>
      <c r="L46" s="50">
        <v>1</v>
      </c>
      <c r="M46" s="50">
        <v>1</v>
      </c>
      <c r="N46" s="50">
        <v>1</v>
      </c>
      <c r="O46" s="15">
        <f t="shared" si="0"/>
        <v>11</v>
      </c>
      <c r="P46" s="15">
        <f t="shared" si="1"/>
        <v>12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5</v>
      </c>
      <c r="F47" s="50">
        <v>2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3</v>
      </c>
      <c r="N47" s="50">
        <v>0</v>
      </c>
      <c r="O47" s="15">
        <f t="shared" si="0"/>
        <v>9</v>
      </c>
      <c r="P47" s="15">
        <f t="shared" si="1"/>
        <v>12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2</v>
      </c>
      <c r="F48" s="50">
        <v>2</v>
      </c>
      <c r="G48" s="50">
        <v>1</v>
      </c>
      <c r="H48" s="50">
        <v>2</v>
      </c>
      <c r="I48" s="50">
        <v>0</v>
      </c>
      <c r="J48" s="50">
        <v>0</v>
      </c>
      <c r="K48" s="50">
        <v>0</v>
      </c>
      <c r="L48" s="50">
        <v>2</v>
      </c>
      <c r="M48" s="50">
        <v>3</v>
      </c>
      <c r="N48" s="50">
        <v>0</v>
      </c>
      <c r="O48" s="15">
        <f t="shared" si="0"/>
        <v>10</v>
      </c>
      <c r="P48" s="15">
        <f t="shared" si="1"/>
        <v>13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2</v>
      </c>
      <c r="F49" s="50">
        <v>1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1</v>
      </c>
      <c r="M49" s="50">
        <v>7</v>
      </c>
      <c r="N49" s="50">
        <v>0</v>
      </c>
      <c r="O49" s="15">
        <f t="shared" si="0"/>
        <v>7</v>
      </c>
      <c r="P49" s="15">
        <f t="shared" si="1"/>
        <v>14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4</v>
      </c>
      <c r="F50" s="50">
        <v>4</v>
      </c>
      <c r="G50" s="50">
        <v>1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</v>
      </c>
      <c r="N50" s="50">
        <v>0</v>
      </c>
      <c r="O50" s="15">
        <f t="shared" si="0"/>
        <v>11</v>
      </c>
      <c r="P50" s="15">
        <f t="shared" si="1"/>
        <v>12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3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1</v>
      </c>
      <c r="M51" s="50">
        <v>3</v>
      </c>
      <c r="N51" s="50">
        <v>0</v>
      </c>
      <c r="O51" s="15">
        <f t="shared" si="0"/>
        <v>8</v>
      </c>
      <c r="P51" s="15">
        <f t="shared" si="1"/>
        <v>11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2</v>
      </c>
      <c r="F52" s="50">
        <v>2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1</v>
      </c>
      <c r="M52" s="50">
        <v>3</v>
      </c>
      <c r="N52" s="50">
        <v>0</v>
      </c>
      <c r="O52" s="15">
        <f t="shared" si="0"/>
        <v>10</v>
      </c>
      <c r="P52" s="15">
        <f t="shared" si="1"/>
        <v>13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2</v>
      </c>
      <c r="F53" s="50">
        <v>1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1</v>
      </c>
      <c r="M53" s="50">
        <v>2</v>
      </c>
      <c r="N53" s="50">
        <v>0</v>
      </c>
      <c r="O53" s="15">
        <f t="shared" si="0"/>
        <v>7</v>
      </c>
      <c r="P53" s="15">
        <f t="shared" si="1"/>
        <v>9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1</v>
      </c>
      <c r="N54" s="50">
        <v>0</v>
      </c>
      <c r="O54" s="15">
        <f t="shared" si="0"/>
        <v>2</v>
      </c>
      <c r="P54" s="15">
        <f t="shared" si="1"/>
        <v>3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2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1</v>
      </c>
      <c r="M55" s="50">
        <v>2</v>
      </c>
      <c r="N55" s="50">
        <v>0</v>
      </c>
      <c r="O55" s="15">
        <f t="shared" si="0"/>
        <v>5</v>
      </c>
      <c r="P55" s="15">
        <f t="shared" si="1"/>
        <v>7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3</v>
      </c>
      <c r="F56" s="50">
        <v>6</v>
      </c>
      <c r="G56" s="50">
        <v>0</v>
      </c>
      <c r="H56" s="50">
        <v>2</v>
      </c>
      <c r="I56" s="50">
        <v>2</v>
      </c>
      <c r="J56" s="50">
        <v>0</v>
      </c>
      <c r="K56" s="50">
        <v>0</v>
      </c>
      <c r="L56" s="50">
        <v>1</v>
      </c>
      <c r="M56" s="50">
        <v>2</v>
      </c>
      <c r="N56" s="50">
        <v>0</v>
      </c>
      <c r="O56" s="15">
        <f t="shared" si="0"/>
        <v>16</v>
      </c>
      <c r="P56" s="15">
        <f t="shared" si="1"/>
        <v>18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2</v>
      </c>
      <c r="F57" s="50">
        <v>2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1</v>
      </c>
      <c r="M57" s="50">
        <v>3</v>
      </c>
      <c r="N57" s="50">
        <v>0</v>
      </c>
      <c r="O57" s="15">
        <f t="shared" si="0"/>
        <v>7</v>
      </c>
      <c r="P57" s="15">
        <f t="shared" si="1"/>
        <v>10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58</v>
      </c>
      <c r="D58" s="16">
        <f t="shared" si="21"/>
        <v>0</v>
      </c>
      <c r="E58" s="16">
        <f t="shared" si="21"/>
        <v>120</v>
      </c>
      <c r="F58" s="16">
        <f t="shared" si="21"/>
        <v>92</v>
      </c>
      <c r="G58" s="16">
        <f t="shared" si="21"/>
        <v>2</v>
      </c>
      <c r="H58" s="16">
        <f t="shared" si="21"/>
        <v>17</v>
      </c>
      <c r="I58" s="16">
        <f t="shared" si="21"/>
        <v>48</v>
      </c>
      <c r="J58" s="16">
        <f t="shared" si="21"/>
        <v>9</v>
      </c>
      <c r="K58" s="16">
        <f t="shared" si="21"/>
        <v>1</v>
      </c>
      <c r="L58" s="16">
        <f t="shared" si="21"/>
        <v>32</v>
      </c>
      <c r="M58" s="16">
        <f t="shared" si="21"/>
        <v>113</v>
      </c>
      <c r="N58" s="16">
        <f t="shared" si="21"/>
        <v>1</v>
      </c>
      <c r="O58" s="16">
        <f t="shared" si="21"/>
        <v>380</v>
      </c>
      <c r="P58" s="16">
        <f t="shared" si="21"/>
        <v>493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0.11764705882352941</v>
      </c>
      <c r="D59" s="43">
        <f t="shared" si="22"/>
        <v>0</v>
      </c>
      <c r="E59" s="43">
        <f t="shared" si="22"/>
        <v>0.2434077079107505</v>
      </c>
      <c r="F59" s="43">
        <f t="shared" si="22"/>
        <v>0.18661257606490872</v>
      </c>
      <c r="G59" s="43">
        <f t="shared" si="22"/>
        <v>4.0567951318458417E-3</v>
      </c>
      <c r="H59" s="43">
        <f t="shared" si="22"/>
        <v>3.4482758620689655E-2</v>
      </c>
      <c r="I59" s="43">
        <f t="shared" si="22"/>
        <v>9.7363083164300201E-2</v>
      </c>
      <c r="J59" s="43">
        <f t="shared" si="22"/>
        <v>1.8255578093306288E-2</v>
      </c>
      <c r="K59" s="43">
        <f t="shared" si="22"/>
        <v>2.0283975659229209E-3</v>
      </c>
      <c r="L59" s="43">
        <f t="shared" si="22"/>
        <v>6.4908722109533468E-2</v>
      </c>
      <c r="M59" s="43">
        <f t="shared" si="22"/>
        <v>0.22920892494929007</v>
      </c>
      <c r="N59" s="43">
        <f t="shared" si="22"/>
        <v>2.0283975659229209E-3</v>
      </c>
      <c r="R59" s="8"/>
      <c r="T59"/>
    </row>
    <row r="60" spans="2:20" ht="23.1" customHeight="1" x14ac:dyDescent="0.25">
      <c r="B60" s="42" t="s">
        <v>94</v>
      </c>
      <c r="C60" s="44">
        <f>C58/$O$58</f>
        <v>0.15263157894736842</v>
      </c>
      <c r="D60" s="44">
        <f t="shared" ref="D60:N60" si="23">D58/$O$58</f>
        <v>0</v>
      </c>
      <c r="E60" s="44">
        <f t="shared" si="23"/>
        <v>0.31578947368421051</v>
      </c>
      <c r="F60" s="44">
        <f t="shared" si="23"/>
        <v>0.24210526315789474</v>
      </c>
      <c r="G60" s="44">
        <f t="shared" si="23"/>
        <v>5.263157894736842E-3</v>
      </c>
      <c r="H60" s="44">
        <f t="shared" si="23"/>
        <v>4.4736842105263158E-2</v>
      </c>
      <c r="I60" s="44">
        <f t="shared" si="23"/>
        <v>0.12631578947368421</v>
      </c>
      <c r="J60" s="44">
        <f t="shared" si="23"/>
        <v>2.368421052631579E-2</v>
      </c>
      <c r="K60" s="44">
        <f t="shared" si="23"/>
        <v>2.631578947368421E-3</v>
      </c>
      <c r="L60" s="44">
        <f t="shared" si="23"/>
        <v>8.4210526315789472E-2</v>
      </c>
      <c r="M60" s="44"/>
      <c r="N60" s="44">
        <f t="shared" si="23"/>
        <v>2.631578947368421E-3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F174"/>
  <sheetViews>
    <sheetView view="pageBreakPreview" topLeftCell="A43" zoomScale="60" workbookViewId="0">
      <selection activeCell="M79" sqref="M7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KYENJOJO-FORTPORTAL'!C3:G3</f>
        <v>C4 - STN107-FORTPORTAL-KYENJONJO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63" t="str">
        <f>'02.08 FORTPORTAL-KYENJOJO'!G5:H5</f>
        <v>xxx</v>
      </c>
      <c r="H5" s="64"/>
      <c r="I5" s="14"/>
      <c r="J5" s="2" t="s">
        <v>5</v>
      </c>
      <c r="K5" s="63" t="str">
        <f>'02.08 FORTPORTAL-KYENJOJO'!K5:L5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KYENJOJO-FORTPORTAL'!D6:E6</f>
        <v>KYENJOJO</v>
      </c>
      <c r="E6" s="64"/>
      <c r="F6" s="2" t="s">
        <v>2</v>
      </c>
      <c r="G6" s="63" t="str">
        <f>'29.07 KYENJOJO-FORTPORTAL'!G6:H6</f>
        <v>FORTPORTAL</v>
      </c>
      <c r="H6" s="64"/>
      <c r="J6" s="2" t="s">
        <v>21</v>
      </c>
      <c r="K6" s="63" t="str">
        <f>'02.08 FORTPORTAL-KYENJOJO'!K6:L6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2</v>
      </c>
      <c r="F10" s="50">
        <v>3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2</v>
      </c>
      <c r="M10" s="50">
        <v>3</v>
      </c>
      <c r="N10" s="50">
        <v>0</v>
      </c>
      <c r="O10" s="15">
        <f t="shared" ref="O10:O57" si="0">SUM(C10:L10,N10)</f>
        <v>10</v>
      </c>
      <c r="P10" s="15">
        <f t="shared" ref="P10:P57" si="1">SUM(C10:N10)</f>
        <v>13</v>
      </c>
      <c r="R10" s="1" t="s">
        <v>6</v>
      </c>
      <c r="S10" s="17">
        <f t="shared" ref="S10:AF10" si="2">SUM(C10:C13)</f>
        <v>7</v>
      </c>
      <c r="T10" s="17">
        <f t="shared" si="2"/>
        <v>0</v>
      </c>
      <c r="U10" s="17">
        <f t="shared" si="2"/>
        <v>3</v>
      </c>
      <c r="V10" s="17">
        <f t="shared" si="2"/>
        <v>10</v>
      </c>
      <c r="W10" s="17">
        <f t="shared" si="2"/>
        <v>2</v>
      </c>
      <c r="X10" s="17">
        <f t="shared" si="2"/>
        <v>1</v>
      </c>
      <c r="Y10" s="17">
        <f t="shared" si="2"/>
        <v>9</v>
      </c>
      <c r="Z10" s="17">
        <f t="shared" si="2"/>
        <v>1</v>
      </c>
      <c r="AA10" s="17">
        <f t="shared" si="2"/>
        <v>0</v>
      </c>
      <c r="AB10" s="17">
        <f t="shared" si="2"/>
        <v>9</v>
      </c>
      <c r="AC10" s="17">
        <f t="shared" si="2"/>
        <v>11</v>
      </c>
      <c r="AD10" s="17">
        <f t="shared" si="2"/>
        <v>0</v>
      </c>
      <c r="AE10" s="31">
        <f t="shared" si="2"/>
        <v>42</v>
      </c>
      <c r="AF10" s="31">
        <f t="shared" si="2"/>
        <v>53</v>
      </c>
    </row>
    <row r="11" spans="2:32" s="6" customFormat="1" ht="23.1" customHeight="1" x14ac:dyDescent="0.25">
      <c r="B11" s="45" t="s">
        <v>38</v>
      </c>
      <c r="C11" s="50">
        <v>2</v>
      </c>
      <c r="D11" s="50">
        <v>0</v>
      </c>
      <c r="E11" s="50">
        <v>0</v>
      </c>
      <c r="F11" s="50">
        <v>3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6</v>
      </c>
      <c r="M11" s="50">
        <v>3</v>
      </c>
      <c r="N11" s="50">
        <v>0</v>
      </c>
      <c r="O11" s="15">
        <f t="shared" si="0"/>
        <v>12</v>
      </c>
      <c r="P11" s="15">
        <f t="shared" si="1"/>
        <v>15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2</v>
      </c>
      <c r="V11" s="17">
        <f t="shared" si="3"/>
        <v>6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3</v>
      </c>
      <c r="AC11" s="17">
        <f t="shared" si="3"/>
        <v>5</v>
      </c>
      <c r="AD11" s="17">
        <f t="shared" si="3"/>
        <v>0</v>
      </c>
      <c r="AE11" s="31">
        <f t="shared" si="3"/>
        <v>18</v>
      </c>
      <c r="AF11" s="31">
        <f t="shared" si="3"/>
        <v>23</v>
      </c>
    </row>
    <row r="12" spans="2:32" ht="23.1" customHeight="1" x14ac:dyDescent="0.25">
      <c r="B12" s="45" t="s">
        <v>39</v>
      </c>
      <c r="C12" s="50">
        <v>2</v>
      </c>
      <c r="D12" s="50">
        <v>0</v>
      </c>
      <c r="E12" s="50">
        <v>0</v>
      </c>
      <c r="F12" s="50">
        <v>2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1</v>
      </c>
      <c r="M12" s="50">
        <v>2</v>
      </c>
      <c r="N12" s="50">
        <v>0</v>
      </c>
      <c r="O12" s="15">
        <f t="shared" si="0"/>
        <v>7</v>
      </c>
      <c r="P12" s="15">
        <f t="shared" si="1"/>
        <v>9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10</v>
      </c>
      <c r="V12" s="17">
        <f t="shared" si="4"/>
        <v>9</v>
      </c>
      <c r="W12" s="17">
        <f t="shared" si="4"/>
        <v>0</v>
      </c>
      <c r="X12" s="17">
        <f t="shared" si="4"/>
        <v>2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3</v>
      </c>
      <c r="AC12" s="17">
        <f t="shared" si="4"/>
        <v>7</v>
      </c>
      <c r="AD12" s="17">
        <f t="shared" si="4"/>
        <v>0</v>
      </c>
      <c r="AE12" s="31">
        <f t="shared" si="4"/>
        <v>28</v>
      </c>
      <c r="AF12" s="31">
        <f t="shared" si="4"/>
        <v>35</v>
      </c>
    </row>
    <row r="13" spans="2:32" ht="23.1" customHeight="1" x14ac:dyDescent="0.25">
      <c r="B13" s="45" t="s">
        <v>40</v>
      </c>
      <c r="C13" s="50">
        <v>3</v>
      </c>
      <c r="D13" s="50">
        <v>0</v>
      </c>
      <c r="E13" s="50">
        <v>1</v>
      </c>
      <c r="F13" s="50">
        <v>2</v>
      </c>
      <c r="G13" s="50">
        <v>2</v>
      </c>
      <c r="H13" s="50">
        <v>1</v>
      </c>
      <c r="I13" s="50">
        <v>3</v>
      </c>
      <c r="J13" s="50">
        <v>1</v>
      </c>
      <c r="K13" s="50">
        <v>0</v>
      </c>
      <c r="L13" s="50">
        <v>0</v>
      </c>
      <c r="M13" s="50">
        <v>3</v>
      </c>
      <c r="N13" s="50">
        <v>0</v>
      </c>
      <c r="O13" s="15">
        <f t="shared" si="0"/>
        <v>13</v>
      </c>
      <c r="P13" s="15">
        <f t="shared" si="1"/>
        <v>16</v>
      </c>
      <c r="R13" s="1" t="s">
        <v>9</v>
      </c>
      <c r="S13" s="17">
        <f t="shared" ref="S13:AF13" si="5">SUM(C22:C25)</f>
        <v>10</v>
      </c>
      <c r="T13" s="17">
        <f t="shared" si="5"/>
        <v>0</v>
      </c>
      <c r="U13" s="17">
        <f t="shared" si="5"/>
        <v>11</v>
      </c>
      <c r="V13" s="17">
        <f t="shared" si="5"/>
        <v>7</v>
      </c>
      <c r="W13" s="17">
        <f t="shared" si="5"/>
        <v>0</v>
      </c>
      <c r="X13" s="17">
        <f t="shared" si="5"/>
        <v>1</v>
      </c>
      <c r="Y13" s="17">
        <f t="shared" si="5"/>
        <v>2</v>
      </c>
      <c r="Z13" s="17">
        <f t="shared" si="5"/>
        <v>2</v>
      </c>
      <c r="AA13" s="17">
        <f t="shared" si="5"/>
        <v>0</v>
      </c>
      <c r="AB13" s="17">
        <f t="shared" si="5"/>
        <v>4</v>
      </c>
      <c r="AC13" s="17">
        <f t="shared" si="5"/>
        <v>2</v>
      </c>
      <c r="AD13" s="17">
        <f t="shared" si="5"/>
        <v>0</v>
      </c>
      <c r="AE13" s="31">
        <f t="shared" si="5"/>
        <v>37</v>
      </c>
      <c r="AF13" s="31">
        <f t="shared" si="5"/>
        <v>39</v>
      </c>
    </row>
    <row r="14" spans="2:32" ht="23.1" customHeight="1" x14ac:dyDescent="0.25">
      <c r="B14" s="45" t="s">
        <v>41</v>
      </c>
      <c r="C14" s="50">
        <v>2</v>
      </c>
      <c r="D14" s="50">
        <v>0</v>
      </c>
      <c r="E14" s="50">
        <v>1</v>
      </c>
      <c r="F14" s="50">
        <v>1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</v>
      </c>
      <c r="N14" s="50">
        <v>0</v>
      </c>
      <c r="O14" s="15">
        <f t="shared" si="0"/>
        <v>5</v>
      </c>
      <c r="P14" s="15">
        <f t="shared" si="1"/>
        <v>6</v>
      </c>
      <c r="R14" s="1" t="s">
        <v>10</v>
      </c>
      <c r="S14" s="17">
        <f t="shared" ref="S14:AF14" si="6">SUM(C26:C29)</f>
        <v>5</v>
      </c>
      <c r="T14" s="17">
        <f t="shared" si="6"/>
        <v>0</v>
      </c>
      <c r="U14" s="17">
        <f t="shared" si="6"/>
        <v>4</v>
      </c>
      <c r="V14" s="17">
        <f t="shared" si="6"/>
        <v>9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0</v>
      </c>
      <c r="AA14" s="17">
        <f t="shared" si="6"/>
        <v>0</v>
      </c>
      <c r="AB14" s="17">
        <f t="shared" si="6"/>
        <v>3</v>
      </c>
      <c r="AC14" s="17">
        <f t="shared" si="6"/>
        <v>7</v>
      </c>
      <c r="AD14" s="17">
        <f t="shared" si="6"/>
        <v>0</v>
      </c>
      <c r="AE14" s="31">
        <f t="shared" si="6"/>
        <v>27</v>
      </c>
      <c r="AF14" s="31">
        <f t="shared" si="6"/>
        <v>34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1</v>
      </c>
      <c r="F15" s="50">
        <v>2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2</v>
      </c>
      <c r="M15" s="50">
        <v>1</v>
      </c>
      <c r="N15" s="50">
        <v>0</v>
      </c>
      <c r="O15" s="15">
        <f t="shared" si="0"/>
        <v>7</v>
      </c>
      <c r="P15" s="15">
        <f t="shared" si="1"/>
        <v>8</v>
      </c>
      <c r="R15" s="1" t="s">
        <v>11</v>
      </c>
      <c r="S15" s="17">
        <f t="shared" ref="S15:AF15" si="7">SUM(C30:C33)</f>
        <v>8</v>
      </c>
      <c r="T15" s="17">
        <f t="shared" si="7"/>
        <v>0</v>
      </c>
      <c r="U15" s="17">
        <f t="shared" si="7"/>
        <v>6</v>
      </c>
      <c r="V15" s="17">
        <f t="shared" si="7"/>
        <v>10</v>
      </c>
      <c r="W15" s="17">
        <f t="shared" si="7"/>
        <v>1</v>
      </c>
      <c r="X15" s="17">
        <f t="shared" si="7"/>
        <v>4</v>
      </c>
      <c r="Y15" s="17">
        <f t="shared" si="7"/>
        <v>8</v>
      </c>
      <c r="Z15" s="17">
        <f t="shared" si="7"/>
        <v>3</v>
      </c>
      <c r="AA15" s="17">
        <f t="shared" si="7"/>
        <v>0</v>
      </c>
      <c r="AB15" s="17">
        <f t="shared" si="7"/>
        <v>3</v>
      </c>
      <c r="AC15" s="17">
        <f t="shared" si="7"/>
        <v>10</v>
      </c>
      <c r="AD15" s="17">
        <f t="shared" si="7"/>
        <v>0</v>
      </c>
      <c r="AE15" s="31">
        <f t="shared" si="7"/>
        <v>43</v>
      </c>
      <c r="AF15" s="31">
        <f t="shared" si="7"/>
        <v>53</v>
      </c>
    </row>
    <row r="16" spans="2:32" ht="23.1" customHeight="1" x14ac:dyDescent="0.25">
      <c r="B16" s="45" t="s">
        <v>43</v>
      </c>
      <c r="C16" s="50">
        <v>1</v>
      </c>
      <c r="D16" s="50">
        <v>0</v>
      </c>
      <c r="E16" s="50">
        <v>0</v>
      </c>
      <c r="F16" s="50">
        <v>3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3</v>
      </c>
      <c r="N16" s="50">
        <v>0</v>
      </c>
      <c r="O16" s="15">
        <f t="shared" si="0"/>
        <v>4</v>
      </c>
      <c r="P16" s="15">
        <f t="shared" si="1"/>
        <v>7</v>
      </c>
      <c r="R16" s="1" t="s">
        <v>12</v>
      </c>
      <c r="S16" s="17">
        <f t="shared" ref="S16:AF16" si="8">SUM(C34:C37)</f>
        <v>5</v>
      </c>
      <c r="T16" s="17">
        <f t="shared" si="8"/>
        <v>0</v>
      </c>
      <c r="U16" s="17">
        <f t="shared" si="8"/>
        <v>4</v>
      </c>
      <c r="V16" s="17">
        <f t="shared" si="8"/>
        <v>13</v>
      </c>
      <c r="W16" s="17">
        <f t="shared" si="8"/>
        <v>0</v>
      </c>
      <c r="X16" s="17">
        <f t="shared" si="8"/>
        <v>2</v>
      </c>
      <c r="Y16" s="17">
        <f t="shared" si="8"/>
        <v>3</v>
      </c>
      <c r="Z16" s="17">
        <f t="shared" si="8"/>
        <v>3</v>
      </c>
      <c r="AA16" s="17">
        <f t="shared" si="8"/>
        <v>0</v>
      </c>
      <c r="AB16" s="17">
        <f t="shared" si="8"/>
        <v>3</v>
      </c>
      <c r="AC16" s="17">
        <f t="shared" si="8"/>
        <v>8</v>
      </c>
      <c r="AD16" s="17">
        <f t="shared" si="8"/>
        <v>0</v>
      </c>
      <c r="AE16" s="31">
        <f t="shared" si="8"/>
        <v>33</v>
      </c>
      <c r="AF16" s="31">
        <f t="shared" si="8"/>
        <v>41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1</v>
      </c>
      <c r="M17" s="50">
        <v>0</v>
      </c>
      <c r="N17" s="50">
        <v>0</v>
      </c>
      <c r="O17" s="15">
        <f t="shared" si="0"/>
        <v>2</v>
      </c>
      <c r="P17" s="15">
        <f t="shared" si="1"/>
        <v>2</v>
      </c>
      <c r="R17" s="1" t="s">
        <v>13</v>
      </c>
      <c r="S17" s="17">
        <f t="shared" ref="S17:AF17" si="9">SUM(C38:C41)</f>
        <v>7</v>
      </c>
      <c r="T17" s="17">
        <f t="shared" si="9"/>
        <v>0</v>
      </c>
      <c r="U17" s="17">
        <f t="shared" si="9"/>
        <v>10</v>
      </c>
      <c r="V17" s="17">
        <f t="shared" si="9"/>
        <v>8</v>
      </c>
      <c r="W17" s="17">
        <f t="shared" si="9"/>
        <v>1</v>
      </c>
      <c r="X17" s="17">
        <f t="shared" si="9"/>
        <v>2</v>
      </c>
      <c r="Y17" s="17">
        <f t="shared" si="9"/>
        <v>2</v>
      </c>
      <c r="Z17" s="17">
        <f t="shared" si="9"/>
        <v>2</v>
      </c>
      <c r="AA17" s="17">
        <f t="shared" si="9"/>
        <v>0</v>
      </c>
      <c r="AB17" s="17">
        <f t="shared" si="9"/>
        <v>3</v>
      </c>
      <c r="AC17" s="17">
        <f t="shared" si="9"/>
        <v>11</v>
      </c>
      <c r="AD17" s="17">
        <f t="shared" si="9"/>
        <v>0</v>
      </c>
      <c r="AE17" s="31">
        <f t="shared" si="9"/>
        <v>35</v>
      </c>
      <c r="AF17" s="31">
        <f t="shared" si="9"/>
        <v>46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2</v>
      </c>
      <c r="F18" s="50">
        <v>2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1</v>
      </c>
      <c r="M18" s="50">
        <v>2</v>
      </c>
      <c r="N18" s="50">
        <v>0</v>
      </c>
      <c r="O18" s="15">
        <f t="shared" si="0"/>
        <v>6</v>
      </c>
      <c r="P18" s="15">
        <f t="shared" si="1"/>
        <v>8</v>
      </c>
      <c r="R18" s="1" t="s">
        <v>14</v>
      </c>
      <c r="S18" s="17">
        <f t="shared" ref="S18:AF18" si="10">SUM(C42:C45)</f>
        <v>5</v>
      </c>
      <c r="T18" s="17">
        <f t="shared" si="10"/>
        <v>0</v>
      </c>
      <c r="U18" s="17">
        <f t="shared" si="10"/>
        <v>14</v>
      </c>
      <c r="V18" s="17">
        <f t="shared" si="10"/>
        <v>10</v>
      </c>
      <c r="W18" s="17">
        <f t="shared" si="10"/>
        <v>0</v>
      </c>
      <c r="X18" s="17">
        <f t="shared" si="10"/>
        <v>3</v>
      </c>
      <c r="Y18" s="17">
        <f t="shared" si="10"/>
        <v>7</v>
      </c>
      <c r="Z18" s="17">
        <f t="shared" si="10"/>
        <v>1</v>
      </c>
      <c r="AA18" s="17">
        <f t="shared" si="10"/>
        <v>0</v>
      </c>
      <c r="AB18" s="17">
        <f t="shared" si="10"/>
        <v>1</v>
      </c>
      <c r="AC18" s="17">
        <f t="shared" si="10"/>
        <v>9</v>
      </c>
      <c r="AD18" s="17">
        <f t="shared" si="10"/>
        <v>0</v>
      </c>
      <c r="AE18" s="31">
        <f t="shared" si="10"/>
        <v>41</v>
      </c>
      <c r="AF18" s="31">
        <f t="shared" si="10"/>
        <v>50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3</v>
      </c>
      <c r="F19" s="50">
        <v>4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3</v>
      </c>
      <c r="N19" s="50">
        <v>0</v>
      </c>
      <c r="O19" s="15">
        <f t="shared" si="0"/>
        <v>8</v>
      </c>
      <c r="P19" s="15">
        <f t="shared" si="1"/>
        <v>11</v>
      </c>
      <c r="R19" s="1" t="s">
        <v>15</v>
      </c>
      <c r="S19" s="17">
        <f t="shared" ref="S19:AF19" si="11">SUM(C46:C49)</f>
        <v>13</v>
      </c>
      <c r="T19" s="17">
        <f t="shared" si="11"/>
        <v>0</v>
      </c>
      <c r="U19" s="17">
        <f t="shared" si="11"/>
        <v>10</v>
      </c>
      <c r="V19" s="17">
        <f t="shared" si="11"/>
        <v>12</v>
      </c>
      <c r="W19" s="17">
        <f t="shared" si="11"/>
        <v>0</v>
      </c>
      <c r="X19" s="17">
        <f t="shared" si="11"/>
        <v>1</v>
      </c>
      <c r="Y19" s="17">
        <f t="shared" si="11"/>
        <v>6</v>
      </c>
      <c r="Z19" s="17">
        <f t="shared" si="11"/>
        <v>0</v>
      </c>
      <c r="AA19" s="17">
        <f t="shared" si="11"/>
        <v>0</v>
      </c>
      <c r="AB19" s="17">
        <f t="shared" si="11"/>
        <v>2</v>
      </c>
      <c r="AC19" s="17">
        <f t="shared" si="11"/>
        <v>5</v>
      </c>
      <c r="AD19" s="17">
        <f t="shared" si="11"/>
        <v>0</v>
      </c>
      <c r="AE19" s="31">
        <f t="shared" si="11"/>
        <v>44</v>
      </c>
      <c r="AF19" s="31">
        <f t="shared" si="11"/>
        <v>49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4</v>
      </c>
      <c r="F20" s="50">
        <v>2</v>
      </c>
      <c r="G20" s="50">
        <v>0</v>
      </c>
      <c r="H20" s="50">
        <v>1</v>
      </c>
      <c r="I20" s="50">
        <v>0</v>
      </c>
      <c r="J20" s="50">
        <v>0</v>
      </c>
      <c r="K20" s="50">
        <v>0</v>
      </c>
      <c r="L20" s="50">
        <v>2</v>
      </c>
      <c r="M20" s="50">
        <v>1</v>
      </c>
      <c r="N20" s="50">
        <v>0</v>
      </c>
      <c r="O20" s="15">
        <f t="shared" si="0"/>
        <v>9</v>
      </c>
      <c r="P20" s="15">
        <f t="shared" si="1"/>
        <v>10</v>
      </c>
      <c r="R20" s="1" t="s">
        <v>16</v>
      </c>
      <c r="S20" s="17">
        <f t="shared" ref="S20:AF20" si="12">SUM(C50:C53)</f>
        <v>9</v>
      </c>
      <c r="T20" s="17">
        <f t="shared" si="12"/>
        <v>0</v>
      </c>
      <c r="U20" s="17">
        <f t="shared" si="12"/>
        <v>7</v>
      </c>
      <c r="V20" s="17">
        <f t="shared" si="12"/>
        <v>2</v>
      </c>
      <c r="W20" s="17">
        <f t="shared" si="12"/>
        <v>0</v>
      </c>
      <c r="X20" s="17">
        <f t="shared" si="12"/>
        <v>1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5</v>
      </c>
      <c r="AC20" s="17">
        <f t="shared" si="12"/>
        <v>0</v>
      </c>
      <c r="AD20" s="17">
        <f t="shared" si="12"/>
        <v>0</v>
      </c>
      <c r="AE20" s="31">
        <f t="shared" si="12"/>
        <v>26</v>
      </c>
      <c r="AF20" s="31">
        <f t="shared" si="12"/>
        <v>26</v>
      </c>
    </row>
    <row r="21" spans="2:32" ht="23.1" customHeight="1" x14ac:dyDescent="0.25">
      <c r="B21" s="45" t="s">
        <v>48</v>
      </c>
      <c r="C21" s="50">
        <v>2</v>
      </c>
      <c r="D21" s="50">
        <v>0</v>
      </c>
      <c r="E21" s="50">
        <v>1</v>
      </c>
      <c r="F21" s="50">
        <v>1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</v>
      </c>
      <c r="N21" s="50">
        <v>0</v>
      </c>
      <c r="O21" s="15">
        <f t="shared" si="0"/>
        <v>5</v>
      </c>
      <c r="P21" s="15">
        <f t="shared" si="1"/>
        <v>6</v>
      </c>
      <c r="R21" s="36" t="s">
        <v>20</v>
      </c>
      <c r="S21" s="34">
        <f t="shared" ref="S21:AF21" si="13">SUM(C54:C57)</f>
        <v>4</v>
      </c>
      <c r="T21" s="17">
        <f t="shared" si="13"/>
        <v>0</v>
      </c>
      <c r="U21" s="17">
        <f t="shared" si="13"/>
        <v>5</v>
      </c>
      <c r="V21" s="17">
        <f t="shared" si="13"/>
        <v>3</v>
      </c>
      <c r="W21" s="17">
        <f t="shared" si="13"/>
        <v>0</v>
      </c>
      <c r="X21" s="17">
        <f t="shared" si="13"/>
        <v>1</v>
      </c>
      <c r="Y21" s="17">
        <f t="shared" si="13"/>
        <v>2</v>
      </c>
      <c r="Z21" s="17">
        <f t="shared" si="13"/>
        <v>3</v>
      </c>
      <c r="AA21" s="17">
        <f t="shared" si="13"/>
        <v>0</v>
      </c>
      <c r="AB21" s="17">
        <f t="shared" si="13"/>
        <v>3</v>
      </c>
      <c r="AC21" s="17">
        <f t="shared" si="13"/>
        <v>2</v>
      </c>
      <c r="AD21" s="17">
        <f t="shared" si="13"/>
        <v>0</v>
      </c>
      <c r="AE21" s="31">
        <f t="shared" si="13"/>
        <v>21</v>
      </c>
      <c r="AF21" s="31">
        <f t="shared" si="13"/>
        <v>23</v>
      </c>
    </row>
    <row r="22" spans="2:32" ht="23.1" customHeight="1" x14ac:dyDescent="0.25">
      <c r="B22" s="45" t="s">
        <v>49</v>
      </c>
      <c r="C22" s="50">
        <v>4</v>
      </c>
      <c r="D22" s="50">
        <v>0</v>
      </c>
      <c r="E22" s="50">
        <v>5</v>
      </c>
      <c r="F22" s="50">
        <v>0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1</v>
      </c>
      <c r="M22" s="50">
        <v>0</v>
      </c>
      <c r="N22" s="50">
        <v>0</v>
      </c>
      <c r="O22" s="15">
        <f t="shared" si="0"/>
        <v>11</v>
      </c>
      <c r="P22" s="15">
        <f t="shared" si="1"/>
        <v>11</v>
      </c>
      <c r="R22" s="36" t="s">
        <v>146</v>
      </c>
      <c r="S22" s="34">
        <f>SUM(C58:C61)</f>
        <v>5</v>
      </c>
      <c r="T22" s="34">
        <f t="shared" ref="T22:AF22" si="14">SUM(D58:D61)</f>
        <v>0</v>
      </c>
      <c r="U22" s="34">
        <f t="shared" si="14"/>
        <v>2</v>
      </c>
      <c r="V22" s="34">
        <f t="shared" si="14"/>
        <v>1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0</v>
      </c>
      <c r="AA22" s="34">
        <f t="shared" si="14"/>
        <v>0</v>
      </c>
      <c r="AB22" s="34">
        <f t="shared" si="14"/>
        <v>1</v>
      </c>
      <c r="AC22" s="34">
        <f t="shared" si="14"/>
        <v>1</v>
      </c>
      <c r="AD22" s="34">
        <f t="shared" si="14"/>
        <v>0</v>
      </c>
      <c r="AE22" s="31">
        <f t="shared" si="14"/>
        <v>10</v>
      </c>
      <c r="AF22" s="31">
        <f t="shared" si="14"/>
        <v>11</v>
      </c>
    </row>
    <row r="23" spans="2:32" ht="23.1" customHeight="1" x14ac:dyDescent="0.25">
      <c r="B23" s="45" t="s">
        <v>50</v>
      </c>
      <c r="C23" s="50">
        <v>3</v>
      </c>
      <c r="D23" s="50">
        <v>0</v>
      </c>
      <c r="E23" s="50">
        <v>0</v>
      </c>
      <c r="F23" s="50">
        <v>3</v>
      </c>
      <c r="G23" s="50">
        <v>0</v>
      </c>
      <c r="H23" s="50">
        <v>1</v>
      </c>
      <c r="I23" s="50">
        <v>0</v>
      </c>
      <c r="J23" s="50">
        <v>1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8</v>
      </c>
      <c r="P23" s="15">
        <f t="shared" si="1"/>
        <v>8</v>
      </c>
      <c r="R23" s="36" t="s">
        <v>147</v>
      </c>
      <c r="S23" s="34">
        <f>SUM(C62:C65)</f>
        <v>1</v>
      </c>
      <c r="T23" s="34">
        <f t="shared" ref="T23:AF23" si="15">SUM(D62:D65)</f>
        <v>0</v>
      </c>
      <c r="U23" s="34">
        <f t="shared" si="15"/>
        <v>11</v>
      </c>
      <c r="V23" s="34">
        <f t="shared" si="15"/>
        <v>4</v>
      </c>
      <c r="W23" s="34">
        <f t="shared" si="15"/>
        <v>0</v>
      </c>
      <c r="X23" s="34">
        <f t="shared" si="15"/>
        <v>1</v>
      </c>
      <c r="Y23" s="34">
        <f t="shared" si="15"/>
        <v>5</v>
      </c>
      <c r="Z23" s="34">
        <f t="shared" si="15"/>
        <v>0</v>
      </c>
      <c r="AA23" s="34">
        <f t="shared" si="15"/>
        <v>0</v>
      </c>
      <c r="AB23" s="34">
        <f t="shared" si="15"/>
        <v>4</v>
      </c>
      <c r="AC23" s="34">
        <f t="shared" si="15"/>
        <v>0</v>
      </c>
      <c r="AD23" s="34">
        <f t="shared" si="15"/>
        <v>0</v>
      </c>
      <c r="AE23" s="31">
        <f t="shared" si="15"/>
        <v>26</v>
      </c>
      <c r="AF23" s="31">
        <f t="shared" si="15"/>
        <v>26</v>
      </c>
    </row>
    <row r="24" spans="2:32" ht="23.1" customHeight="1" x14ac:dyDescent="0.25">
      <c r="B24" s="45" t="s">
        <v>51</v>
      </c>
      <c r="C24" s="50">
        <v>3</v>
      </c>
      <c r="D24" s="50">
        <v>0</v>
      </c>
      <c r="E24" s="50">
        <v>3</v>
      </c>
      <c r="F24" s="50">
        <v>1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1</v>
      </c>
      <c r="M24" s="50">
        <v>2</v>
      </c>
      <c r="N24" s="50">
        <v>0</v>
      </c>
      <c r="O24" s="15">
        <f t="shared" si="0"/>
        <v>9</v>
      </c>
      <c r="P24" s="15">
        <f t="shared" si="1"/>
        <v>11</v>
      </c>
      <c r="R24" s="36" t="s">
        <v>148</v>
      </c>
      <c r="S24" s="34">
        <f>SUM(C66:C69)</f>
        <v>2</v>
      </c>
      <c r="T24" s="34">
        <f t="shared" ref="T24:AF24" si="16">SUM(D66:D69)</f>
        <v>0</v>
      </c>
      <c r="U24" s="34">
        <f t="shared" si="16"/>
        <v>5</v>
      </c>
      <c r="V24" s="34">
        <f t="shared" si="16"/>
        <v>0</v>
      </c>
      <c r="W24" s="34">
        <f t="shared" si="16"/>
        <v>0</v>
      </c>
      <c r="X24" s="34">
        <f t="shared" si="16"/>
        <v>1</v>
      </c>
      <c r="Y24" s="34">
        <f t="shared" si="16"/>
        <v>16</v>
      </c>
      <c r="Z24" s="34">
        <f t="shared" si="16"/>
        <v>2</v>
      </c>
      <c r="AA24" s="34">
        <f t="shared" si="16"/>
        <v>0</v>
      </c>
      <c r="AB24" s="34">
        <f t="shared" si="16"/>
        <v>5</v>
      </c>
      <c r="AC24" s="34">
        <f t="shared" si="16"/>
        <v>0</v>
      </c>
      <c r="AD24" s="34">
        <f t="shared" si="16"/>
        <v>0</v>
      </c>
      <c r="AE24" s="31">
        <f t="shared" si="16"/>
        <v>31</v>
      </c>
      <c r="AF24" s="31">
        <f t="shared" si="16"/>
        <v>31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3</v>
      </c>
      <c r="F25" s="50">
        <v>3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2</v>
      </c>
      <c r="M25" s="50">
        <v>0</v>
      </c>
      <c r="N25" s="50">
        <v>0</v>
      </c>
      <c r="O25" s="15">
        <f t="shared" si="0"/>
        <v>9</v>
      </c>
      <c r="P25" s="15">
        <f t="shared" si="1"/>
        <v>9</v>
      </c>
      <c r="R25" s="36" t="s">
        <v>149</v>
      </c>
      <c r="S25" s="34">
        <f>SUM(C70:C73)</f>
        <v>4</v>
      </c>
      <c r="T25" s="34">
        <f t="shared" ref="T25:AF25" si="17">SUM(D70:D73)</f>
        <v>0</v>
      </c>
      <c r="U25" s="34">
        <f t="shared" si="17"/>
        <v>1</v>
      </c>
      <c r="V25" s="34">
        <f t="shared" si="17"/>
        <v>2</v>
      </c>
      <c r="W25" s="34">
        <f t="shared" si="17"/>
        <v>0</v>
      </c>
      <c r="X25" s="34">
        <f t="shared" si="17"/>
        <v>0</v>
      </c>
      <c r="Y25" s="34">
        <f t="shared" si="17"/>
        <v>12</v>
      </c>
      <c r="Z25" s="34">
        <f t="shared" si="17"/>
        <v>0</v>
      </c>
      <c r="AA25" s="34">
        <f t="shared" si="17"/>
        <v>0</v>
      </c>
      <c r="AB25" s="34">
        <f t="shared" si="17"/>
        <v>6</v>
      </c>
      <c r="AC25" s="34">
        <f t="shared" si="17"/>
        <v>0</v>
      </c>
      <c r="AD25" s="34">
        <f t="shared" si="17"/>
        <v>0</v>
      </c>
      <c r="AE25" s="31">
        <f t="shared" si="17"/>
        <v>25</v>
      </c>
      <c r="AF25" s="31">
        <f t="shared" si="17"/>
        <v>25</v>
      </c>
    </row>
    <row r="26" spans="2:32" ht="23.1" customHeight="1" x14ac:dyDescent="0.25">
      <c r="B26" s="45" t="s">
        <v>53</v>
      </c>
      <c r="C26" s="50">
        <v>1</v>
      </c>
      <c r="D26" s="50">
        <v>0</v>
      </c>
      <c r="E26" s="50">
        <v>0</v>
      </c>
      <c r="F26" s="50">
        <v>1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2</v>
      </c>
      <c r="N26" s="50">
        <v>0</v>
      </c>
      <c r="O26" s="15">
        <f t="shared" si="0"/>
        <v>4</v>
      </c>
      <c r="P26" s="15">
        <f t="shared" si="1"/>
        <v>6</v>
      </c>
      <c r="R26" s="36" t="s">
        <v>150</v>
      </c>
      <c r="S26" s="34">
        <f>SUM(C74:C77)</f>
        <v>1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1</v>
      </c>
      <c r="W26" s="34">
        <f t="shared" si="18"/>
        <v>0</v>
      </c>
      <c r="X26" s="34">
        <f t="shared" si="18"/>
        <v>1</v>
      </c>
      <c r="Y26" s="34">
        <f t="shared" si="18"/>
        <v>13</v>
      </c>
      <c r="Z26" s="34">
        <f t="shared" si="18"/>
        <v>1</v>
      </c>
      <c r="AA26" s="34">
        <f t="shared" si="18"/>
        <v>0</v>
      </c>
      <c r="AB26" s="34">
        <f t="shared" si="18"/>
        <v>1</v>
      </c>
      <c r="AC26" s="34">
        <f t="shared" si="18"/>
        <v>0</v>
      </c>
      <c r="AD26" s="34">
        <f t="shared" si="18"/>
        <v>0</v>
      </c>
      <c r="AE26" s="31">
        <f t="shared" si="18"/>
        <v>18</v>
      </c>
      <c r="AF26" s="31">
        <f t="shared" si="18"/>
        <v>18</v>
      </c>
    </row>
    <row r="27" spans="2:32" ht="23.1" customHeight="1" x14ac:dyDescent="0.25">
      <c r="B27" s="45" t="s">
        <v>54</v>
      </c>
      <c r="C27" s="50">
        <v>3</v>
      </c>
      <c r="D27" s="50">
        <v>0</v>
      </c>
      <c r="E27" s="50">
        <v>2</v>
      </c>
      <c r="F27" s="50">
        <v>4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1</v>
      </c>
      <c r="M27" s="50">
        <v>3</v>
      </c>
      <c r="N27" s="50">
        <v>0</v>
      </c>
      <c r="O27" s="15">
        <f t="shared" si="0"/>
        <v>12</v>
      </c>
      <c r="P27" s="15">
        <f t="shared" si="1"/>
        <v>15</v>
      </c>
      <c r="R27" s="36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3</v>
      </c>
      <c r="V27" s="34">
        <f t="shared" si="19"/>
        <v>0</v>
      </c>
      <c r="W27" s="34">
        <f t="shared" si="19"/>
        <v>0</v>
      </c>
      <c r="X27" s="34">
        <f t="shared" si="19"/>
        <v>2</v>
      </c>
      <c r="Y27" s="34">
        <f t="shared" si="19"/>
        <v>10</v>
      </c>
      <c r="Z27" s="34">
        <f t="shared" si="19"/>
        <v>0</v>
      </c>
      <c r="AA27" s="34">
        <f t="shared" si="19"/>
        <v>2</v>
      </c>
      <c r="AB27" s="34">
        <f t="shared" si="19"/>
        <v>1</v>
      </c>
      <c r="AC27" s="34">
        <f t="shared" si="19"/>
        <v>0</v>
      </c>
      <c r="AD27" s="34">
        <f t="shared" si="19"/>
        <v>0</v>
      </c>
      <c r="AE27" s="31">
        <f t="shared" si="19"/>
        <v>19</v>
      </c>
      <c r="AF27" s="31">
        <f t="shared" si="19"/>
        <v>19</v>
      </c>
    </row>
    <row r="28" spans="2:32" ht="23.1" customHeight="1" x14ac:dyDescent="0.25">
      <c r="B28" s="45" t="s">
        <v>55</v>
      </c>
      <c r="C28" s="50">
        <v>1</v>
      </c>
      <c r="D28" s="50">
        <v>0</v>
      </c>
      <c r="E28" s="50">
        <v>2</v>
      </c>
      <c r="F28" s="50">
        <v>2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1</v>
      </c>
      <c r="M28" s="50">
        <v>1</v>
      </c>
      <c r="N28" s="50">
        <v>0</v>
      </c>
      <c r="O28" s="15">
        <f t="shared" si="0"/>
        <v>7</v>
      </c>
      <c r="P28" s="15">
        <f t="shared" si="1"/>
        <v>8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3</v>
      </c>
      <c r="V28" s="34">
        <f t="shared" si="20"/>
        <v>0</v>
      </c>
      <c r="W28" s="34">
        <f t="shared" si="20"/>
        <v>0</v>
      </c>
      <c r="X28" s="34">
        <f t="shared" si="20"/>
        <v>2</v>
      </c>
      <c r="Y28" s="34">
        <f t="shared" si="20"/>
        <v>10</v>
      </c>
      <c r="Z28" s="34">
        <f t="shared" si="20"/>
        <v>0</v>
      </c>
      <c r="AA28" s="34">
        <f t="shared" si="20"/>
        <v>2</v>
      </c>
      <c r="AB28" s="34">
        <f t="shared" si="20"/>
        <v>1</v>
      </c>
      <c r="AC28" s="34">
        <f t="shared" si="20"/>
        <v>0</v>
      </c>
      <c r="AD28" s="34">
        <f t="shared" si="20"/>
        <v>0</v>
      </c>
      <c r="AE28" s="31">
        <f t="shared" si="20"/>
        <v>19</v>
      </c>
      <c r="AF28" s="31">
        <f t="shared" si="20"/>
        <v>19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0</v>
      </c>
      <c r="F29" s="50">
        <v>2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1</v>
      </c>
      <c r="M29" s="50">
        <v>1</v>
      </c>
      <c r="N29" s="50">
        <v>0</v>
      </c>
      <c r="O29" s="15">
        <f t="shared" si="0"/>
        <v>4</v>
      </c>
      <c r="P29" s="15">
        <f t="shared" si="1"/>
        <v>5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4</v>
      </c>
      <c r="Z29" s="34">
        <f t="shared" si="21"/>
        <v>0</v>
      </c>
      <c r="AA29" s="34">
        <f t="shared" si="21"/>
        <v>0</v>
      </c>
      <c r="AB29" s="34">
        <f t="shared" si="21"/>
        <v>6</v>
      </c>
      <c r="AC29" s="34">
        <f t="shared" si="21"/>
        <v>0</v>
      </c>
      <c r="AD29" s="34">
        <f t="shared" si="21"/>
        <v>0</v>
      </c>
      <c r="AE29" s="31">
        <f t="shared" si="21"/>
        <v>10</v>
      </c>
      <c r="AF29" s="31">
        <f t="shared" si="21"/>
        <v>10</v>
      </c>
    </row>
    <row r="30" spans="2:32" ht="23.1" customHeight="1" x14ac:dyDescent="0.25">
      <c r="B30" s="45" t="s">
        <v>57</v>
      </c>
      <c r="C30" s="50">
        <v>1</v>
      </c>
      <c r="D30" s="50">
        <v>0</v>
      </c>
      <c r="E30" s="50">
        <v>0</v>
      </c>
      <c r="F30" s="50">
        <v>2</v>
      </c>
      <c r="G30" s="50">
        <v>0</v>
      </c>
      <c r="H30" s="50">
        <v>1</v>
      </c>
      <c r="I30" s="50">
        <v>1</v>
      </c>
      <c r="J30" s="50">
        <v>0</v>
      </c>
      <c r="K30" s="50">
        <v>0</v>
      </c>
      <c r="L30" s="50">
        <v>0</v>
      </c>
      <c r="M30" s="50">
        <v>2</v>
      </c>
      <c r="N30" s="50">
        <v>0</v>
      </c>
      <c r="O30" s="15">
        <f t="shared" si="0"/>
        <v>5</v>
      </c>
      <c r="P30" s="15">
        <f t="shared" si="1"/>
        <v>7</v>
      </c>
      <c r="R30" s="36" t="s">
        <v>154</v>
      </c>
      <c r="S30" s="34">
        <f>SUM(C90:C93)</f>
        <v>2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1</v>
      </c>
      <c r="Y30" s="34">
        <f t="shared" si="22"/>
        <v>7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11</v>
      </c>
      <c r="AF30" s="31">
        <f t="shared" si="22"/>
        <v>11</v>
      </c>
    </row>
    <row r="31" spans="2:32" ht="23.1" customHeight="1" x14ac:dyDescent="0.25">
      <c r="B31" s="46" t="s">
        <v>58</v>
      </c>
      <c r="C31" s="50">
        <v>2</v>
      </c>
      <c r="D31" s="50">
        <v>0</v>
      </c>
      <c r="E31" s="50">
        <v>2</v>
      </c>
      <c r="F31" s="50">
        <v>1</v>
      </c>
      <c r="G31" s="50">
        <v>0</v>
      </c>
      <c r="H31" s="50">
        <v>1</v>
      </c>
      <c r="I31" s="50">
        <v>2</v>
      </c>
      <c r="J31" s="50">
        <v>3</v>
      </c>
      <c r="K31" s="50">
        <v>0</v>
      </c>
      <c r="L31" s="50">
        <v>0</v>
      </c>
      <c r="M31" s="50">
        <v>3</v>
      </c>
      <c r="N31" s="50">
        <v>0</v>
      </c>
      <c r="O31" s="15">
        <f t="shared" si="0"/>
        <v>11</v>
      </c>
      <c r="P31" s="15">
        <f t="shared" si="1"/>
        <v>14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3</v>
      </c>
      <c r="D32" s="50">
        <v>0</v>
      </c>
      <c r="E32" s="50">
        <v>3</v>
      </c>
      <c r="F32" s="50">
        <v>5</v>
      </c>
      <c r="G32" s="50">
        <v>0</v>
      </c>
      <c r="H32" s="50">
        <v>0</v>
      </c>
      <c r="I32" s="50">
        <v>4</v>
      </c>
      <c r="J32" s="50">
        <v>0</v>
      </c>
      <c r="K32" s="50">
        <v>0</v>
      </c>
      <c r="L32" s="50">
        <v>2</v>
      </c>
      <c r="M32" s="50">
        <v>3</v>
      </c>
      <c r="N32" s="50">
        <v>0</v>
      </c>
      <c r="O32" s="15">
        <f t="shared" si="0"/>
        <v>17</v>
      </c>
      <c r="P32" s="15">
        <f t="shared" si="1"/>
        <v>20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0</v>
      </c>
      <c r="AF32" s="31">
        <f t="shared" si="24"/>
        <v>0</v>
      </c>
    </row>
    <row r="33" spans="2:32" ht="23.1" customHeight="1" x14ac:dyDescent="0.25">
      <c r="B33" s="45" t="s">
        <v>60</v>
      </c>
      <c r="C33" s="50">
        <v>2</v>
      </c>
      <c r="D33" s="50">
        <v>0</v>
      </c>
      <c r="E33" s="50">
        <v>1</v>
      </c>
      <c r="F33" s="50">
        <v>2</v>
      </c>
      <c r="G33" s="50">
        <v>1</v>
      </c>
      <c r="H33" s="50">
        <v>2</v>
      </c>
      <c r="I33" s="50">
        <v>1</v>
      </c>
      <c r="J33" s="50">
        <v>0</v>
      </c>
      <c r="K33" s="50">
        <v>0</v>
      </c>
      <c r="L33" s="50">
        <v>1</v>
      </c>
      <c r="M33" s="50">
        <v>2</v>
      </c>
      <c r="N33" s="50">
        <v>0</v>
      </c>
      <c r="O33" s="15">
        <f t="shared" si="0"/>
        <v>10</v>
      </c>
      <c r="P33" s="15">
        <f t="shared" si="1"/>
        <v>12</v>
      </c>
      <c r="R33" s="33" t="s">
        <v>157</v>
      </c>
      <c r="S33" s="34">
        <f>SUM(C102:C105)</f>
        <v>1</v>
      </c>
      <c r="T33" s="34">
        <f t="shared" ref="T33:AF33" si="25">SUM(D102:D105)</f>
        <v>0</v>
      </c>
      <c r="U33" s="34">
        <f t="shared" si="25"/>
        <v>3</v>
      </c>
      <c r="V33" s="34">
        <f t="shared" si="25"/>
        <v>4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2</v>
      </c>
      <c r="AA33" s="34">
        <f t="shared" si="25"/>
        <v>0</v>
      </c>
      <c r="AB33" s="34">
        <f t="shared" si="25"/>
        <v>0</v>
      </c>
      <c r="AC33" s="34">
        <f t="shared" si="25"/>
        <v>0</v>
      </c>
      <c r="AD33" s="34">
        <f t="shared" si="25"/>
        <v>0</v>
      </c>
      <c r="AE33" s="31">
        <f t="shared" si="25"/>
        <v>10</v>
      </c>
      <c r="AF33" s="31">
        <f t="shared" si="25"/>
        <v>10</v>
      </c>
    </row>
    <row r="34" spans="2:32" ht="23.1" customHeight="1" x14ac:dyDescent="0.25">
      <c r="B34" s="46" t="s">
        <v>61</v>
      </c>
      <c r="C34" s="50">
        <v>3</v>
      </c>
      <c r="D34" s="50">
        <v>0</v>
      </c>
      <c r="E34" s="50">
        <v>2</v>
      </c>
      <c r="F34" s="50">
        <v>2</v>
      </c>
      <c r="G34" s="50">
        <v>0</v>
      </c>
      <c r="H34" s="50">
        <v>1</v>
      </c>
      <c r="I34" s="50">
        <v>1</v>
      </c>
      <c r="J34" s="50">
        <v>2</v>
      </c>
      <c r="K34" s="50">
        <v>0</v>
      </c>
      <c r="L34" s="50">
        <v>2</v>
      </c>
      <c r="M34" s="50">
        <v>0</v>
      </c>
      <c r="N34" s="50">
        <v>0</v>
      </c>
      <c r="O34" s="15">
        <f t="shared" si="0"/>
        <v>13</v>
      </c>
      <c r="P34" s="15">
        <f t="shared" si="1"/>
        <v>13</v>
      </c>
      <c r="R34" s="38" t="s">
        <v>90</v>
      </c>
      <c r="S34" s="39">
        <f t="shared" ref="S34:AF34" si="26">MAX(S10:S12)</f>
        <v>7</v>
      </c>
      <c r="T34" s="39">
        <f t="shared" si="26"/>
        <v>0</v>
      </c>
      <c r="U34" s="39">
        <f t="shared" si="26"/>
        <v>10</v>
      </c>
      <c r="V34" s="39">
        <f t="shared" si="26"/>
        <v>10</v>
      </c>
      <c r="W34" s="39">
        <f t="shared" si="26"/>
        <v>2</v>
      </c>
      <c r="X34" s="39">
        <f t="shared" si="26"/>
        <v>2</v>
      </c>
      <c r="Y34" s="39">
        <f t="shared" si="26"/>
        <v>9</v>
      </c>
      <c r="Z34" s="39">
        <f t="shared" si="26"/>
        <v>1</v>
      </c>
      <c r="AA34" s="39">
        <f t="shared" si="26"/>
        <v>0</v>
      </c>
      <c r="AB34" s="39">
        <f t="shared" si="26"/>
        <v>9</v>
      </c>
      <c r="AC34" s="39">
        <f t="shared" si="26"/>
        <v>11</v>
      </c>
      <c r="AD34" s="39">
        <f t="shared" si="26"/>
        <v>0</v>
      </c>
      <c r="AE34" s="40">
        <f t="shared" si="26"/>
        <v>42</v>
      </c>
      <c r="AF34" s="40">
        <f t="shared" si="26"/>
        <v>53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4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1</v>
      </c>
      <c r="M35" s="50">
        <v>1</v>
      </c>
      <c r="N35" s="50">
        <v>0</v>
      </c>
      <c r="O35" s="15">
        <f t="shared" si="0"/>
        <v>6</v>
      </c>
      <c r="P35" s="15">
        <f t="shared" si="1"/>
        <v>7</v>
      </c>
      <c r="R35" s="38" t="s">
        <v>91</v>
      </c>
      <c r="S35" s="39">
        <f t="shared" ref="S35:AF35" si="27">MAX(S13:S18)</f>
        <v>10</v>
      </c>
      <c r="T35" s="39">
        <f t="shared" si="27"/>
        <v>0</v>
      </c>
      <c r="U35" s="39">
        <f t="shared" si="27"/>
        <v>14</v>
      </c>
      <c r="V35" s="39">
        <f t="shared" si="27"/>
        <v>13</v>
      </c>
      <c r="W35" s="39">
        <f t="shared" si="27"/>
        <v>1</v>
      </c>
      <c r="X35" s="39">
        <f t="shared" si="27"/>
        <v>4</v>
      </c>
      <c r="Y35" s="39">
        <f t="shared" si="27"/>
        <v>8</v>
      </c>
      <c r="Z35" s="39">
        <f t="shared" si="27"/>
        <v>3</v>
      </c>
      <c r="AA35" s="39">
        <f t="shared" si="27"/>
        <v>0</v>
      </c>
      <c r="AB35" s="39">
        <f t="shared" si="27"/>
        <v>4</v>
      </c>
      <c r="AC35" s="39">
        <f t="shared" si="27"/>
        <v>11</v>
      </c>
      <c r="AD35" s="39">
        <f t="shared" si="27"/>
        <v>0</v>
      </c>
      <c r="AE35" s="40">
        <f t="shared" si="27"/>
        <v>43</v>
      </c>
      <c r="AF35" s="40">
        <f t="shared" si="27"/>
        <v>53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1</v>
      </c>
      <c r="F36" s="50">
        <v>2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2</v>
      </c>
      <c r="N36" s="50">
        <v>0</v>
      </c>
      <c r="O36" s="15">
        <f t="shared" si="0"/>
        <v>5</v>
      </c>
      <c r="P36" s="15">
        <f t="shared" si="1"/>
        <v>7</v>
      </c>
      <c r="R36" s="38" t="s">
        <v>92</v>
      </c>
      <c r="S36" s="39">
        <f t="shared" ref="S36:AF36" si="28">MAX(S19:S21)</f>
        <v>13</v>
      </c>
      <c r="T36" s="39">
        <f t="shared" si="28"/>
        <v>0</v>
      </c>
      <c r="U36" s="39">
        <f t="shared" si="28"/>
        <v>10</v>
      </c>
      <c r="V36" s="39">
        <f t="shared" si="28"/>
        <v>12</v>
      </c>
      <c r="W36" s="39">
        <f t="shared" si="28"/>
        <v>0</v>
      </c>
      <c r="X36" s="39">
        <f t="shared" si="28"/>
        <v>1</v>
      </c>
      <c r="Y36" s="39">
        <f t="shared" si="28"/>
        <v>6</v>
      </c>
      <c r="Z36" s="39">
        <f t="shared" si="28"/>
        <v>3</v>
      </c>
      <c r="AA36" s="39">
        <f t="shared" si="28"/>
        <v>0</v>
      </c>
      <c r="AB36" s="39">
        <f t="shared" si="28"/>
        <v>5</v>
      </c>
      <c r="AC36" s="39">
        <f t="shared" si="28"/>
        <v>5</v>
      </c>
      <c r="AD36" s="39">
        <f t="shared" si="28"/>
        <v>0</v>
      </c>
      <c r="AE36" s="40">
        <f t="shared" si="28"/>
        <v>44</v>
      </c>
      <c r="AF36" s="40">
        <f t="shared" si="28"/>
        <v>49</v>
      </c>
    </row>
    <row r="37" spans="2:32" ht="23.1" customHeight="1" x14ac:dyDescent="0.25">
      <c r="B37" s="45" t="s">
        <v>64</v>
      </c>
      <c r="C37" s="50">
        <v>2</v>
      </c>
      <c r="D37" s="50">
        <v>0</v>
      </c>
      <c r="E37" s="50">
        <v>1</v>
      </c>
      <c r="F37" s="50">
        <v>5</v>
      </c>
      <c r="G37" s="50">
        <v>0</v>
      </c>
      <c r="H37" s="50">
        <v>1</v>
      </c>
      <c r="I37" s="50">
        <v>0</v>
      </c>
      <c r="J37" s="50">
        <v>0</v>
      </c>
      <c r="K37" s="50">
        <v>0</v>
      </c>
      <c r="L37" s="50">
        <v>0</v>
      </c>
      <c r="M37" s="50">
        <v>5</v>
      </c>
      <c r="N37" s="50">
        <v>0</v>
      </c>
      <c r="O37" s="15">
        <f t="shared" si="0"/>
        <v>9</v>
      </c>
      <c r="P37" s="15">
        <f t="shared" si="1"/>
        <v>14</v>
      </c>
      <c r="R37" s="37" t="s">
        <v>85</v>
      </c>
      <c r="S37" s="35">
        <f t="shared" ref="S37:AF37" si="29">SUM(S10:S12)</f>
        <v>14</v>
      </c>
      <c r="T37" s="16">
        <f t="shared" si="29"/>
        <v>0</v>
      </c>
      <c r="U37" s="16">
        <f t="shared" si="29"/>
        <v>15</v>
      </c>
      <c r="V37" s="16">
        <f t="shared" si="29"/>
        <v>25</v>
      </c>
      <c r="W37" s="16">
        <f t="shared" si="29"/>
        <v>2</v>
      </c>
      <c r="X37" s="16">
        <f t="shared" si="29"/>
        <v>3</v>
      </c>
      <c r="Y37" s="16">
        <f t="shared" si="29"/>
        <v>13</v>
      </c>
      <c r="Z37" s="16">
        <f t="shared" si="29"/>
        <v>1</v>
      </c>
      <c r="AA37" s="16">
        <f t="shared" si="29"/>
        <v>0</v>
      </c>
      <c r="AB37" s="16">
        <f t="shared" si="29"/>
        <v>15</v>
      </c>
      <c r="AC37" s="16">
        <f t="shared" si="29"/>
        <v>23</v>
      </c>
      <c r="AD37" s="16">
        <f t="shared" si="29"/>
        <v>0</v>
      </c>
      <c r="AE37" s="32">
        <f t="shared" si="29"/>
        <v>88</v>
      </c>
      <c r="AF37" s="32">
        <f t="shared" si="29"/>
        <v>111</v>
      </c>
    </row>
    <row r="38" spans="2:32" ht="23.1" customHeight="1" x14ac:dyDescent="0.25">
      <c r="B38" s="46" t="s">
        <v>65</v>
      </c>
      <c r="C38" s="50">
        <v>2</v>
      </c>
      <c r="D38" s="50">
        <v>0</v>
      </c>
      <c r="E38" s="50">
        <v>4</v>
      </c>
      <c r="F38" s="50">
        <v>3</v>
      </c>
      <c r="G38" s="50">
        <v>0</v>
      </c>
      <c r="H38" s="50">
        <v>1</v>
      </c>
      <c r="I38" s="50">
        <v>0</v>
      </c>
      <c r="J38" s="50">
        <v>1</v>
      </c>
      <c r="K38" s="50">
        <v>0</v>
      </c>
      <c r="L38" s="50">
        <v>1</v>
      </c>
      <c r="M38" s="50">
        <v>2</v>
      </c>
      <c r="N38" s="50">
        <v>0</v>
      </c>
      <c r="O38" s="15">
        <f t="shared" si="0"/>
        <v>12</v>
      </c>
      <c r="P38" s="15">
        <f t="shared" si="1"/>
        <v>14</v>
      </c>
      <c r="R38" s="28" t="s">
        <v>86</v>
      </c>
      <c r="S38" s="16">
        <f t="shared" ref="S38:AF38" si="30">SUM(S13:S18)</f>
        <v>40</v>
      </c>
      <c r="T38" s="16">
        <f t="shared" si="30"/>
        <v>0</v>
      </c>
      <c r="U38" s="16">
        <f t="shared" si="30"/>
        <v>49</v>
      </c>
      <c r="V38" s="16">
        <f t="shared" si="30"/>
        <v>57</v>
      </c>
      <c r="W38" s="16">
        <f t="shared" si="30"/>
        <v>2</v>
      </c>
      <c r="X38" s="16">
        <f t="shared" si="30"/>
        <v>12</v>
      </c>
      <c r="Y38" s="16">
        <f t="shared" si="30"/>
        <v>28</v>
      </c>
      <c r="Z38" s="16">
        <f t="shared" si="30"/>
        <v>11</v>
      </c>
      <c r="AA38" s="16">
        <f t="shared" si="30"/>
        <v>0</v>
      </c>
      <c r="AB38" s="16">
        <f t="shared" si="30"/>
        <v>17</v>
      </c>
      <c r="AC38" s="16">
        <f t="shared" si="30"/>
        <v>47</v>
      </c>
      <c r="AD38" s="16">
        <f t="shared" si="30"/>
        <v>0</v>
      </c>
      <c r="AE38" s="32">
        <f t="shared" si="30"/>
        <v>216</v>
      </c>
      <c r="AF38" s="32">
        <f t="shared" si="30"/>
        <v>263</v>
      </c>
    </row>
    <row r="39" spans="2:32" ht="23.1" customHeight="1" x14ac:dyDescent="0.25">
      <c r="B39" s="46" t="s">
        <v>66</v>
      </c>
      <c r="C39" s="50">
        <v>2</v>
      </c>
      <c r="D39" s="50">
        <v>0</v>
      </c>
      <c r="E39" s="50">
        <v>0</v>
      </c>
      <c r="F39" s="50">
        <v>1</v>
      </c>
      <c r="G39" s="50">
        <v>0</v>
      </c>
      <c r="H39" s="50">
        <v>1</v>
      </c>
      <c r="I39" s="50">
        <v>0</v>
      </c>
      <c r="J39" s="50">
        <v>0</v>
      </c>
      <c r="K39" s="50">
        <v>0</v>
      </c>
      <c r="L39" s="50">
        <v>2</v>
      </c>
      <c r="M39" s="50">
        <v>2</v>
      </c>
      <c r="N39" s="50">
        <v>0</v>
      </c>
      <c r="O39" s="15">
        <f t="shared" si="0"/>
        <v>6</v>
      </c>
      <c r="P39" s="15">
        <f t="shared" si="1"/>
        <v>8</v>
      </c>
      <c r="R39" s="29" t="s">
        <v>87</v>
      </c>
      <c r="S39" s="16">
        <f t="shared" ref="S39:AF39" si="31">SUM(S19:S21)</f>
        <v>26</v>
      </c>
      <c r="T39" s="16">
        <f t="shared" si="31"/>
        <v>0</v>
      </c>
      <c r="U39" s="16">
        <f t="shared" si="31"/>
        <v>22</v>
      </c>
      <c r="V39" s="16">
        <f t="shared" si="31"/>
        <v>17</v>
      </c>
      <c r="W39" s="16">
        <f t="shared" si="31"/>
        <v>0</v>
      </c>
      <c r="X39" s="16">
        <f t="shared" si="31"/>
        <v>3</v>
      </c>
      <c r="Y39" s="16">
        <f t="shared" si="31"/>
        <v>10</v>
      </c>
      <c r="Z39" s="16">
        <f t="shared" si="31"/>
        <v>3</v>
      </c>
      <c r="AA39" s="16">
        <f t="shared" si="31"/>
        <v>0</v>
      </c>
      <c r="AB39" s="16">
        <f t="shared" si="31"/>
        <v>10</v>
      </c>
      <c r="AC39" s="16">
        <f t="shared" si="31"/>
        <v>7</v>
      </c>
      <c r="AD39" s="16">
        <f t="shared" si="31"/>
        <v>0</v>
      </c>
      <c r="AE39" s="32">
        <f t="shared" si="31"/>
        <v>91</v>
      </c>
      <c r="AF39" s="32">
        <f t="shared" si="31"/>
        <v>98</v>
      </c>
    </row>
    <row r="40" spans="2:32" ht="23.1" customHeight="1" x14ac:dyDescent="0.25">
      <c r="B40" s="46" t="s">
        <v>67</v>
      </c>
      <c r="C40" s="50">
        <v>1</v>
      </c>
      <c r="D40" s="50">
        <v>0</v>
      </c>
      <c r="E40" s="50">
        <v>1</v>
      </c>
      <c r="F40" s="50">
        <v>2</v>
      </c>
      <c r="G40" s="50">
        <v>0</v>
      </c>
      <c r="H40" s="50">
        <v>0</v>
      </c>
      <c r="I40" s="50">
        <v>1</v>
      </c>
      <c r="J40" s="50">
        <v>1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6</v>
      </c>
      <c r="P40" s="15">
        <f t="shared" si="1"/>
        <v>9</v>
      </c>
      <c r="R40" s="5" t="s">
        <v>17</v>
      </c>
      <c r="S40" s="16">
        <f t="shared" ref="S40:AF40" si="32">SUM(S10:S21)</f>
        <v>80</v>
      </c>
      <c r="T40" s="16">
        <f t="shared" si="32"/>
        <v>0</v>
      </c>
      <c r="U40" s="16">
        <f t="shared" si="32"/>
        <v>86</v>
      </c>
      <c r="V40" s="16">
        <f t="shared" si="32"/>
        <v>99</v>
      </c>
      <c r="W40" s="16">
        <f t="shared" si="32"/>
        <v>4</v>
      </c>
      <c r="X40" s="16">
        <f t="shared" si="32"/>
        <v>18</v>
      </c>
      <c r="Y40" s="16">
        <f t="shared" si="32"/>
        <v>51</v>
      </c>
      <c r="Z40" s="16">
        <f t="shared" si="32"/>
        <v>15</v>
      </c>
      <c r="AA40" s="16">
        <f t="shared" si="32"/>
        <v>0</v>
      </c>
      <c r="AB40" s="16">
        <f t="shared" si="32"/>
        <v>42</v>
      </c>
      <c r="AC40" s="16">
        <f t="shared" si="32"/>
        <v>77</v>
      </c>
      <c r="AD40" s="16">
        <f t="shared" si="32"/>
        <v>0</v>
      </c>
      <c r="AE40" s="32">
        <f t="shared" si="32"/>
        <v>395</v>
      </c>
      <c r="AF40" s="32">
        <f t="shared" si="32"/>
        <v>472</v>
      </c>
    </row>
    <row r="41" spans="2:32" ht="23.1" customHeight="1" x14ac:dyDescent="0.25">
      <c r="B41" s="45" t="s">
        <v>68</v>
      </c>
      <c r="C41" s="50">
        <v>2</v>
      </c>
      <c r="D41" s="50">
        <v>0</v>
      </c>
      <c r="E41" s="50">
        <v>5</v>
      </c>
      <c r="F41" s="50">
        <v>2</v>
      </c>
      <c r="G41" s="50">
        <v>1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4</v>
      </c>
      <c r="N41" s="50">
        <v>0</v>
      </c>
      <c r="O41" s="15">
        <f t="shared" si="0"/>
        <v>11</v>
      </c>
      <c r="P41" s="15">
        <f t="shared" si="1"/>
        <v>15</v>
      </c>
      <c r="R41" s="5" t="s">
        <v>159</v>
      </c>
      <c r="S41" s="16">
        <f>SUM(S10:S33)</f>
        <v>98</v>
      </c>
      <c r="T41" s="16">
        <f t="shared" ref="T41:AF41" si="33">SUM(T10:T33)</f>
        <v>0</v>
      </c>
      <c r="U41" s="16">
        <f t="shared" si="33"/>
        <v>115</v>
      </c>
      <c r="V41" s="16">
        <f t="shared" si="33"/>
        <v>111</v>
      </c>
      <c r="W41" s="16">
        <f t="shared" si="33"/>
        <v>4</v>
      </c>
      <c r="X41" s="16">
        <f t="shared" si="33"/>
        <v>26</v>
      </c>
      <c r="Y41" s="16">
        <f t="shared" si="33"/>
        <v>129</v>
      </c>
      <c r="Z41" s="16">
        <f t="shared" si="33"/>
        <v>20</v>
      </c>
      <c r="AA41" s="16">
        <f t="shared" si="33"/>
        <v>4</v>
      </c>
      <c r="AB41" s="16">
        <f t="shared" si="33"/>
        <v>67</v>
      </c>
      <c r="AC41" s="16">
        <f t="shared" si="33"/>
        <v>78</v>
      </c>
      <c r="AD41" s="16">
        <f t="shared" si="33"/>
        <v>0</v>
      </c>
      <c r="AE41" s="32">
        <f t="shared" si="33"/>
        <v>574</v>
      </c>
      <c r="AF41" s="32">
        <f t="shared" si="33"/>
        <v>652</v>
      </c>
    </row>
    <row r="42" spans="2:32" ht="23.1" customHeight="1" x14ac:dyDescent="0.25">
      <c r="B42" s="46" t="s">
        <v>69</v>
      </c>
      <c r="C42" s="50">
        <v>4</v>
      </c>
      <c r="D42" s="50">
        <v>0</v>
      </c>
      <c r="E42" s="50">
        <v>2</v>
      </c>
      <c r="F42" s="50">
        <v>3</v>
      </c>
      <c r="G42" s="50">
        <v>0</v>
      </c>
      <c r="H42" s="50">
        <v>1</v>
      </c>
      <c r="I42" s="50">
        <v>1</v>
      </c>
      <c r="J42" s="50">
        <v>0</v>
      </c>
      <c r="K42" s="50">
        <v>0</v>
      </c>
      <c r="L42" s="50">
        <v>0</v>
      </c>
      <c r="M42" s="50">
        <v>3</v>
      </c>
      <c r="N42" s="50">
        <v>0</v>
      </c>
      <c r="O42" s="15">
        <f t="shared" si="0"/>
        <v>11</v>
      </c>
      <c r="P42" s="15">
        <f t="shared" si="1"/>
        <v>14</v>
      </c>
      <c r="R42" s="5" t="s">
        <v>160</v>
      </c>
      <c r="S42" s="48">
        <f>S41/S40</f>
        <v>1.2250000000000001</v>
      </c>
      <c r="T42" s="48" t="e">
        <f t="shared" ref="T42:AF42" si="34">T41/T40</f>
        <v>#DIV/0!</v>
      </c>
      <c r="U42" s="48">
        <f t="shared" si="34"/>
        <v>1.3372093023255813</v>
      </c>
      <c r="V42" s="48">
        <f t="shared" si="34"/>
        <v>1.1212121212121211</v>
      </c>
      <c r="W42" s="48">
        <f t="shared" si="34"/>
        <v>1</v>
      </c>
      <c r="X42" s="48">
        <f t="shared" si="34"/>
        <v>1.4444444444444444</v>
      </c>
      <c r="Y42" s="48">
        <f t="shared" si="34"/>
        <v>2.5294117647058822</v>
      </c>
      <c r="Z42" s="48">
        <f t="shared" si="34"/>
        <v>1.3333333333333333</v>
      </c>
      <c r="AA42" s="48" t="e">
        <f t="shared" si="34"/>
        <v>#DIV/0!</v>
      </c>
      <c r="AB42" s="48">
        <f t="shared" si="34"/>
        <v>1.5952380952380953</v>
      </c>
      <c r="AC42" s="48">
        <f t="shared" si="34"/>
        <v>1.0129870129870129</v>
      </c>
      <c r="AD42" s="48" t="e">
        <f t="shared" si="34"/>
        <v>#DIV/0!</v>
      </c>
      <c r="AE42" s="48">
        <f t="shared" si="34"/>
        <v>1.4531645569620253</v>
      </c>
      <c r="AF42" s="48">
        <f t="shared" si="34"/>
        <v>1.3813559322033899</v>
      </c>
    </row>
    <row r="43" spans="2:32" ht="23.1" customHeight="1" x14ac:dyDescent="0.25">
      <c r="B43" s="45" t="s">
        <v>70</v>
      </c>
      <c r="C43" s="50">
        <v>1</v>
      </c>
      <c r="D43" s="50">
        <v>0</v>
      </c>
      <c r="E43" s="50">
        <v>4</v>
      </c>
      <c r="F43" s="50">
        <v>2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1</v>
      </c>
      <c r="M43" s="50">
        <v>3</v>
      </c>
      <c r="N43" s="50">
        <v>0</v>
      </c>
      <c r="O43" s="15">
        <f t="shared" si="0"/>
        <v>11</v>
      </c>
      <c r="P43" s="15">
        <f t="shared" si="1"/>
        <v>14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3</v>
      </c>
      <c r="F44" s="50">
        <v>2</v>
      </c>
      <c r="G44" s="50">
        <v>0</v>
      </c>
      <c r="H44" s="50">
        <v>1</v>
      </c>
      <c r="I44" s="50">
        <v>0</v>
      </c>
      <c r="J44" s="50">
        <v>0</v>
      </c>
      <c r="K44" s="50">
        <v>0</v>
      </c>
      <c r="L44" s="50">
        <v>0</v>
      </c>
      <c r="M44" s="50">
        <v>2</v>
      </c>
      <c r="N44" s="50">
        <v>0</v>
      </c>
      <c r="O44" s="15">
        <f t="shared" si="0"/>
        <v>6</v>
      </c>
      <c r="P44" s="15">
        <f t="shared" si="1"/>
        <v>8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5</v>
      </c>
      <c r="F45" s="50">
        <v>3</v>
      </c>
      <c r="G45" s="50">
        <v>0</v>
      </c>
      <c r="H45" s="50">
        <v>1</v>
      </c>
      <c r="I45" s="50">
        <v>3</v>
      </c>
      <c r="J45" s="50">
        <v>1</v>
      </c>
      <c r="K45" s="50">
        <v>0</v>
      </c>
      <c r="L45" s="50">
        <v>0</v>
      </c>
      <c r="M45" s="50">
        <v>1</v>
      </c>
      <c r="N45" s="50">
        <v>0</v>
      </c>
      <c r="O45" s="15">
        <f t="shared" si="0"/>
        <v>13</v>
      </c>
      <c r="P45" s="15">
        <f t="shared" si="1"/>
        <v>14</v>
      </c>
    </row>
    <row r="46" spans="2:32" ht="23.1" customHeight="1" x14ac:dyDescent="0.25">
      <c r="B46" s="46" t="s">
        <v>73</v>
      </c>
      <c r="C46" s="50">
        <v>6</v>
      </c>
      <c r="D46" s="50">
        <v>0</v>
      </c>
      <c r="E46" s="50">
        <v>5</v>
      </c>
      <c r="F46" s="50">
        <v>9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3</v>
      </c>
      <c r="N46" s="50">
        <v>0</v>
      </c>
      <c r="O46" s="15">
        <f t="shared" si="0"/>
        <v>22</v>
      </c>
      <c r="P46" s="15">
        <f t="shared" si="1"/>
        <v>25</v>
      </c>
      <c r="R46" s="8"/>
      <c r="T46"/>
    </row>
    <row r="47" spans="2:32" ht="23.1" customHeight="1" x14ac:dyDescent="0.25">
      <c r="B47" s="46" t="s">
        <v>74</v>
      </c>
      <c r="C47" s="50">
        <v>5</v>
      </c>
      <c r="D47" s="50">
        <v>0</v>
      </c>
      <c r="E47" s="50">
        <v>1</v>
      </c>
      <c r="F47" s="50">
        <v>2</v>
      </c>
      <c r="G47" s="50">
        <v>0</v>
      </c>
      <c r="H47" s="50">
        <v>0</v>
      </c>
      <c r="I47" s="50">
        <v>4</v>
      </c>
      <c r="J47" s="50">
        <v>0</v>
      </c>
      <c r="K47" s="50">
        <v>0</v>
      </c>
      <c r="L47" s="50">
        <v>0</v>
      </c>
      <c r="M47" s="50">
        <v>1</v>
      </c>
      <c r="N47" s="50">
        <v>0</v>
      </c>
      <c r="O47" s="15">
        <f t="shared" si="0"/>
        <v>12</v>
      </c>
      <c r="P47" s="15">
        <f t="shared" si="1"/>
        <v>13</v>
      </c>
      <c r="R47" s="8"/>
      <c r="T47"/>
    </row>
    <row r="48" spans="2:32" ht="23.1" customHeight="1" x14ac:dyDescent="0.25">
      <c r="B48" s="46" t="s">
        <v>75</v>
      </c>
      <c r="C48" s="50">
        <v>1</v>
      </c>
      <c r="D48" s="50">
        <v>0</v>
      </c>
      <c r="E48" s="50">
        <v>3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2</v>
      </c>
      <c r="M48" s="50">
        <v>1</v>
      </c>
      <c r="N48" s="50">
        <v>0</v>
      </c>
      <c r="O48" s="15">
        <f t="shared" si="0"/>
        <v>7</v>
      </c>
      <c r="P48" s="15">
        <f t="shared" si="1"/>
        <v>8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0</v>
      </c>
      <c r="E49" s="50">
        <v>1</v>
      </c>
      <c r="F49" s="50">
        <v>0</v>
      </c>
      <c r="G49" s="50">
        <v>0</v>
      </c>
      <c r="H49" s="50">
        <v>1</v>
      </c>
      <c r="I49" s="50">
        <v>0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3</v>
      </c>
      <c r="P49" s="15">
        <f t="shared" si="1"/>
        <v>3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1</v>
      </c>
      <c r="M50" s="50">
        <v>0</v>
      </c>
      <c r="N50" s="50">
        <v>0</v>
      </c>
      <c r="O50" s="15">
        <f t="shared" si="0"/>
        <v>4</v>
      </c>
      <c r="P50" s="15">
        <f t="shared" si="1"/>
        <v>4</v>
      </c>
      <c r="R50" s="8"/>
      <c r="T50"/>
    </row>
    <row r="51" spans="2:20" ht="23.1" customHeight="1" x14ac:dyDescent="0.25">
      <c r="B51" s="46" t="s">
        <v>78</v>
      </c>
      <c r="C51" s="50">
        <v>5</v>
      </c>
      <c r="D51" s="50">
        <v>0</v>
      </c>
      <c r="E51" s="50">
        <v>4</v>
      </c>
      <c r="F51" s="50">
        <v>1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3</v>
      </c>
      <c r="M51" s="50">
        <v>0</v>
      </c>
      <c r="N51" s="50">
        <v>0</v>
      </c>
      <c r="O51" s="15">
        <f t="shared" si="0"/>
        <v>14</v>
      </c>
      <c r="P51" s="15">
        <f t="shared" si="1"/>
        <v>14</v>
      </c>
      <c r="R51" s="8"/>
      <c r="T51"/>
    </row>
    <row r="52" spans="2:20" ht="23.1" customHeight="1" x14ac:dyDescent="0.25">
      <c r="B52" s="46" t="s">
        <v>79</v>
      </c>
      <c r="C52" s="50">
        <v>3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1</v>
      </c>
      <c r="M52" s="50">
        <v>0</v>
      </c>
      <c r="N52" s="50">
        <v>0</v>
      </c>
      <c r="O52" s="15">
        <f t="shared" si="0"/>
        <v>6</v>
      </c>
      <c r="P52" s="15">
        <f t="shared" si="1"/>
        <v>6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0</v>
      </c>
      <c r="F53" s="50">
        <v>1</v>
      </c>
      <c r="G53" s="50">
        <v>0</v>
      </c>
      <c r="H53" s="50">
        <v>1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2</v>
      </c>
      <c r="P53" s="15">
        <f t="shared" si="1"/>
        <v>2</v>
      </c>
      <c r="R53" s="8"/>
      <c r="T53"/>
    </row>
    <row r="54" spans="2:20" ht="23.1" customHeight="1" x14ac:dyDescent="0.25">
      <c r="B54" s="45" t="s">
        <v>81</v>
      </c>
      <c r="C54" s="50">
        <v>2</v>
      </c>
      <c r="D54" s="50">
        <v>0</v>
      </c>
      <c r="E54" s="50">
        <v>3</v>
      </c>
      <c r="F54" s="50">
        <v>1</v>
      </c>
      <c r="G54" s="50">
        <v>0</v>
      </c>
      <c r="H54" s="50">
        <v>1</v>
      </c>
      <c r="I54" s="50">
        <v>0</v>
      </c>
      <c r="J54" s="50">
        <v>1</v>
      </c>
      <c r="K54" s="50">
        <v>0</v>
      </c>
      <c r="L54" s="50">
        <v>1</v>
      </c>
      <c r="M54" s="50">
        <v>0</v>
      </c>
      <c r="N54" s="50">
        <v>0</v>
      </c>
      <c r="O54" s="15">
        <f t="shared" si="0"/>
        <v>9</v>
      </c>
      <c r="P54" s="15">
        <f t="shared" si="1"/>
        <v>9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2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</v>
      </c>
      <c r="N55" s="50">
        <v>0</v>
      </c>
      <c r="O55" s="15">
        <f t="shared" si="0"/>
        <v>3</v>
      </c>
      <c r="P55" s="15">
        <f t="shared" si="1"/>
        <v>4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1</v>
      </c>
      <c r="J56" s="50">
        <v>2</v>
      </c>
      <c r="K56" s="50">
        <v>0</v>
      </c>
      <c r="L56" s="50">
        <v>1</v>
      </c>
      <c r="M56" s="50">
        <v>0</v>
      </c>
      <c r="N56" s="50">
        <v>0</v>
      </c>
      <c r="O56" s="15">
        <f t="shared" si="0"/>
        <v>6</v>
      </c>
      <c r="P56" s="15">
        <f t="shared" si="1"/>
        <v>6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1</v>
      </c>
      <c r="M57" s="50">
        <v>1</v>
      </c>
      <c r="N57" s="50">
        <v>0</v>
      </c>
      <c r="O57" s="15">
        <f t="shared" si="0"/>
        <v>3</v>
      </c>
      <c r="P57" s="15">
        <f t="shared" si="1"/>
        <v>4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1</v>
      </c>
      <c r="F58" s="50">
        <v>1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1</v>
      </c>
      <c r="M58" s="50">
        <v>0</v>
      </c>
      <c r="N58" s="50">
        <v>0</v>
      </c>
      <c r="O58" s="15">
        <f t="shared" ref="O58:O105" si="35">SUM(C58:L58,N58)</f>
        <v>4</v>
      </c>
      <c r="P58" s="15">
        <f t="shared" ref="P58:P105" si="36">SUM(C58:N58)</f>
        <v>4</v>
      </c>
      <c r="R58" s="8"/>
      <c r="T58"/>
    </row>
    <row r="59" spans="2:20" ht="23.1" customHeight="1" x14ac:dyDescent="0.25">
      <c r="B59" s="45" t="s">
        <v>100</v>
      </c>
      <c r="C59" s="50">
        <v>2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</v>
      </c>
      <c r="N59" s="50">
        <v>0</v>
      </c>
      <c r="O59" s="15">
        <f t="shared" si="35"/>
        <v>2</v>
      </c>
      <c r="P59" s="15">
        <f t="shared" si="36"/>
        <v>3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1</v>
      </c>
      <c r="F60" s="50">
        <v>0</v>
      </c>
      <c r="G60" s="50">
        <v>0</v>
      </c>
      <c r="H60" s="50">
        <v>0</v>
      </c>
      <c r="I60" s="50">
        <v>1</v>
      </c>
      <c r="J60" s="50">
        <v>0</v>
      </c>
      <c r="K60" s="50">
        <v>0</v>
      </c>
      <c r="L60" s="50">
        <v>0</v>
      </c>
      <c r="M60" s="50">
        <v>0</v>
      </c>
      <c r="N60" s="50">
        <v>0</v>
      </c>
      <c r="O60" s="15">
        <f t="shared" si="35"/>
        <v>2</v>
      </c>
      <c r="P60" s="15">
        <f t="shared" si="36"/>
        <v>2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0</v>
      </c>
      <c r="N61" s="50">
        <v>0</v>
      </c>
      <c r="O61" s="15">
        <f t="shared" si="35"/>
        <v>2</v>
      </c>
      <c r="P61" s="15">
        <f t="shared" si="36"/>
        <v>2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2</v>
      </c>
      <c r="F62" s="50">
        <v>2</v>
      </c>
      <c r="G62" s="50">
        <v>0</v>
      </c>
      <c r="H62" s="50">
        <v>0</v>
      </c>
      <c r="I62" s="50">
        <v>1</v>
      </c>
      <c r="J62" s="50">
        <v>0</v>
      </c>
      <c r="K62" s="50">
        <v>0</v>
      </c>
      <c r="L62" s="50">
        <v>0</v>
      </c>
      <c r="M62" s="50">
        <v>0</v>
      </c>
      <c r="N62" s="50">
        <v>0</v>
      </c>
      <c r="O62" s="15">
        <f t="shared" si="35"/>
        <v>5</v>
      </c>
      <c r="P62" s="15">
        <f t="shared" si="36"/>
        <v>5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4</v>
      </c>
      <c r="F63" s="50">
        <v>2</v>
      </c>
      <c r="G63" s="50">
        <v>0</v>
      </c>
      <c r="H63" s="50">
        <v>0</v>
      </c>
      <c r="I63" s="50">
        <v>2</v>
      </c>
      <c r="J63" s="50">
        <v>0</v>
      </c>
      <c r="K63" s="50">
        <v>0</v>
      </c>
      <c r="L63" s="50">
        <v>0</v>
      </c>
      <c r="M63" s="50">
        <v>0</v>
      </c>
      <c r="N63" s="50">
        <v>0</v>
      </c>
      <c r="O63" s="15">
        <f t="shared" si="35"/>
        <v>8</v>
      </c>
      <c r="P63" s="15">
        <f t="shared" si="36"/>
        <v>8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0</v>
      </c>
      <c r="N64" s="50">
        <v>0</v>
      </c>
      <c r="O64" s="15">
        <f t="shared" si="35"/>
        <v>0</v>
      </c>
      <c r="P64" s="15">
        <f t="shared" si="36"/>
        <v>0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0</v>
      </c>
      <c r="E65" s="50">
        <v>5</v>
      </c>
      <c r="F65" s="50">
        <v>0</v>
      </c>
      <c r="G65" s="50">
        <v>0</v>
      </c>
      <c r="H65" s="50">
        <v>1</v>
      </c>
      <c r="I65" s="50">
        <v>2</v>
      </c>
      <c r="J65" s="50">
        <v>0</v>
      </c>
      <c r="K65" s="50">
        <v>0</v>
      </c>
      <c r="L65" s="50">
        <v>4</v>
      </c>
      <c r="M65" s="50">
        <v>0</v>
      </c>
      <c r="N65" s="50">
        <v>0</v>
      </c>
      <c r="O65" s="15">
        <f t="shared" si="35"/>
        <v>13</v>
      </c>
      <c r="P65" s="15">
        <f t="shared" si="36"/>
        <v>13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5</v>
      </c>
      <c r="J66" s="50">
        <v>0</v>
      </c>
      <c r="K66" s="50">
        <v>0</v>
      </c>
      <c r="L66" s="50">
        <v>2</v>
      </c>
      <c r="M66" s="50">
        <v>0</v>
      </c>
      <c r="N66" s="50">
        <v>0</v>
      </c>
      <c r="O66" s="15">
        <f t="shared" si="35"/>
        <v>8</v>
      </c>
      <c r="P66" s="15">
        <f t="shared" si="36"/>
        <v>8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4</v>
      </c>
      <c r="F67" s="50">
        <v>0</v>
      </c>
      <c r="G67" s="50">
        <v>0</v>
      </c>
      <c r="H67" s="50">
        <v>0</v>
      </c>
      <c r="I67" s="50">
        <v>4</v>
      </c>
      <c r="J67" s="50">
        <v>0</v>
      </c>
      <c r="K67" s="50">
        <v>0</v>
      </c>
      <c r="L67" s="50">
        <v>0</v>
      </c>
      <c r="M67" s="50">
        <v>0</v>
      </c>
      <c r="N67" s="50">
        <v>0</v>
      </c>
      <c r="O67" s="15">
        <f t="shared" si="35"/>
        <v>8</v>
      </c>
      <c r="P67" s="15">
        <f t="shared" si="36"/>
        <v>8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4</v>
      </c>
      <c r="J68" s="50">
        <v>1</v>
      </c>
      <c r="K68" s="50">
        <v>0</v>
      </c>
      <c r="L68" s="50">
        <v>2</v>
      </c>
      <c r="M68" s="50">
        <v>0</v>
      </c>
      <c r="N68" s="50">
        <v>0</v>
      </c>
      <c r="O68" s="15">
        <f t="shared" si="35"/>
        <v>7</v>
      </c>
      <c r="P68" s="15">
        <f t="shared" si="36"/>
        <v>7</v>
      </c>
      <c r="R68" s="8"/>
      <c r="T68"/>
    </row>
    <row r="69" spans="2:20" ht="23.1" customHeight="1" x14ac:dyDescent="0.25">
      <c r="B69" s="45" t="s">
        <v>106</v>
      </c>
      <c r="C69" s="50">
        <v>1</v>
      </c>
      <c r="D69" s="50">
        <v>0</v>
      </c>
      <c r="E69" s="50">
        <v>1</v>
      </c>
      <c r="F69" s="50">
        <v>0</v>
      </c>
      <c r="G69" s="50">
        <v>0</v>
      </c>
      <c r="H69" s="50">
        <v>1</v>
      </c>
      <c r="I69" s="50">
        <v>3</v>
      </c>
      <c r="J69" s="50">
        <v>1</v>
      </c>
      <c r="K69" s="50">
        <v>0</v>
      </c>
      <c r="L69" s="50">
        <v>1</v>
      </c>
      <c r="M69" s="50">
        <v>0</v>
      </c>
      <c r="N69" s="50">
        <v>0</v>
      </c>
      <c r="O69" s="15">
        <f t="shared" si="35"/>
        <v>8</v>
      </c>
      <c r="P69" s="15">
        <f t="shared" si="36"/>
        <v>8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2</v>
      </c>
      <c r="J70" s="50">
        <v>0</v>
      </c>
      <c r="K70" s="50">
        <v>0</v>
      </c>
      <c r="L70" s="50">
        <v>2</v>
      </c>
      <c r="M70" s="50">
        <v>0</v>
      </c>
      <c r="N70" s="50">
        <v>0</v>
      </c>
      <c r="O70" s="15">
        <f t="shared" si="35"/>
        <v>5</v>
      </c>
      <c r="P70" s="15">
        <f t="shared" si="36"/>
        <v>5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2</v>
      </c>
      <c r="J71" s="50">
        <v>0</v>
      </c>
      <c r="K71" s="50">
        <v>0</v>
      </c>
      <c r="L71" s="50">
        <v>3</v>
      </c>
      <c r="M71" s="50">
        <v>0</v>
      </c>
      <c r="N71" s="50">
        <v>0</v>
      </c>
      <c r="O71" s="15">
        <f t="shared" si="35"/>
        <v>6</v>
      </c>
      <c r="P71" s="15">
        <f t="shared" si="36"/>
        <v>6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0</v>
      </c>
      <c r="E72" s="50">
        <v>1</v>
      </c>
      <c r="F72" s="50">
        <v>0</v>
      </c>
      <c r="G72" s="50">
        <v>0</v>
      </c>
      <c r="H72" s="50">
        <v>0</v>
      </c>
      <c r="I72" s="50">
        <v>5</v>
      </c>
      <c r="J72" s="50">
        <v>0</v>
      </c>
      <c r="K72" s="50">
        <v>0</v>
      </c>
      <c r="L72" s="50">
        <v>0</v>
      </c>
      <c r="M72" s="50">
        <v>0</v>
      </c>
      <c r="N72" s="50">
        <v>0</v>
      </c>
      <c r="O72" s="15">
        <f t="shared" si="35"/>
        <v>8</v>
      </c>
      <c r="P72" s="15">
        <f t="shared" si="36"/>
        <v>8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2</v>
      </c>
      <c r="G73" s="50">
        <v>0</v>
      </c>
      <c r="H73" s="50">
        <v>0</v>
      </c>
      <c r="I73" s="50">
        <v>3</v>
      </c>
      <c r="J73" s="50">
        <v>0</v>
      </c>
      <c r="K73" s="50">
        <v>0</v>
      </c>
      <c r="L73" s="50">
        <v>1</v>
      </c>
      <c r="M73" s="50">
        <v>0</v>
      </c>
      <c r="N73" s="50">
        <v>0</v>
      </c>
      <c r="O73" s="15">
        <f t="shared" si="35"/>
        <v>6</v>
      </c>
      <c r="P73" s="15">
        <f t="shared" si="36"/>
        <v>6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3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si="35"/>
        <v>3</v>
      </c>
      <c r="P74" s="15">
        <f t="shared" si="36"/>
        <v>3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1</v>
      </c>
      <c r="G75" s="50">
        <v>0</v>
      </c>
      <c r="H75" s="50">
        <v>0</v>
      </c>
      <c r="I75" s="50">
        <v>3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4</v>
      </c>
      <c r="P75" s="15">
        <f t="shared" si="36"/>
        <v>4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4</v>
      </c>
      <c r="J76" s="50">
        <v>0</v>
      </c>
      <c r="K76" s="50">
        <v>0</v>
      </c>
      <c r="L76" s="50">
        <v>1</v>
      </c>
      <c r="M76" s="50">
        <v>0</v>
      </c>
      <c r="N76" s="50">
        <v>0</v>
      </c>
      <c r="O76" s="15">
        <f t="shared" si="35"/>
        <v>6</v>
      </c>
      <c r="P76" s="15">
        <f t="shared" si="36"/>
        <v>6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1</v>
      </c>
      <c r="I77" s="50">
        <v>3</v>
      </c>
      <c r="J77" s="50">
        <v>1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5</v>
      </c>
      <c r="P77" s="15">
        <f t="shared" si="36"/>
        <v>5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0</v>
      </c>
      <c r="F78" s="50">
        <v>0</v>
      </c>
      <c r="G78" s="50">
        <v>0</v>
      </c>
      <c r="H78" s="50">
        <v>1</v>
      </c>
      <c r="I78" s="50">
        <v>2</v>
      </c>
      <c r="J78" s="50">
        <v>0</v>
      </c>
      <c r="K78" s="50">
        <v>1</v>
      </c>
      <c r="L78" s="50">
        <v>0</v>
      </c>
      <c r="M78" s="50">
        <v>0</v>
      </c>
      <c r="N78" s="50">
        <v>0</v>
      </c>
      <c r="O78" s="15">
        <f t="shared" si="35"/>
        <v>5</v>
      </c>
      <c r="P78" s="15">
        <f t="shared" si="36"/>
        <v>5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2</v>
      </c>
      <c r="F79" s="50">
        <v>0</v>
      </c>
      <c r="G79" s="50">
        <v>0</v>
      </c>
      <c r="H79" s="50">
        <v>0</v>
      </c>
      <c r="I79" s="50">
        <v>2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4</v>
      </c>
      <c r="P79" s="15">
        <f t="shared" si="36"/>
        <v>4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4</v>
      </c>
      <c r="J80" s="50">
        <v>0</v>
      </c>
      <c r="K80" s="50">
        <v>0</v>
      </c>
      <c r="L80" s="50">
        <v>1</v>
      </c>
      <c r="M80" s="50">
        <v>0</v>
      </c>
      <c r="N80" s="50">
        <v>0</v>
      </c>
      <c r="O80" s="15">
        <f t="shared" si="35"/>
        <v>5</v>
      </c>
      <c r="P80" s="15">
        <f t="shared" si="36"/>
        <v>5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1</v>
      </c>
      <c r="F81" s="50">
        <v>0</v>
      </c>
      <c r="G81" s="50">
        <v>0</v>
      </c>
      <c r="H81" s="50">
        <v>1</v>
      </c>
      <c r="I81" s="50">
        <v>2</v>
      </c>
      <c r="J81" s="50">
        <v>0</v>
      </c>
      <c r="K81" s="50">
        <v>1</v>
      </c>
      <c r="L81" s="50">
        <v>0</v>
      </c>
      <c r="M81" s="50">
        <v>0</v>
      </c>
      <c r="N81" s="50">
        <v>0</v>
      </c>
      <c r="O81" s="15">
        <f t="shared" si="35"/>
        <v>5</v>
      </c>
      <c r="P81" s="15">
        <f t="shared" si="36"/>
        <v>5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1</v>
      </c>
      <c r="I82" s="50">
        <v>2</v>
      </c>
      <c r="J82" s="50">
        <v>0</v>
      </c>
      <c r="K82" s="50">
        <v>1</v>
      </c>
      <c r="L82" s="50">
        <v>0</v>
      </c>
      <c r="M82" s="50">
        <v>0</v>
      </c>
      <c r="N82" s="50">
        <v>0</v>
      </c>
      <c r="O82" s="15">
        <f t="shared" si="35"/>
        <v>5</v>
      </c>
      <c r="P82" s="15">
        <f t="shared" si="36"/>
        <v>5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2</v>
      </c>
      <c r="F83" s="50">
        <v>0</v>
      </c>
      <c r="G83" s="50">
        <v>0</v>
      </c>
      <c r="H83" s="50">
        <v>0</v>
      </c>
      <c r="I83" s="50">
        <v>2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4</v>
      </c>
      <c r="P83" s="15">
        <f t="shared" si="36"/>
        <v>4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4</v>
      </c>
      <c r="J84" s="50">
        <v>0</v>
      </c>
      <c r="K84" s="50">
        <v>0</v>
      </c>
      <c r="L84" s="50">
        <v>1</v>
      </c>
      <c r="M84" s="50">
        <v>0</v>
      </c>
      <c r="N84" s="50">
        <v>0</v>
      </c>
      <c r="O84" s="15">
        <f t="shared" si="35"/>
        <v>5</v>
      </c>
      <c r="P84" s="15">
        <f t="shared" si="36"/>
        <v>5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1</v>
      </c>
      <c r="F85" s="50">
        <v>0</v>
      </c>
      <c r="G85" s="50">
        <v>0</v>
      </c>
      <c r="H85" s="50">
        <v>1</v>
      </c>
      <c r="I85" s="50">
        <v>2</v>
      </c>
      <c r="J85" s="50">
        <v>0</v>
      </c>
      <c r="K85" s="50">
        <v>1</v>
      </c>
      <c r="L85" s="50">
        <v>0</v>
      </c>
      <c r="M85" s="50">
        <v>0</v>
      </c>
      <c r="N85" s="50">
        <v>0</v>
      </c>
      <c r="O85" s="15">
        <f t="shared" si="35"/>
        <v>5</v>
      </c>
      <c r="P85" s="15">
        <f t="shared" si="36"/>
        <v>5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5</v>
      </c>
      <c r="M87" s="50">
        <v>0</v>
      </c>
      <c r="N87" s="50">
        <v>0</v>
      </c>
      <c r="O87" s="15">
        <f t="shared" si="35"/>
        <v>6</v>
      </c>
      <c r="P87" s="15">
        <f t="shared" si="36"/>
        <v>6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3</v>
      </c>
      <c r="J88" s="50">
        <v>0</v>
      </c>
      <c r="K88" s="50">
        <v>0</v>
      </c>
      <c r="L88" s="50">
        <v>1</v>
      </c>
      <c r="M88" s="50">
        <v>0</v>
      </c>
      <c r="N88" s="50">
        <v>0</v>
      </c>
      <c r="O88" s="15">
        <f t="shared" si="35"/>
        <v>4</v>
      </c>
      <c r="P88" s="15">
        <f t="shared" si="36"/>
        <v>4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1</v>
      </c>
      <c r="I90" s="50">
        <v>2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3</v>
      </c>
      <c r="P90" s="15">
        <f t="shared" si="36"/>
        <v>3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1</v>
      </c>
      <c r="F91" s="50">
        <v>0</v>
      </c>
      <c r="G91" s="50">
        <v>0</v>
      </c>
      <c r="H91" s="50">
        <v>0</v>
      </c>
      <c r="I91" s="50">
        <v>4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6</v>
      </c>
      <c r="P91" s="15">
        <f t="shared" si="36"/>
        <v>6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1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2</v>
      </c>
      <c r="P93" s="15">
        <f t="shared" si="36"/>
        <v>2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2</v>
      </c>
      <c r="F102" s="50">
        <v>2</v>
      </c>
      <c r="G102" s="50">
        <v>0</v>
      </c>
      <c r="H102" s="50">
        <v>0</v>
      </c>
      <c r="I102" s="50">
        <v>0</v>
      </c>
      <c r="J102" s="50">
        <v>1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6</v>
      </c>
      <c r="P102" s="15">
        <f t="shared" si="36"/>
        <v>6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1</v>
      </c>
      <c r="F104" s="50">
        <v>2</v>
      </c>
      <c r="G104" s="50">
        <v>0</v>
      </c>
      <c r="H104" s="50">
        <v>0</v>
      </c>
      <c r="I104" s="50">
        <v>0</v>
      </c>
      <c r="J104" s="50">
        <v>1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4</v>
      </c>
      <c r="P104" s="15">
        <f t="shared" si="36"/>
        <v>4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0</v>
      </c>
      <c r="N105" s="50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98</v>
      </c>
      <c r="D106" s="16">
        <f t="shared" ref="D106:P106" si="37">SUM(D10:D105)</f>
        <v>0</v>
      </c>
      <c r="E106" s="16">
        <f t="shared" si="37"/>
        <v>115</v>
      </c>
      <c r="F106" s="16">
        <f t="shared" si="37"/>
        <v>111</v>
      </c>
      <c r="G106" s="16">
        <f t="shared" si="37"/>
        <v>4</v>
      </c>
      <c r="H106" s="16">
        <f t="shared" si="37"/>
        <v>26</v>
      </c>
      <c r="I106" s="16">
        <f t="shared" si="37"/>
        <v>129</v>
      </c>
      <c r="J106" s="16">
        <f t="shared" si="37"/>
        <v>20</v>
      </c>
      <c r="K106" s="16">
        <f t="shared" si="37"/>
        <v>4</v>
      </c>
      <c r="L106" s="16">
        <f t="shared" si="37"/>
        <v>67</v>
      </c>
      <c r="M106" s="16">
        <f t="shared" si="37"/>
        <v>78</v>
      </c>
      <c r="N106" s="16">
        <f t="shared" si="37"/>
        <v>0</v>
      </c>
      <c r="O106" s="16">
        <f t="shared" si="37"/>
        <v>574</v>
      </c>
      <c r="P106" s="16">
        <f t="shared" si="37"/>
        <v>652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0.15030674846625766</v>
      </c>
      <c r="D107" s="43">
        <f t="shared" si="38"/>
        <v>0</v>
      </c>
      <c r="E107" s="43">
        <f t="shared" si="38"/>
        <v>0.17638036809815952</v>
      </c>
      <c r="F107" s="43">
        <f t="shared" si="38"/>
        <v>0.17024539877300612</v>
      </c>
      <c r="G107" s="43">
        <f t="shared" si="38"/>
        <v>6.1349693251533744E-3</v>
      </c>
      <c r="H107" s="43">
        <f t="shared" si="38"/>
        <v>3.9877300613496931E-2</v>
      </c>
      <c r="I107" s="43">
        <f t="shared" si="38"/>
        <v>0.19785276073619631</v>
      </c>
      <c r="J107" s="43">
        <f t="shared" si="38"/>
        <v>3.0674846625766871E-2</v>
      </c>
      <c r="K107" s="43">
        <f t="shared" si="38"/>
        <v>6.1349693251533744E-3</v>
      </c>
      <c r="L107" s="43">
        <f t="shared" si="38"/>
        <v>0.10276073619631902</v>
      </c>
      <c r="M107" s="43">
        <f t="shared" si="38"/>
        <v>0.1196319018404908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0.17073170731707318</v>
      </c>
      <c r="D108" s="44">
        <f t="shared" ref="D108:N108" si="39">D106/$O$106</f>
        <v>0</v>
      </c>
      <c r="E108" s="44">
        <f t="shared" si="39"/>
        <v>0.20034843205574912</v>
      </c>
      <c r="F108" s="44">
        <f t="shared" si="39"/>
        <v>0.19337979094076654</v>
      </c>
      <c r="G108" s="44">
        <f t="shared" si="39"/>
        <v>6.9686411149825784E-3</v>
      </c>
      <c r="H108" s="44">
        <f t="shared" si="39"/>
        <v>4.5296167247386762E-2</v>
      </c>
      <c r="I108" s="44">
        <f t="shared" si="39"/>
        <v>0.22473867595818817</v>
      </c>
      <c r="J108" s="44">
        <f t="shared" si="39"/>
        <v>3.484320557491289E-2</v>
      </c>
      <c r="K108" s="44">
        <f t="shared" si="39"/>
        <v>6.9686411149825784E-3</v>
      </c>
      <c r="L108" s="44">
        <f t="shared" si="39"/>
        <v>0.11672473867595819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F174"/>
  <sheetViews>
    <sheetView view="pageBreakPreview" topLeftCell="A40" zoomScale="60" workbookViewId="0">
      <selection activeCell="M10" sqref="M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KYENJOJO-FORTPORTAL'!C3:G3</f>
        <v>C4 - STN107-FORTPORTAL-KYENJONJO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'01.08 KYENJOJO-FORTPORTAL-24h'!D5</f>
        <v>01.08.19</v>
      </c>
      <c r="E5" s="3"/>
      <c r="F5" s="41" t="s">
        <v>1</v>
      </c>
      <c r="G5" s="63" t="str">
        <f>'01.08 KYENJOJO-FORTPORTAL-24h'!G5:H5</f>
        <v>xxx</v>
      </c>
      <c r="H5" s="64"/>
      <c r="I5" s="14"/>
      <c r="J5" s="2" t="s">
        <v>5</v>
      </c>
      <c r="K5" s="63" t="str">
        <f>'01.08 KYENJOJO-FORTPORTAL-24h'!K5:L5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FORTPORTAL-KYENJOJO'!D6:E6</f>
        <v>FORTPORTAL</v>
      </c>
      <c r="E6" s="64"/>
      <c r="F6" s="2" t="s">
        <v>2</v>
      </c>
      <c r="G6" s="63" t="str">
        <f>'30.07 FORTPORAL-KYENJOJO'!G6:H6</f>
        <v>KYENJOJO</v>
      </c>
      <c r="H6" s="64"/>
      <c r="J6" s="2" t="s">
        <v>21</v>
      </c>
      <c r="K6" s="63" t="str">
        <f>'01.08 KYENJOJO-FORTPORTAL-24h'!K6:L6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2</v>
      </c>
      <c r="F10" s="50">
        <v>4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1</v>
      </c>
      <c r="M10" s="50">
        <v>4</v>
      </c>
      <c r="N10" s="50">
        <v>0</v>
      </c>
      <c r="O10" s="15">
        <f t="shared" ref="O10:O73" si="0">SUM(C10:L10,N10)</f>
        <v>9</v>
      </c>
      <c r="P10" s="15">
        <f t="shared" ref="P10:P73" si="1">SUM(C10:N10)</f>
        <v>13</v>
      </c>
      <c r="R10" s="1" t="s">
        <v>6</v>
      </c>
      <c r="S10" s="17">
        <f t="shared" ref="S10:AF10" si="2">SUM(C10:C13)</f>
        <v>6</v>
      </c>
      <c r="T10" s="17">
        <f t="shared" si="2"/>
        <v>0</v>
      </c>
      <c r="U10" s="17">
        <f t="shared" si="2"/>
        <v>8</v>
      </c>
      <c r="V10" s="17">
        <f t="shared" si="2"/>
        <v>7</v>
      </c>
      <c r="W10" s="17">
        <f t="shared" si="2"/>
        <v>0</v>
      </c>
      <c r="X10" s="17">
        <f t="shared" si="2"/>
        <v>2</v>
      </c>
      <c r="Y10" s="17">
        <f t="shared" si="2"/>
        <v>2</v>
      </c>
      <c r="Z10" s="17">
        <f t="shared" si="2"/>
        <v>0</v>
      </c>
      <c r="AA10" s="17">
        <f t="shared" si="2"/>
        <v>2</v>
      </c>
      <c r="AB10" s="17">
        <f t="shared" si="2"/>
        <v>2</v>
      </c>
      <c r="AC10" s="17">
        <f t="shared" si="2"/>
        <v>8</v>
      </c>
      <c r="AD10" s="17">
        <f t="shared" si="2"/>
        <v>0</v>
      </c>
      <c r="AE10" s="31">
        <f t="shared" si="2"/>
        <v>29</v>
      </c>
      <c r="AF10" s="31">
        <f t="shared" si="2"/>
        <v>37</v>
      </c>
    </row>
    <row r="11" spans="2:32" s="6" customFormat="1" ht="23.1" customHeight="1" x14ac:dyDescent="0.25">
      <c r="B11" s="45" t="s">
        <v>38</v>
      </c>
      <c r="C11" s="50">
        <v>2</v>
      </c>
      <c r="D11" s="50">
        <v>0</v>
      </c>
      <c r="E11" s="50">
        <v>2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1</v>
      </c>
      <c r="L11" s="50">
        <v>1</v>
      </c>
      <c r="M11" s="50">
        <v>0</v>
      </c>
      <c r="N11" s="50">
        <v>0</v>
      </c>
      <c r="O11" s="15">
        <f t="shared" si="0"/>
        <v>7</v>
      </c>
      <c r="P11" s="15">
        <f t="shared" si="1"/>
        <v>7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7</v>
      </c>
      <c r="V11" s="17">
        <f t="shared" si="3"/>
        <v>14</v>
      </c>
      <c r="W11" s="17">
        <f t="shared" si="3"/>
        <v>0</v>
      </c>
      <c r="X11" s="17">
        <f t="shared" si="3"/>
        <v>1</v>
      </c>
      <c r="Y11" s="17">
        <f t="shared" si="3"/>
        <v>6</v>
      </c>
      <c r="Z11" s="17">
        <f t="shared" si="3"/>
        <v>2</v>
      </c>
      <c r="AA11" s="17">
        <f t="shared" si="3"/>
        <v>0</v>
      </c>
      <c r="AB11" s="17">
        <f t="shared" si="3"/>
        <v>1</v>
      </c>
      <c r="AC11" s="17">
        <f t="shared" si="3"/>
        <v>5</v>
      </c>
      <c r="AD11" s="17">
        <f t="shared" si="3"/>
        <v>0</v>
      </c>
      <c r="AE11" s="31">
        <f t="shared" si="3"/>
        <v>35</v>
      </c>
      <c r="AF11" s="31">
        <f t="shared" si="3"/>
        <v>40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2</v>
      </c>
      <c r="F12" s="50">
        <v>2</v>
      </c>
      <c r="G12" s="50">
        <v>0</v>
      </c>
      <c r="H12" s="50">
        <v>2</v>
      </c>
      <c r="I12" s="50">
        <v>0</v>
      </c>
      <c r="J12" s="50">
        <v>0</v>
      </c>
      <c r="K12" s="50">
        <v>1</v>
      </c>
      <c r="L12" s="50">
        <v>0</v>
      </c>
      <c r="M12" s="50">
        <v>0</v>
      </c>
      <c r="N12" s="50">
        <v>0</v>
      </c>
      <c r="O12" s="15">
        <f t="shared" si="0"/>
        <v>8</v>
      </c>
      <c r="P12" s="15">
        <f t="shared" si="1"/>
        <v>8</v>
      </c>
      <c r="R12" s="1" t="s">
        <v>8</v>
      </c>
      <c r="S12" s="17">
        <f t="shared" ref="S12:AF12" si="4">SUM(C18:C21)</f>
        <v>8</v>
      </c>
      <c r="T12" s="17">
        <f t="shared" si="4"/>
        <v>0</v>
      </c>
      <c r="U12" s="17">
        <f t="shared" si="4"/>
        <v>13</v>
      </c>
      <c r="V12" s="17">
        <f t="shared" si="4"/>
        <v>6</v>
      </c>
      <c r="W12" s="17">
        <f t="shared" si="4"/>
        <v>0</v>
      </c>
      <c r="X12" s="17">
        <f t="shared" si="4"/>
        <v>1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4</v>
      </c>
      <c r="AC12" s="17">
        <f t="shared" si="4"/>
        <v>7</v>
      </c>
      <c r="AD12" s="17">
        <f t="shared" si="4"/>
        <v>0</v>
      </c>
      <c r="AE12" s="31">
        <f t="shared" si="4"/>
        <v>35</v>
      </c>
      <c r="AF12" s="31">
        <f t="shared" si="4"/>
        <v>42</v>
      </c>
    </row>
    <row r="13" spans="2:32" ht="23.1" customHeight="1" x14ac:dyDescent="0.25">
      <c r="B13" s="45" t="s">
        <v>40</v>
      </c>
      <c r="C13" s="50">
        <v>2</v>
      </c>
      <c r="D13" s="50">
        <v>0</v>
      </c>
      <c r="E13" s="50">
        <v>2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4</v>
      </c>
      <c r="N13" s="50">
        <v>0</v>
      </c>
      <c r="O13" s="15">
        <f t="shared" si="0"/>
        <v>5</v>
      </c>
      <c r="P13" s="15">
        <f t="shared" si="1"/>
        <v>9</v>
      </c>
      <c r="R13" s="1" t="s">
        <v>9</v>
      </c>
      <c r="S13" s="17">
        <f t="shared" ref="S13:AF13" si="5">SUM(C22:C25)</f>
        <v>10</v>
      </c>
      <c r="T13" s="17">
        <f t="shared" si="5"/>
        <v>0</v>
      </c>
      <c r="U13" s="17">
        <f t="shared" si="5"/>
        <v>16</v>
      </c>
      <c r="V13" s="17">
        <f t="shared" si="5"/>
        <v>11</v>
      </c>
      <c r="W13" s="17">
        <f t="shared" si="5"/>
        <v>0</v>
      </c>
      <c r="X13" s="17">
        <f t="shared" si="5"/>
        <v>1</v>
      </c>
      <c r="Y13" s="17">
        <f t="shared" si="5"/>
        <v>7</v>
      </c>
      <c r="Z13" s="17">
        <f t="shared" si="5"/>
        <v>2</v>
      </c>
      <c r="AA13" s="17">
        <f t="shared" si="5"/>
        <v>1</v>
      </c>
      <c r="AB13" s="17">
        <f t="shared" si="5"/>
        <v>2</v>
      </c>
      <c r="AC13" s="17">
        <f t="shared" si="5"/>
        <v>6</v>
      </c>
      <c r="AD13" s="17">
        <f t="shared" si="5"/>
        <v>0</v>
      </c>
      <c r="AE13" s="31">
        <f t="shared" si="5"/>
        <v>50</v>
      </c>
      <c r="AF13" s="31">
        <f t="shared" si="5"/>
        <v>56</v>
      </c>
    </row>
    <row r="14" spans="2:32" ht="23.1" customHeight="1" x14ac:dyDescent="0.25">
      <c r="B14" s="45" t="s">
        <v>41</v>
      </c>
      <c r="C14" s="50">
        <v>3</v>
      </c>
      <c r="D14" s="50">
        <v>0</v>
      </c>
      <c r="E14" s="50">
        <v>2</v>
      </c>
      <c r="F14" s="50">
        <v>3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2</v>
      </c>
      <c r="N14" s="50">
        <v>0</v>
      </c>
      <c r="O14" s="15">
        <f t="shared" si="0"/>
        <v>9</v>
      </c>
      <c r="P14" s="15">
        <f t="shared" si="1"/>
        <v>11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12</v>
      </c>
      <c r="V14" s="17">
        <f t="shared" si="6"/>
        <v>8</v>
      </c>
      <c r="W14" s="17">
        <f t="shared" si="6"/>
        <v>0</v>
      </c>
      <c r="X14" s="17">
        <f t="shared" si="6"/>
        <v>1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4</v>
      </c>
      <c r="AC14" s="17">
        <f t="shared" si="6"/>
        <v>4</v>
      </c>
      <c r="AD14" s="17">
        <f t="shared" si="6"/>
        <v>0</v>
      </c>
      <c r="AE14" s="31">
        <f t="shared" si="6"/>
        <v>28</v>
      </c>
      <c r="AF14" s="31">
        <f t="shared" si="6"/>
        <v>32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2</v>
      </c>
      <c r="F15" s="50">
        <v>2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1</v>
      </c>
      <c r="N15" s="50">
        <v>0</v>
      </c>
      <c r="O15" s="15">
        <f t="shared" si="0"/>
        <v>7</v>
      </c>
      <c r="P15" s="15">
        <f t="shared" si="1"/>
        <v>8</v>
      </c>
      <c r="R15" s="1" t="s">
        <v>11</v>
      </c>
      <c r="S15" s="17">
        <f t="shared" ref="S15:AF15" si="7">SUM(C30:C33)</f>
        <v>5</v>
      </c>
      <c r="T15" s="17">
        <f t="shared" si="7"/>
        <v>0</v>
      </c>
      <c r="U15" s="17">
        <f t="shared" si="7"/>
        <v>6</v>
      </c>
      <c r="V15" s="17">
        <f t="shared" si="7"/>
        <v>9</v>
      </c>
      <c r="W15" s="17">
        <f t="shared" si="7"/>
        <v>0</v>
      </c>
      <c r="X15" s="17">
        <f t="shared" si="7"/>
        <v>2</v>
      </c>
      <c r="Y15" s="17">
        <f t="shared" si="7"/>
        <v>5</v>
      </c>
      <c r="Z15" s="17">
        <f t="shared" si="7"/>
        <v>6</v>
      </c>
      <c r="AA15" s="17">
        <f t="shared" si="7"/>
        <v>0</v>
      </c>
      <c r="AB15" s="17">
        <f t="shared" si="7"/>
        <v>6</v>
      </c>
      <c r="AC15" s="17">
        <f t="shared" si="7"/>
        <v>5</v>
      </c>
      <c r="AD15" s="17">
        <f t="shared" si="7"/>
        <v>0</v>
      </c>
      <c r="AE15" s="31">
        <f t="shared" si="7"/>
        <v>39</v>
      </c>
      <c r="AF15" s="31">
        <f t="shared" si="7"/>
        <v>44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1</v>
      </c>
      <c r="F16" s="50">
        <v>4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1</v>
      </c>
      <c r="M16" s="50">
        <v>1</v>
      </c>
      <c r="N16" s="50">
        <v>0</v>
      </c>
      <c r="O16" s="15">
        <f t="shared" si="0"/>
        <v>7</v>
      </c>
      <c r="P16" s="15">
        <f t="shared" si="1"/>
        <v>8</v>
      </c>
      <c r="R16" s="1" t="s">
        <v>12</v>
      </c>
      <c r="S16" s="17">
        <f t="shared" ref="S16:AF16" si="8">SUM(C34:C37)</f>
        <v>3</v>
      </c>
      <c r="T16" s="17">
        <f t="shared" si="8"/>
        <v>0</v>
      </c>
      <c r="U16" s="17">
        <f t="shared" si="8"/>
        <v>7</v>
      </c>
      <c r="V16" s="17">
        <f t="shared" si="8"/>
        <v>10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2</v>
      </c>
      <c r="AA16" s="17">
        <f t="shared" si="8"/>
        <v>0</v>
      </c>
      <c r="AB16" s="17">
        <f t="shared" si="8"/>
        <v>2</v>
      </c>
      <c r="AC16" s="17">
        <f t="shared" si="8"/>
        <v>6</v>
      </c>
      <c r="AD16" s="17">
        <f t="shared" si="8"/>
        <v>0</v>
      </c>
      <c r="AE16" s="31">
        <f t="shared" si="8"/>
        <v>25</v>
      </c>
      <c r="AF16" s="31">
        <f t="shared" si="8"/>
        <v>31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2</v>
      </c>
      <c r="F17" s="50">
        <v>5</v>
      </c>
      <c r="G17" s="50">
        <v>0</v>
      </c>
      <c r="H17" s="50">
        <v>1</v>
      </c>
      <c r="I17" s="50">
        <v>3</v>
      </c>
      <c r="J17" s="50">
        <v>1</v>
      </c>
      <c r="K17" s="50">
        <v>0</v>
      </c>
      <c r="L17" s="50">
        <v>0</v>
      </c>
      <c r="M17" s="50">
        <v>1</v>
      </c>
      <c r="N17" s="50">
        <v>0</v>
      </c>
      <c r="O17" s="15">
        <f t="shared" si="0"/>
        <v>12</v>
      </c>
      <c r="P17" s="15">
        <f t="shared" si="1"/>
        <v>13</v>
      </c>
      <c r="R17" s="1" t="s">
        <v>13</v>
      </c>
      <c r="S17" s="17">
        <f t="shared" ref="S17:AF17" si="9">SUM(C38:C41)</f>
        <v>8</v>
      </c>
      <c r="T17" s="17">
        <f t="shared" si="9"/>
        <v>0</v>
      </c>
      <c r="U17" s="17">
        <f t="shared" si="9"/>
        <v>7</v>
      </c>
      <c r="V17" s="17">
        <f t="shared" si="9"/>
        <v>10</v>
      </c>
      <c r="W17" s="17">
        <f t="shared" si="9"/>
        <v>0</v>
      </c>
      <c r="X17" s="17">
        <f t="shared" si="9"/>
        <v>2</v>
      </c>
      <c r="Y17" s="17">
        <f t="shared" si="9"/>
        <v>8</v>
      </c>
      <c r="Z17" s="17">
        <f t="shared" si="9"/>
        <v>0</v>
      </c>
      <c r="AA17" s="17">
        <f t="shared" si="9"/>
        <v>2</v>
      </c>
      <c r="AB17" s="17">
        <f t="shared" si="9"/>
        <v>3</v>
      </c>
      <c r="AC17" s="17">
        <f t="shared" si="9"/>
        <v>7</v>
      </c>
      <c r="AD17" s="17">
        <f t="shared" si="9"/>
        <v>0</v>
      </c>
      <c r="AE17" s="31">
        <f t="shared" si="9"/>
        <v>40</v>
      </c>
      <c r="AF17" s="31">
        <f t="shared" si="9"/>
        <v>47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2</v>
      </c>
      <c r="F18" s="50">
        <v>1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0</v>
      </c>
      <c r="M18" s="50">
        <v>1</v>
      </c>
      <c r="N18" s="50">
        <v>0</v>
      </c>
      <c r="O18" s="15">
        <f t="shared" si="0"/>
        <v>4</v>
      </c>
      <c r="P18" s="15">
        <f t="shared" si="1"/>
        <v>5</v>
      </c>
      <c r="R18" s="1" t="s">
        <v>14</v>
      </c>
      <c r="S18" s="17">
        <f t="shared" ref="S18:AF18" si="10">SUM(C42:C45)</f>
        <v>6</v>
      </c>
      <c r="T18" s="17">
        <f t="shared" si="10"/>
        <v>0</v>
      </c>
      <c r="U18" s="17">
        <f t="shared" si="10"/>
        <v>8</v>
      </c>
      <c r="V18" s="17">
        <f t="shared" si="10"/>
        <v>13</v>
      </c>
      <c r="W18" s="17">
        <f t="shared" si="10"/>
        <v>0</v>
      </c>
      <c r="X18" s="17">
        <f t="shared" si="10"/>
        <v>1</v>
      </c>
      <c r="Y18" s="17">
        <f t="shared" si="10"/>
        <v>4</v>
      </c>
      <c r="Z18" s="17">
        <f t="shared" si="10"/>
        <v>0</v>
      </c>
      <c r="AA18" s="17">
        <f t="shared" si="10"/>
        <v>0</v>
      </c>
      <c r="AB18" s="17">
        <f t="shared" si="10"/>
        <v>2</v>
      </c>
      <c r="AC18" s="17">
        <f t="shared" si="10"/>
        <v>4</v>
      </c>
      <c r="AD18" s="17">
        <f t="shared" si="10"/>
        <v>0</v>
      </c>
      <c r="AE18" s="31">
        <f t="shared" si="10"/>
        <v>34</v>
      </c>
      <c r="AF18" s="31">
        <f t="shared" si="10"/>
        <v>38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2</v>
      </c>
      <c r="F19" s="50">
        <v>2</v>
      </c>
      <c r="G19" s="50">
        <v>0</v>
      </c>
      <c r="H19" s="50">
        <v>0</v>
      </c>
      <c r="I19" s="50">
        <v>3</v>
      </c>
      <c r="J19" s="50">
        <v>0</v>
      </c>
      <c r="K19" s="50">
        <v>0</v>
      </c>
      <c r="L19" s="50">
        <v>1</v>
      </c>
      <c r="M19" s="50">
        <v>0</v>
      </c>
      <c r="N19" s="50">
        <v>0</v>
      </c>
      <c r="O19" s="15">
        <f t="shared" si="0"/>
        <v>8</v>
      </c>
      <c r="P19" s="15">
        <f t="shared" si="1"/>
        <v>8</v>
      </c>
      <c r="R19" s="1" t="s">
        <v>15</v>
      </c>
      <c r="S19" s="17">
        <f t="shared" ref="S19:AF19" si="11">SUM(C46:C49)</f>
        <v>1</v>
      </c>
      <c r="T19" s="17">
        <f t="shared" si="11"/>
        <v>0</v>
      </c>
      <c r="U19" s="17">
        <f t="shared" si="11"/>
        <v>3</v>
      </c>
      <c r="V19" s="17">
        <f t="shared" si="11"/>
        <v>8</v>
      </c>
      <c r="W19" s="17">
        <f t="shared" si="11"/>
        <v>0</v>
      </c>
      <c r="X19" s="17">
        <f t="shared" si="11"/>
        <v>3</v>
      </c>
      <c r="Y19" s="17">
        <f t="shared" si="11"/>
        <v>5</v>
      </c>
      <c r="Z19" s="17">
        <f t="shared" si="11"/>
        <v>0</v>
      </c>
      <c r="AA19" s="17">
        <f t="shared" si="11"/>
        <v>0</v>
      </c>
      <c r="AB19" s="17">
        <f t="shared" si="11"/>
        <v>2</v>
      </c>
      <c r="AC19" s="17">
        <f t="shared" si="11"/>
        <v>4</v>
      </c>
      <c r="AD19" s="17">
        <f t="shared" si="11"/>
        <v>0</v>
      </c>
      <c r="AE19" s="31">
        <f t="shared" si="11"/>
        <v>22</v>
      </c>
      <c r="AF19" s="31">
        <f t="shared" si="11"/>
        <v>26</v>
      </c>
    </row>
    <row r="20" spans="2:32" ht="23.1" customHeight="1" x14ac:dyDescent="0.25">
      <c r="B20" s="45" t="s">
        <v>47</v>
      </c>
      <c r="C20" s="50">
        <v>7</v>
      </c>
      <c r="D20" s="50">
        <v>0</v>
      </c>
      <c r="E20" s="50">
        <v>5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2</v>
      </c>
      <c r="M20" s="50">
        <v>4</v>
      </c>
      <c r="N20" s="50">
        <v>0</v>
      </c>
      <c r="O20" s="15">
        <f t="shared" si="0"/>
        <v>15</v>
      </c>
      <c r="P20" s="15">
        <f t="shared" si="1"/>
        <v>19</v>
      </c>
      <c r="R20" s="1" t="s">
        <v>16</v>
      </c>
      <c r="S20" s="17">
        <f t="shared" ref="S20:AF20" si="12">SUM(C50:C53)</f>
        <v>3</v>
      </c>
      <c r="T20" s="17">
        <f t="shared" si="12"/>
        <v>0</v>
      </c>
      <c r="U20" s="17">
        <f t="shared" si="12"/>
        <v>4</v>
      </c>
      <c r="V20" s="17">
        <f t="shared" si="12"/>
        <v>3</v>
      </c>
      <c r="W20" s="17">
        <f t="shared" si="12"/>
        <v>0</v>
      </c>
      <c r="X20" s="17">
        <f t="shared" si="12"/>
        <v>1</v>
      </c>
      <c r="Y20" s="17">
        <f t="shared" si="12"/>
        <v>6</v>
      </c>
      <c r="Z20" s="17">
        <f t="shared" si="12"/>
        <v>0</v>
      </c>
      <c r="AA20" s="17">
        <f t="shared" si="12"/>
        <v>0</v>
      </c>
      <c r="AB20" s="17">
        <f t="shared" si="12"/>
        <v>2</v>
      </c>
      <c r="AC20" s="17">
        <f t="shared" si="12"/>
        <v>1</v>
      </c>
      <c r="AD20" s="17">
        <f t="shared" si="12"/>
        <v>0</v>
      </c>
      <c r="AE20" s="31">
        <f t="shared" si="12"/>
        <v>19</v>
      </c>
      <c r="AF20" s="31">
        <f t="shared" si="12"/>
        <v>20</v>
      </c>
    </row>
    <row r="21" spans="2:32" ht="23.1" customHeight="1" x14ac:dyDescent="0.25">
      <c r="B21" s="45" t="s">
        <v>48</v>
      </c>
      <c r="C21" s="50">
        <v>1</v>
      </c>
      <c r="D21" s="50">
        <v>0</v>
      </c>
      <c r="E21" s="50">
        <v>4</v>
      </c>
      <c r="F21" s="50">
        <v>2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1</v>
      </c>
      <c r="M21" s="50">
        <v>2</v>
      </c>
      <c r="N21" s="50">
        <v>0</v>
      </c>
      <c r="O21" s="15">
        <f t="shared" si="0"/>
        <v>8</v>
      </c>
      <c r="P21" s="15">
        <f t="shared" si="1"/>
        <v>10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2</v>
      </c>
      <c r="V21" s="17">
        <f t="shared" si="13"/>
        <v>2</v>
      </c>
      <c r="W21" s="17">
        <f t="shared" si="13"/>
        <v>0</v>
      </c>
      <c r="X21" s="17">
        <f t="shared" si="13"/>
        <v>3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</v>
      </c>
      <c r="AD21" s="17">
        <f t="shared" si="13"/>
        <v>0</v>
      </c>
      <c r="AE21" s="31">
        <f t="shared" si="13"/>
        <v>14</v>
      </c>
      <c r="AF21" s="31">
        <f t="shared" si="13"/>
        <v>15</v>
      </c>
    </row>
    <row r="22" spans="2:32" ht="23.1" customHeight="1" x14ac:dyDescent="0.25">
      <c r="B22" s="45" t="s">
        <v>49</v>
      </c>
      <c r="C22" s="50">
        <v>2</v>
      </c>
      <c r="D22" s="50">
        <v>0</v>
      </c>
      <c r="E22" s="50">
        <v>9</v>
      </c>
      <c r="F22" s="50">
        <v>2</v>
      </c>
      <c r="G22" s="50">
        <v>0</v>
      </c>
      <c r="H22" s="50">
        <v>0</v>
      </c>
      <c r="I22" s="50">
        <v>3</v>
      </c>
      <c r="J22" s="50">
        <v>0</v>
      </c>
      <c r="K22" s="50">
        <v>0</v>
      </c>
      <c r="L22" s="50">
        <v>0</v>
      </c>
      <c r="M22" s="50">
        <v>1</v>
      </c>
      <c r="N22" s="50">
        <v>0</v>
      </c>
      <c r="O22" s="15">
        <f t="shared" si="0"/>
        <v>16</v>
      </c>
      <c r="P22" s="15">
        <f t="shared" si="1"/>
        <v>17</v>
      </c>
      <c r="R22" s="36" t="s">
        <v>146</v>
      </c>
      <c r="S22" s="34">
        <f>SUM(C58:C61)</f>
        <v>1</v>
      </c>
      <c r="T22" s="34">
        <f t="shared" ref="T22:AF22" si="14">SUM(D58:D61)</f>
        <v>0</v>
      </c>
      <c r="U22" s="34">
        <f t="shared" si="14"/>
        <v>2</v>
      </c>
      <c r="V22" s="34">
        <f t="shared" si="14"/>
        <v>2</v>
      </c>
      <c r="W22" s="34">
        <f t="shared" si="14"/>
        <v>1</v>
      </c>
      <c r="X22" s="34">
        <f t="shared" si="14"/>
        <v>0</v>
      </c>
      <c r="Y22" s="34">
        <f t="shared" si="14"/>
        <v>1</v>
      </c>
      <c r="Z22" s="34">
        <f t="shared" si="14"/>
        <v>0</v>
      </c>
      <c r="AA22" s="34">
        <f t="shared" si="14"/>
        <v>1</v>
      </c>
      <c r="AB22" s="34">
        <f t="shared" si="14"/>
        <v>3</v>
      </c>
      <c r="AC22" s="34">
        <f t="shared" si="14"/>
        <v>0</v>
      </c>
      <c r="AD22" s="34">
        <f t="shared" si="14"/>
        <v>0</v>
      </c>
      <c r="AE22" s="31">
        <f t="shared" si="14"/>
        <v>11</v>
      </c>
      <c r="AF22" s="31">
        <f t="shared" si="14"/>
        <v>11</v>
      </c>
    </row>
    <row r="23" spans="2:32" ht="23.1" customHeight="1" x14ac:dyDescent="0.25">
      <c r="B23" s="45" t="s">
        <v>50</v>
      </c>
      <c r="C23" s="50">
        <v>3</v>
      </c>
      <c r="D23" s="50">
        <v>0</v>
      </c>
      <c r="E23" s="50">
        <v>2</v>
      </c>
      <c r="F23" s="50">
        <v>2</v>
      </c>
      <c r="G23" s="50">
        <v>0</v>
      </c>
      <c r="H23" s="50">
        <v>0</v>
      </c>
      <c r="I23" s="50">
        <v>2</v>
      </c>
      <c r="J23" s="50">
        <v>1</v>
      </c>
      <c r="K23" s="50">
        <v>0</v>
      </c>
      <c r="L23" s="50">
        <v>0</v>
      </c>
      <c r="M23" s="50">
        <v>2</v>
      </c>
      <c r="N23" s="50">
        <v>0</v>
      </c>
      <c r="O23" s="15">
        <f t="shared" si="0"/>
        <v>10</v>
      </c>
      <c r="P23" s="15">
        <f t="shared" si="1"/>
        <v>12</v>
      </c>
      <c r="R23" s="36" t="s">
        <v>147</v>
      </c>
      <c r="S23" s="34">
        <f>SUM(C62:C65)</f>
        <v>8</v>
      </c>
      <c r="T23" s="34">
        <f t="shared" ref="T23:AF23" si="15">SUM(D62:D65)</f>
        <v>0</v>
      </c>
      <c r="U23" s="34">
        <f t="shared" si="15"/>
        <v>5</v>
      </c>
      <c r="V23" s="34">
        <f t="shared" si="15"/>
        <v>2</v>
      </c>
      <c r="W23" s="34">
        <f t="shared" si="15"/>
        <v>0</v>
      </c>
      <c r="X23" s="34">
        <f t="shared" si="15"/>
        <v>1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3</v>
      </c>
      <c r="AC23" s="34">
        <f t="shared" si="15"/>
        <v>0</v>
      </c>
      <c r="AD23" s="34">
        <f t="shared" si="15"/>
        <v>0</v>
      </c>
      <c r="AE23" s="31">
        <f t="shared" si="15"/>
        <v>19</v>
      </c>
      <c r="AF23" s="31">
        <f t="shared" si="15"/>
        <v>19</v>
      </c>
    </row>
    <row r="24" spans="2:32" ht="23.1" customHeight="1" x14ac:dyDescent="0.25">
      <c r="B24" s="45" t="s">
        <v>51</v>
      </c>
      <c r="C24" s="50">
        <v>2</v>
      </c>
      <c r="D24" s="50">
        <v>0</v>
      </c>
      <c r="E24" s="50">
        <v>4</v>
      </c>
      <c r="F24" s="50">
        <v>4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1</v>
      </c>
      <c r="M24" s="50">
        <v>0</v>
      </c>
      <c r="N24" s="50">
        <v>0</v>
      </c>
      <c r="O24" s="15">
        <f t="shared" si="0"/>
        <v>14</v>
      </c>
      <c r="P24" s="15">
        <f t="shared" si="1"/>
        <v>14</v>
      </c>
      <c r="R24" s="36" t="s">
        <v>148</v>
      </c>
      <c r="S24" s="34">
        <f>SUM(C66:C69)</f>
        <v>2</v>
      </c>
      <c r="T24" s="34">
        <f t="shared" ref="T24:AF24" si="16">SUM(D66:D69)</f>
        <v>0</v>
      </c>
      <c r="U24" s="34">
        <f t="shared" si="16"/>
        <v>4</v>
      </c>
      <c r="V24" s="34">
        <f t="shared" si="16"/>
        <v>1</v>
      </c>
      <c r="W24" s="34">
        <f t="shared" si="16"/>
        <v>0</v>
      </c>
      <c r="X24" s="34">
        <f t="shared" si="16"/>
        <v>1</v>
      </c>
      <c r="Y24" s="34">
        <f t="shared" si="16"/>
        <v>3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0</v>
      </c>
      <c r="AD24" s="34">
        <f t="shared" si="16"/>
        <v>0</v>
      </c>
      <c r="AE24" s="31">
        <f t="shared" si="16"/>
        <v>11</v>
      </c>
      <c r="AF24" s="31">
        <f t="shared" si="16"/>
        <v>11</v>
      </c>
    </row>
    <row r="25" spans="2:32" ht="23.1" customHeight="1" x14ac:dyDescent="0.25">
      <c r="B25" s="45" t="s">
        <v>52</v>
      </c>
      <c r="C25" s="50">
        <v>3</v>
      </c>
      <c r="D25" s="50">
        <v>0</v>
      </c>
      <c r="E25" s="50">
        <v>1</v>
      </c>
      <c r="F25" s="50">
        <v>3</v>
      </c>
      <c r="G25" s="50">
        <v>0</v>
      </c>
      <c r="H25" s="50">
        <v>1</v>
      </c>
      <c r="I25" s="50">
        <v>0</v>
      </c>
      <c r="J25" s="50">
        <v>0</v>
      </c>
      <c r="K25" s="50">
        <v>1</v>
      </c>
      <c r="L25" s="50">
        <v>1</v>
      </c>
      <c r="M25" s="50">
        <v>3</v>
      </c>
      <c r="N25" s="50">
        <v>0</v>
      </c>
      <c r="O25" s="15">
        <f t="shared" si="0"/>
        <v>10</v>
      </c>
      <c r="P25" s="15">
        <f t="shared" si="1"/>
        <v>13</v>
      </c>
      <c r="R25" s="36" t="s">
        <v>149</v>
      </c>
      <c r="S25" s="34">
        <f>SUM(C70:C73)</f>
        <v>3</v>
      </c>
      <c r="T25" s="34">
        <f t="shared" ref="T25:AF25" si="17">SUM(D70:D73)</f>
        <v>0</v>
      </c>
      <c r="U25" s="34">
        <f t="shared" si="17"/>
        <v>2</v>
      </c>
      <c r="V25" s="34">
        <f t="shared" si="17"/>
        <v>5</v>
      </c>
      <c r="W25" s="34">
        <f t="shared" si="17"/>
        <v>0</v>
      </c>
      <c r="X25" s="34">
        <f t="shared" si="17"/>
        <v>1</v>
      </c>
      <c r="Y25" s="34">
        <f t="shared" si="17"/>
        <v>4</v>
      </c>
      <c r="Z25" s="34">
        <f t="shared" si="17"/>
        <v>1</v>
      </c>
      <c r="AA25" s="34">
        <f t="shared" si="17"/>
        <v>0</v>
      </c>
      <c r="AB25" s="34">
        <f t="shared" si="17"/>
        <v>4</v>
      </c>
      <c r="AC25" s="34">
        <f t="shared" si="17"/>
        <v>0</v>
      </c>
      <c r="AD25" s="34">
        <f t="shared" si="17"/>
        <v>0</v>
      </c>
      <c r="AE25" s="31">
        <f t="shared" si="17"/>
        <v>20</v>
      </c>
      <c r="AF25" s="31">
        <f t="shared" si="17"/>
        <v>20</v>
      </c>
    </row>
    <row r="26" spans="2:32" ht="23.1" customHeight="1" x14ac:dyDescent="0.25">
      <c r="B26" s="45" t="s">
        <v>53</v>
      </c>
      <c r="C26" s="50">
        <v>1</v>
      </c>
      <c r="D26" s="50">
        <v>0</v>
      </c>
      <c r="E26" s="50">
        <v>4</v>
      </c>
      <c r="F26" s="50">
        <v>2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1</v>
      </c>
      <c r="M26" s="50">
        <v>1</v>
      </c>
      <c r="N26" s="50">
        <v>0</v>
      </c>
      <c r="O26" s="15">
        <f t="shared" si="0"/>
        <v>8</v>
      </c>
      <c r="P26" s="15">
        <f t="shared" si="1"/>
        <v>9</v>
      </c>
      <c r="R26" s="36" t="s">
        <v>150</v>
      </c>
      <c r="S26" s="34">
        <f>SUM(C74:C77)</f>
        <v>2</v>
      </c>
      <c r="T26" s="34">
        <f t="shared" ref="T26:AF26" si="18">SUM(D74:D77)</f>
        <v>0</v>
      </c>
      <c r="U26" s="34">
        <f t="shared" si="18"/>
        <v>2</v>
      </c>
      <c r="V26" s="34">
        <f t="shared" si="18"/>
        <v>2</v>
      </c>
      <c r="W26" s="34">
        <f t="shared" si="18"/>
        <v>0</v>
      </c>
      <c r="X26" s="34">
        <f t="shared" si="18"/>
        <v>2</v>
      </c>
      <c r="Y26" s="34">
        <f t="shared" si="18"/>
        <v>5</v>
      </c>
      <c r="Z26" s="34">
        <f t="shared" si="18"/>
        <v>1</v>
      </c>
      <c r="AA26" s="34">
        <f t="shared" si="18"/>
        <v>0</v>
      </c>
      <c r="AB26" s="34">
        <f t="shared" si="18"/>
        <v>2</v>
      </c>
      <c r="AC26" s="34">
        <f t="shared" si="18"/>
        <v>0</v>
      </c>
      <c r="AD26" s="34">
        <f t="shared" si="18"/>
        <v>0</v>
      </c>
      <c r="AE26" s="31">
        <f t="shared" si="18"/>
        <v>16</v>
      </c>
      <c r="AF26" s="31">
        <f t="shared" si="18"/>
        <v>16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5</v>
      </c>
      <c r="F27" s="50">
        <v>2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1</v>
      </c>
      <c r="M27" s="50">
        <v>0</v>
      </c>
      <c r="N27" s="50">
        <v>0</v>
      </c>
      <c r="O27" s="15">
        <f t="shared" si="0"/>
        <v>9</v>
      </c>
      <c r="P27" s="15">
        <f t="shared" si="1"/>
        <v>9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3</v>
      </c>
      <c r="V27" s="34">
        <f t="shared" si="19"/>
        <v>3</v>
      </c>
      <c r="W27" s="34">
        <f t="shared" si="19"/>
        <v>0</v>
      </c>
      <c r="X27" s="34">
        <f t="shared" si="19"/>
        <v>2</v>
      </c>
      <c r="Y27" s="34">
        <f t="shared" si="19"/>
        <v>4</v>
      </c>
      <c r="Z27" s="34">
        <f t="shared" si="19"/>
        <v>0</v>
      </c>
      <c r="AA27" s="34">
        <f t="shared" si="19"/>
        <v>1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13</v>
      </c>
      <c r="AF27" s="31">
        <f t="shared" si="19"/>
        <v>13</v>
      </c>
    </row>
    <row r="28" spans="2:32" ht="23.1" customHeight="1" x14ac:dyDescent="0.25">
      <c r="B28" s="45" t="s">
        <v>55</v>
      </c>
      <c r="C28" s="50">
        <v>1</v>
      </c>
      <c r="D28" s="50">
        <v>0</v>
      </c>
      <c r="E28" s="50">
        <v>1</v>
      </c>
      <c r="F28" s="50">
        <v>2</v>
      </c>
      <c r="G28" s="50">
        <v>0</v>
      </c>
      <c r="H28" s="50">
        <v>1</v>
      </c>
      <c r="I28" s="50">
        <v>0</v>
      </c>
      <c r="J28" s="50">
        <v>0</v>
      </c>
      <c r="K28" s="50">
        <v>0</v>
      </c>
      <c r="L28" s="50">
        <v>2</v>
      </c>
      <c r="M28" s="50">
        <v>0</v>
      </c>
      <c r="N28" s="50">
        <v>0</v>
      </c>
      <c r="O28" s="15">
        <f t="shared" si="0"/>
        <v>7</v>
      </c>
      <c r="P28" s="15">
        <f t="shared" si="1"/>
        <v>7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3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4</v>
      </c>
      <c r="Z28" s="34">
        <f t="shared" si="20"/>
        <v>0</v>
      </c>
      <c r="AA28" s="34">
        <f t="shared" si="20"/>
        <v>2</v>
      </c>
      <c r="AB28" s="34">
        <f t="shared" si="20"/>
        <v>1</v>
      </c>
      <c r="AC28" s="34">
        <f t="shared" si="20"/>
        <v>0</v>
      </c>
      <c r="AD28" s="34">
        <f t="shared" si="20"/>
        <v>0</v>
      </c>
      <c r="AE28" s="31">
        <f t="shared" si="20"/>
        <v>12</v>
      </c>
      <c r="AF28" s="31">
        <f t="shared" si="20"/>
        <v>12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2</v>
      </c>
      <c r="F29" s="50">
        <v>2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3</v>
      </c>
      <c r="N29" s="50">
        <v>0</v>
      </c>
      <c r="O29" s="15">
        <f t="shared" si="0"/>
        <v>4</v>
      </c>
      <c r="P29" s="15">
        <f t="shared" si="1"/>
        <v>7</v>
      </c>
      <c r="R29" s="36" t="s">
        <v>153</v>
      </c>
      <c r="S29" s="34">
        <f>SUM(C86:C89)</f>
        <v>3</v>
      </c>
      <c r="T29" s="34">
        <f t="shared" ref="T29:AF29" si="21">SUM(D86:D89)</f>
        <v>0</v>
      </c>
      <c r="U29" s="34">
        <f t="shared" si="21"/>
        <v>4</v>
      </c>
      <c r="V29" s="34">
        <f t="shared" si="21"/>
        <v>1</v>
      </c>
      <c r="W29" s="34">
        <f t="shared" si="21"/>
        <v>1</v>
      </c>
      <c r="X29" s="34">
        <f t="shared" si="21"/>
        <v>1</v>
      </c>
      <c r="Y29" s="34">
        <f t="shared" si="21"/>
        <v>8</v>
      </c>
      <c r="Z29" s="34">
        <f t="shared" si="21"/>
        <v>0</v>
      </c>
      <c r="AA29" s="34">
        <f t="shared" si="21"/>
        <v>0</v>
      </c>
      <c r="AB29" s="34">
        <f t="shared" si="21"/>
        <v>2</v>
      </c>
      <c r="AC29" s="34">
        <f t="shared" si="21"/>
        <v>0</v>
      </c>
      <c r="AD29" s="34">
        <f t="shared" si="21"/>
        <v>0</v>
      </c>
      <c r="AE29" s="31">
        <f t="shared" si="21"/>
        <v>20</v>
      </c>
      <c r="AF29" s="31">
        <f t="shared" si="21"/>
        <v>20</v>
      </c>
    </row>
    <row r="30" spans="2:32" ht="23.1" customHeight="1" x14ac:dyDescent="0.25">
      <c r="B30" s="45" t="s">
        <v>57</v>
      </c>
      <c r="C30" s="50">
        <v>1</v>
      </c>
      <c r="D30" s="50">
        <v>0</v>
      </c>
      <c r="E30" s="50">
        <v>2</v>
      </c>
      <c r="F30" s="50">
        <v>4</v>
      </c>
      <c r="G30" s="50">
        <v>0</v>
      </c>
      <c r="H30" s="50">
        <v>0</v>
      </c>
      <c r="I30" s="50">
        <v>2</v>
      </c>
      <c r="J30" s="50">
        <v>1</v>
      </c>
      <c r="K30" s="50">
        <v>0</v>
      </c>
      <c r="L30" s="50">
        <v>0</v>
      </c>
      <c r="M30" s="50">
        <v>1</v>
      </c>
      <c r="N30" s="50">
        <v>0</v>
      </c>
      <c r="O30" s="15">
        <f t="shared" si="0"/>
        <v>10</v>
      </c>
      <c r="P30" s="15">
        <f t="shared" si="1"/>
        <v>11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2</v>
      </c>
      <c r="AC30" s="34">
        <f t="shared" si="22"/>
        <v>0</v>
      </c>
      <c r="AD30" s="34">
        <f t="shared" si="22"/>
        <v>0</v>
      </c>
      <c r="AE30" s="31">
        <f t="shared" si="22"/>
        <v>2</v>
      </c>
      <c r="AF30" s="31">
        <f t="shared" si="22"/>
        <v>2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2</v>
      </c>
      <c r="F31" s="50">
        <v>2</v>
      </c>
      <c r="G31" s="50">
        <v>0</v>
      </c>
      <c r="H31" s="50">
        <v>1</v>
      </c>
      <c r="I31" s="50">
        <v>1</v>
      </c>
      <c r="J31" s="50">
        <v>2</v>
      </c>
      <c r="K31" s="50">
        <v>0</v>
      </c>
      <c r="L31" s="50">
        <v>1</v>
      </c>
      <c r="M31" s="50">
        <v>1</v>
      </c>
      <c r="N31" s="50">
        <v>0</v>
      </c>
      <c r="O31" s="15">
        <f t="shared" si="0"/>
        <v>9</v>
      </c>
      <c r="P31" s="15">
        <f t="shared" si="1"/>
        <v>10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5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5</v>
      </c>
      <c r="AF31" s="31">
        <f t="shared" si="23"/>
        <v>5</v>
      </c>
    </row>
    <row r="32" spans="2:32" ht="23.1" customHeight="1" x14ac:dyDescent="0.25">
      <c r="B32" s="46" t="s">
        <v>59</v>
      </c>
      <c r="C32" s="50">
        <v>2</v>
      </c>
      <c r="D32" s="50">
        <v>0</v>
      </c>
      <c r="E32" s="50">
        <v>1</v>
      </c>
      <c r="F32" s="50">
        <v>1</v>
      </c>
      <c r="G32" s="50">
        <v>0</v>
      </c>
      <c r="H32" s="50">
        <v>0</v>
      </c>
      <c r="I32" s="50">
        <v>1</v>
      </c>
      <c r="J32" s="50">
        <v>2</v>
      </c>
      <c r="K32" s="50">
        <v>0</v>
      </c>
      <c r="L32" s="50">
        <v>4</v>
      </c>
      <c r="M32" s="50">
        <v>2</v>
      </c>
      <c r="N32" s="50">
        <v>0</v>
      </c>
      <c r="O32" s="15">
        <f t="shared" si="0"/>
        <v>11</v>
      </c>
      <c r="P32" s="15">
        <f t="shared" si="1"/>
        <v>13</v>
      </c>
      <c r="R32" s="33" t="s">
        <v>156</v>
      </c>
      <c r="S32" s="34">
        <f>SUM(C98:C101)</f>
        <v>1</v>
      </c>
      <c r="T32" s="34">
        <f t="shared" ref="T32:AF32" si="24">SUM(D98:D101)</f>
        <v>0</v>
      </c>
      <c r="U32" s="34">
        <f t="shared" si="24"/>
        <v>3</v>
      </c>
      <c r="V32" s="34">
        <f t="shared" si="24"/>
        <v>2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1</v>
      </c>
      <c r="AA32" s="34">
        <f t="shared" si="24"/>
        <v>0</v>
      </c>
      <c r="AB32" s="34">
        <f t="shared" si="24"/>
        <v>4</v>
      </c>
      <c r="AC32" s="34">
        <f t="shared" si="24"/>
        <v>0</v>
      </c>
      <c r="AD32" s="34">
        <f t="shared" si="24"/>
        <v>0</v>
      </c>
      <c r="AE32" s="31">
        <f t="shared" si="24"/>
        <v>12</v>
      </c>
      <c r="AF32" s="31">
        <f t="shared" si="24"/>
        <v>12</v>
      </c>
    </row>
    <row r="33" spans="2:32" ht="23.1" customHeight="1" x14ac:dyDescent="0.25">
      <c r="B33" s="45" t="s">
        <v>60</v>
      </c>
      <c r="C33" s="50">
        <v>2</v>
      </c>
      <c r="D33" s="50">
        <v>0</v>
      </c>
      <c r="E33" s="50">
        <v>1</v>
      </c>
      <c r="F33" s="50">
        <v>2</v>
      </c>
      <c r="G33" s="50">
        <v>0</v>
      </c>
      <c r="H33" s="50">
        <v>1</v>
      </c>
      <c r="I33" s="50">
        <v>1</v>
      </c>
      <c r="J33" s="50">
        <v>1</v>
      </c>
      <c r="K33" s="50">
        <v>0</v>
      </c>
      <c r="L33" s="50">
        <v>1</v>
      </c>
      <c r="M33" s="50">
        <v>1</v>
      </c>
      <c r="N33" s="50">
        <v>0</v>
      </c>
      <c r="O33" s="15">
        <f t="shared" si="0"/>
        <v>9</v>
      </c>
      <c r="P33" s="15">
        <f t="shared" si="1"/>
        <v>10</v>
      </c>
      <c r="R33" s="33" t="s">
        <v>157</v>
      </c>
      <c r="S33" s="34">
        <f>SUM(C102:C105)</f>
        <v>3</v>
      </c>
      <c r="T33" s="34">
        <f t="shared" ref="T33:AF33" si="25">SUM(D102:D105)</f>
        <v>0</v>
      </c>
      <c r="U33" s="34">
        <f t="shared" si="25"/>
        <v>2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1</v>
      </c>
      <c r="AC33" s="34">
        <f t="shared" si="25"/>
        <v>2</v>
      </c>
      <c r="AD33" s="34">
        <f t="shared" si="25"/>
        <v>0</v>
      </c>
      <c r="AE33" s="31">
        <f t="shared" si="25"/>
        <v>6</v>
      </c>
      <c r="AF33" s="31">
        <f t="shared" si="25"/>
        <v>8</v>
      </c>
    </row>
    <row r="34" spans="2:32" ht="23.1" customHeight="1" x14ac:dyDescent="0.25">
      <c r="B34" s="46" t="s">
        <v>61</v>
      </c>
      <c r="C34" s="50">
        <v>1</v>
      </c>
      <c r="D34" s="50">
        <v>0</v>
      </c>
      <c r="E34" s="50">
        <v>3</v>
      </c>
      <c r="F34" s="50">
        <v>2</v>
      </c>
      <c r="G34" s="50">
        <v>0</v>
      </c>
      <c r="H34" s="50">
        <v>0</v>
      </c>
      <c r="I34" s="50">
        <v>0</v>
      </c>
      <c r="J34" s="50">
        <v>2</v>
      </c>
      <c r="K34" s="50">
        <v>0</v>
      </c>
      <c r="L34" s="50">
        <v>0</v>
      </c>
      <c r="M34" s="50">
        <v>1</v>
      </c>
      <c r="N34" s="50">
        <v>0</v>
      </c>
      <c r="O34" s="15">
        <f t="shared" si="0"/>
        <v>8</v>
      </c>
      <c r="P34" s="15">
        <f t="shared" si="1"/>
        <v>9</v>
      </c>
      <c r="R34" s="38" t="s">
        <v>90</v>
      </c>
      <c r="S34" s="39">
        <f t="shared" ref="S34:AF34" si="26">MAX(S10:S12)</f>
        <v>8</v>
      </c>
      <c r="T34" s="39">
        <f t="shared" si="26"/>
        <v>0</v>
      </c>
      <c r="U34" s="39">
        <f t="shared" si="26"/>
        <v>13</v>
      </c>
      <c r="V34" s="39">
        <f t="shared" si="26"/>
        <v>14</v>
      </c>
      <c r="W34" s="39">
        <f t="shared" si="26"/>
        <v>0</v>
      </c>
      <c r="X34" s="39">
        <f t="shared" si="26"/>
        <v>2</v>
      </c>
      <c r="Y34" s="39">
        <f t="shared" si="26"/>
        <v>6</v>
      </c>
      <c r="Z34" s="39">
        <f t="shared" si="26"/>
        <v>2</v>
      </c>
      <c r="AA34" s="39">
        <f t="shared" si="26"/>
        <v>2</v>
      </c>
      <c r="AB34" s="39">
        <f t="shared" si="26"/>
        <v>4</v>
      </c>
      <c r="AC34" s="39">
        <f t="shared" si="26"/>
        <v>8</v>
      </c>
      <c r="AD34" s="39">
        <f t="shared" si="26"/>
        <v>0</v>
      </c>
      <c r="AE34" s="40">
        <f t="shared" si="26"/>
        <v>35</v>
      </c>
      <c r="AF34" s="40">
        <f t="shared" si="26"/>
        <v>42</v>
      </c>
    </row>
    <row r="35" spans="2:32" ht="23.1" customHeight="1" x14ac:dyDescent="0.25">
      <c r="B35" s="46" t="s">
        <v>62</v>
      </c>
      <c r="C35" s="50">
        <v>1</v>
      </c>
      <c r="D35" s="50">
        <v>0</v>
      </c>
      <c r="E35" s="50">
        <v>1</v>
      </c>
      <c r="F35" s="50">
        <v>3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1</v>
      </c>
      <c r="M35" s="50">
        <v>2</v>
      </c>
      <c r="N35" s="50">
        <v>0</v>
      </c>
      <c r="O35" s="15">
        <f t="shared" si="0"/>
        <v>7</v>
      </c>
      <c r="P35" s="15">
        <f t="shared" si="1"/>
        <v>9</v>
      </c>
      <c r="R35" s="38" t="s">
        <v>91</v>
      </c>
      <c r="S35" s="39">
        <f t="shared" ref="S35:AF35" si="27">MAX(S13:S18)</f>
        <v>10</v>
      </c>
      <c r="T35" s="39">
        <f t="shared" si="27"/>
        <v>0</v>
      </c>
      <c r="U35" s="39">
        <f t="shared" si="27"/>
        <v>16</v>
      </c>
      <c r="V35" s="39">
        <f t="shared" si="27"/>
        <v>13</v>
      </c>
      <c r="W35" s="39">
        <f t="shared" si="27"/>
        <v>0</v>
      </c>
      <c r="X35" s="39">
        <f t="shared" si="27"/>
        <v>2</v>
      </c>
      <c r="Y35" s="39">
        <f t="shared" si="27"/>
        <v>8</v>
      </c>
      <c r="Z35" s="39">
        <f t="shared" si="27"/>
        <v>6</v>
      </c>
      <c r="AA35" s="39">
        <f t="shared" si="27"/>
        <v>2</v>
      </c>
      <c r="AB35" s="39">
        <f t="shared" si="27"/>
        <v>6</v>
      </c>
      <c r="AC35" s="39">
        <f t="shared" si="27"/>
        <v>7</v>
      </c>
      <c r="AD35" s="39">
        <f t="shared" si="27"/>
        <v>0</v>
      </c>
      <c r="AE35" s="40">
        <f t="shared" si="27"/>
        <v>50</v>
      </c>
      <c r="AF35" s="40">
        <f t="shared" si="27"/>
        <v>56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0</v>
      </c>
      <c r="F36" s="50">
        <v>3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1</v>
      </c>
      <c r="M36" s="50">
        <v>2</v>
      </c>
      <c r="N36" s="50">
        <v>0</v>
      </c>
      <c r="O36" s="15">
        <f t="shared" si="0"/>
        <v>4</v>
      </c>
      <c r="P36" s="15">
        <f t="shared" si="1"/>
        <v>6</v>
      </c>
      <c r="R36" s="38" t="s">
        <v>92</v>
      </c>
      <c r="S36" s="39">
        <f t="shared" ref="S36:AF36" si="28">MAX(S19:S21)</f>
        <v>3</v>
      </c>
      <c r="T36" s="39">
        <f t="shared" si="28"/>
        <v>0</v>
      </c>
      <c r="U36" s="39">
        <f t="shared" si="28"/>
        <v>4</v>
      </c>
      <c r="V36" s="39">
        <f t="shared" si="28"/>
        <v>8</v>
      </c>
      <c r="W36" s="39">
        <f t="shared" si="28"/>
        <v>0</v>
      </c>
      <c r="X36" s="39">
        <f t="shared" si="28"/>
        <v>3</v>
      </c>
      <c r="Y36" s="39">
        <f t="shared" si="28"/>
        <v>6</v>
      </c>
      <c r="Z36" s="39">
        <f t="shared" si="28"/>
        <v>0</v>
      </c>
      <c r="AA36" s="39">
        <f t="shared" si="28"/>
        <v>0</v>
      </c>
      <c r="AB36" s="39">
        <f t="shared" si="28"/>
        <v>2</v>
      </c>
      <c r="AC36" s="39">
        <f t="shared" si="28"/>
        <v>4</v>
      </c>
      <c r="AD36" s="39">
        <f t="shared" si="28"/>
        <v>0</v>
      </c>
      <c r="AE36" s="40">
        <f t="shared" si="28"/>
        <v>22</v>
      </c>
      <c r="AF36" s="40">
        <f t="shared" si="28"/>
        <v>26</v>
      </c>
    </row>
    <row r="37" spans="2:32" ht="23.1" customHeight="1" x14ac:dyDescent="0.25">
      <c r="B37" s="45" t="s">
        <v>64</v>
      </c>
      <c r="C37" s="50">
        <v>1</v>
      </c>
      <c r="D37" s="50">
        <v>0</v>
      </c>
      <c r="E37" s="50">
        <v>3</v>
      </c>
      <c r="F37" s="50">
        <v>2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</v>
      </c>
      <c r="N37" s="50">
        <v>0</v>
      </c>
      <c r="O37" s="15">
        <f t="shared" si="0"/>
        <v>6</v>
      </c>
      <c r="P37" s="15">
        <f t="shared" si="1"/>
        <v>7</v>
      </c>
      <c r="R37" s="37" t="s">
        <v>85</v>
      </c>
      <c r="S37" s="35">
        <f t="shared" ref="S37:AF37" si="29">SUM(S10:S12)</f>
        <v>18</v>
      </c>
      <c r="T37" s="16">
        <f t="shared" si="29"/>
        <v>0</v>
      </c>
      <c r="U37" s="16">
        <f t="shared" si="29"/>
        <v>28</v>
      </c>
      <c r="V37" s="16">
        <f t="shared" si="29"/>
        <v>27</v>
      </c>
      <c r="W37" s="16">
        <f t="shared" si="29"/>
        <v>0</v>
      </c>
      <c r="X37" s="16">
        <f t="shared" si="29"/>
        <v>4</v>
      </c>
      <c r="Y37" s="16">
        <f t="shared" si="29"/>
        <v>11</v>
      </c>
      <c r="Z37" s="16">
        <f t="shared" si="29"/>
        <v>2</v>
      </c>
      <c r="AA37" s="16">
        <f t="shared" si="29"/>
        <v>2</v>
      </c>
      <c r="AB37" s="16">
        <f t="shared" si="29"/>
        <v>7</v>
      </c>
      <c r="AC37" s="16">
        <f t="shared" si="29"/>
        <v>20</v>
      </c>
      <c r="AD37" s="16">
        <f t="shared" si="29"/>
        <v>0</v>
      </c>
      <c r="AE37" s="32">
        <f t="shared" si="29"/>
        <v>99</v>
      </c>
      <c r="AF37" s="32">
        <f t="shared" si="29"/>
        <v>119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5</v>
      </c>
      <c r="F38" s="50">
        <v>3</v>
      </c>
      <c r="G38" s="50">
        <v>0</v>
      </c>
      <c r="H38" s="50">
        <v>1</v>
      </c>
      <c r="I38" s="50">
        <v>2</v>
      </c>
      <c r="J38" s="50">
        <v>0</v>
      </c>
      <c r="K38" s="50">
        <v>0</v>
      </c>
      <c r="L38" s="50">
        <v>1</v>
      </c>
      <c r="M38" s="50">
        <v>2</v>
      </c>
      <c r="N38" s="50">
        <v>0</v>
      </c>
      <c r="O38" s="15">
        <f t="shared" si="0"/>
        <v>13</v>
      </c>
      <c r="P38" s="15">
        <f t="shared" si="1"/>
        <v>15</v>
      </c>
      <c r="R38" s="28" t="s">
        <v>86</v>
      </c>
      <c r="S38" s="16">
        <f t="shared" ref="S38:AF38" si="30">SUM(S13:S18)</f>
        <v>35</v>
      </c>
      <c r="T38" s="16">
        <f t="shared" si="30"/>
        <v>0</v>
      </c>
      <c r="U38" s="16">
        <f t="shared" si="30"/>
        <v>56</v>
      </c>
      <c r="V38" s="16">
        <f t="shared" si="30"/>
        <v>61</v>
      </c>
      <c r="W38" s="16">
        <f t="shared" si="30"/>
        <v>0</v>
      </c>
      <c r="X38" s="16">
        <f t="shared" si="30"/>
        <v>7</v>
      </c>
      <c r="Y38" s="16">
        <f t="shared" si="30"/>
        <v>25</v>
      </c>
      <c r="Z38" s="16">
        <f t="shared" si="30"/>
        <v>10</v>
      </c>
      <c r="AA38" s="16">
        <f t="shared" si="30"/>
        <v>3</v>
      </c>
      <c r="AB38" s="16">
        <f t="shared" si="30"/>
        <v>19</v>
      </c>
      <c r="AC38" s="16">
        <f t="shared" si="30"/>
        <v>32</v>
      </c>
      <c r="AD38" s="16">
        <f t="shared" si="30"/>
        <v>0</v>
      </c>
      <c r="AE38" s="32">
        <f t="shared" si="30"/>
        <v>216</v>
      </c>
      <c r="AF38" s="32">
        <f t="shared" si="30"/>
        <v>248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0</v>
      </c>
      <c r="F39" s="50">
        <v>3</v>
      </c>
      <c r="G39" s="50">
        <v>0</v>
      </c>
      <c r="H39" s="50">
        <v>0</v>
      </c>
      <c r="I39" s="50">
        <v>1</v>
      </c>
      <c r="J39" s="50">
        <v>0</v>
      </c>
      <c r="K39" s="50">
        <v>1</v>
      </c>
      <c r="L39" s="50">
        <v>2</v>
      </c>
      <c r="M39" s="50">
        <v>1</v>
      </c>
      <c r="N39" s="50">
        <v>0</v>
      </c>
      <c r="O39" s="15">
        <f t="shared" si="0"/>
        <v>7</v>
      </c>
      <c r="P39" s="15">
        <f t="shared" si="1"/>
        <v>8</v>
      </c>
      <c r="R39" s="29" t="s">
        <v>87</v>
      </c>
      <c r="S39" s="16">
        <f t="shared" ref="S39:AF39" si="31">SUM(S19:S21)</f>
        <v>7</v>
      </c>
      <c r="T39" s="16">
        <f t="shared" si="31"/>
        <v>0</v>
      </c>
      <c r="U39" s="16">
        <f t="shared" si="31"/>
        <v>9</v>
      </c>
      <c r="V39" s="16">
        <f t="shared" si="31"/>
        <v>13</v>
      </c>
      <c r="W39" s="16">
        <f t="shared" si="31"/>
        <v>0</v>
      </c>
      <c r="X39" s="16">
        <f t="shared" si="31"/>
        <v>7</v>
      </c>
      <c r="Y39" s="16">
        <f t="shared" si="31"/>
        <v>15</v>
      </c>
      <c r="Z39" s="16">
        <f t="shared" si="31"/>
        <v>0</v>
      </c>
      <c r="AA39" s="16">
        <f t="shared" si="31"/>
        <v>0</v>
      </c>
      <c r="AB39" s="16">
        <f t="shared" si="31"/>
        <v>4</v>
      </c>
      <c r="AC39" s="16">
        <f t="shared" si="31"/>
        <v>6</v>
      </c>
      <c r="AD39" s="16">
        <f t="shared" si="31"/>
        <v>0</v>
      </c>
      <c r="AE39" s="32">
        <f t="shared" si="31"/>
        <v>55</v>
      </c>
      <c r="AF39" s="32">
        <f t="shared" si="31"/>
        <v>61</v>
      </c>
    </row>
    <row r="40" spans="2:32" ht="23.1" customHeight="1" x14ac:dyDescent="0.25">
      <c r="B40" s="46" t="s">
        <v>67</v>
      </c>
      <c r="C40" s="50">
        <v>2</v>
      </c>
      <c r="D40" s="50">
        <v>0</v>
      </c>
      <c r="E40" s="50">
        <v>0</v>
      </c>
      <c r="F40" s="50">
        <v>2</v>
      </c>
      <c r="G40" s="50">
        <v>0</v>
      </c>
      <c r="H40" s="50">
        <v>1</v>
      </c>
      <c r="I40" s="50">
        <v>3</v>
      </c>
      <c r="J40" s="50">
        <v>0</v>
      </c>
      <c r="K40" s="50">
        <v>1</v>
      </c>
      <c r="L40" s="50">
        <v>0</v>
      </c>
      <c r="M40" s="50">
        <v>2</v>
      </c>
      <c r="N40" s="50">
        <v>0</v>
      </c>
      <c r="O40" s="15">
        <f t="shared" si="0"/>
        <v>9</v>
      </c>
      <c r="P40" s="15">
        <f t="shared" si="1"/>
        <v>11</v>
      </c>
      <c r="R40" s="5" t="s">
        <v>17</v>
      </c>
      <c r="S40" s="16">
        <f t="shared" ref="S40:AF40" si="32">SUM(S10:S21)</f>
        <v>60</v>
      </c>
      <c r="T40" s="16">
        <f t="shared" si="32"/>
        <v>0</v>
      </c>
      <c r="U40" s="16">
        <f t="shared" si="32"/>
        <v>93</v>
      </c>
      <c r="V40" s="16">
        <f t="shared" si="32"/>
        <v>101</v>
      </c>
      <c r="W40" s="16">
        <f t="shared" si="32"/>
        <v>0</v>
      </c>
      <c r="X40" s="16">
        <f t="shared" si="32"/>
        <v>18</v>
      </c>
      <c r="Y40" s="16">
        <f t="shared" si="32"/>
        <v>51</v>
      </c>
      <c r="Z40" s="16">
        <f t="shared" si="32"/>
        <v>12</v>
      </c>
      <c r="AA40" s="16">
        <f t="shared" si="32"/>
        <v>5</v>
      </c>
      <c r="AB40" s="16">
        <f t="shared" si="32"/>
        <v>30</v>
      </c>
      <c r="AC40" s="16">
        <f t="shared" si="32"/>
        <v>58</v>
      </c>
      <c r="AD40" s="16">
        <f t="shared" si="32"/>
        <v>0</v>
      </c>
      <c r="AE40" s="32">
        <f t="shared" si="32"/>
        <v>370</v>
      </c>
      <c r="AF40" s="32">
        <f t="shared" si="32"/>
        <v>428</v>
      </c>
    </row>
    <row r="41" spans="2:32" ht="23.1" customHeight="1" x14ac:dyDescent="0.25">
      <c r="B41" s="45" t="s">
        <v>68</v>
      </c>
      <c r="C41" s="50">
        <v>5</v>
      </c>
      <c r="D41" s="50">
        <v>0</v>
      </c>
      <c r="E41" s="50">
        <v>2</v>
      </c>
      <c r="F41" s="50">
        <v>2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2</v>
      </c>
      <c r="N41" s="50">
        <v>0</v>
      </c>
      <c r="O41" s="15">
        <f t="shared" si="0"/>
        <v>11</v>
      </c>
      <c r="P41" s="15">
        <f t="shared" si="1"/>
        <v>13</v>
      </c>
      <c r="R41" s="5" t="s">
        <v>159</v>
      </c>
      <c r="S41" s="16">
        <f>SUM(S10:S33)</f>
        <v>84</v>
      </c>
      <c r="T41" s="16">
        <f t="shared" ref="T41:AF41" si="33">SUM(T10:T33)</f>
        <v>0</v>
      </c>
      <c r="U41" s="16">
        <f t="shared" si="33"/>
        <v>123</v>
      </c>
      <c r="V41" s="16">
        <f t="shared" si="33"/>
        <v>120</v>
      </c>
      <c r="W41" s="16">
        <f t="shared" si="33"/>
        <v>2</v>
      </c>
      <c r="X41" s="16">
        <f t="shared" si="33"/>
        <v>26</v>
      </c>
      <c r="Y41" s="16">
        <f t="shared" si="33"/>
        <v>86</v>
      </c>
      <c r="Z41" s="16">
        <f t="shared" si="33"/>
        <v>15</v>
      </c>
      <c r="AA41" s="16">
        <f t="shared" si="33"/>
        <v>9</v>
      </c>
      <c r="AB41" s="16">
        <f t="shared" si="33"/>
        <v>52</v>
      </c>
      <c r="AC41" s="16">
        <f t="shared" si="33"/>
        <v>60</v>
      </c>
      <c r="AD41" s="16">
        <f t="shared" si="33"/>
        <v>0</v>
      </c>
      <c r="AE41" s="32">
        <f t="shared" si="33"/>
        <v>517</v>
      </c>
      <c r="AF41" s="32">
        <f t="shared" si="33"/>
        <v>577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2</v>
      </c>
      <c r="F42" s="50">
        <v>5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</v>
      </c>
      <c r="N42" s="50">
        <v>0</v>
      </c>
      <c r="O42" s="15">
        <f t="shared" si="0"/>
        <v>7</v>
      </c>
      <c r="P42" s="15">
        <f t="shared" si="1"/>
        <v>9</v>
      </c>
      <c r="R42" s="5" t="s">
        <v>160</v>
      </c>
      <c r="S42" s="48">
        <f>S41/S40</f>
        <v>1.4</v>
      </c>
      <c r="T42" s="48" t="e">
        <f t="shared" ref="T42:AF42" si="34">T41/T40</f>
        <v>#DIV/0!</v>
      </c>
      <c r="U42" s="48">
        <f t="shared" si="34"/>
        <v>1.3225806451612903</v>
      </c>
      <c r="V42" s="48">
        <f t="shared" si="34"/>
        <v>1.1881188118811881</v>
      </c>
      <c r="W42" s="48" t="e">
        <f t="shared" si="34"/>
        <v>#DIV/0!</v>
      </c>
      <c r="X42" s="48">
        <f t="shared" si="34"/>
        <v>1.4444444444444444</v>
      </c>
      <c r="Y42" s="48">
        <f t="shared" si="34"/>
        <v>1.6862745098039216</v>
      </c>
      <c r="Z42" s="48">
        <f t="shared" si="34"/>
        <v>1.25</v>
      </c>
      <c r="AA42" s="48">
        <f t="shared" si="34"/>
        <v>1.8</v>
      </c>
      <c r="AB42" s="48">
        <f t="shared" si="34"/>
        <v>1.7333333333333334</v>
      </c>
      <c r="AC42" s="48">
        <f t="shared" si="34"/>
        <v>1.0344827586206897</v>
      </c>
      <c r="AD42" s="48" t="e">
        <f t="shared" si="34"/>
        <v>#DIV/0!</v>
      </c>
      <c r="AE42" s="48">
        <f t="shared" si="34"/>
        <v>1.3972972972972972</v>
      </c>
      <c r="AF42" s="48">
        <f t="shared" si="34"/>
        <v>1.3481308411214954</v>
      </c>
    </row>
    <row r="43" spans="2:32" ht="23.1" customHeight="1" x14ac:dyDescent="0.25">
      <c r="B43" s="45" t="s">
        <v>70</v>
      </c>
      <c r="C43" s="50">
        <v>2</v>
      </c>
      <c r="D43" s="50">
        <v>0</v>
      </c>
      <c r="E43" s="50">
        <v>1</v>
      </c>
      <c r="F43" s="50">
        <v>1</v>
      </c>
      <c r="G43" s="50">
        <v>0</v>
      </c>
      <c r="H43" s="50">
        <v>1</v>
      </c>
      <c r="I43" s="50">
        <v>2</v>
      </c>
      <c r="J43" s="50">
        <v>0</v>
      </c>
      <c r="K43" s="50">
        <v>0</v>
      </c>
      <c r="L43" s="50">
        <v>0</v>
      </c>
      <c r="M43" s="50">
        <v>2</v>
      </c>
      <c r="N43" s="50">
        <v>0</v>
      </c>
      <c r="O43" s="15">
        <f t="shared" si="0"/>
        <v>7</v>
      </c>
      <c r="P43" s="15">
        <f t="shared" si="1"/>
        <v>9</v>
      </c>
    </row>
    <row r="44" spans="2:32" ht="23.1" customHeight="1" x14ac:dyDescent="0.25">
      <c r="B44" s="47" t="s">
        <v>71</v>
      </c>
      <c r="C44" s="50">
        <v>2</v>
      </c>
      <c r="D44" s="50">
        <v>0</v>
      </c>
      <c r="E44" s="50">
        <v>1</v>
      </c>
      <c r="F44" s="50">
        <v>4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1</v>
      </c>
      <c r="M44" s="50">
        <v>0</v>
      </c>
      <c r="N44" s="50">
        <v>0</v>
      </c>
      <c r="O44" s="15">
        <f t="shared" si="0"/>
        <v>9</v>
      </c>
      <c r="P44" s="15">
        <f t="shared" si="1"/>
        <v>9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4</v>
      </c>
      <c r="F45" s="50">
        <v>3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1</v>
      </c>
      <c r="M45" s="50">
        <v>0</v>
      </c>
      <c r="N45" s="50">
        <v>0</v>
      </c>
      <c r="O45" s="15">
        <f t="shared" si="0"/>
        <v>11</v>
      </c>
      <c r="P45" s="15">
        <f t="shared" si="1"/>
        <v>11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1</v>
      </c>
      <c r="F46" s="50">
        <v>2</v>
      </c>
      <c r="G46" s="50">
        <v>0</v>
      </c>
      <c r="H46" s="50">
        <v>1</v>
      </c>
      <c r="I46" s="50">
        <v>1</v>
      </c>
      <c r="J46" s="50">
        <v>0</v>
      </c>
      <c r="K46" s="50">
        <v>0</v>
      </c>
      <c r="L46" s="50">
        <v>0</v>
      </c>
      <c r="M46" s="50">
        <v>2</v>
      </c>
      <c r="N46" s="50">
        <v>0</v>
      </c>
      <c r="O46" s="15">
        <f t="shared" si="0"/>
        <v>5</v>
      </c>
      <c r="P46" s="15">
        <f t="shared" si="1"/>
        <v>7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0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1</v>
      </c>
      <c r="N47" s="50">
        <v>0</v>
      </c>
      <c r="O47" s="15">
        <f t="shared" si="0"/>
        <v>2</v>
      </c>
      <c r="P47" s="15">
        <f t="shared" si="1"/>
        <v>3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2</v>
      </c>
      <c r="F48" s="50">
        <v>5</v>
      </c>
      <c r="G48" s="50">
        <v>0</v>
      </c>
      <c r="H48" s="50">
        <v>1</v>
      </c>
      <c r="I48" s="50">
        <v>3</v>
      </c>
      <c r="J48" s="50">
        <v>0</v>
      </c>
      <c r="K48" s="50">
        <v>0</v>
      </c>
      <c r="L48" s="50">
        <v>0</v>
      </c>
      <c r="M48" s="50">
        <v>1</v>
      </c>
      <c r="N48" s="50">
        <v>0</v>
      </c>
      <c r="O48" s="15">
        <f t="shared" si="0"/>
        <v>11</v>
      </c>
      <c r="P48" s="15">
        <f t="shared" si="1"/>
        <v>12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0</v>
      </c>
      <c r="E49" s="50">
        <v>0</v>
      </c>
      <c r="F49" s="50">
        <v>0</v>
      </c>
      <c r="G49" s="50">
        <v>0</v>
      </c>
      <c r="H49" s="50">
        <v>1</v>
      </c>
      <c r="I49" s="50">
        <v>0</v>
      </c>
      <c r="J49" s="50">
        <v>0</v>
      </c>
      <c r="K49" s="50">
        <v>0</v>
      </c>
      <c r="L49" s="50">
        <v>2</v>
      </c>
      <c r="M49" s="50">
        <v>0</v>
      </c>
      <c r="N49" s="50">
        <v>0</v>
      </c>
      <c r="O49" s="15">
        <f t="shared" si="0"/>
        <v>4</v>
      </c>
      <c r="P49" s="15">
        <f t="shared" si="1"/>
        <v>4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1</v>
      </c>
      <c r="F50" s="50">
        <v>1</v>
      </c>
      <c r="G50" s="50">
        <v>0</v>
      </c>
      <c r="H50" s="50">
        <v>0</v>
      </c>
      <c r="I50" s="50">
        <v>3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5</v>
      </c>
      <c r="P50" s="15">
        <f t="shared" si="1"/>
        <v>5</v>
      </c>
      <c r="R50" s="8"/>
      <c r="T50"/>
    </row>
    <row r="51" spans="2:20" ht="23.1" customHeight="1" x14ac:dyDescent="0.25">
      <c r="B51" s="46" t="s">
        <v>78</v>
      </c>
      <c r="C51" s="50">
        <v>1</v>
      </c>
      <c r="D51" s="50">
        <v>0</v>
      </c>
      <c r="E51" s="50">
        <v>1</v>
      </c>
      <c r="F51" s="50">
        <v>0</v>
      </c>
      <c r="G51" s="50">
        <v>0</v>
      </c>
      <c r="H51" s="50">
        <v>1</v>
      </c>
      <c r="I51" s="50">
        <v>2</v>
      </c>
      <c r="J51" s="50">
        <v>0</v>
      </c>
      <c r="K51" s="50">
        <v>0</v>
      </c>
      <c r="L51" s="50">
        <v>0</v>
      </c>
      <c r="M51" s="50">
        <v>0</v>
      </c>
      <c r="N51" s="50">
        <v>0</v>
      </c>
      <c r="O51" s="15">
        <f t="shared" si="0"/>
        <v>5</v>
      </c>
      <c r="P51" s="15">
        <f t="shared" si="1"/>
        <v>5</v>
      </c>
      <c r="R51" s="8"/>
      <c r="T51"/>
    </row>
    <row r="52" spans="2:20" ht="23.1" customHeight="1" x14ac:dyDescent="0.25">
      <c r="B52" s="46" t="s">
        <v>79</v>
      </c>
      <c r="C52" s="50">
        <v>2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1</v>
      </c>
      <c r="M52" s="50">
        <v>0</v>
      </c>
      <c r="N52" s="50">
        <v>0</v>
      </c>
      <c r="O52" s="15">
        <f t="shared" si="0"/>
        <v>4</v>
      </c>
      <c r="P52" s="15">
        <f t="shared" si="1"/>
        <v>4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1</v>
      </c>
      <c r="F53" s="50">
        <v>2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1</v>
      </c>
      <c r="M53" s="50">
        <v>1</v>
      </c>
      <c r="N53" s="50">
        <v>0</v>
      </c>
      <c r="O53" s="15">
        <f t="shared" si="0"/>
        <v>5</v>
      </c>
      <c r="P53" s="15">
        <f t="shared" si="1"/>
        <v>6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1</v>
      </c>
      <c r="I54" s="50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15">
        <f t="shared" si="0"/>
        <v>2</v>
      </c>
      <c r="P54" s="15">
        <f t="shared" si="1"/>
        <v>2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1</v>
      </c>
      <c r="I55" s="50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2</v>
      </c>
      <c r="P55" s="15">
        <f t="shared" si="1"/>
        <v>2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1</v>
      </c>
      <c r="F56" s="50">
        <v>1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1</v>
      </c>
      <c r="N56" s="50">
        <v>0</v>
      </c>
      <c r="O56" s="15">
        <f t="shared" si="0"/>
        <v>4</v>
      </c>
      <c r="P56" s="15">
        <f t="shared" si="1"/>
        <v>5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0</v>
      </c>
      <c r="F57" s="50">
        <v>1</v>
      </c>
      <c r="G57" s="50">
        <v>0</v>
      </c>
      <c r="H57" s="50">
        <v>1</v>
      </c>
      <c r="I57" s="50">
        <v>3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6</v>
      </c>
      <c r="P57" s="15">
        <f t="shared" si="1"/>
        <v>6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0</v>
      </c>
      <c r="F58" s="50">
        <v>2</v>
      </c>
      <c r="G58" s="50">
        <v>1</v>
      </c>
      <c r="H58" s="50">
        <v>0</v>
      </c>
      <c r="I58" s="50">
        <v>0</v>
      </c>
      <c r="J58" s="50">
        <v>0</v>
      </c>
      <c r="K58" s="50">
        <v>1</v>
      </c>
      <c r="L58" s="50">
        <v>3</v>
      </c>
      <c r="M58" s="50">
        <v>0</v>
      </c>
      <c r="N58" s="50">
        <v>0</v>
      </c>
      <c r="O58" s="15">
        <f t="shared" si="0"/>
        <v>8</v>
      </c>
      <c r="P58" s="15">
        <f t="shared" si="1"/>
        <v>8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1</v>
      </c>
      <c r="F59" s="50">
        <v>0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0</v>
      </c>
      <c r="N59" s="50">
        <v>0</v>
      </c>
      <c r="O59" s="15">
        <f t="shared" si="0"/>
        <v>2</v>
      </c>
      <c r="P59" s="15">
        <f t="shared" si="1"/>
        <v>2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1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0</v>
      </c>
      <c r="N60" s="50">
        <v>0</v>
      </c>
      <c r="O60" s="15">
        <f t="shared" si="0"/>
        <v>1</v>
      </c>
      <c r="P60" s="15">
        <f t="shared" si="1"/>
        <v>1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0</v>
      </c>
      <c r="N61" s="50">
        <v>0</v>
      </c>
      <c r="O61" s="15">
        <f t="shared" si="0"/>
        <v>0</v>
      </c>
      <c r="P61" s="15">
        <f t="shared" si="1"/>
        <v>0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0</v>
      </c>
      <c r="N62" s="50">
        <v>0</v>
      </c>
      <c r="O62" s="15">
        <f t="shared" si="0"/>
        <v>0</v>
      </c>
      <c r="P62" s="15">
        <f t="shared" si="1"/>
        <v>0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0</v>
      </c>
      <c r="E63" s="50">
        <v>1</v>
      </c>
      <c r="F63" s="50">
        <v>2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1</v>
      </c>
      <c r="M63" s="50">
        <v>0</v>
      </c>
      <c r="N63" s="50">
        <v>0</v>
      </c>
      <c r="O63" s="15">
        <f t="shared" si="0"/>
        <v>6</v>
      </c>
      <c r="P63" s="15">
        <f t="shared" si="1"/>
        <v>6</v>
      </c>
      <c r="R63" s="8"/>
      <c r="T63"/>
    </row>
    <row r="64" spans="2:20" ht="23.1" customHeight="1" x14ac:dyDescent="0.25">
      <c r="B64" s="45" t="s">
        <v>109</v>
      </c>
      <c r="C64" s="50">
        <v>5</v>
      </c>
      <c r="D64" s="50">
        <v>0</v>
      </c>
      <c r="E64" s="50">
        <v>2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2</v>
      </c>
      <c r="M64" s="50">
        <v>0</v>
      </c>
      <c r="N64" s="50">
        <v>0</v>
      </c>
      <c r="O64" s="15">
        <f t="shared" si="0"/>
        <v>9</v>
      </c>
      <c r="P64" s="15">
        <f t="shared" si="1"/>
        <v>9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0</v>
      </c>
      <c r="E65" s="50">
        <v>2</v>
      </c>
      <c r="F65" s="50">
        <v>0</v>
      </c>
      <c r="G65" s="50">
        <v>0</v>
      </c>
      <c r="H65" s="50">
        <v>1</v>
      </c>
      <c r="I65" s="50">
        <v>0</v>
      </c>
      <c r="J65" s="50">
        <v>0</v>
      </c>
      <c r="K65" s="50">
        <v>0</v>
      </c>
      <c r="L65" s="50">
        <v>0</v>
      </c>
      <c r="M65" s="50">
        <v>0</v>
      </c>
      <c r="N65" s="50">
        <v>0</v>
      </c>
      <c r="O65" s="15">
        <f t="shared" si="0"/>
        <v>4</v>
      </c>
      <c r="P65" s="15">
        <f t="shared" si="1"/>
        <v>4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0</v>
      </c>
      <c r="N66" s="50">
        <v>0</v>
      </c>
      <c r="O66" s="15">
        <f t="shared" si="0"/>
        <v>0</v>
      </c>
      <c r="P66" s="15">
        <f t="shared" si="1"/>
        <v>0</v>
      </c>
      <c r="R66" s="8"/>
      <c r="T66"/>
    </row>
    <row r="67" spans="2:20" ht="23.1" customHeight="1" x14ac:dyDescent="0.25">
      <c r="B67" s="45" t="s">
        <v>104</v>
      </c>
      <c r="C67" s="50">
        <v>1</v>
      </c>
      <c r="D67" s="50">
        <v>0</v>
      </c>
      <c r="E67" s="50">
        <v>0</v>
      </c>
      <c r="F67" s="50">
        <v>0</v>
      </c>
      <c r="G67" s="50">
        <v>0</v>
      </c>
      <c r="H67" s="50">
        <v>1</v>
      </c>
      <c r="I67" s="50">
        <v>0</v>
      </c>
      <c r="J67" s="50">
        <v>0</v>
      </c>
      <c r="K67" s="50">
        <v>0</v>
      </c>
      <c r="L67" s="50">
        <v>0</v>
      </c>
      <c r="M67" s="50">
        <v>0</v>
      </c>
      <c r="N67" s="50">
        <v>0</v>
      </c>
      <c r="O67" s="15">
        <f t="shared" si="0"/>
        <v>2</v>
      </c>
      <c r="P67" s="15">
        <f t="shared" si="1"/>
        <v>2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0</v>
      </c>
      <c r="E68" s="50">
        <v>3</v>
      </c>
      <c r="F68" s="50">
        <v>0</v>
      </c>
      <c r="G68" s="50">
        <v>0</v>
      </c>
      <c r="H68" s="50">
        <v>0</v>
      </c>
      <c r="I68" s="50">
        <v>2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15">
        <f t="shared" si="0"/>
        <v>6</v>
      </c>
      <c r="P68" s="15">
        <f t="shared" si="1"/>
        <v>6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1</v>
      </c>
      <c r="F69" s="50">
        <v>1</v>
      </c>
      <c r="G69" s="50">
        <v>0</v>
      </c>
      <c r="H69" s="50">
        <v>0</v>
      </c>
      <c r="I69" s="50">
        <v>1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15">
        <f t="shared" si="0"/>
        <v>3</v>
      </c>
      <c r="P69" s="15">
        <f t="shared" si="1"/>
        <v>3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1</v>
      </c>
      <c r="G70" s="50">
        <v>0</v>
      </c>
      <c r="H70" s="50">
        <v>0</v>
      </c>
      <c r="I70" s="50">
        <v>1</v>
      </c>
      <c r="J70" s="50">
        <v>0</v>
      </c>
      <c r="K70" s="50">
        <v>0</v>
      </c>
      <c r="L70" s="50">
        <v>0</v>
      </c>
      <c r="M70" s="50">
        <v>0</v>
      </c>
      <c r="N70" s="50">
        <v>0</v>
      </c>
      <c r="O70" s="15">
        <f t="shared" si="0"/>
        <v>2</v>
      </c>
      <c r="P70" s="15">
        <f t="shared" si="1"/>
        <v>2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1</v>
      </c>
      <c r="F71" s="50">
        <v>0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2</v>
      </c>
      <c r="M71" s="50">
        <v>0</v>
      </c>
      <c r="N71" s="50">
        <v>0</v>
      </c>
      <c r="O71" s="15">
        <f t="shared" si="0"/>
        <v>4</v>
      </c>
      <c r="P71" s="15">
        <f t="shared" si="1"/>
        <v>4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0</v>
      </c>
      <c r="E72" s="50">
        <v>1</v>
      </c>
      <c r="F72" s="50">
        <v>2</v>
      </c>
      <c r="G72" s="50">
        <v>0</v>
      </c>
      <c r="H72" s="50">
        <v>1</v>
      </c>
      <c r="I72" s="50">
        <v>2</v>
      </c>
      <c r="J72" s="50">
        <v>0</v>
      </c>
      <c r="K72" s="50">
        <v>0</v>
      </c>
      <c r="L72" s="50">
        <v>2</v>
      </c>
      <c r="M72" s="50">
        <v>0</v>
      </c>
      <c r="N72" s="50">
        <v>0</v>
      </c>
      <c r="O72" s="15">
        <f t="shared" si="0"/>
        <v>9</v>
      </c>
      <c r="P72" s="15">
        <f t="shared" si="1"/>
        <v>9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0</v>
      </c>
      <c r="E73" s="50">
        <v>0</v>
      </c>
      <c r="F73" s="50">
        <v>2</v>
      </c>
      <c r="G73" s="50">
        <v>0</v>
      </c>
      <c r="H73" s="50">
        <v>0</v>
      </c>
      <c r="I73" s="50">
        <v>0</v>
      </c>
      <c r="J73" s="50">
        <v>1</v>
      </c>
      <c r="K73" s="50">
        <v>0</v>
      </c>
      <c r="L73" s="50">
        <v>0</v>
      </c>
      <c r="M73" s="50">
        <v>0</v>
      </c>
      <c r="N73" s="50">
        <v>0</v>
      </c>
      <c r="O73" s="15">
        <f t="shared" si="0"/>
        <v>5</v>
      </c>
      <c r="P73" s="15">
        <f t="shared" si="1"/>
        <v>5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1</v>
      </c>
      <c r="G74" s="50">
        <v>0</v>
      </c>
      <c r="H74" s="50">
        <v>2</v>
      </c>
      <c r="I74" s="50">
        <v>1</v>
      </c>
      <c r="J74" s="50">
        <v>0</v>
      </c>
      <c r="K74" s="50">
        <v>0</v>
      </c>
      <c r="L74" s="50">
        <v>1</v>
      </c>
      <c r="M74" s="50">
        <v>0</v>
      </c>
      <c r="N74" s="50">
        <v>0</v>
      </c>
      <c r="O74" s="15">
        <f t="shared" ref="O74:O105" si="35">SUM(C74:L74,N74)</f>
        <v>5</v>
      </c>
      <c r="P74" s="15">
        <f t="shared" ref="P74:P105" si="36">SUM(C74:N74)</f>
        <v>5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2</v>
      </c>
      <c r="F75" s="50">
        <v>0</v>
      </c>
      <c r="G75" s="50">
        <v>0</v>
      </c>
      <c r="H75" s="50">
        <v>0</v>
      </c>
      <c r="I75" s="50">
        <v>2</v>
      </c>
      <c r="J75" s="50">
        <v>0</v>
      </c>
      <c r="K75" s="50">
        <v>0</v>
      </c>
      <c r="L75" s="50">
        <v>1</v>
      </c>
      <c r="M75" s="50">
        <v>0</v>
      </c>
      <c r="N75" s="50">
        <v>0</v>
      </c>
      <c r="O75" s="15">
        <f t="shared" si="35"/>
        <v>5</v>
      </c>
      <c r="P75" s="15">
        <f t="shared" si="36"/>
        <v>5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1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2</v>
      </c>
      <c r="P76" s="15">
        <f t="shared" si="36"/>
        <v>2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0</v>
      </c>
      <c r="E77" s="50">
        <v>0</v>
      </c>
      <c r="F77" s="50">
        <v>1</v>
      </c>
      <c r="G77" s="50">
        <v>0</v>
      </c>
      <c r="H77" s="50">
        <v>0</v>
      </c>
      <c r="I77" s="50">
        <v>2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4</v>
      </c>
      <c r="P77" s="15">
        <f t="shared" si="36"/>
        <v>4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1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1</v>
      </c>
      <c r="P78" s="15">
        <f t="shared" si="36"/>
        <v>1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1</v>
      </c>
      <c r="F79" s="50">
        <v>2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4</v>
      </c>
      <c r="P79" s="15">
        <f t="shared" si="36"/>
        <v>4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1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2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2</v>
      </c>
      <c r="F81" s="50">
        <v>0</v>
      </c>
      <c r="G81" s="50">
        <v>0</v>
      </c>
      <c r="H81" s="50">
        <v>1</v>
      </c>
      <c r="I81" s="50">
        <v>2</v>
      </c>
      <c r="J81" s="50">
        <v>0</v>
      </c>
      <c r="K81" s="50">
        <v>1</v>
      </c>
      <c r="L81" s="50">
        <v>0</v>
      </c>
      <c r="M81" s="50">
        <v>0</v>
      </c>
      <c r="N81" s="50">
        <v>0</v>
      </c>
      <c r="O81" s="15">
        <f t="shared" si="35"/>
        <v>6</v>
      </c>
      <c r="P81" s="15">
        <f t="shared" si="36"/>
        <v>6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2</v>
      </c>
      <c r="J82" s="50">
        <v>0</v>
      </c>
      <c r="K82" s="50">
        <v>1</v>
      </c>
      <c r="L82" s="50">
        <v>0</v>
      </c>
      <c r="M82" s="50">
        <v>0</v>
      </c>
      <c r="N82" s="50">
        <v>0</v>
      </c>
      <c r="O82" s="15">
        <f t="shared" si="35"/>
        <v>3</v>
      </c>
      <c r="P82" s="15">
        <f t="shared" si="36"/>
        <v>3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1</v>
      </c>
      <c r="M83" s="50">
        <v>0</v>
      </c>
      <c r="N83" s="50">
        <v>0</v>
      </c>
      <c r="O83" s="15">
        <f t="shared" si="35"/>
        <v>3</v>
      </c>
      <c r="P83" s="15">
        <f t="shared" si="36"/>
        <v>3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1</v>
      </c>
      <c r="F84" s="50">
        <v>1</v>
      </c>
      <c r="G84" s="50">
        <v>0</v>
      </c>
      <c r="H84" s="50">
        <v>0</v>
      </c>
      <c r="I84" s="50">
        <v>1</v>
      </c>
      <c r="J84" s="50">
        <v>0</v>
      </c>
      <c r="K84" s="50">
        <v>1</v>
      </c>
      <c r="L84" s="50">
        <v>0</v>
      </c>
      <c r="M84" s="50">
        <v>0</v>
      </c>
      <c r="N84" s="50">
        <v>0</v>
      </c>
      <c r="O84" s="15">
        <f t="shared" si="35"/>
        <v>4</v>
      </c>
      <c r="P84" s="15">
        <f t="shared" si="36"/>
        <v>4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2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2</v>
      </c>
      <c r="P85" s="15">
        <f t="shared" si="36"/>
        <v>2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3</v>
      </c>
      <c r="F86" s="50">
        <v>0</v>
      </c>
      <c r="G86" s="50">
        <v>1</v>
      </c>
      <c r="H86" s="50">
        <v>0</v>
      </c>
      <c r="I86" s="50">
        <v>2</v>
      </c>
      <c r="J86" s="50">
        <v>0</v>
      </c>
      <c r="K86" s="50">
        <v>0</v>
      </c>
      <c r="L86" s="50">
        <v>1</v>
      </c>
      <c r="M86" s="50">
        <v>0</v>
      </c>
      <c r="N86" s="50">
        <v>0</v>
      </c>
      <c r="O86" s="15">
        <f t="shared" si="35"/>
        <v>7</v>
      </c>
      <c r="P86" s="15">
        <f t="shared" si="36"/>
        <v>7</v>
      </c>
      <c r="R86" s="8"/>
      <c r="T86"/>
    </row>
    <row r="87" spans="2:20" ht="23.1" customHeight="1" x14ac:dyDescent="0.25">
      <c r="B87" s="45" t="s">
        <v>127</v>
      </c>
      <c r="C87" s="50">
        <v>2</v>
      </c>
      <c r="D87" s="50">
        <v>0</v>
      </c>
      <c r="E87" s="50">
        <v>1</v>
      </c>
      <c r="F87" s="50">
        <v>0</v>
      </c>
      <c r="G87" s="50">
        <v>0</v>
      </c>
      <c r="H87" s="50">
        <v>1</v>
      </c>
      <c r="I87" s="50">
        <v>4</v>
      </c>
      <c r="J87" s="50">
        <v>0</v>
      </c>
      <c r="K87" s="50">
        <v>0</v>
      </c>
      <c r="L87" s="50">
        <v>1</v>
      </c>
      <c r="M87" s="50">
        <v>0</v>
      </c>
      <c r="N87" s="50">
        <v>0</v>
      </c>
      <c r="O87" s="15">
        <f t="shared" si="35"/>
        <v>9</v>
      </c>
      <c r="P87" s="15">
        <f t="shared" si="36"/>
        <v>9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1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1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2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3</v>
      </c>
      <c r="P89" s="15">
        <f t="shared" si="36"/>
        <v>3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2</v>
      </c>
      <c r="M93" s="50">
        <v>0</v>
      </c>
      <c r="N93" s="50">
        <v>0</v>
      </c>
      <c r="O93" s="15">
        <f t="shared" si="35"/>
        <v>2</v>
      </c>
      <c r="P93" s="15">
        <f t="shared" si="36"/>
        <v>2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2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2</v>
      </c>
      <c r="P96" s="15">
        <f t="shared" si="36"/>
        <v>2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3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3</v>
      </c>
      <c r="P97" s="15">
        <f t="shared" si="36"/>
        <v>3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1</v>
      </c>
      <c r="F98" s="50">
        <v>1</v>
      </c>
      <c r="G98" s="50">
        <v>0</v>
      </c>
      <c r="H98" s="50">
        <v>0</v>
      </c>
      <c r="I98" s="50">
        <v>0</v>
      </c>
      <c r="J98" s="50">
        <v>1</v>
      </c>
      <c r="K98" s="50">
        <v>0</v>
      </c>
      <c r="L98" s="50">
        <v>2</v>
      </c>
      <c r="M98" s="50">
        <v>0</v>
      </c>
      <c r="N98" s="50">
        <v>0</v>
      </c>
      <c r="O98" s="15">
        <f t="shared" si="35"/>
        <v>5</v>
      </c>
      <c r="P98" s="15">
        <f t="shared" si="36"/>
        <v>5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1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2</v>
      </c>
      <c r="P99" s="15">
        <f t="shared" si="36"/>
        <v>2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0</v>
      </c>
      <c r="E101" s="50">
        <v>2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2</v>
      </c>
      <c r="M101" s="50">
        <v>0</v>
      </c>
      <c r="N101" s="50">
        <v>0</v>
      </c>
      <c r="O101" s="15">
        <f t="shared" si="35"/>
        <v>5</v>
      </c>
      <c r="P101" s="15">
        <f t="shared" si="36"/>
        <v>5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1</v>
      </c>
      <c r="P102" s="15">
        <f t="shared" si="36"/>
        <v>1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1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</v>
      </c>
      <c r="N103" s="50">
        <v>0</v>
      </c>
      <c r="O103" s="15">
        <f t="shared" si="35"/>
        <v>1</v>
      </c>
      <c r="P103" s="15">
        <f t="shared" si="36"/>
        <v>2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1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1</v>
      </c>
      <c r="M104" s="50">
        <v>0</v>
      </c>
      <c r="N104" s="50">
        <v>0</v>
      </c>
      <c r="O104" s="15">
        <f t="shared" si="35"/>
        <v>2</v>
      </c>
      <c r="P104" s="15">
        <f t="shared" si="36"/>
        <v>2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1</v>
      </c>
      <c r="N105" s="50">
        <v>0</v>
      </c>
      <c r="O105" s="15">
        <f t="shared" si="35"/>
        <v>2</v>
      </c>
      <c r="P105" s="15">
        <f t="shared" si="36"/>
        <v>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84</v>
      </c>
      <c r="D106" s="16">
        <f t="shared" ref="D106:P106" si="37">SUM(D10:D105)</f>
        <v>0</v>
      </c>
      <c r="E106" s="16">
        <f t="shared" si="37"/>
        <v>123</v>
      </c>
      <c r="F106" s="16">
        <f t="shared" si="37"/>
        <v>120</v>
      </c>
      <c r="G106" s="16">
        <f t="shared" si="37"/>
        <v>2</v>
      </c>
      <c r="H106" s="16">
        <f t="shared" si="37"/>
        <v>26</v>
      </c>
      <c r="I106" s="16">
        <f t="shared" si="37"/>
        <v>86</v>
      </c>
      <c r="J106" s="16">
        <f t="shared" si="37"/>
        <v>15</v>
      </c>
      <c r="K106" s="16">
        <f t="shared" si="37"/>
        <v>9</v>
      </c>
      <c r="L106" s="16">
        <f t="shared" si="37"/>
        <v>52</v>
      </c>
      <c r="M106" s="16">
        <f t="shared" si="37"/>
        <v>60</v>
      </c>
      <c r="N106" s="16">
        <f t="shared" si="37"/>
        <v>0</v>
      </c>
      <c r="O106" s="16">
        <f t="shared" si="37"/>
        <v>517</v>
      </c>
      <c r="P106" s="16">
        <f t="shared" si="37"/>
        <v>577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0.14558058925476602</v>
      </c>
      <c r="D107" s="43">
        <f t="shared" si="38"/>
        <v>0</v>
      </c>
      <c r="E107" s="43">
        <f t="shared" si="38"/>
        <v>0.21317157712305027</v>
      </c>
      <c r="F107" s="43">
        <f t="shared" si="38"/>
        <v>0.20797227036395147</v>
      </c>
      <c r="G107" s="43">
        <f t="shared" si="38"/>
        <v>3.4662045060658577E-3</v>
      </c>
      <c r="H107" s="43">
        <f t="shared" si="38"/>
        <v>4.5060658578856154E-2</v>
      </c>
      <c r="I107" s="43">
        <f t="shared" si="38"/>
        <v>0.14904679376083188</v>
      </c>
      <c r="J107" s="43">
        <f t="shared" si="38"/>
        <v>2.5996533795493933E-2</v>
      </c>
      <c r="K107" s="43">
        <f t="shared" si="38"/>
        <v>1.5597920277296361E-2</v>
      </c>
      <c r="L107" s="43">
        <f t="shared" si="38"/>
        <v>9.0121317157712308E-2</v>
      </c>
      <c r="M107" s="43">
        <f t="shared" si="38"/>
        <v>0.10398613518197573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0.16247582205029013</v>
      </c>
      <c r="D108" s="44">
        <f t="shared" ref="D108:N108" si="39">D106/$O$106</f>
        <v>0</v>
      </c>
      <c r="E108" s="44">
        <f t="shared" si="39"/>
        <v>0.23791102514506771</v>
      </c>
      <c r="F108" s="44">
        <f t="shared" si="39"/>
        <v>0.23210831721470018</v>
      </c>
      <c r="G108" s="44">
        <f t="shared" si="39"/>
        <v>3.8684719535783366E-3</v>
      </c>
      <c r="H108" s="44">
        <f t="shared" si="39"/>
        <v>5.0290135396518373E-2</v>
      </c>
      <c r="I108" s="44">
        <f t="shared" si="39"/>
        <v>0.16634429400386846</v>
      </c>
      <c r="J108" s="44">
        <f t="shared" si="39"/>
        <v>2.9013539651837523E-2</v>
      </c>
      <c r="K108" s="44">
        <f t="shared" si="39"/>
        <v>1.7408123791102514E-2</v>
      </c>
      <c r="L108" s="44">
        <f t="shared" si="39"/>
        <v>0.10058027079303675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zoomScale="60" workbookViewId="0">
      <selection activeCell="N5" sqref="N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KYENJOJO-FORTPORTAL'!C3:G3</f>
        <v>C4 - STN107-FORTPORTAL-KYENJONJO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63" t="str">
        <f>'31.07 FORTPORTAL-KYENJOJO'!G5:H5</f>
        <v>xxx</v>
      </c>
      <c r="H5" s="64"/>
      <c r="I5" s="14"/>
      <c r="J5" s="2" t="s">
        <v>5</v>
      </c>
      <c r="K5" s="63" t="str">
        <f>'31.07 FORTPORTAL-KYENJOJO'!K5:L5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KYENJOJO-FORTPORTAL'!D6:E6</f>
        <v>KYENJOJO</v>
      </c>
      <c r="E6" s="64"/>
      <c r="F6" s="2" t="s">
        <v>2</v>
      </c>
      <c r="G6" s="63" t="str">
        <f>'29.07 KYENJOJO-FORTPORTAL'!G6:H6</f>
        <v>FORTPORTAL</v>
      </c>
      <c r="H6" s="64"/>
      <c r="J6" s="2" t="s">
        <v>21</v>
      </c>
      <c r="K6" s="63" t="str">
        <f>'31.07 FORTPORTAL-KYENJOJO'!K6:L6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5</v>
      </c>
      <c r="F10" s="50">
        <v>4</v>
      </c>
      <c r="G10" s="50">
        <v>1</v>
      </c>
      <c r="H10" s="50">
        <v>0</v>
      </c>
      <c r="I10" s="50">
        <v>0</v>
      </c>
      <c r="J10" s="50">
        <v>0</v>
      </c>
      <c r="K10" s="50">
        <v>0</v>
      </c>
      <c r="L10" s="50">
        <v>1</v>
      </c>
      <c r="M10" s="50">
        <v>0</v>
      </c>
      <c r="N10" s="50">
        <v>0</v>
      </c>
      <c r="O10" s="15">
        <f t="shared" ref="O10:O57" si="0">SUM(C10:L10,N10)</f>
        <v>13</v>
      </c>
      <c r="P10" s="15">
        <f t="shared" ref="P10:P57" si="1">SUM(C10:N10)</f>
        <v>13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9</v>
      </c>
      <c r="V10" s="17">
        <f t="shared" si="2"/>
        <v>10</v>
      </c>
      <c r="W10" s="17">
        <f t="shared" si="2"/>
        <v>1</v>
      </c>
      <c r="X10" s="17">
        <f t="shared" si="2"/>
        <v>1</v>
      </c>
      <c r="Y10" s="17">
        <f t="shared" si="2"/>
        <v>4</v>
      </c>
      <c r="Z10" s="17">
        <f t="shared" si="2"/>
        <v>0</v>
      </c>
      <c r="AA10" s="17">
        <f t="shared" si="2"/>
        <v>0</v>
      </c>
      <c r="AB10" s="17">
        <f t="shared" si="2"/>
        <v>3</v>
      </c>
      <c r="AC10" s="17">
        <f t="shared" si="2"/>
        <v>0</v>
      </c>
      <c r="AD10" s="17">
        <f t="shared" si="2"/>
        <v>0</v>
      </c>
      <c r="AE10" s="31">
        <f t="shared" si="2"/>
        <v>31</v>
      </c>
      <c r="AF10" s="31">
        <f t="shared" si="2"/>
        <v>31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1</v>
      </c>
      <c r="F11" s="50">
        <v>5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2</v>
      </c>
      <c r="M11" s="50">
        <v>0</v>
      </c>
      <c r="N11" s="50">
        <v>0</v>
      </c>
      <c r="O11" s="15">
        <f t="shared" si="0"/>
        <v>9</v>
      </c>
      <c r="P11" s="15">
        <f t="shared" si="1"/>
        <v>9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9</v>
      </c>
      <c r="V11" s="17">
        <f t="shared" si="3"/>
        <v>9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1</v>
      </c>
      <c r="AD11" s="17">
        <f t="shared" si="3"/>
        <v>0</v>
      </c>
      <c r="AE11" s="31">
        <f t="shared" si="3"/>
        <v>20</v>
      </c>
      <c r="AF11" s="31">
        <f t="shared" si="3"/>
        <v>21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2</v>
      </c>
      <c r="F12" s="50">
        <v>0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4</v>
      </c>
      <c r="P12" s="15">
        <f t="shared" si="1"/>
        <v>4</v>
      </c>
      <c r="R12" s="1" t="s">
        <v>8</v>
      </c>
      <c r="S12" s="17">
        <f t="shared" ref="S12:AF12" si="4">SUM(C18:C21)</f>
        <v>6</v>
      </c>
      <c r="T12" s="17">
        <f t="shared" si="4"/>
        <v>0</v>
      </c>
      <c r="U12" s="17">
        <f t="shared" si="4"/>
        <v>13</v>
      </c>
      <c r="V12" s="17">
        <f t="shared" si="4"/>
        <v>6</v>
      </c>
      <c r="W12" s="17">
        <f t="shared" si="4"/>
        <v>0</v>
      </c>
      <c r="X12" s="17">
        <f t="shared" si="4"/>
        <v>1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6</v>
      </c>
      <c r="AC12" s="17">
        <f t="shared" si="4"/>
        <v>3</v>
      </c>
      <c r="AD12" s="17">
        <f t="shared" si="4"/>
        <v>0</v>
      </c>
      <c r="AE12" s="31">
        <f t="shared" si="4"/>
        <v>32</v>
      </c>
      <c r="AF12" s="31">
        <f t="shared" si="4"/>
        <v>35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1</v>
      </c>
      <c r="G13" s="50">
        <v>0</v>
      </c>
      <c r="H13" s="50">
        <v>1</v>
      </c>
      <c r="I13" s="50">
        <v>1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5</v>
      </c>
      <c r="P13" s="15">
        <f t="shared" si="1"/>
        <v>5</v>
      </c>
      <c r="R13" s="1" t="s">
        <v>9</v>
      </c>
      <c r="S13" s="17">
        <f t="shared" ref="S13:AF13" si="5">SUM(C22:C25)</f>
        <v>5</v>
      </c>
      <c r="T13" s="17">
        <f t="shared" si="5"/>
        <v>0</v>
      </c>
      <c r="U13" s="17">
        <f t="shared" si="5"/>
        <v>15</v>
      </c>
      <c r="V13" s="17">
        <f t="shared" si="5"/>
        <v>9</v>
      </c>
      <c r="W13" s="17">
        <f t="shared" si="5"/>
        <v>1</v>
      </c>
      <c r="X13" s="17">
        <f t="shared" si="5"/>
        <v>2</v>
      </c>
      <c r="Y13" s="17">
        <f t="shared" si="5"/>
        <v>6</v>
      </c>
      <c r="Z13" s="17">
        <f t="shared" si="5"/>
        <v>0</v>
      </c>
      <c r="AA13" s="17">
        <f t="shared" si="5"/>
        <v>0</v>
      </c>
      <c r="AB13" s="17">
        <f t="shared" si="5"/>
        <v>5</v>
      </c>
      <c r="AC13" s="17">
        <f t="shared" si="5"/>
        <v>4</v>
      </c>
      <c r="AD13" s="17">
        <f t="shared" si="5"/>
        <v>0</v>
      </c>
      <c r="AE13" s="31">
        <f t="shared" si="5"/>
        <v>43</v>
      </c>
      <c r="AF13" s="31">
        <f t="shared" si="5"/>
        <v>47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15">
        <f t="shared" si="0"/>
        <v>1</v>
      </c>
      <c r="P14" s="15">
        <f t="shared" si="1"/>
        <v>1</v>
      </c>
      <c r="R14" s="1" t="s">
        <v>10</v>
      </c>
      <c r="S14" s="17">
        <f t="shared" ref="S14:AF14" si="6">SUM(C26:C29)</f>
        <v>1</v>
      </c>
      <c r="T14" s="17">
        <f t="shared" si="6"/>
        <v>0</v>
      </c>
      <c r="U14" s="17">
        <f t="shared" si="6"/>
        <v>16</v>
      </c>
      <c r="V14" s="17">
        <f t="shared" si="6"/>
        <v>13</v>
      </c>
      <c r="W14" s="17">
        <f t="shared" si="6"/>
        <v>0</v>
      </c>
      <c r="X14" s="17">
        <f t="shared" si="6"/>
        <v>2</v>
      </c>
      <c r="Y14" s="17">
        <f t="shared" si="6"/>
        <v>5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4</v>
      </c>
      <c r="AD14" s="17">
        <f t="shared" si="6"/>
        <v>0</v>
      </c>
      <c r="AE14" s="31">
        <f t="shared" si="6"/>
        <v>37</v>
      </c>
      <c r="AF14" s="31">
        <f t="shared" si="6"/>
        <v>41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3</v>
      </c>
      <c r="F15" s="50">
        <v>3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1</v>
      </c>
      <c r="M15" s="50">
        <v>0</v>
      </c>
      <c r="N15" s="50">
        <v>0</v>
      </c>
      <c r="O15" s="15">
        <f t="shared" si="0"/>
        <v>7</v>
      </c>
      <c r="P15" s="15">
        <f t="shared" si="1"/>
        <v>7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9</v>
      </c>
      <c r="V15" s="17">
        <f t="shared" si="7"/>
        <v>6</v>
      </c>
      <c r="W15" s="17">
        <f t="shared" si="7"/>
        <v>0</v>
      </c>
      <c r="X15" s="17">
        <f t="shared" si="7"/>
        <v>4</v>
      </c>
      <c r="Y15" s="17">
        <f t="shared" si="7"/>
        <v>7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2</v>
      </c>
      <c r="AD15" s="17">
        <f t="shared" si="7"/>
        <v>0</v>
      </c>
      <c r="AE15" s="31">
        <f t="shared" si="7"/>
        <v>27</v>
      </c>
      <c r="AF15" s="31">
        <f t="shared" si="7"/>
        <v>29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3</v>
      </c>
      <c r="F16" s="50">
        <v>2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5</v>
      </c>
      <c r="P16" s="15">
        <f t="shared" si="1"/>
        <v>5</v>
      </c>
      <c r="R16" s="1" t="s">
        <v>12</v>
      </c>
      <c r="S16" s="17">
        <f t="shared" ref="S16:AF16" si="8">SUM(C34:C37)</f>
        <v>8</v>
      </c>
      <c r="T16" s="17">
        <f t="shared" si="8"/>
        <v>0</v>
      </c>
      <c r="U16" s="17">
        <f t="shared" si="8"/>
        <v>14</v>
      </c>
      <c r="V16" s="17">
        <f t="shared" si="8"/>
        <v>10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0</v>
      </c>
      <c r="AA16" s="17">
        <f t="shared" si="8"/>
        <v>0</v>
      </c>
      <c r="AB16" s="17">
        <f t="shared" si="8"/>
        <v>3</v>
      </c>
      <c r="AC16" s="17">
        <f t="shared" si="8"/>
        <v>1</v>
      </c>
      <c r="AD16" s="17">
        <f t="shared" si="8"/>
        <v>0</v>
      </c>
      <c r="AE16" s="31">
        <f t="shared" si="8"/>
        <v>41</v>
      </c>
      <c r="AF16" s="31">
        <f t="shared" si="8"/>
        <v>42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3</v>
      </c>
      <c r="F17" s="50">
        <v>3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</v>
      </c>
      <c r="N17" s="50">
        <v>0</v>
      </c>
      <c r="O17" s="15">
        <f t="shared" si="0"/>
        <v>7</v>
      </c>
      <c r="P17" s="15">
        <f t="shared" si="1"/>
        <v>8</v>
      </c>
      <c r="R17" s="1" t="s">
        <v>13</v>
      </c>
      <c r="S17" s="17">
        <f t="shared" ref="S17:AF17" si="9">SUM(C38:C41)</f>
        <v>8</v>
      </c>
      <c r="T17" s="17">
        <f t="shared" si="9"/>
        <v>0</v>
      </c>
      <c r="U17" s="17">
        <f t="shared" si="9"/>
        <v>26</v>
      </c>
      <c r="V17" s="17">
        <f t="shared" si="9"/>
        <v>10</v>
      </c>
      <c r="W17" s="17">
        <f t="shared" si="9"/>
        <v>1</v>
      </c>
      <c r="X17" s="17">
        <f t="shared" si="9"/>
        <v>2</v>
      </c>
      <c r="Y17" s="17">
        <f t="shared" si="9"/>
        <v>7</v>
      </c>
      <c r="Z17" s="17">
        <f t="shared" si="9"/>
        <v>2</v>
      </c>
      <c r="AA17" s="17">
        <f t="shared" si="9"/>
        <v>0</v>
      </c>
      <c r="AB17" s="17">
        <f t="shared" si="9"/>
        <v>4</v>
      </c>
      <c r="AC17" s="17">
        <f t="shared" si="9"/>
        <v>1</v>
      </c>
      <c r="AD17" s="17">
        <f t="shared" si="9"/>
        <v>0</v>
      </c>
      <c r="AE17" s="31">
        <f t="shared" si="9"/>
        <v>60</v>
      </c>
      <c r="AF17" s="31">
        <f t="shared" si="9"/>
        <v>61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4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1</v>
      </c>
      <c r="M18" s="50">
        <v>1</v>
      </c>
      <c r="N18" s="50">
        <v>0</v>
      </c>
      <c r="O18" s="15">
        <f t="shared" si="0"/>
        <v>7</v>
      </c>
      <c r="P18" s="15">
        <f t="shared" si="1"/>
        <v>8</v>
      </c>
      <c r="R18" s="1" t="s">
        <v>14</v>
      </c>
      <c r="S18" s="17">
        <f t="shared" ref="S18:AF18" si="10">SUM(C42:C45)</f>
        <v>5</v>
      </c>
      <c r="T18" s="17">
        <f t="shared" si="10"/>
        <v>0</v>
      </c>
      <c r="U18" s="17">
        <f t="shared" si="10"/>
        <v>19</v>
      </c>
      <c r="V18" s="17">
        <f t="shared" si="10"/>
        <v>7</v>
      </c>
      <c r="W18" s="17">
        <f t="shared" si="10"/>
        <v>1</v>
      </c>
      <c r="X18" s="17">
        <f t="shared" si="10"/>
        <v>2</v>
      </c>
      <c r="Y18" s="17">
        <f t="shared" si="10"/>
        <v>4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2</v>
      </c>
      <c r="AD18" s="17">
        <f t="shared" si="10"/>
        <v>0</v>
      </c>
      <c r="AE18" s="31">
        <f t="shared" si="10"/>
        <v>38</v>
      </c>
      <c r="AF18" s="31">
        <f t="shared" si="10"/>
        <v>40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1</v>
      </c>
      <c r="F19" s="50">
        <v>2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3</v>
      </c>
      <c r="M19" s="50">
        <v>0</v>
      </c>
      <c r="N19" s="50">
        <v>0</v>
      </c>
      <c r="O19" s="15">
        <f t="shared" si="0"/>
        <v>7</v>
      </c>
      <c r="P19" s="15">
        <f t="shared" si="1"/>
        <v>7</v>
      </c>
      <c r="R19" s="1" t="s">
        <v>15</v>
      </c>
      <c r="S19" s="17">
        <f t="shared" ref="S19:AF19" si="11">SUM(C46:C49)</f>
        <v>3</v>
      </c>
      <c r="T19" s="17">
        <f t="shared" si="11"/>
        <v>0</v>
      </c>
      <c r="U19" s="17">
        <f t="shared" si="11"/>
        <v>13</v>
      </c>
      <c r="V19" s="17">
        <f t="shared" si="11"/>
        <v>6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1</v>
      </c>
      <c r="AA19" s="17">
        <f t="shared" si="11"/>
        <v>1</v>
      </c>
      <c r="AB19" s="17">
        <f t="shared" si="11"/>
        <v>2</v>
      </c>
      <c r="AC19" s="17">
        <f t="shared" si="11"/>
        <v>0</v>
      </c>
      <c r="AD19" s="17">
        <f t="shared" si="11"/>
        <v>0</v>
      </c>
      <c r="AE19" s="31">
        <f t="shared" si="11"/>
        <v>33</v>
      </c>
      <c r="AF19" s="31">
        <f t="shared" si="11"/>
        <v>33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6</v>
      </c>
      <c r="F20" s="50">
        <v>1</v>
      </c>
      <c r="G20" s="50">
        <v>0</v>
      </c>
      <c r="H20" s="50">
        <v>1</v>
      </c>
      <c r="I20" s="50">
        <v>0</v>
      </c>
      <c r="J20" s="50">
        <v>0</v>
      </c>
      <c r="K20" s="50">
        <v>0</v>
      </c>
      <c r="L20" s="50">
        <v>0</v>
      </c>
      <c r="M20" s="50">
        <v>1</v>
      </c>
      <c r="N20" s="50">
        <v>0</v>
      </c>
      <c r="O20" s="15">
        <f t="shared" si="0"/>
        <v>10</v>
      </c>
      <c r="P20" s="15">
        <f t="shared" si="1"/>
        <v>11</v>
      </c>
      <c r="R20" s="1" t="s">
        <v>16</v>
      </c>
      <c r="S20" s="17">
        <f t="shared" ref="S20:AF20" si="12">SUM(C50:C53)</f>
        <v>8</v>
      </c>
      <c r="T20" s="17">
        <f t="shared" si="12"/>
        <v>0</v>
      </c>
      <c r="U20" s="17">
        <f t="shared" si="12"/>
        <v>22</v>
      </c>
      <c r="V20" s="17">
        <f t="shared" si="12"/>
        <v>11</v>
      </c>
      <c r="W20" s="17">
        <f t="shared" si="12"/>
        <v>0</v>
      </c>
      <c r="X20" s="17">
        <f t="shared" si="12"/>
        <v>0</v>
      </c>
      <c r="Y20" s="17">
        <f t="shared" si="12"/>
        <v>4</v>
      </c>
      <c r="Z20" s="17">
        <f t="shared" si="12"/>
        <v>2</v>
      </c>
      <c r="AA20" s="17">
        <f t="shared" si="12"/>
        <v>0</v>
      </c>
      <c r="AB20" s="17">
        <f t="shared" si="12"/>
        <v>1</v>
      </c>
      <c r="AC20" s="17">
        <f t="shared" si="12"/>
        <v>1</v>
      </c>
      <c r="AD20" s="17">
        <f t="shared" si="12"/>
        <v>0</v>
      </c>
      <c r="AE20" s="31">
        <f t="shared" si="12"/>
        <v>48</v>
      </c>
      <c r="AF20" s="31">
        <f t="shared" si="12"/>
        <v>49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2</v>
      </c>
      <c r="F21" s="50">
        <v>2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2</v>
      </c>
      <c r="M21" s="50">
        <v>1</v>
      </c>
      <c r="N21" s="50">
        <v>0</v>
      </c>
      <c r="O21" s="15">
        <f t="shared" si="0"/>
        <v>8</v>
      </c>
      <c r="P21" s="15">
        <f t="shared" si="1"/>
        <v>9</v>
      </c>
      <c r="R21" s="36" t="s">
        <v>20</v>
      </c>
      <c r="S21" s="34">
        <f t="shared" ref="S21:AF21" si="13">SUM(C54:C57)</f>
        <v>2</v>
      </c>
      <c r="T21" s="17">
        <f t="shared" si="13"/>
        <v>0</v>
      </c>
      <c r="U21" s="17">
        <f t="shared" si="13"/>
        <v>20</v>
      </c>
      <c r="V21" s="17">
        <f t="shared" si="13"/>
        <v>8</v>
      </c>
      <c r="W21" s="17">
        <f t="shared" si="13"/>
        <v>1</v>
      </c>
      <c r="X21" s="17">
        <f t="shared" si="13"/>
        <v>3</v>
      </c>
      <c r="Y21" s="17">
        <f t="shared" si="13"/>
        <v>4</v>
      </c>
      <c r="Z21" s="17">
        <f t="shared" si="13"/>
        <v>1</v>
      </c>
      <c r="AA21" s="17">
        <f t="shared" si="13"/>
        <v>3</v>
      </c>
      <c r="AB21" s="17">
        <f t="shared" si="13"/>
        <v>1</v>
      </c>
      <c r="AC21" s="17">
        <f t="shared" si="13"/>
        <v>1</v>
      </c>
      <c r="AD21" s="17">
        <f t="shared" si="13"/>
        <v>0</v>
      </c>
      <c r="AE21" s="31">
        <f t="shared" si="13"/>
        <v>43</v>
      </c>
      <c r="AF21" s="31">
        <f t="shared" si="13"/>
        <v>44</v>
      </c>
    </row>
    <row r="22" spans="2:32" ht="23.1" customHeight="1" x14ac:dyDescent="0.25">
      <c r="B22" s="23" t="s">
        <v>49</v>
      </c>
      <c r="C22" s="50">
        <v>3</v>
      </c>
      <c r="D22" s="50">
        <v>0</v>
      </c>
      <c r="E22" s="50">
        <v>3</v>
      </c>
      <c r="F22" s="50">
        <v>2</v>
      </c>
      <c r="G22" s="50">
        <v>0</v>
      </c>
      <c r="H22" s="50">
        <v>1</v>
      </c>
      <c r="I22" s="50">
        <v>3</v>
      </c>
      <c r="J22" s="50">
        <v>0</v>
      </c>
      <c r="K22" s="50">
        <v>0</v>
      </c>
      <c r="L22" s="50">
        <v>1</v>
      </c>
      <c r="M22" s="50">
        <v>1</v>
      </c>
      <c r="N22" s="50">
        <v>0</v>
      </c>
      <c r="O22" s="15">
        <f t="shared" si="0"/>
        <v>13</v>
      </c>
      <c r="P22" s="15">
        <f t="shared" si="1"/>
        <v>14</v>
      </c>
      <c r="R22" s="38" t="s">
        <v>90</v>
      </c>
      <c r="S22" s="39">
        <f>MAX(S10:S12)</f>
        <v>6</v>
      </c>
      <c r="T22" s="39">
        <f t="shared" ref="T22:AF22" si="14">MAX(T10:T12)</f>
        <v>0</v>
      </c>
      <c r="U22" s="39">
        <f t="shared" si="14"/>
        <v>13</v>
      </c>
      <c r="V22" s="39">
        <f t="shared" si="14"/>
        <v>10</v>
      </c>
      <c r="W22" s="39">
        <f t="shared" si="14"/>
        <v>1</v>
      </c>
      <c r="X22" s="39">
        <f t="shared" si="14"/>
        <v>1</v>
      </c>
      <c r="Y22" s="39">
        <f t="shared" si="14"/>
        <v>4</v>
      </c>
      <c r="Z22" s="39">
        <f t="shared" si="14"/>
        <v>0</v>
      </c>
      <c r="AA22" s="39">
        <f t="shared" si="14"/>
        <v>0</v>
      </c>
      <c r="AB22" s="39">
        <f t="shared" si="14"/>
        <v>6</v>
      </c>
      <c r="AC22" s="39">
        <f t="shared" si="14"/>
        <v>3</v>
      </c>
      <c r="AD22" s="39">
        <f t="shared" si="14"/>
        <v>0</v>
      </c>
      <c r="AE22" s="40">
        <f t="shared" si="14"/>
        <v>32</v>
      </c>
      <c r="AF22" s="40">
        <f t="shared" si="14"/>
        <v>35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4</v>
      </c>
      <c r="F23" s="50">
        <v>3</v>
      </c>
      <c r="G23" s="50">
        <v>0</v>
      </c>
      <c r="H23" s="50">
        <v>1</v>
      </c>
      <c r="I23" s="50">
        <v>1</v>
      </c>
      <c r="J23" s="50">
        <v>0</v>
      </c>
      <c r="K23" s="50">
        <v>0</v>
      </c>
      <c r="L23" s="50">
        <v>4</v>
      </c>
      <c r="M23" s="50">
        <v>0</v>
      </c>
      <c r="N23" s="50">
        <v>0</v>
      </c>
      <c r="O23" s="15">
        <f t="shared" si="0"/>
        <v>14</v>
      </c>
      <c r="P23" s="15">
        <f t="shared" si="1"/>
        <v>14</v>
      </c>
      <c r="R23" s="38" t="s">
        <v>91</v>
      </c>
      <c r="S23" s="39">
        <f>MAX(S13:S18)</f>
        <v>8</v>
      </c>
      <c r="T23" s="39">
        <f t="shared" ref="T23:AF23" si="15">MAX(T13:T18)</f>
        <v>0</v>
      </c>
      <c r="U23" s="39">
        <f t="shared" si="15"/>
        <v>26</v>
      </c>
      <c r="V23" s="39">
        <f t="shared" si="15"/>
        <v>13</v>
      </c>
      <c r="W23" s="39">
        <f t="shared" si="15"/>
        <v>1</v>
      </c>
      <c r="X23" s="39">
        <f t="shared" si="15"/>
        <v>4</v>
      </c>
      <c r="Y23" s="39">
        <f t="shared" si="15"/>
        <v>7</v>
      </c>
      <c r="Z23" s="39">
        <f t="shared" si="15"/>
        <v>2</v>
      </c>
      <c r="AA23" s="39">
        <f t="shared" si="15"/>
        <v>0</v>
      </c>
      <c r="AB23" s="39">
        <f t="shared" si="15"/>
        <v>5</v>
      </c>
      <c r="AC23" s="39">
        <f t="shared" si="15"/>
        <v>4</v>
      </c>
      <c r="AD23" s="39">
        <f t="shared" si="15"/>
        <v>0</v>
      </c>
      <c r="AE23" s="40">
        <f t="shared" si="15"/>
        <v>60</v>
      </c>
      <c r="AF23" s="40">
        <f t="shared" si="15"/>
        <v>61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3</v>
      </c>
      <c r="F24" s="50">
        <v>2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</v>
      </c>
      <c r="N24" s="50">
        <v>0</v>
      </c>
      <c r="O24" s="15">
        <f t="shared" si="0"/>
        <v>6</v>
      </c>
      <c r="P24" s="15">
        <f t="shared" si="1"/>
        <v>8</v>
      </c>
      <c r="R24" s="38" t="s">
        <v>92</v>
      </c>
      <c r="S24" s="39">
        <f>MAX(S19:S21)</f>
        <v>8</v>
      </c>
      <c r="T24" s="39">
        <f t="shared" ref="T24:AF24" si="16">MAX(T19:T21)</f>
        <v>0</v>
      </c>
      <c r="U24" s="39">
        <f t="shared" si="16"/>
        <v>22</v>
      </c>
      <c r="V24" s="39">
        <f t="shared" si="16"/>
        <v>11</v>
      </c>
      <c r="W24" s="39">
        <f t="shared" si="16"/>
        <v>1</v>
      </c>
      <c r="X24" s="39">
        <f t="shared" si="16"/>
        <v>3</v>
      </c>
      <c r="Y24" s="39">
        <f t="shared" si="16"/>
        <v>7</v>
      </c>
      <c r="Z24" s="39">
        <f t="shared" si="16"/>
        <v>2</v>
      </c>
      <c r="AA24" s="39">
        <f t="shared" si="16"/>
        <v>3</v>
      </c>
      <c r="AB24" s="39">
        <f t="shared" si="16"/>
        <v>2</v>
      </c>
      <c r="AC24" s="39">
        <f t="shared" si="16"/>
        <v>1</v>
      </c>
      <c r="AD24" s="39">
        <f t="shared" si="16"/>
        <v>0</v>
      </c>
      <c r="AE24" s="40">
        <f t="shared" si="16"/>
        <v>48</v>
      </c>
      <c r="AF24" s="40">
        <f t="shared" si="16"/>
        <v>49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5</v>
      </c>
      <c r="F25" s="50">
        <v>2</v>
      </c>
      <c r="G25" s="50">
        <v>1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1</v>
      </c>
      <c r="N25" s="50">
        <v>0</v>
      </c>
      <c r="O25" s="15">
        <f t="shared" si="0"/>
        <v>10</v>
      </c>
      <c r="P25" s="15">
        <f t="shared" si="1"/>
        <v>11</v>
      </c>
      <c r="R25" s="37" t="s">
        <v>85</v>
      </c>
      <c r="S25" s="35">
        <f t="shared" ref="S25:AF25" si="17">SUM(S10:S12)</f>
        <v>10</v>
      </c>
      <c r="T25" s="16">
        <f t="shared" si="17"/>
        <v>0</v>
      </c>
      <c r="U25" s="16">
        <f t="shared" si="17"/>
        <v>31</v>
      </c>
      <c r="V25" s="16">
        <f t="shared" si="17"/>
        <v>25</v>
      </c>
      <c r="W25" s="16">
        <f t="shared" si="17"/>
        <v>1</v>
      </c>
      <c r="X25" s="16">
        <f t="shared" si="17"/>
        <v>2</v>
      </c>
      <c r="Y25" s="16">
        <f t="shared" si="17"/>
        <v>4</v>
      </c>
      <c r="Z25" s="16">
        <f t="shared" si="17"/>
        <v>0</v>
      </c>
      <c r="AA25" s="16">
        <f t="shared" si="17"/>
        <v>0</v>
      </c>
      <c r="AB25" s="16">
        <f t="shared" si="17"/>
        <v>10</v>
      </c>
      <c r="AC25" s="16">
        <f t="shared" si="17"/>
        <v>4</v>
      </c>
      <c r="AD25" s="16">
        <f t="shared" si="17"/>
        <v>0</v>
      </c>
      <c r="AE25" s="32">
        <f t="shared" si="17"/>
        <v>83</v>
      </c>
      <c r="AF25" s="32">
        <f t="shared" si="17"/>
        <v>87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5</v>
      </c>
      <c r="F26" s="50">
        <v>3</v>
      </c>
      <c r="G26" s="50">
        <v>0</v>
      </c>
      <c r="H26" s="50">
        <v>1</v>
      </c>
      <c r="I26" s="50">
        <v>1</v>
      </c>
      <c r="J26" s="50">
        <v>0</v>
      </c>
      <c r="K26" s="50">
        <v>0</v>
      </c>
      <c r="L26" s="50">
        <v>0</v>
      </c>
      <c r="M26" s="50">
        <v>2</v>
      </c>
      <c r="N26" s="50">
        <v>0</v>
      </c>
      <c r="O26" s="15">
        <f t="shared" si="0"/>
        <v>10</v>
      </c>
      <c r="P26" s="15">
        <f t="shared" si="1"/>
        <v>12</v>
      </c>
      <c r="R26" s="28" t="s">
        <v>86</v>
      </c>
      <c r="S26" s="16">
        <f t="shared" ref="S26:AF26" si="18">SUM(S13:S18)</f>
        <v>27</v>
      </c>
      <c r="T26" s="16">
        <f t="shared" si="18"/>
        <v>0</v>
      </c>
      <c r="U26" s="16">
        <f t="shared" si="18"/>
        <v>99</v>
      </c>
      <c r="V26" s="16">
        <f t="shared" si="18"/>
        <v>55</v>
      </c>
      <c r="W26" s="16">
        <f t="shared" si="18"/>
        <v>3</v>
      </c>
      <c r="X26" s="16">
        <f t="shared" si="18"/>
        <v>12</v>
      </c>
      <c r="Y26" s="16">
        <f t="shared" si="18"/>
        <v>35</v>
      </c>
      <c r="Z26" s="16">
        <f t="shared" si="18"/>
        <v>2</v>
      </c>
      <c r="AA26" s="16">
        <f t="shared" si="18"/>
        <v>0</v>
      </c>
      <c r="AB26" s="16">
        <f t="shared" si="18"/>
        <v>13</v>
      </c>
      <c r="AC26" s="16">
        <f t="shared" si="18"/>
        <v>14</v>
      </c>
      <c r="AD26" s="16">
        <f t="shared" si="18"/>
        <v>0</v>
      </c>
      <c r="AE26" s="32">
        <f t="shared" si="18"/>
        <v>246</v>
      </c>
      <c r="AF26" s="32">
        <f t="shared" si="18"/>
        <v>260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5</v>
      </c>
      <c r="F27" s="50">
        <v>5</v>
      </c>
      <c r="G27" s="50">
        <v>0</v>
      </c>
      <c r="H27" s="50">
        <v>1</v>
      </c>
      <c r="I27" s="50">
        <v>0</v>
      </c>
      <c r="J27" s="50">
        <v>0</v>
      </c>
      <c r="K27" s="50">
        <v>0</v>
      </c>
      <c r="L27" s="50">
        <v>0</v>
      </c>
      <c r="M27" s="50">
        <v>1</v>
      </c>
      <c r="N27" s="50">
        <v>0</v>
      </c>
      <c r="O27" s="15">
        <f t="shared" si="0"/>
        <v>12</v>
      </c>
      <c r="P27" s="15">
        <f t="shared" si="1"/>
        <v>13</v>
      </c>
      <c r="R27" s="29" t="s">
        <v>87</v>
      </c>
      <c r="S27" s="16">
        <f t="shared" ref="S27:AF27" si="19">SUM(S19:S21)</f>
        <v>13</v>
      </c>
      <c r="T27" s="16">
        <f t="shared" si="19"/>
        <v>0</v>
      </c>
      <c r="U27" s="16">
        <f t="shared" si="19"/>
        <v>55</v>
      </c>
      <c r="V27" s="16">
        <f t="shared" si="19"/>
        <v>25</v>
      </c>
      <c r="W27" s="16">
        <f t="shared" si="19"/>
        <v>1</v>
      </c>
      <c r="X27" s="16">
        <f t="shared" si="19"/>
        <v>3</v>
      </c>
      <c r="Y27" s="16">
        <f t="shared" si="19"/>
        <v>15</v>
      </c>
      <c r="Z27" s="16">
        <f t="shared" si="19"/>
        <v>4</v>
      </c>
      <c r="AA27" s="16">
        <f t="shared" si="19"/>
        <v>4</v>
      </c>
      <c r="AB27" s="16">
        <f t="shared" si="19"/>
        <v>4</v>
      </c>
      <c r="AC27" s="16">
        <f t="shared" si="19"/>
        <v>2</v>
      </c>
      <c r="AD27" s="16">
        <f t="shared" si="19"/>
        <v>0</v>
      </c>
      <c r="AE27" s="32">
        <f t="shared" si="19"/>
        <v>124</v>
      </c>
      <c r="AF27" s="32">
        <f t="shared" si="19"/>
        <v>126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4</v>
      </c>
      <c r="F28" s="50">
        <v>4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</v>
      </c>
      <c r="N28" s="50">
        <v>0</v>
      </c>
      <c r="O28" s="15">
        <f t="shared" si="0"/>
        <v>8</v>
      </c>
      <c r="P28" s="15">
        <f t="shared" si="1"/>
        <v>9</v>
      </c>
      <c r="R28" s="5" t="s">
        <v>17</v>
      </c>
      <c r="S28" s="16">
        <f t="shared" ref="S28:AF28" si="20">SUM(S10:S21)</f>
        <v>50</v>
      </c>
      <c r="T28" s="16">
        <f t="shared" si="20"/>
        <v>0</v>
      </c>
      <c r="U28" s="16">
        <f t="shared" si="20"/>
        <v>185</v>
      </c>
      <c r="V28" s="16">
        <f t="shared" si="20"/>
        <v>105</v>
      </c>
      <c r="W28" s="16">
        <f t="shared" si="20"/>
        <v>5</v>
      </c>
      <c r="X28" s="16">
        <f t="shared" si="20"/>
        <v>17</v>
      </c>
      <c r="Y28" s="16">
        <f t="shared" si="20"/>
        <v>54</v>
      </c>
      <c r="Z28" s="16">
        <f t="shared" si="20"/>
        <v>6</v>
      </c>
      <c r="AA28" s="16">
        <f t="shared" si="20"/>
        <v>4</v>
      </c>
      <c r="AB28" s="16">
        <f t="shared" si="20"/>
        <v>27</v>
      </c>
      <c r="AC28" s="16">
        <f t="shared" si="20"/>
        <v>20</v>
      </c>
      <c r="AD28" s="16">
        <f t="shared" si="20"/>
        <v>0</v>
      </c>
      <c r="AE28" s="32">
        <f t="shared" si="20"/>
        <v>453</v>
      </c>
      <c r="AF28" s="32">
        <f t="shared" si="20"/>
        <v>473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2</v>
      </c>
      <c r="F29" s="50">
        <v>1</v>
      </c>
      <c r="G29" s="50">
        <v>0</v>
      </c>
      <c r="H29" s="50">
        <v>0</v>
      </c>
      <c r="I29" s="50">
        <v>4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7</v>
      </c>
      <c r="P29" s="15">
        <f t="shared" si="1"/>
        <v>7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3</v>
      </c>
      <c r="F30" s="50">
        <v>1</v>
      </c>
      <c r="G30" s="50">
        <v>0</v>
      </c>
      <c r="H30" s="50">
        <v>2</v>
      </c>
      <c r="I30" s="50">
        <v>2</v>
      </c>
      <c r="J30" s="50">
        <v>0</v>
      </c>
      <c r="K30" s="50">
        <v>0</v>
      </c>
      <c r="L30" s="50">
        <v>0</v>
      </c>
      <c r="M30" s="50">
        <v>1</v>
      </c>
      <c r="N30" s="50">
        <v>0</v>
      </c>
      <c r="O30" s="15">
        <f t="shared" si="0"/>
        <v>8</v>
      </c>
      <c r="P30" s="15">
        <f t="shared" si="1"/>
        <v>9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4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0</v>
      </c>
      <c r="N31" s="50">
        <v>0</v>
      </c>
      <c r="O31" s="15">
        <f t="shared" si="0"/>
        <v>5</v>
      </c>
      <c r="P31" s="15">
        <f t="shared" si="1"/>
        <v>5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1</v>
      </c>
      <c r="F32" s="50">
        <v>1</v>
      </c>
      <c r="G32" s="50">
        <v>0</v>
      </c>
      <c r="H32" s="50">
        <v>1</v>
      </c>
      <c r="I32" s="50">
        <v>3</v>
      </c>
      <c r="J32" s="50">
        <v>0</v>
      </c>
      <c r="K32" s="50">
        <v>0</v>
      </c>
      <c r="L32" s="50">
        <v>1</v>
      </c>
      <c r="M32" s="50">
        <v>0</v>
      </c>
      <c r="N32" s="50">
        <v>0</v>
      </c>
      <c r="O32" s="15">
        <f t="shared" si="0"/>
        <v>7</v>
      </c>
      <c r="P32" s="15">
        <f t="shared" si="1"/>
        <v>7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5</v>
      </c>
      <c r="F33" s="50">
        <v>0</v>
      </c>
      <c r="G33" s="50">
        <v>0</v>
      </c>
      <c r="H33" s="50">
        <v>1</v>
      </c>
      <c r="I33" s="50">
        <v>1</v>
      </c>
      <c r="J33" s="50">
        <v>0</v>
      </c>
      <c r="K33" s="50">
        <v>0</v>
      </c>
      <c r="L33" s="50">
        <v>0</v>
      </c>
      <c r="M33" s="50">
        <v>1</v>
      </c>
      <c r="N33" s="50">
        <v>0</v>
      </c>
      <c r="O33" s="15">
        <f t="shared" si="0"/>
        <v>7</v>
      </c>
      <c r="P33" s="15">
        <f t="shared" si="1"/>
        <v>8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2</v>
      </c>
      <c r="F34" s="50">
        <v>2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2</v>
      </c>
      <c r="M34" s="50">
        <v>1</v>
      </c>
      <c r="N34" s="50">
        <v>0</v>
      </c>
      <c r="O34" s="15">
        <f t="shared" si="0"/>
        <v>11</v>
      </c>
      <c r="P34" s="15">
        <f t="shared" si="1"/>
        <v>12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3</v>
      </c>
      <c r="F35" s="50">
        <v>1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5</v>
      </c>
      <c r="P35" s="15">
        <f t="shared" si="1"/>
        <v>5</v>
      </c>
    </row>
    <row r="36" spans="2:20" ht="23.1" customHeight="1" x14ac:dyDescent="0.25">
      <c r="B36" s="24" t="s">
        <v>63</v>
      </c>
      <c r="C36" s="50">
        <v>4</v>
      </c>
      <c r="D36" s="50">
        <v>0</v>
      </c>
      <c r="E36" s="50">
        <v>3</v>
      </c>
      <c r="F36" s="50">
        <v>5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1</v>
      </c>
      <c r="M36" s="50">
        <v>0</v>
      </c>
      <c r="N36" s="50">
        <v>0</v>
      </c>
      <c r="O36" s="15">
        <f t="shared" si="0"/>
        <v>15</v>
      </c>
      <c r="P36" s="15">
        <f t="shared" si="1"/>
        <v>15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6</v>
      </c>
      <c r="F37" s="50">
        <v>2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10</v>
      </c>
      <c r="P37" s="15">
        <f t="shared" si="1"/>
        <v>10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0</v>
      </c>
      <c r="N38" s="50">
        <v>0</v>
      </c>
      <c r="O38" s="15">
        <f t="shared" si="0"/>
        <v>3</v>
      </c>
      <c r="P38" s="15">
        <f t="shared" si="1"/>
        <v>3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8</v>
      </c>
      <c r="F39" s="50">
        <v>1</v>
      </c>
      <c r="G39" s="50">
        <v>0</v>
      </c>
      <c r="H39" s="50">
        <v>1</v>
      </c>
      <c r="I39" s="50">
        <v>2</v>
      </c>
      <c r="J39" s="50">
        <v>2</v>
      </c>
      <c r="K39" s="50">
        <v>0</v>
      </c>
      <c r="L39" s="50">
        <v>0</v>
      </c>
      <c r="M39" s="50">
        <v>0</v>
      </c>
      <c r="N39" s="50">
        <v>0</v>
      </c>
      <c r="O39" s="15">
        <f t="shared" si="0"/>
        <v>15</v>
      </c>
      <c r="P39" s="15">
        <f t="shared" si="1"/>
        <v>15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9</v>
      </c>
      <c r="F40" s="50">
        <v>4</v>
      </c>
      <c r="G40" s="50">
        <v>1</v>
      </c>
      <c r="H40" s="50">
        <v>0</v>
      </c>
      <c r="I40" s="50">
        <v>2</v>
      </c>
      <c r="J40" s="50">
        <v>0</v>
      </c>
      <c r="K40" s="50">
        <v>0</v>
      </c>
      <c r="L40" s="50">
        <v>1</v>
      </c>
      <c r="M40" s="50">
        <v>1</v>
      </c>
      <c r="N40" s="50">
        <v>0</v>
      </c>
      <c r="O40" s="15">
        <f t="shared" si="0"/>
        <v>19</v>
      </c>
      <c r="P40" s="15">
        <f t="shared" si="1"/>
        <v>20</v>
      </c>
    </row>
    <row r="41" spans="2:20" ht="23.1" customHeight="1" x14ac:dyDescent="0.25">
      <c r="B41" s="23" t="s">
        <v>68</v>
      </c>
      <c r="C41" s="50">
        <v>4</v>
      </c>
      <c r="D41" s="50">
        <v>0</v>
      </c>
      <c r="E41" s="50">
        <v>9</v>
      </c>
      <c r="F41" s="50">
        <v>4</v>
      </c>
      <c r="G41" s="50">
        <v>0</v>
      </c>
      <c r="H41" s="50">
        <v>1</v>
      </c>
      <c r="I41" s="50">
        <v>2</v>
      </c>
      <c r="J41" s="50">
        <v>0</v>
      </c>
      <c r="K41" s="50">
        <v>0</v>
      </c>
      <c r="L41" s="50">
        <v>3</v>
      </c>
      <c r="M41" s="50">
        <v>0</v>
      </c>
      <c r="N41" s="50">
        <v>0</v>
      </c>
      <c r="O41" s="15">
        <f t="shared" si="0"/>
        <v>23</v>
      </c>
      <c r="P41" s="15">
        <f t="shared" si="1"/>
        <v>23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4</v>
      </c>
      <c r="F42" s="50">
        <v>1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1</v>
      </c>
      <c r="N42" s="50">
        <v>0</v>
      </c>
      <c r="O42" s="15">
        <f t="shared" si="0"/>
        <v>9</v>
      </c>
      <c r="P42" s="15">
        <f t="shared" si="1"/>
        <v>10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6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9</v>
      </c>
      <c r="P43" s="15">
        <f t="shared" si="1"/>
        <v>9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4</v>
      </c>
      <c r="F44" s="50">
        <v>5</v>
      </c>
      <c r="G44" s="50">
        <v>1</v>
      </c>
      <c r="H44" s="50">
        <v>1</v>
      </c>
      <c r="I44" s="50">
        <v>0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12</v>
      </c>
      <c r="P44" s="15">
        <f t="shared" si="1"/>
        <v>12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5</v>
      </c>
      <c r="F45" s="50">
        <v>0</v>
      </c>
      <c r="G45" s="50">
        <v>0</v>
      </c>
      <c r="H45" s="50">
        <v>1</v>
      </c>
      <c r="I45" s="50">
        <v>1</v>
      </c>
      <c r="J45" s="50">
        <v>0</v>
      </c>
      <c r="K45" s="50">
        <v>0</v>
      </c>
      <c r="L45" s="50">
        <v>0</v>
      </c>
      <c r="M45" s="50">
        <v>1</v>
      </c>
      <c r="N45" s="50">
        <v>0</v>
      </c>
      <c r="O45" s="15">
        <f t="shared" si="0"/>
        <v>8</v>
      </c>
      <c r="P45" s="15">
        <f t="shared" si="1"/>
        <v>9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3</v>
      </c>
      <c r="F46" s="50">
        <v>2</v>
      </c>
      <c r="G46" s="50">
        <v>0</v>
      </c>
      <c r="H46" s="50">
        <v>0</v>
      </c>
      <c r="I46" s="50">
        <v>2</v>
      </c>
      <c r="J46" s="50">
        <v>0</v>
      </c>
      <c r="K46" s="50">
        <v>1</v>
      </c>
      <c r="L46" s="50">
        <v>1</v>
      </c>
      <c r="M46" s="50">
        <v>0</v>
      </c>
      <c r="N46" s="50">
        <v>0</v>
      </c>
      <c r="O46" s="15">
        <f t="shared" si="0"/>
        <v>9</v>
      </c>
      <c r="P46" s="15">
        <f t="shared" si="1"/>
        <v>9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3</v>
      </c>
      <c r="F47" s="50">
        <v>2</v>
      </c>
      <c r="G47" s="50">
        <v>0</v>
      </c>
      <c r="H47" s="50">
        <v>0</v>
      </c>
      <c r="I47" s="50">
        <v>2</v>
      </c>
      <c r="J47" s="50">
        <v>1</v>
      </c>
      <c r="K47" s="50">
        <v>0</v>
      </c>
      <c r="L47" s="50">
        <v>1</v>
      </c>
      <c r="M47" s="50">
        <v>0</v>
      </c>
      <c r="N47" s="50">
        <v>0</v>
      </c>
      <c r="O47" s="15">
        <f t="shared" si="0"/>
        <v>11</v>
      </c>
      <c r="P47" s="15">
        <f t="shared" si="1"/>
        <v>11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4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7</v>
      </c>
      <c r="P48" s="15">
        <f t="shared" si="1"/>
        <v>7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3</v>
      </c>
      <c r="F49" s="50">
        <v>1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6</v>
      </c>
      <c r="P49" s="15">
        <f t="shared" si="1"/>
        <v>6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1</v>
      </c>
      <c r="F50" s="50">
        <v>3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6</v>
      </c>
      <c r="P50" s="15">
        <f t="shared" si="1"/>
        <v>6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5</v>
      </c>
      <c r="F51" s="50">
        <v>4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0</v>
      </c>
      <c r="N51" s="50">
        <v>0</v>
      </c>
      <c r="O51" s="15">
        <f t="shared" si="0"/>
        <v>12</v>
      </c>
      <c r="P51" s="15">
        <f t="shared" si="1"/>
        <v>12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0</v>
      </c>
      <c r="E52" s="50">
        <v>8</v>
      </c>
      <c r="F52" s="50">
        <v>2</v>
      </c>
      <c r="G52" s="50">
        <v>0</v>
      </c>
      <c r="H52" s="50">
        <v>0</v>
      </c>
      <c r="I52" s="50">
        <v>1</v>
      </c>
      <c r="J52" s="50">
        <v>2</v>
      </c>
      <c r="K52" s="50">
        <v>0</v>
      </c>
      <c r="L52" s="50">
        <v>1</v>
      </c>
      <c r="M52" s="50">
        <v>1</v>
      </c>
      <c r="N52" s="50">
        <v>0</v>
      </c>
      <c r="O52" s="15">
        <f t="shared" si="0"/>
        <v>18</v>
      </c>
      <c r="P52" s="15">
        <f t="shared" si="1"/>
        <v>19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8</v>
      </c>
      <c r="F53" s="50">
        <v>2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12</v>
      </c>
      <c r="P53" s="15">
        <f t="shared" si="1"/>
        <v>12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7</v>
      </c>
      <c r="F54" s="50">
        <v>3</v>
      </c>
      <c r="G54" s="50">
        <v>0</v>
      </c>
      <c r="H54" s="50">
        <v>0</v>
      </c>
      <c r="I54" s="50">
        <v>1</v>
      </c>
      <c r="J54" s="50">
        <v>0</v>
      </c>
      <c r="K54" s="50">
        <v>2</v>
      </c>
      <c r="L54" s="50">
        <v>0</v>
      </c>
      <c r="M54" s="50">
        <v>1</v>
      </c>
      <c r="N54" s="50">
        <v>0</v>
      </c>
      <c r="O54" s="15">
        <f t="shared" si="0"/>
        <v>14</v>
      </c>
      <c r="P54" s="15">
        <f t="shared" si="1"/>
        <v>15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1</v>
      </c>
      <c r="F55" s="50">
        <v>2</v>
      </c>
      <c r="G55" s="50">
        <v>0</v>
      </c>
      <c r="H55" s="50">
        <v>2</v>
      </c>
      <c r="I55" s="50">
        <v>1</v>
      </c>
      <c r="J55" s="50">
        <v>0</v>
      </c>
      <c r="K55" s="50">
        <v>0</v>
      </c>
      <c r="L55" s="50">
        <v>1</v>
      </c>
      <c r="M55" s="50">
        <v>0</v>
      </c>
      <c r="N55" s="50">
        <v>0</v>
      </c>
      <c r="O55" s="15">
        <f t="shared" si="0"/>
        <v>8</v>
      </c>
      <c r="P55" s="15">
        <f t="shared" si="1"/>
        <v>8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7</v>
      </c>
      <c r="F56" s="50">
        <v>2</v>
      </c>
      <c r="G56" s="50">
        <v>0</v>
      </c>
      <c r="H56" s="50">
        <v>0</v>
      </c>
      <c r="I56" s="50">
        <v>1</v>
      </c>
      <c r="J56" s="50">
        <v>1</v>
      </c>
      <c r="K56" s="50">
        <v>1</v>
      </c>
      <c r="L56" s="50">
        <v>0</v>
      </c>
      <c r="M56" s="50">
        <v>0</v>
      </c>
      <c r="N56" s="50">
        <v>0</v>
      </c>
      <c r="O56" s="15">
        <f t="shared" si="0"/>
        <v>12</v>
      </c>
      <c r="P56" s="15">
        <f t="shared" si="1"/>
        <v>12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5</v>
      </c>
      <c r="F57" s="50">
        <v>1</v>
      </c>
      <c r="G57" s="50">
        <v>1</v>
      </c>
      <c r="H57" s="50">
        <v>1</v>
      </c>
      <c r="I57" s="50">
        <v>1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9</v>
      </c>
      <c r="P57" s="15">
        <f t="shared" si="1"/>
        <v>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50</v>
      </c>
      <c r="D58" s="16">
        <f t="shared" si="21"/>
        <v>0</v>
      </c>
      <c r="E58" s="16">
        <f t="shared" si="21"/>
        <v>185</v>
      </c>
      <c r="F58" s="16">
        <f t="shared" si="21"/>
        <v>105</v>
      </c>
      <c r="G58" s="16">
        <f t="shared" si="21"/>
        <v>5</v>
      </c>
      <c r="H58" s="16">
        <f t="shared" si="21"/>
        <v>17</v>
      </c>
      <c r="I58" s="16">
        <f t="shared" si="21"/>
        <v>54</v>
      </c>
      <c r="J58" s="16">
        <f t="shared" si="21"/>
        <v>6</v>
      </c>
      <c r="K58" s="16">
        <f t="shared" si="21"/>
        <v>4</v>
      </c>
      <c r="L58" s="16">
        <f t="shared" si="21"/>
        <v>27</v>
      </c>
      <c r="M58" s="16">
        <f t="shared" si="21"/>
        <v>20</v>
      </c>
      <c r="N58" s="16">
        <f t="shared" si="21"/>
        <v>0</v>
      </c>
      <c r="O58" s="16">
        <f t="shared" si="21"/>
        <v>453</v>
      </c>
      <c r="P58" s="16">
        <f t="shared" si="21"/>
        <v>473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0.10570824524312897</v>
      </c>
      <c r="D59" s="43">
        <f t="shared" si="22"/>
        <v>0</v>
      </c>
      <c r="E59" s="43">
        <f t="shared" si="22"/>
        <v>0.39112050739957716</v>
      </c>
      <c r="F59" s="43">
        <f t="shared" si="22"/>
        <v>0.22198731501057081</v>
      </c>
      <c r="G59" s="43">
        <f t="shared" si="22"/>
        <v>1.0570824524312896E-2</v>
      </c>
      <c r="H59" s="43">
        <f t="shared" si="22"/>
        <v>3.5940803382663845E-2</v>
      </c>
      <c r="I59" s="43">
        <f t="shared" si="22"/>
        <v>0.11416490486257928</v>
      </c>
      <c r="J59" s="43">
        <f t="shared" si="22"/>
        <v>1.2684989429175475E-2</v>
      </c>
      <c r="K59" s="43">
        <f t="shared" si="22"/>
        <v>8.4566596194503175E-3</v>
      </c>
      <c r="L59" s="43">
        <f t="shared" si="22"/>
        <v>5.7082452431289642E-2</v>
      </c>
      <c r="M59" s="43">
        <f t="shared" si="22"/>
        <v>4.2283298097251586E-2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0.11037527593818984</v>
      </c>
      <c r="D60" s="44">
        <f t="shared" ref="D60:N60" si="23">D58/$O$58</f>
        <v>0</v>
      </c>
      <c r="E60" s="44">
        <f t="shared" si="23"/>
        <v>0.4083885209713024</v>
      </c>
      <c r="F60" s="44">
        <f t="shared" si="23"/>
        <v>0.23178807947019867</v>
      </c>
      <c r="G60" s="44">
        <f t="shared" si="23"/>
        <v>1.1037527593818985E-2</v>
      </c>
      <c r="H60" s="44">
        <f t="shared" si="23"/>
        <v>3.7527593818984545E-2</v>
      </c>
      <c r="I60" s="44">
        <f t="shared" si="23"/>
        <v>0.11920529801324503</v>
      </c>
      <c r="J60" s="44">
        <f t="shared" si="23"/>
        <v>1.3245033112582781E-2</v>
      </c>
      <c r="K60" s="44">
        <f t="shared" si="23"/>
        <v>8.8300220750551876E-3</v>
      </c>
      <c r="L60" s="44">
        <f t="shared" si="23"/>
        <v>5.9602649006622516E-2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zoomScale="60" workbookViewId="0">
      <selection activeCell="I12" sqref="I1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FORTPORTAL-KYENJOJO'!C3:G3</f>
        <v>C4 - STN107-FORTPORTAL-KYENJONJO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'02.08 KYENJOJO-FORTPORTAL'!D5</f>
        <v>02.08.19</v>
      </c>
      <c r="E5" s="3"/>
      <c r="F5" s="41" t="s">
        <v>1</v>
      </c>
      <c r="G5" s="63" t="str">
        <f>'02.08 KYENJOJO-FORTPORTAL'!G5:H5</f>
        <v>xxx</v>
      </c>
      <c r="H5" s="64"/>
      <c r="I5" s="14"/>
      <c r="J5" s="2" t="s">
        <v>5</v>
      </c>
      <c r="K5" s="63" t="str">
        <f>'02.08 KYENJOJO-FORTPORTAL'!K5:L5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FORTPORTAL-KYENJOJO'!D6:E6</f>
        <v>FORTPORTAL</v>
      </c>
      <c r="E6" s="64"/>
      <c r="F6" s="2" t="s">
        <v>2</v>
      </c>
      <c r="G6" s="63" t="str">
        <f>'29.07 FORTPORTAL-KYENJOJO'!G6:H6</f>
        <v>KYENJOJO</v>
      </c>
      <c r="H6" s="64"/>
      <c r="J6" s="2" t="s">
        <v>21</v>
      </c>
      <c r="K6" s="63" t="str">
        <f>'02.08 KYENJOJO-FORTPORTAL'!K6:L6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2</v>
      </c>
      <c r="F10" s="50">
        <v>4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1</v>
      </c>
      <c r="M10" s="50">
        <v>0</v>
      </c>
      <c r="N10" s="50">
        <v>0</v>
      </c>
      <c r="O10" s="15">
        <f t="shared" ref="O10:O57" si="0">SUM(C10:L10,N10)</f>
        <v>9</v>
      </c>
      <c r="P10" s="15">
        <f t="shared" ref="P10:P57" si="1">SUM(C10:N10)</f>
        <v>9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3</v>
      </c>
      <c r="V10" s="17">
        <f t="shared" si="2"/>
        <v>9</v>
      </c>
      <c r="W10" s="17">
        <f t="shared" si="2"/>
        <v>0</v>
      </c>
      <c r="X10" s="17">
        <f t="shared" si="2"/>
        <v>1</v>
      </c>
      <c r="Y10" s="17">
        <f t="shared" si="2"/>
        <v>7</v>
      </c>
      <c r="Z10" s="17">
        <f t="shared" si="2"/>
        <v>0</v>
      </c>
      <c r="AA10" s="17">
        <f t="shared" si="2"/>
        <v>0</v>
      </c>
      <c r="AB10" s="17">
        <f t="shared" si="2"/>
        <v>2</v>
      </c>
      <c r="AC10" s="17">
        <f t="shared" si="2"/>
        <v>0</v>
      </c>
      <c r="AD10" s="17">
        <f t="shared" si="2"/>
        <v>0</v>
      </c>
      <c r="AE10" s="31">
        <f t="shared" si="2"/>
        <v>24</v>
      </c>
      <c r="AF10" s="31">
        <f t="shared" si="2"/>
        <v>24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2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3</v>
      </c>
      <c r="P11" s="15">
        <f t="shared" si="1"/>
        <v>3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8</v>
      </c>
      <c r="V11" s="17">
        <f t="shared" si="3"/>
        <v>5</v>
      </c>
      <c r="W11" s="17">
        <f t="shared" si="3"/>
        <v>0</v>
      </c>
      <c r="X11" s="17">
        <f t="shared" si="3"/>
        <v>1</v>
      </c>
      <c r="Y11" s="17">
        <f t="shared" si="3"/>
        <v>6</v>
      </c>
      <c r="Z11" s="17">
        <f t="shared" si="3"/>
        <v>1</v>
      </c>
      <c r="AA11" s="17">
        <f t="shared" si="3"/>
        <v>0</v>
      </c>
      <c r="AB11" s="17">
        <f t="shared" si="3"/>
        <v>1</v>
      </c>
      <c r="AC11" s="17">
        <f t="shared" si="3"/>
        <v>0</v>
      </c>
      <c r="AD11" s="17">
        <f t="shared" si="3"/>
        <v>0</v>
      </c>
      <c r="AE11" s="31">
        <f t="shared" si="3"/>
        <v>23</v>
      </c>
      <c r="AF11" s="31">
        <f t="shared" si="3"/>
        <v>23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1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5</v>
      </c>
      <c r="P12" s="15">
        <f t="shared" si="1"/>
        <v>5</v>
      </c>
      <c r="R12" s="1" t="s">
        <v>8</v>
      </c>
      <c r="S12" s="17">
        <f t="shared" ref="S12:AF12" si="4">SUM(C18:C21)</f>
        <v>1</v>
      </c>
      <c r="T12" s="17">
        <f t="shared" si="4"/>
        <v>0</v>
      </c>
      <c r="U12" s="17">
        <f t="shared" si="4"/>
        <v>12</v>
      </c>
      <c r="V12" s="17">
        <f t="shared" si="4"/>
        <v>9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3</v>
      </c>
      <c r="AC12" s="17">
        <f t="shared" si="4"/>
        <v>3</v>
      </c>
      <c r="AD12" s="17">
        <f t="shared" si="4"/>
        <v>0</v>
      </c>
      <c r="AE12" s="31">
        <f t="shared" si="4"/>
        <v>25</v>
      </c>
      <c r="AF12" s="31">
        <f t="shared" si="4"/>
        <v>28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0</v>
      </c>
      <c r="F13" s="50">
        <v>2</v>
      </c>
      <c r="G13" s="50">
        <v>0</v>
      </c>
      <c r="H13" s="50">
        <v>1</v>
      </c>
      <c r="I13" s="50">
        <v>1</v>
      </c>
      <c r="J13" s="50">
        <v>0</v>
      </c>
      <c r="K13" s="50">
        <v>0</v>
      </c>
      <c r="L13" s="50">
        <v>1</v>
      </c>
      <c r="M13" s="50">
        <v>0</v>
      </c>
      <c r="N13" s="50">
        <v>0</v>
      </c>
      <c r="O13" s="15">
        <f t="shared" si="0"/>
        <v>7</v>
      </c>
      <c r="P13" s="15">
        <f t="shared" si="1"/>
        <v>7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15</v>
      </c>
      <c r="V13" s="17">
        <f t="shared" si="5"/>
        <v>12</v>
      </c>
      <c r="W13" s="17">
        <f t="shared" si="5"/>
        <v>0</v>
      </c>
      <c r="X13" s="17">
        <f t="shared" si="5"/>
        <v>1</v>
      </c>
      <c r="Y13" s="17">
        <f t="shared" si="5"/>
        <v>6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0</v>
      </c>
      <c r="AD13" s="17">
        <f t="shared" si="5"/>
        <v>0</v>
      </c>
      <c r="AE13" s="31">
        <f t="shared" si="5"/>
        <v>39</v>
      </c>
      <c r="AF13" s="31">
        <f t="shared" si="5"/>
        <v>39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4</v>
      </c>
      <c r="F14" s="50">
        <v>2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15">
        <f t="shared" si="0"/>
        <v>8</v>
      </c>
      <c r="P14" s="15">
        <f t="shared" si="1"/>
        <v>8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9</v>
      </c>
      <c r="V14" s="17">
        <f t="shared" si="6"/>
        <v>6</v>
      </c>
      <c r="W14" s="17">
        <f t="shared" si="6"/>
        <v>1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3</v>
      </c>
      <c r="AD14" s="17">
        <f t="shared" si="6"/>
        <v>0</v>
      </c>
      <c r="AE14" s="31">
        <f t="shared" si="6"/>
        <v>22</v>
      </c>
      <c r="AF14" s="31">
        <f t="shared" si="6"/>
        <v>25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2</v>
      </c>
      <c r="F15" s="50">
        <v>2</v>
      </c>
      <c r="G15" s="50">
        <v>0</v>
      </c>
      <c r="H15" s="50">
        <v>0</v>
      </c>
      <c r="I15" s="50">
        <v>2</v>
      </c>
      <c r="J15" s="50">
        <v>1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8</v>
      </c>
      <c r="P15" s="15">
        <f t="shared" si="1"/>
        <v>8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10</v>
      </c>
      <c r="V15" s="17">
        <f t="shared" si="7"/>
        <v>9</v>
      </c>
      <c r="W15" s="17">
        <f t="shared" si="7"/>
        <v>0</v>
      </c>
      <c r="X15" s="17">
        <f t="shared" si="7"/>
        <v>1</v>
      </c>
      <c r="Y15" s="17">
        <f t="shared" si="7"/>
        <v>8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2</v>
      </c>
      <c r="AD15" s="17">
        <f t="shared" si="7"/>
        <v>0</v>
      </c>
      <c r="AE15" s="31">
        <f t="shared" si="7"/>
        <v>32</v>
      </c>
      <c r="AF15" s="31">
        <f t="shared" si="7"/>
        <v>34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1</v>
      </c>
      <c r="G16" s="50">
        <v>0</v>
      </c>
      <c r="H16" s="50">
        <v>1</v>
      </c>
      <c r="I16" s="50">
        <v>1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3</v>
      </c>
      <c r="P16" s="15">
        <f t="shared" si="1"/>
        <v>3</v>
      </c>
      <c r="R16" s="1" t="s">
        <v>12</v>
      </c>
      <c r="S16" s="17">
        <f t="shared" ref="S16:AF16" si="8">SUM(C34:C37)</f>
        <v>5</v>
      </c>
      <c r="T16" s="17">
        <f t="shared" si="8"/>
        <v>0</v>
      </c>
      <c r="U16" s="17">
        <f t="shared" si="8"/>
        <v>13</v>
      </c>
      <c r="V16" s="17">
        <f t="shared" si="8"/>
        <v>10</v>
      </c>
      <c r="W16" s="17">
        <f t="shared" si="8"/>
        <v>0</v>
      </c>
      <c r="X16" s="17">
        <f t="shared" si="8"/>
        <v>1</v>
      </c>
      <c r="Y16" s="17">
        <f t="shared" si="8"/>
        <v>5</v>
      </c>
      <c r="Z16" s="17">
        <f t="shared" si="8"/>
        <v>0</v>
      </c>
      <c r="AA16" s="17">
        <f t="shared" si="8"/>
        <v>0</v>
      </c>
      <c r="AB16" s="17">
        <f t="shared" si="8"/>
        <v>3</v>
      </c>
      <c r="AC16" s="17">
        <f t="shared" si="8"/>
        <v>2</v>
      </c>
      <c r="AD16" s="17">
        <f t="shared" si="8"/>
        <v>0</v>
      </c>
      <c r="AE16" s="31">
        <f t="shared" si="8"/>
        <v>37</v>
      </c>
      <c r="AF16" s="31">
        <f t="shared" si="8"/>
        <v>39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2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1</v>
      </c>
      <c r="M17" s="50">
        <v>0</v>
      </c>
      <c r="N17" s="50">
        <v>0</v>
      </c>
      <c r="O17" s="15">
        <f t="shared" si="0"/>
        <v>4</v>
      </c>
      <c r="P17" s="15">
        <f t="shared" si="1"/>
        <v>4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3</v>
      </c>
      <c r="V17" s="17">
        <f t="shared" si="9"/>
        <v>14</v>
      </c>
      <c r="W17" s="17">
        <f t="shared" si="9"/>
        <v>0</v>
      </c>
      <c r="X17" s="17">
        <f t="shared" si="9"/>
        <v>2</v>
      </c>
      <c r="Y17" s="17">
        <f t="shared" si="9"/>
        <v>8</v>
      </c>
      <c r="Z17" s="17">
        <f t="shared" si="9"/>
        <v>2</v>
      </c>
      <c r="AA17" s="17">
        <f t="shared" si="9"/>
        <v>0</v>
      </c>
      <c r="AB17" s="17">
        <f t="shared" si="9"/>
        <v>2</v>
      </c>
      <c r="AC17" s="17">
        <f t="shared" si="9"/>
        <v>0</v>
      </c>
      <c r="AD17" s="17">
        <f t="shared" si="9"/>
        <v>0</v>
      </c>
      <c r="AE17" s="31">
        <f t="shared" si="9"/>
        <v>33</v>
      </c>
      <c r="AF17" s="31">
        <f t="shared" si="9"/>
        <v>33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4</v>
      </c>
      <c r="F18" s="50">
        <v>2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1</v>
      </c>
      <c r="M18" s="50">
        <v>0</v>
      </c>
      <c r="N18" s="50">
        <v>0</v>
      </c>
      <c r="O18" s="15">
        <f t="shared" si="0"/>
        <v>7</v>
      </c>
      <c r="P18" s="15">
        <f t="shared" si="1"/>
        <v>7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9</v>
      </c>
      <c r="V18" s="17">
        <f t="shared" si="10"/>
        <v>7</v>
      </c>
      <c r="W18" s="17">
        <f t="shared" si="10"/>
        <v>0</v>
      </c>
      <c r="X18" s="17">
        <f t="shared" si="10"/>
        <v>1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4</v>
      </c>
      <c r="AD18" s="17">
        <f t="shared" si="10"/>
        <v>0</v>
      </c>
      <c r="AE18" s="31">
        <f t="shared" si="10"/>
        <v>21</v>
      </c>
      <c r="AF18" s="31">
        <f t="shared" si="10"/>
        <v>25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3</v>
      </c>
      <c r="F19" s="50">
        <v>3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1</v>
      </c>
      <c r="M19" s="50">
        <v>1</v>
      </c>
      <c r="N19" s="50">
        <v>0</v>
      </c>
      <c r="O19" s="15">
        <f t="shared" si="0"/>
        <v>7</v>
      </c>
      <c r="P19" s="15">
        <f t="shared" si="1"/>
        <v>8</v>
      </c>
      <c r="R19" s="1" t="s">
        <v>15</v>
      </c>
      <c r="S19" s="17">
        <f t="shared" ref="S19:AF19" si="11">SUM(C46:C49)</f>
        <v>2</v>
      </c>
      <c r="T19" s="17">
        <f t="shared" si="11"/>
        <v>0</v>
      </c>
      <c r="U19" s="17">
        <f t="shared" si="11"/>
        <v>13</v>
      </c>
      <c r="V19" s="17">
        <f t="shared" si="11"/>
        <v>6</v>
      </c>
      <c r="W19" s="17">
        <f t="shared" si="11"/>
        <v>0</v>
      </c>
      <c r="X19" s="17">
        <f t="shared" si="11"/>
        <v>1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2</v>
      </c>
      <c r="AC19" s="17">
        <f t="shared" si="11"/>
        <v>0</v>
      </c>
      <c r="AD19" s="17">
        <f t="shared" si="11"/>
        <v>0</v>
      </c>
      <c r="AE19" s="31">
        <f t="shared" si="11"/>
        <v>26</v>
      </c>
      <c r="AF19" s="31">
        <f t="shared" si="11"/>
        <v>26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4</v>
      </c>
      <c r="F20" s="50">
        <v>3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</v>
      </c>
      <c r="N20" s="50">
        <v>0</v>
      </c>
      <c r="O20" s="15">
        <f t="shared" si="0"/>
        <v>7</v>
      </c>
      <c r="P20" s="15">
        <f t="shared" si="1"/>
        <v>8</v>
      </c>
      <c r="R20" s="1" t="s">
        <v>16</v>
      </c>
      <c r="S20" s="17">
        <f t="shared" ref="S20:AF20" si="12">SUM(C50:C53)</f>
        <v>6</v>
      </c>
      <c r="T20" s="17">
        <f t="shared" si="12"/>
        <v>0</v>
      </c>
      <c r="U20" s="17">
        <f t="shared" si="12"/>
        <v>17</v>
      </c>
      <c r="V20" s="17">
        <f t="shared" si="12"/>
        <v>11</v>
      </c>
      <c r="W20" s="17">
        <f t="shared" si="12"/>
        <v>0</v>
      </c>
      <c r="X20" s="17">
        <f t="shared" si="12"/>
        <v>2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1</v>
      </c>
      <c r="AC20" s="17">
        <f t="shared" si="12"/>
        <v>1</v>
      </c>
      <c r="AD20" s="17">
        <f t="shared" si="12"/>
        <v>0</v>
      </c>
      <c r="AE20" s="31">
        <f t="shared" si="12"/>
        <v>39</v>
      </c>
      <c r="AF20" s="31">
        <f t="shared" si="12"/>
        <v>40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1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1</v>
      </c>
      <c r="M21" s="50">
        <v>1</v>
      </c>
      <c r="N21" s="50">
        <v>0</v>
      </c>
      <c r="O21" s="15">
        <f t="shared" si="0"/>
        <v>4</v>
      </c>
      <c r="P21" s="15">
        <f t="shared" si="1"/>
        <v>5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13</v>
      </c>
      <c r="V21" s="17">
        <f t="shared" si="13"/>
        <v>10</v>
      </c>
      <c r="W21" s="17">
        <f t="shared" si="13"/>
        <v>1</v>
      </c>
      <c r="X21" s="17">
        <f t="shared" si="13"/>
        <v>4</v>
      </c>
      <c r="Y21" s="17">
        <f t="shared" si="13"/>
        <v>5</v>
      </c>
      <c r="Z21" s="17">
        <f t="shared" si="13"/>
        <v>0</v>
      </c>
      <c r="AA21" s="17">
        <f t="shared" si="13"/>
        <v>1</v>
      </c>
      <c r="AB21" s="17">
        <f t="shared" si="13"/>
        <v>3</v>
      </c>
      <c r="AC21" s="17">
        <f t="shared" si="13"/>
        <v>1</v>
      </c>
      <c r="AD21" s="17">
        <f t="shared" si="13"/>
        <v>0</v>
      </c>
      <c r="AE21" s="31">
        <f t="shared" si="13"/>
        <v>40</v>
      </c>
      <c r="AF21" s="31">
        <f t="shared" si="13"/>
        <v>41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4</v>
      </c>
      <c r="F22" s="50">
        <v>2</v>
      </c>
      <c r="G22" s="50">
        <v>0</v>
      </c>
      <c r="H22" s="50">
        <v>1</v>
      </c>
      <c r="I22" s="50">
        <v>1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15">
        <f t="shared" si="0"/>
        <v>9</v>
      </c>
      <c r="P22" s="15">
        <f t="shared" si="1"/>
        <v>9</v>
      </c>
      <c r="R22" s="38" t="s">
        <v>90</v>
      </c>
      <c r="S22" s="39">
        <f>MAX(S10:S12)</f>
        <v>2</v>
      </c>
      <c r="T22" s="39">
        <f t="shared" ref="T22:AF22" si="14">MAX(T10:T12)</f>
        <v>0</v>
      </c>
      <c r="U22" s="39">
        <f t="shared" si="14"/>
        <v>12</v>
      </c>
      <c r="V22" s="39">
        <f t="shared" si="14"/>
        <v>9</v>
      </c>
      <c r="W22" s="39">
        <f t="shared" si="14"/>
        <v>0</v>
      </c>
      <c r="X22" s="39">
        <f t="shared" si="14"/>
        <v>1</v>
      </c>
      <c r="Y22" s="39">
        <f t="shared" si="14"/>
        <v>7</v>
      </c>
      <c r="Z22" s="39">
        <f t="shared" si="14"/>
        <v>1</v>
      </c>
      <c r="AA22" s="39">
        <f t="shared" si="14"/>
        <v>0</v>
      </c>
      <c r="AB22" s="39">
        <f t="shared" si="14"/>
        <v>3</v>
      </c>
      <c r="AC22" s="39">
        <f t="shared" si="14"/>
        <v>3</v>
      </c>
      <c r="AD22" s="39">
        <f t="shared" si="14"/>
        <v>0</v>
      </c>
      <c r="AE22" s="40">
        <f t="shared" si="14"/>
        <v>25</v>
      </c>
      <c r="AF22" s="40">
        <f t="shared" si="14"/>
        <v>28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2</v>
      </c>
      <c r="F23" s="50">
        <v>5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7</v>
      </c>
      <c r="P23" s="15">
        <f t="shared" si="1"/>
        <v>7</v>
      </c>
      <c r="R23" s="38" t="s">
        <v>91</v>
      </c>
      <c r="S23" s="39">
        <f>MAX(S13:S18)</f>
        <v>5</v>
      </c>
      <c r="T23" s="39">
        <f t="shared" ref="T23:AF23" si="15">MAX(T13:T18)</f>
        <v>0</v>
      </c>
      <c r="U23" s="39">
        <f t="shared" si="15"/>
        <v>15</v>
      </c>
      <c r="V23" s="39">
        <f t="shared" si="15"/>
        <v>14</v>
      </c>
      <c r="W23" s="39">
        <f t="shared" si="15"/>
        <v>1</v>
      </c>
      <c r="X23" s="39">
        <f t="shared" si="15"/>
        <v>2</v>
      </c>
      <c r="Y23" s="39">
        <f t="shared" si="15"/>
        <v>8</v>
      </c>
      <c r="Z23" s="39">
        <f t="shared" si="15"/>
        <v>2</v>
      </c>
      <c r="AA23" s="39">
        <f t="shared" si="15"/>
        <v>0</v>
      </c>
      <c r="AB23" s="39">
        <f t="shared" si="15"/>
        <v>3</v>
      </c>
      <c r="AC23" s="39">
        <f t="shared" si="15"/>
        <v>4</v>
      </c>
      <c r="AD23" s="39">
        <f t="shared" si="15"/>
        <v>0</v>
      </c>
      <c r="AE23" s="40">
        <f t="shared" si="15"/>
        <v>39</v>
      </c>
      <c r="AF23" s="40">
        <f t="shared" si="15"/>
        <v>39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4</v>
      </c>
      <c r="F24" s="50">
        <v>2</v>
      </c>
      <c r="G24" s="50">
        <v>0</v>
      </c>
      <c r="H24" s="50">
        <v>0</v>
      </c>
      <c r="I24" s="50">
        <v>2</v>
      </c>
      <c r="J24" s="50">
        <v>2</v>
      </c>
      <c r="K24" s="50">
        <v>0</v>
      </c>
      <c r="L24" s="50">
        <v>0</v>
      </c>
      <c r="M24" s="50">
        <v>0</v>
      </c>
      <c r="N24" s="50">
        <v>0</v>
      </c>
      <c r="O24" s="15">
        <f t="shared" si="0"/>
        <v>11</v>
      </c>
      <c r="P24" s="15">
        <f t="shared" si="1"/>
        <v>11</v>
      </c>
      <c r="R24" s="38" t="s">
        <v>92</v>
      </c>
      <c r="S24" s="39">
        <f>MAX(S19:S21)</f>
        <v>6</v>
      </c>
      <c r="T24" s="39">
        <f t="shared" ref="T24:AF24" si="16">MAX(T19:T21)</f>
        <v>0</v>
      </c>
      <c r="U24" s="39">
        <f t="shared" si="16"/>
        <v>17</v>
      </c>
      <c r="V24" s="39">
        <f t="shared" si="16"/>
        <v>11</v>
      </c>
      <c r="W24" s="39">
        <f t="shared" si="16"/>
        <v>1</v>
      </c>
      <c r="X24" s="39">
        <f t="shared" si="16"/>
        <v>4</v>
      </c>
      <c r="Y24" s="39">
        <f t="shared" si="16"/>
        <v>5</v>
      </c>
      <c r="Z24" s="39">
        <f t="shared" si="16"/>
        <v>0</v>
      </c>
      <c r="AA24" s="39">
        <f t="shared" si="16"/>
        <v>1</v>
      </c>
      <c r="AB24" s="39">
        <f t="shared" si="16"/>
        <v>3</v>
      </c>
      <c r="AC24" s="39">
        <f t="shared" si="16"/>
        <v>1</v>
      </c>
      <c r="AD24" s="39">
        <f t="shared" si="16"/>
        <v>0</v>
      </c>
      <c r="AE24" s="40">
        <f t="shared" si="16"/>
        <v>40</v>
      </c>
      <c r="AF24" s="40">
        <f t="shared" si="16"/>
        <v>41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5</v>
      </c>
      <c r="F25" s="50">
        <v>3</v>
      </c>
      <c r="G25" s="50">
        <v>0</v>
      </c>
      <c r="H25" s="50">
        <v>0</v>
      </c>
      <c r="I25" s="50">
        <v>3</v>
      </c>
      <c r="J25" s="50">
        <v>0</v>
      </c>
      <c r="K25" s="50">
        <v>0</v>
      </c>
      <c r="L25" s="50">
        <v>0</v>
      </c>
      <c r="M25" s="50">
        <v>0</v>
      </c>
      <c r="N25" s="50">
        <v>0</v>
      </c>
      <c r="O25" s="15">
        <f t="shared" si="0"/>
        <v>12</v>
      </c>
      <c r="P25" s="15">
        <f t="shared" si="1"/>
        <v>12</v>
      </c>
      <c r="R25" s="37" t="s">
        <v>85</v>
      </c>
      <c r="S25" s="35">
        <f t="shared" ref="S25:AF25" si="17">SUM(S10:S12)</f>
        <v>4</v>
      </c>
      <c r="T25" s="16">
        <f t="shared" si="17"/>
        <v>0</v>
      </c>
      <c r="U25" s="16">
        <f t="shared" si="17"/>
        <v>23</v>
      </c>
      <c r="V25" s="16">
        <f t="shared" si="17"/>
        <v>23</v>
      </c>
      <c r="W25" s="16">
        <f t="shared" si="17"/>
        <v>0</v>
      </c>
      <c r="X25" s="16">
        <f t="shared" si="17"/>
        <v>2</v>
      </c>
      <c r="Y25" s="16">
        <f t="shared" si="17"/>
        <v>13</v>
      </c>
      <c r="Z25" s="16">
        <f t="shared" si="17"/>
        <v>1</v>
      </c>
      <c r="AA25" s="16">
        <f t="shared" si="17"/>
        <v>0</v>
      </c>
      <c r="AB25" s="16">
        <f t="shared" si="17"/>
        <v>6</v>
      </c>
      <c r="AC25" s="16">
        <f t="shared" si="17"/>
        <v>3</v>
      </c>
      <c r="AD25" s="16">
        <f t="shared" si="17"/>
        <v>0</v>
      </c>
      <c r="AE25" s="32">
        <f t="shared" si="17"/>
        <v>72</v>
      </c>
      <c r="AF25" s="32">
        <f t="shared" si="17"/>
        <v>75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1</v>
      </c>
      <c r="F26" s="50">
        <v>0</v>
      </c>
      <c r="G26" s="50">
        <v>1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5</v>
      </c>
      <c r="P26" s="15">
        <f t="shared" si="1"/>
        <v>5</v>
      </c>
      <c r="R26" s="28" t="s">
        <v>86</v>
      </c>
      <c r="S26" s="16">
        <f t="shared" ref="S26:AF26" si="18">SUM(S13:S18)</f>
        <v>21</v>
      </c>
      <c r="T26" s="16">
        <f t="shared" si="18"/>
        <v>0</v>
      </c>
      <c r="U26" s="16">
        <f t="shared" si="18"/>
        <v>59</v>
      </c>
      <c r="V26" s="16">
        <f t="shared" si="18"/>
        <v>58</v>
      </c>
      <c r="W26" s="16">
        <f t="shared" si="18"/>
        <v>1</v>
      </c>
      <c r="X26" s="16">
        <f t="shared" si="18"/>
        <v>6</v>
      </c>
      <c r="Y26" s="16">
        <f t="shared" si="18"/>
        <v>29</v>
      </c>
      <c r="Z26" s="16">
        <f t="shared" si="18"/>
        <v>4</v>
      </c>
      <c r="AA26" s="16">
        <f t="shared" si="18"/>
        <v>0</v>
      </c>
      <c r="AB26" s="16">
        <f t="shared" si="18"/>
        <v>6</v>
      </c>
      <c r="AC26" s="16">
        <f t="shared" si="18"/>
        <v>11</v>
      </c>
      <c r="AD26" s="16">
        <f t="shared" si="18"/>
        <v>0</v>
      </c>
      <c r="AE26" s="32">
        <f t="shared" si="18"/>
        <v>184</v>
      </c>
      <c r="AF26" s="32">
        <f t="shared" si="18"/>
        <v>195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1</v>
      </c>
      <c r="F27" s="50">
        <v>2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2</v>
      </c>
      <c r="N27" s="50">
        <v>0</v>
      </c>
      <c r="O27" s="15">
        <f t="shared" si="0"/>
        <v>4</v>
      </c>
      <c r="P27" s="15">
        <f t="shared" si="1"/>
        <v>6</v>
      </c>
      <c r="R27" s="29" t="s">
        <v>87</v>
      </c>
      <c r="S27" s="16">
        <f t="shared" ref="S27:AF27" si="19">SUM(S19:S21)</f>
        <v>11</v>
      </c>
      <c r="T27" s="16">
        <f t="shared" si="19"/>
        <v>0</v>
      </c>
      <c r="U27" s="16">
        <f t="shared" si="19"/>
        <v>43</v>
      </c>
      <c r="V27" s="16">
        <f t="shared" si="19"/>
        <v>27</v>
      </c>
      <c r="W27" s="16">
        <f t="shared" si="19"/>
        <v>1</v>
      </c>
      <c r="X27" s="16">
        <f t="shared" si="19"/>
        <v>7</v>
      </c>
      <c r="Y27" s="16">
        <f t="shared" si="19"/>
        <v>9</v>
      </c>
      <c r="Z27" s="16">
        <f t="shared" si="19"/>
        <v>0</v>
      </c>
      <c r="AA27" s="16">
        <f t="shared" si="19"/>
        <v>1</v>
      </c>
      <c r="AB27" s="16">
        <f t="shared" si="19"/>
        <v>6</v>
      </c>
      <c r="AC27" s="16">
        <f t="shared" si="19"/>
        <v>2</v>
      </c>
      <c r="AD27" s="16">
        <f t="shared" si="19"/>
        <v>0</v>
      </c>
      <c r="AE27" s="32">
        <f t="shared" si="19"/>
        <v>105</v>
      </c>
      <c r="AF27" s="32">
        <f t="shared" si="19"/>
        <v>107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5</v>
      </c>
      <c r="F28" s="50">
        <v>3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</v>
      </c>
      <c r="N28" s="50">
        <v>0</v>
      </c>
      <c r="O28" s="15">
        <f t="shared" si="0"/>
        <v>10</v>
      </c>
      <c r="P28" s="15">
        <f t="shared" si="1"/>
        <v>11</v>
      </c>
      <c r="R28" s="5" t="s">
        <v>17</v>
      </c>
      <c r="S28" s="16">
        <f t="shared" ref="S28:AF28" si="20">SUM(S10:S21)</f>
        <v>36</v>
      </c>
      <c r="T28" s="16">
        <f t="shared" si="20"/>
        <v>0</v>
      </c>
      <c r="U28" s="16">
        <f t="shared" si="20"/>
        <v>125</v>
      </c>
      <c r="V28" s="16">
        <f t="shared" si="20"/>
        <v>108</v>
      </c>
      <c r="W28" s="16">
        <f t="shared" si="20"/>
        <v>2</v>
      </c>
      <c r="X28" s="16">
        <f t="shared" si="20"/>
        <v>15</v>
      </c>
      <c r="Y28" s="16">
        <f t="shared" si="20"/>
        <v>51</v>
      </c>
      <c r="Z28" s="16">
        <f t="shared" si="20"/>
        <v>5</v>
      </c>
      <c r="AA28" s="16">
        <f t="shared" si="20"/>
        <v>1</v>
      </c>
      <c r="AB28" s="16">
        <f t="shared" si="20"/>
        <v>18</v>
      </c>
      <c r="AC28" s="16">
        <f t="shared" si="20"/>
        <v>16</v>
      </c>
      <c r="AD28" s="16">
        <f t="shared" si="20"/>
        <v>0</v>
      </c>
      <c r="AE28" s="32">
        <f t="shared" si="20"/>
        <v>361</v>
      </c>
      <c r="AF28" s="32">
        <f t="shared" si="20"/>
        <v>377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2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3</v>
      </c>
      <c r="P29" s="15">
        <f t="shared" si="1"/>
        <v>3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3</v>
      </c>
      <c r="F30" s="50">
        <v>3</v>
      </c>
      <c r="G30" s="50">
        <v>0</v>
      </c>
      <c r="H30" s="50">
        <v>1</v>
      </c>
      <c r="I30" s="50">
        <v>2</v>
      </c>
      <c r="J30" s="50">
        <v>0</v>
      </c>
      <c r="K30" s="50">
        <v>0</v>
      </c>
      <c r="L30" s="50">
        <v>1</v>
      </c>
      <c r="M30" s="50">
        <v>0</v>
      </c>
      <c r="N30" s="50">
        <v>0</v>
      </c>
      <c r="O30" s="15">
        <f t="shared" si="0"/>
        <v>10</v>
      </c>
      <c r="P30" s="15">
        <f t="shared" si="1"/>
        <v>10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1</v>
      </c>
      <c r="F31" s="50">
        <v>1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1</v>
      </c>
      <c r="N31" s="50">
        <v>0</v>
      </c>
      <c r="O31" s="15">
        <f t="shared" si="0"/>
        <v>6</v>
      </c>
      <c r="P31" s="15">
        <f t="shared" si="1"/>
        <v>7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3</v>
      </c>
      <c r="F32" s="50">
        <v>5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11</v>
      </c>
      <c r="P32" s="15">
        <f t="shared" si="1"/>
        <v>11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3</v>
      </c>
      <c r="F33" s="50">
        <v>0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1</v>
      </c>
      <c r="N33" s="50">
        <v>0</v>
      </c>
      <c r="O33" s="15">
        <f t="shared" si="0"/>
        <v>5</v>
      </c>
      <c r="P33" s="15">
        <f t="shared" si="1"/>
        <v>6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1</v>
      </c>
      <c r="F34" s="50">
        <v>0</v>
      </c>
      <c r="G34" s="50">
        <v>0</v>
      </c>
      <c r="H34" s="50">
        <v>1</v>
      </c>
      <c r="I34" s="50">
        <v>1</v>
      </c>
      <c r="J34" s="50">
        <v>0</v>
      </c>
      <c r="K34" s="50">
        <v>0</v>
      </c>
      <c r="L34" s="50">
        <v>1</v>
      </c>
      <c r="M34" s="50">
        <v>0</v>
      </c>
      <c r="N34" s="50">
        <v>0</v>
      </c>
      <c r="O34" s="15">
        <f t="shared" si="0"/>
        <v>5</v>
      </c>
      <c r="P34" s="15">
        <f t="shared" si="1"/>
        <v>5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2</v>
      </c>
      <c r="F35" s="50">
        <v>7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2</v>
      </c>
      <c r="N35" s="50">
        <v>0</v>
      </c>
      <c r="O35" s="15">
        <f t="shared" si="0"/>
        <v>12</v>
      </c>
      <c r="P35" s="15">
        <f t="shared" si="1"/>
        <v>14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2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2</v>
      </c>
      <c r="M36" s="50">
        <v>0</v>
      </c>
      <c r="N36" s="50">
        <v>0</v>
      </c>
      <c r="O36" s="15">
        <f t="shared" si="0"/>
        <v>5</v>
      </c>
      <c r="P36" s="15">
        <f t="shared" si="1"/>
        <v>5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8</v>
      </c>
      <c r="F37" s="50">
        <v>3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15</v>
      </c>
      <c r="P37" s="15">
        <f t="shared" si="1"/>
        <v>15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1</v>
      </c>
      <c r="F38" s="50">
        <v>4</v>
      </c>
      <c r="G38" s="50">
        <v>0</v>
      </c>
      <c r="H38" s="50">
        <v>1</v>
      </c>
      <c r="I38" s="50">
        <v>1</v>
      </c>
      <c r="J38" s="50">
        <v>0</v>
      </c>
      <c r="K38" s="50">
        <v>0</v>
      </c>
      <c r="L38" s="50">
        <v>0</v>
      </c>
      <c r="M38" s="50">
        <v>0</v>
      </c>
      <c r="N38" s="50">
        <v>0</v>
      </c>
      <c r="O38" s="15">
        <f t="shared" si="0"/>
        <v>7</v>
      </c>
      <c r="P38" s="15">
        <f t="shared" si="1"/>
        <v>7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1</v>
      </c>
      <c r="M39" s="50">
        <v>0</v>
      </c>
      <c r="N39" s="50">
        <v>0</v>
      </c>
      <c r="O39" s="15">
        <f t="shared" si="0"/>
        <v>5</v>
      </c>
      <c r="P39" s="15">
        <f t="shared" si="1"/>
        <v>5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1</v>
      </c>
      <c r="F40" s="50">
        <v>5</v>
      </c>
      <c r="G40" s="50">
        <v>0</v>
      </c>
      <c r="H40" s="50">
        <v>1</v>
      </c>
      <c r="I40" s="50">
        <v>4</v>
      </c>
      <c r="J40" s="50">
        <v>2</v>
      </c>
      <c r="K40" s="50">
        <v>0</v>
      </c>
      <c r="L40" s="50">
        <v>1</v>
      </c>
      <c r="M40" s="50">
        <v>0</v>
      </c>
      <c r="N40" s="50">
        <v>0</v>
      </c>
      <c r="O40" s="15">
        <f t="shared" si="0"/>
        <v>15</v>
      </c>
      <c r="P40" s="15">
        <f t="shared" si="1"/>
        <v>15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1</v>
      </c>
      <c r="F41" s="50">
        <v>4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6</v>
      </c>
      <c r="P41" s="15">
        <f t="shared" si="1"/>
        <v>6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0</v>
      </c>
      <c r="P42" s="15">
        <f t="shared" si="1"/>
        <v>0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4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5</v>
      </c>
      <c r="P43" s="15">
        <f t="shared" si="1"/>
        <v>5</v>
      </c>
    </row>
    <row r="44" spans="2:20" ht="23.1" customHeight="1" x14ac:dyDescent="0.25">
      <c r="B44" s="25" t="s">
        <v>71</v>
      </c>
      <c r="C44" s="50">
        <v>4</v>
      </c>
      <c r="D44" s="50">
        <v>0</v>
      </c>
      <c r="E44" s="50">
        <v>2</v>
      </c>
      <c r="F44" s="50">
        <v>3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2</v>
      </c>
      <c r="N44" s="50">
        <v>0</v>
      </c>
      <c r="O44" s="15">
        <f t="shared" si="0"/>
        <v>9</v>
      </c>
      <c r="P44" s="15">
        <f t="shared" si="1"/>
        <v>11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3</v>
      </c>
      <c r="F45" s="50">
        <v>3</v>
      </c>
      <c r="G45" s="50">
        <v>0</v>
      </c>
      <c r="H45" s="50">
        <v>1</v>
      </c>
      <c r="I45" s="50">
        <v>0</v>
      </c>
      <c r="J45" s="50">
        <v>0</v>
      </c>
      <c r="K45" s="50">
        <v>0</v>
      </c>
      <c r="L45" s="50">
        <v>0</v>
      </c>
      <c r="M45" s="50">
        <v>2</v>
      </c>
      <c r="N45" s="50">
        <v>0</v>
      </c>
      <c r="O45" s="15">
        <f t="shared" si="0"/>
        <v>7</v>
      </c>
      <c r="P45" s="15">
        <f t="shared" si="1"/>
        <v>9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2</v>
      </c>
      <c r="F46" s="50">
        <v>1</v>
      </c>
      <c r="G46" s="50">
        <v>0</v>
      </c>
      <c r="H46" s="50">
        <v>1</v>
      </c>
      <c r="I46" s="50">
        <v>0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4</v>
      </c>
      <c r="P46" s="15">
        <f t="shared" si="1"/>
        <v>4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0</v>
      </c>
      <c r="N47" s="50">
        <v>0</v>
      </c>
      <c r="O47" s="15">
        <f t="shared" si="0"/>
        <v>2</v>
      </c>
      <c r="P47" s="15">
        <f t="shared" si="1"/>
        <v>2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5</v>
      </c>
      <c r="F48" s="50">
        <v>2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2</v>
      </c>
      <c r="M48" s="50">
        <v>0</v>
      </c>
      <c r="N48" s="50">
        <v>0</v>
      </c>
      <c r="O48" s="15">
        <f t="shared" si="0"/>
        <v>9</v>
      </c>
      <c r="P48" s="15">
        <f t="shared" si="1"/>
        <v>9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6</v>
      </c>
      <c r="F49" s="50">
        <v>2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11</v>
      </c>
      <c r="P49" s="15">
        <f t="shared" si="1"/>
        <v>11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3</v>
      </c>
      <c r="F50" s="50">
        <v>2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</v>
      </c>
      <c r="N50" s="50">
        <v>0</v>
      </c>
      <c r="O50" s="15">
        <f t="shared" si="0"/>
        <v>6</v>
      </c>
      <c r="P50" s="15">
        <f t="shared" si="1"/>
        <v>7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3</v>
      </c>
      <c r="F51" s="50">
        <v>3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1</v>
      </c>
      <c r="M51" s="50">
        <v>0</v>
      </c>
      <c r="N51" s="50">
        <v>0</v>
      </c>
      <c r="O51" s="15">
        <f t="shared" si="0"/>
        <v>9</v>
      </c>
      <c r="P51" s="15">
        <f t="shared" si="1"/>
        <v>9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5</v>
      </c>
      <c r="F52" s="50">
        <v>4</v>
      </c>
      <c r="G52" s="50">
        <v>0</v>
      </c>
      <c r="H52" s="50">
        <v>1</v>
      </c>
      <c r="I52" s="50">
        <v>1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14</v>
      </c>
      <c r="P52" s="15">
        <f t="shared" si="1"/>
        <v>14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6</v>
      </c>
      <c r="F53" s="50">
        <v>2</v>
      </c>
      <c r="G53" s="50">
        <v>0</v>
      </c>
      <c r="H53" s="50">
        <v>1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10</v>
      </c>
      <c r="P53" s="15">
        <f t="shared" si="1"/>
        <v>10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2</v>
      </c>
      <c r="F54" s="50">
        <v>3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15">
        <f t="shared" si="0"/>
        <v>5</v>
      </c>
      <c r="P54" s="15">
        <f t="shared" si="1"/>
        <v>5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6</v>
      </c>
      <c r="F55" s="50">
        <v>2</v>
      </c>
      <c r="G55" s="50">
        <v>1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1</v>
      </c>
      <c r="N55" s="50">
        <v>0</v>
      </c>
      <c r="O55" s="15">
        <f t="shared" si="0"/>
        <v>10</v>
      </c>
      <c r="P55" s="15">
        <f t="shared" si="1"/>
        <v>11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3</v>
      </c>
      <c r="F56" s="50">
        <v>4</v>
      </c>
      <c r="G56" s="50">
        <v>0</v>
      </c>
      <c r="H56" s="50">
        <v>2</v>
      </c>
      <c r="I56" s="50">
        <v>3</v>
      </c>
      <c r="J56" s="50">
        <v>0</v>
      </c>
      <c r="K56" s="50">
        <v>1</v>
      </c>
      <c r="L56" s="50">
        <v>2</v>
      </c>
      <c r="M56" s="50">
        <v>0</v>
      </c>
      <c r="N56" s="50">
        <v>0</v>
      </c>
      <c r="O56" s="15">
        <f t="shared" si="0"/>
        <v>16</v>
      </c>
      <c r="P56" s="15">
        <f t="shared" si="1"/>
        <v>16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2</v>
      </c>
      <c r="F57" s="50">
        <v>1</v>
      </c>
      <c r="G57" s="50">
        <v>0</v>
      </c>
      <c r="H57" s="50">
        <v>2</v>
      </c>
      <c r="I57" s="50">
        <v>1</v>
      </c>
      <c r="J57" s="50">
        <v>0</v>
      </c>
      <c r="K57" s="50">
        <v>0</v>
      </c>
      <c r="L57" s="50">
        <v>1</v>
      </c>
      <c r="M57" s="50">
        <v>0</v>
      </c>
      <c r="N57" s="50">
        <v>0</v>
      </c>
      <c r="O57" s="15">
        <f t="shared" si="0"/>
        <v>9</v>
      </c>
      <c r="P57" s="15">
        <f t="shared" si="1"/>
        <v>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36</v>
      </c>
      <c r="D58" s="16">
        <f t="shared" si="21"/>
        <v>0</v>
      </c>
      <c r="E58" s="16">
        <f t="shared" si="21"/>
        <v>125</v>
      </c>
      <c r="F58" s="16">
        <f t="shared" si="21"/>
        <v>108</v>
      </c>
      <c r="G58" s="16">
        <f t="shared" si="21"/>
        <v>2</v>
      </c>
      <c r="H58" s="16">
        <f t="shared" si="21"/>
        <v>15</v>
      </c>
      <c r="I58" s="16">
        <f t="shared" si="21"/>
        <v>51</v>
      </c>
      <c r="J58" s="16">
        <f t="shared" si="21"/>
        <v>5</v>
      </c>
      <c r="K58" s="16">
        <f t="shared" si="21"/>
        <v>1</v>
      </c>
      <c r="L58" s="16">
        <f t="shared" si="21"/>
        <v>18</v>
      </c>
      <c r="M58" s="16">
        <f t="shared" si="21"/>
        <v>16</v>
      </c>
      <c r="N58" s="16">
        <f t="shared" si="21"/>
        <v>0</v>
      </c>
      <c r="O58" s="16">
        <f t="shared" si="21"/>
        <v>361</v>
      </c>
      <c r="P58" s="16">
        <f t="shared" si="21"/>
        <v>377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9.5490716180371346E-2</v>
      </c>
      <c r="D59" s="43">
        <f t="shared" si="22"/>
        <v>0</v>
      </c>
      <c r="E59" s="43">
        <f t="shared" si="22"/>
        <v>0.33156498673740054</v>
      </c>
      <c r="F59" s="43">
        <f t="shared" si="22"/>
        <v>0.28647214854111408</v>
      </c>
      <c r="G59" s="43">
        <f t="shared" si="22"/>
        <v>5.3050397877984082E-3</v>
      </c>
      <c r="H59" s="43">
        <f t="shared" si="22"/>
        <v>3.9787798408488062E-2</v>
      </c>
      <c r="I59" s="43">
        <f t="shared" si="22"/>
        <v>0.13527851458885942</v>
      </c>
      <c r="J59" s="43">
        <f t="shared" si="22"/>
        <v>1.3262599469496022E-2</v>
      </c>
      <c r="K59" s="43">
        <f t="shared" si="22"/>
        <v>2.6525198938992041E-3</v>
      </c>
      <c r="L59" s="43">
        <f t="shared" si="22"/>
        <v>4.7745358090185673E-2</v>
      </c>
      <c r="M59" s="43">
        <f t="shared" si="22"/>
        <v>4.2440318302387266E-2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9.9722991689750698E-2</v>
      </c>
      <c r="D60" s="44">
        <f t="shared" ref="D60:N60" si="23">D58/$O$58</f>
        <v>0</v>
      </c>
      <c r="E60" s="44">
        <f t="shared" si="23"/>
        <v>0.34626038781163437</v>
      </c>
      <c r="F60" s="44">
        <f t="shared" si="23"/>
        <v>0.29916897506925205</v>
      </c>
      <c r="G60" s="44">
        <f t="shared" si="23"/>
        <v>5.5401662049861496E-3</v>
      </c>
      <c r="H60" s="44">
        <f t="shared" si="23"/>
        <v>4.1551246537396121E-2</v>
      </c>
      <c r="I60" s="44">
        <f t="shared" si="23"/>
        <v>0.14127423822714683</v>
      </c>
      <c r="J60" s="44">
        <f t="shared" si="23"/>
        <v>1.3850415512465374E-2</v>
      </c>
      <c r="K60" s="44">
        <f t="shared" si="23"/>
        <v>2.7700831024930748E-3</v>
      </c>
      <c r="L60" s="44">
        <f t="shared" si="23"/>
        <v>4.9861495844875349E-2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43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KYENJOJO-FORTPORTAL'!C3:G3</f>
        <v>C4 - STN107-FORTPORTAL-KYENJONJO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3" t="str">
        <f>'01.08 FORTPORTAL-KYENJOJO 2-24h'!G5:H5</f>
        <v>xxx</v>
      </c>
      <c r="H5" s="64"/>
      <c r="I5" s="14"/>
      <c r="J5" s="2" t="s">
        <v>5</v>
      </c>
      <c r="K5" s="63" t="str">
        <f>'01.08 FORTPORTAL-KYENJOJO 2-24h'!K5:L5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KYENJOJO-FORTPORTAL'!D6:E6</f>
        <v>KYENJOJO</v>
      </c>
      <c r="E6" s="64"/>
      <c r="F6" s="2" t="s">
        <v>2</v>
      </c>
      <c r="G6" s="63" t="str">
        <f>'29.07 KYENJOJO-FORTPORTAL'!G6:H6</f>
        <v>FORTPORTAL</v>
      </c>
      <c r="H6" s="64"/>
      <c r="J6" s="2" t="s">
        <v>21</v>
      </c>
      <c r="K6" s="63" t="str">
        <f>'01.08 FORTPORTAL-KYENJOJO 2-24h'!K6:L6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1</v>
      </c>
      <c r="F10" s="50">
        <v>3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</v>
      </c>
      <c r="N10" s="50">
        <v>0</v>
      </c>
      <c r="O10" s="15">
        <f t="shared" ref="O10:O73" si="0">SUM(C10:L10,N10)</f>
        <v>4</v>
      </c>
      <c r="P10" s="15">
        <f t="shared" ref="P10:P73" si="1">SUM(C10:N10)</f>
        <v>6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7</v>
      </c>
      <c r="V10" s="17">
        <f t="shared" si="2"/>
        <v>5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5</v>
      </c>
      <c r="AC10" s="17">
        <f t="shared" si="2"/>
        <v>2</v>
      </c>
      <c r="AD10" s="17">
        <f t="shared" si="2"/>
        <v>0</v>
      </c>
      <c r="AE10" s="31">
        <f t="shared" si="2"/>
        <v>21</v>
      </c>
      <c r="AF10" s="31">
        <f t="shared" si="2"/>
        <v>23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1</v>
      </c>
      <c r="P11" s="15">
        <f t="shared" si="1"/>
        <v>1</v>
      </c>
      <c r="R11" s="1" t="s">
        <v>7</v>
      </c>
      <c r="S11" s="17">
        <f t="shared" ref="S11:AF11" si="3">SUM(C14:C17)</f>
        <v>8</v>
      </c>
      <c r="T11" s="17">
        <f t="shared" si="3"/>
        <v>0</v>
      </c>
      <c r="U11" s="17">
        <f t="shared" si="3"/>
        <v>11</v>
      </c>
      <c r="V11" s="17">
        <f t="shared" si="3"/>
        <v>6</v>
      </c>
      <c r="W11" s="17">
        <f t="shared" si="3"/>
        <v>0</v>
      </c>
      <c r="X11" s="17">
        <f t="shared" si="3"/>
        <v>1</v>
      </c>
      <c r="Y11" s="17">
        <f t="shared" si="3"/>
        <v>4</v>
      </c>
      <c r="Z11" s="17">
        <f t="shared" si="3"/>
        <v>0</v>
      </c>
      <c r="AA11" s="17">
        <f t="shared" si="3"/>
        <v>0</v>
      </c>
      <c r="AB11" s="17">
        <f t="shared" si="3"/>
        <v>3</v>
      </c>
      <c r="AC11" s="17">
        <f t="shared" si="3"/>
        <v>2</v>
      </c>
      <c r="AD11" s="17">
        <f t="shared" si="3"/>
        <v>0</v>
      </c>
      <c r="AE11" s="31">
        <f t="shared" si="3"/>
        <v>33</v>
      </c>
      <c r="AF11" s="31">
        <f t="shared" si="3"/>
        <v>35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4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2</v>
      </c>
      <c r="M12" s="50">
        <v>0</v>
      </c>
      <c r="N12" s="50">
        <v>0</v>
      </c>
      <c r="O12" s="15">
        <f t="shared" si="0"/>
        <v>7</v>
      </c>
      <c r="P12" s="15">
        <f t="shared" si="1"/>
        <v>7</v>
      </c>
      <c r="R12" s="1" t="s">
        <v>8</v>
      </c>
      <c r="S12" s="17">
        <f t="shared" ref="S12:AF12" si="4">SUM(C18:C21)</f>
        <v>6</v>
      </c>
      <c r="T12" s="17">
        <f t="shared" si="4"/>
        <v>0</v>
      </c>
      <c r="U12" s="17">
        <f t="shared" si="4"/>
        <v>9</v>
      </c>
      <c r="V12" s="17">
        <f t="shared" si="4"/>
        <v>9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4</v>
      </c>
      <c r="AC12" s="17">
        <f t="shared" si="4"/>
        <v>2</v>
      </c>
      <c r="AD12" s="17">
        <f t="shared" si="4"/>
        <v>0</v>
      </c>
      <c r="AE12" s="31">
        <f t="shared" si="4"/>
        <v>30</v>
      </c>
      <c r="AF12" s="31">
        <f t="shared" si="4"/>
        <v>32</v>
      </c>
    </row>
    <row r="13" spans="2:32" ht="23.1" customHeight="1" x14ac:dyDescent="0.25">
      <c r="B13" s="45" t="s">
        <v>40</v>
      </c>
      <c r="C13" s="50">
        <v>2</v>
      </c>
      <c r="D13" s="50">
        <v>0</v>
      </c>
      <c r="E13" s="50">
        <v>2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3</v>
      </c>
      <c r="M13" s="50">
        <v>0</v>
      </c>
      <c r="N13" s="50">
        <v>0</v>
      </c>
      <c r="O13" s="15">
        <f t="shared" si="0"/>
        <v>9</v>
      </c>
      <c r="P13" s="15">
        <f t="shared" si="1"/>
        <v>9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14</v>
      </c>
      <c r="V13" s="17">
        <f t="shared" si="5"/>
        <v>4</v>
      </c>
      <c r="W13" s="17">
        <f t="shared" si="5"/>
        <v>0</v>
      </c>
      <c r="X13" s="17">
        <f t="shared" si="5"/>
        <v>1</v>
      </c>
      <c r="Y13" s="17">
        <f t="shared" si="5"/>
        <v>3</v>
      </c>
      <c r="Z13" s="17">
        <f t="shared" si="5"/>
        <v>0</v>
      </c>
      <c r="AA13" s="17">
        <f t="shared" si="5"/>
        <v>1</v>
      </c>
      <c r="AB13" s="17">
        <f t="shared" si="5"/>
        <v>2</v>
      </c>
      <c r="AC13" s="17">
        <f t="shared" si="5"/>
        <v>1</v>
      </c>
      <c r="AD13" s="17">
        <f t="shared" si="5"/>
        <v>0</v>
      </c>
      <c r="AE13" s="31">
        <f t="shared" si="5"/>
        <v>27</v>
      </c>
      <c r="AF13" s="31">
        <f t="shared" si="5"/>
        <v>28</v>
      </c>
    </row>
    <row r="14" spans="2:32" ht="23.1" customHeight="1" x14ac:dyDescent="0.25">
      <c r="B14" s="45" t="s">
        <v>41</v>
      </c>
      <c r="C14" s="50">
        <v>2</v>
      </c>
      <c r="D14" s="50">
        <v>0</v>
      </c>
      <c r="E14" s="50">
        <v>3</v>
      </c>
      <c r="F14" s="50">
        <v>3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1</v>
      </c>
      <c r="N14" s="50">
        <v>0</v>
      </c>
      <c r="O14" s="15">
        <f t="shared" si="0"/>
        <v>10</v>
      </c>
      <c r="P14" s="15">
        <f t="shared" si="1"/>
        <v>11</v>
      </c>
      <c r="R14" s="1" t="s">
        <v>10</v>
      </c>
      <c r="S14" s="17">
        <f t="shared" ref="S14:AF14" si="6">SUM(C26:C29)</f>
        <v>5</v>
      </c>
      <c r="T14" s="17">
        <f t="shared" si="6"/>
        <v>0</v>
      </c>
      <c r="U14" s="17">
        <f t="shared" si="6"/>
        <v>9</v>
      </c>
      <c r="V14" s="17">
        <f t="shared" si="6"/>
        <v>9</v>
      </c>
      <c r="W14" s="17">
        <f t="shared" si="6"/>
        <v>0</v>
      </c>
      <c r="X14" s="17">
        <f t="shared" si="6"/>
        <v>2</v>
      </c>
      <c r="Y14" s="17">
        <f t="shared" si="6"/>
        <v>6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5</v>
      </c>
      <c r="AD14" s="17">
        <f t="shared" si="6"/>
        <v>0</v>
      </c>
      <c r="AE14" s="31">
        <f t="shared" si="6"/>
        <v>31</v>
      </c>
      <c r="AF14" s="31">
        <f t="shared" si="6"/>
        <v>36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1</v>
      </c>
      <c r="M15" s="50">
        <v>0</v>
      </c>
      <c r="N15" s="50">
        <v>0</v>
      </c>
      <c r="O15" s="15">
        <f t="shared" si="0"/>
        <v>2</v>
      </c>
      <c r="P15" s="15">
        <f t="shared" si="1"/>
        <v>2</v>
      </c>
      <c r="R15" s="1" t="s">
        <v>11</v>
      </c>
      <c r="S15" s="17">
        <f t="shared" ref="S15:AF15" si="7">SUM(C30:C33)</f>
        <v>2</v>
      </c>
      <c r="T15" s="17">
        <f t="shared" si="7"/>
        <v>0</v>
      </c>
      <c r="U15" s="17">
        <f t="shared" si="7"/>
        <v>9</v>
      </c>
      <c r="V15" s="17">
        <f t="shared" si="7"/>
        <v>9</v>
      </c>
      <c r="W15" s="17">
        <f t="shared" si="7"/>
        <v>0</v>
      </c>
      <c r="X15" s="17">
        <f t="shared" si="7"/>
        <v>3</v>
      </c>
      <c r="Y15" s="17">
        <f t="shared" si="7"/>
        <v>1</v>
      </c>
      <c r="Z15" s="17">
        <f t="shared" si="7"/>
        <v>2</v>
      </c>
      <c r="AA15" s="17">
        <f t="shared" si="7"/>
        <v>0</v>
      </c>
      <c r="AB15" s="17">
        <f t="shared" si="7"/>
        <v>3</v>
      </c>
      <c r="AC15" s="17">
        <f t="shared" si="7"/>
        <v>1</v>
      </c>
      <c r="AD15" s="17">
        <f t="shared" si="7"/>
        <v>0</v>
      </c>
      <c r="AE15" s="31">
        <f t="shared" si="7"/>
        <v>29</v>
      </c>
      <c r="AF15" s="31">
        <f t="shared" si="7"/>
        <v>30</v>
      </c>
    </row>
    <row r="16" spans="2:32" ht="23.1" customHeight="1" x14ac:dyDescent="0.25">
      <c r="B16" s="45" t="s">
        <v>43</v>
      </c>
      <c r="C16" s="50">
        <v>1</v>
      </c>
      <c r="D16" s="50">
        <v>0</v>
      </c>
      <c r="E16" s="50">
        <v>3</v>
      </c>
      <c r="F16" s="50">
        <v>2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1</v>
      </c>
      <c r="M16" s="50">
        <v>1</v>
      </c>
      <c r="N16" s="50">
        <v>0</v>
      </c>
      <c r="O16" s="15">
        <f t="shared" si="0"/>
        <v>8</v>
      </c>
      <c r="P16" s="15">
        <f t="shared" si="1"/>
        <v>9</v>
      </c>
      <c r="R16" s="1" t="s">
        <v>12</v>
      </c>
      <c r="S16" s="17">
        <f t="shared" ref="S16:AF16" si="8">SUM(C34:C37)</f>
        <v>1</v>
      </c>
      <c r="T16" s="17">
        <f t="shared" si="8"/>
        <v>0</v>
      </c>
      <c r="U16" s="17">
        <f t="shared" si="8"/>
        <v>3</v>
      </c>
      <c r="V16" s="17">
        <f t="shared" si="8"/>
        <v>11</v>
      </c>
      <c r="W16" s="17">
        <f t="shared" si="8"/>
        <v>0</v>
      </c>
      <c r="X16" s="17">
        <f t="shared" si="8"/>
        <v>1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5</v>
      </c>
      <c r="AC16" s="17">
        <f t="shared" si="8"/>
        <v>2</v>
      </c>
      <c r="AD16" s="17">
        <f t="shared" si="8"/>
        <v>0</v>
      </c>
      <c r="AE16" s="31">
        <f t="shared" si="8"/>
        <v>22</v>
      </c>
      <c r="AF16" s="31">
        <f t="shared" si="8"/>
        <v>24</v>
      </c>
    </row>
    <row r="17" spans="2:32" ht="23.1" customHeight="1" x14ac:dyDescent="0.25">
      <c r="B17" s="45" t="s">
        <v>44</v>
      </c>
      <c r="C17" s="50">
        <v>5</v>
      </c>
      <c r="D17" s="50">
        <v>0</v>
      </c>
      <c r="E17" s="50">
        <v>5</v>
      </c>
      <c r="F17" s="50">
        <v>1</v>
      </c>
      <c r="G17" s="50">
        <v>0</v>
      </c>
      <c r="H17" s="50">
        <v>1</v>
      </c>
      <c r="I17" s="50">
        <v>0</v>
      </c>
      <c r="J17" s="50">
        <v>0</v>
      </c>
      <c r="K17" s="50">
        <v>0</v>
      </c>
      <c r="L17" s="50">
        <v>1</v>
      </c>
      <c r="M17" s="50">
        <v>0</v>
      </c>
      <c r="N17" s="50">
        <v>0</v>
      </c>
      <c r="O17" s="15">
        <f t="shared" si="0"/>
        <v>13</v>
      </c>
      <c r="P17" s="15">
        <f t="shared" si="1"/>
        <v>13</v>
      </c>
      <c r="R17" s="1" t="s">
        <v>13</v>
      </c>
      <c r="S17" s="17">
        <f t="shared" ref="S17:AF17" si="9">SUM(C38:C41)</f>
        <v>7</v>
      </c>
      <c r="T17" s="17">
        <f t="shared" si="9"/>
        <v>0</v>
      </c>
      <c r="U17" s="17">
        <f t="shared" si="9"/>
        <v>11</v>
      </c>
      <c r="V17" s="17">
        <f t="shared" si="9"/>
        <v>8</v>
      </c>
      <c r="W17" s="17">
        <f t="shared" si="9"/>
        <v>0</v>
      </c>
      <c r="X17" s="17">
        <f t="shared" si="9"/>
        <v>1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2</v>
      </c>
      <c r="AC17" s="17">
        <f t="shared" si="9"/>
        <v>1</v>
      </c>
      <c r="AD17" s="17">
        <f t="shared" si="9"/>
        <v>0</v>
      </c>
      <c r="AE17" s="31">
        <f t="shared" si="9"/>
        <v>32</v>
      </c>
      <c r="AF17" s="31">
        <f t="shared" si="9"/>
        <v>33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3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2</v>
      </c>
      <c r="M18" s="50">
        <v>1</v>
      </c>
      <c r="N18" s="50">
        <v>0</v>
      </c>
      <c r="O18" s="15">
        <f t="shared" si="0"/>
        <v>7</v>
      </c>
      <c r="P18" s="15">
        <f t="shared" si="1"/>
        <v>8</v>
      </c>
      <c r="R18" s="1" t="s">
        <v>14</v>
      </c>
      <c r="S18" s="17">
        <f t="shared" ref="S18:AF18" si="10">SUM(C42:C45)</f>
        <v>2</v>
      </c>
      <c r="T18" s="17">
        <f t="shared" si="10"/>
        <v>0</v>
      </c>
      <c r="U18" s="17">
        <f t="shared" si="10"/>
        <v>11</v>
      </c>
      <c r="V18" s="17">
        <f t="shared" si="10"/>
        <v>8</v>
      </c>
      <c r="W18" s="17">
        <f t="shared" si="10"/>
        <v>0</v>
      </c>
      <c r="X18" s="17">
        <f t="shared" si="10"/>
        <v>2</v>
      </c>
      <c r="Y18" s="17">
        <f t="shared" si="10"/>
        <v>2</v>
      </c>
      <c r="Z18" s="17">
        <f t="shared" si="10"/>
        <v>0</v>
      </c>
      <c r="AA18" s="17">
        <f t="shared" si="10"/>
        <v>0</v>
      </c>
      <c r="AB18" s="17">
        <f t="shared" si="10"/>
        <v>3</v>
      </c>
      <c r="AC18" s="17">
        <f t="shared" si="10"/>
        <v>0</v>
      </c>
      <c r="AD18" s="17">
        <f t="shared" si="10"/>
        <v>0</v>
      </c>
      <c r="AE18" s="31">
        <f t="shared" si="10"/>
        <v>28</v>
      </c>
      <c r="AF18" s="31">
        <f t="shared" si="10"/>
        <v>28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3</v>
      </c>
      <c r="F19" s="50">
        <v>4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1</v>
      </c>
      <c r="M19" s="50">
        <v>0</v>
      </c>
      <c r="N19" s="50">
        <v>0</v>
      </c>
      <c r="O19" s="15">
        <f t="shared" si="0"/>
        <v>9</v>
      </c>
      <c r="P19" s="15">
        <f t="shared" si="1"/>
        <v>9</v>
      </c>
      <c r="R19" s="1" t="s">
        <v>15</v>
      </c>
      <c r="S19" s="17">
        <f t="shared" ref="S19:AF19" si="11">SUM(C46:C49)</f>
        <v>1</v>
      </c>
      <c r="T19" s="17">
        <f t="shared" si="11"/>
        <v>0</v>
      </c>
      <c r="U19" s="17">
        <f t="shared" si="11"/>
        <v>9</v>
      </c>
      <c r="V19" s="17">
        <f t="shared" si="11"/>
        <v>9</v>
      </c>
      <c r="W19" s="17">
        <f t="shared" si="11"/>
        <v>0</v>
      </c>
      <c r="X19" s="17">
        <f t="shared" si="11"/>
        <v>2</v>
      </c>
      <c r="Y19" s="17">
        <f t="shared" si="11"/>
        <v>1</v>
      </c>
      <c r="Z19" s="17">
        <f t="shared" si="11"/>
        <v>2</v>
      </c>
      <c r="AA19" s="17">
        <f t="shared" si="11"/>
        <v>0</v>
      </c>
      <c r="AB19" s="17">
        <f t="shared" si="11"/>
        <v>4</v>
      </c>
      <c r="AC19" s="17">
        <f t="shared" si="11"/>
        <v>1</v>
      </c>
      <c r="AD19" s="17">
        <f t="shared" si="11"/>
        <v>0</v>
      </c>
      <c r="AE19" s="31">
        <f t="shared" si="11"/>
        <v>28</v>
      </c>
      <c r="AF19" s="31">
        <f t="shared" si="11"/>
        <v>29</v>
      </c>
    </row>
    <row r="20" spans="2:32" ht="23.1" customHeight="1" x14ac:dyDescent="0.25">
      <c r="B20" s="45" t="s">
        <v>47</v>
      </c>
      <c r="C20" s="50">
        <v>2</v>
      </c>
      <c r="D20" s="50">
        <v>0</v>
      </c>
      <c r="E20" s="50">
        <v>2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4</v>
      </c>
      <c r="P20" s="15">
        <f t="shared" si="1"/>
        <v>4</v>
      </c>
      <c r="R20" s="1" t="s">
        <v>16</v>
      </c>
      <c r="S20" s="17">
        <f t="shared" ref="S20:AF20" si="12">SUM(C50:C53)</f>
        <v>4</v>
      </c>
      <c r="T20" s="17">
        <f t="shared" si="12"/>
        <v>0</v>
      </c>
      <c r="U20" s="17">
        <f t="shared" si="12"/>
        <v>10</v>
      </c>
      <c r="V20" s="17">
        <f t="shared" si="12"/>
        <v>8</v>
      </c>
      <c r="W20" s="17">
        <f t="shared" si="12"/>
        <v>0</v>
      </c>
      <c r="X20" s="17">
        <f t="shared" si="12"/>
        <v>3</v>
      </c>
      <c r="Y20" s="17">
        <f t="shared" si="12"/>
        <v>3</v>
      </c>
      <c r="Z20" s="17">
        <f t="shared" si="12"/>
        <v>1</v>
      </c>
      <c r="AA20" s="17">
        <f t="shared" si="12"/>
        <v>0</v>
      </c>
      <c r="AB20" s="17">
        <f t="shared" si="12"/>
        <v>3</v>
      </c>
      <c r="AC20" s="17">
        <f t="shared" si="12"/>
        <v>0</v>
      </c>
      <c r="AD20" s="17">
        <f t="shared" si="12"/>
        <v>0</v>
      </c>
      <c r="AE20" s="31">
        <f t="shared" si="12"/>
        <v>32</v>
      </c>
      <c r="AF20" s="31">
        <f t="shared" si="12"/>
        <v>32</v>
      </c>
    </row>
    <row r="21" spans="2:32" ht="23.1" customHeight="1" x14ac:dyDescent="0.25">
      <c r="B21" s="45" t="s">
        <v>48</v>
      </c>
      <c r="C21" s="50">
        <v>3</v>
      </c>
      <c r="D21" s="50">
        <v>0</v>
      </c>
      <c r="E21" s="50">
        <v>1</v>
      </c>
      <c r="F21" s="50">
        <v>5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1</v>
      </c>
      <c r="M21" s="50">
        <v>1</v>
      </c>
      <c r="N21" s="50">
        <v>0</v>
      </c>
      <c r="O21" s="15">
        <f t="shared" si="0"/>
        <v>10</v>
      </c>
      <c r="P21" s="15">
        <f t="shared" si="1"/>
        <v>11</v>
      </c>
      <c r="R21" s="36" t="s">
        <v>20</v>
      </c>
      <c r="S21" s="34">
        <f t="shared" ref="S21:AF21" si="13">SUM(C54:C57)</f>
        <v>5</v>
      </c>
      <c r="T21" s="17">
        <f t="shared" si="13"/>
        <v>0</v>
      </c>
      <c r="U21" s="17">
        <f t="shared" si="13"/>
        <v>9</v>
      </c>
      <c r="V21" s="17">
        <f t="shared" si="13"/>
        <v>8</v>
      </c>
      <c r="W21" s="17">
        <f t="shared" si="13"/>
        <v>0</v>
      </c>
      <c r="X21" s="17">
        <f t="shared" si="13"/>
        <v>1</v>
      </c>
      <c r="Y21" s="17">
        <f t="shared" si="13"/>
        <v>12</v>
      </c>
      <c r="Z21" s="17">
        <f t="shared" si="13"/>
        <v>2</v>
      </c>
      <c r="AA21" s="17">
        <f t="shared" si="13"/>
        <v>0</v>
      </c>
      <c r="AB21" s="17">
        <f t="shared" si="13"/>
        <v>5</v>
      </c>
      <c r="AC21" s="17">
        <f t="shared" si="13"/>
        <v>0</v>
      </c>
      <c r="AD21" s="17">
        <f t="shared" si="13"/>
        <v>0</v>
      </c>
      <c r="AE21" s="31">
        <f t="shared" si="13"/>
        <v>42</v>
      </c>
      <c r="AF21" s="31">
        <f t="shared" si="13"/>
        <v>42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4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1</v>
      </c>
      <c r="L22" s="50">
        <v>0</v>
      </c>
      <c r="M22" s="50">
        <v>0</v>
      </c>
      <c r="N22" s="50">
        <v>0</v>
      </c>
      <c r="O22" s="15">
        <f t="shared" si="0"/>
        <v>6</v>
      </c>
      <c r="P22" s="15">
        <f t="shared" si="1"/>
        <v>6</v>
      </c>
      <c r="R22" s="36" t="s">
        <v>146</v>
      </c>
      <c r="S22" s="34">
        <f>SUM(C58:C61)</f>
        <v>7</v>
      </c>
      <c r="T22" s="34">
        <f t="shared" ref="T22:AF22" si="14">SUM(D58:D61)</f>
        <v>0</v>
      </c>
      <c r="U22" s="34">
        <f t="shared" si="14"/>
        <v>5</v>
      </c>
      <c r="V22" s="34">
        <f t="shared" si="14"/>
        <v>6</v>
      </c>
      <c r="W22" s="34">
        <f t="shared" si="14"/>
        <v>0</v>
      </c>
      <c r="X22" s="34">
        <f t="shared" si="14"/>
        <v>0</v>
      </c>
      <c r="Y22" s="34">
        <f t="shared" si="14"/>
        <v>6</v>
      </c>
      <c r="Z22" s="34">
        <f t="shared" si="14"/>
        <v>1</v>
      </c>
      <c r="AA22" s="34">
        <f t="shared" si="14"/>
        <v>0</v>
      </c>
      <c r="AB22" s="34">
        <f t="shared" si="14"/>
        <v>3</v>
      </c>
      <c r="AC22" s="34">
        <f t="shared" si="14"/>
        <v>11</v>
      </c>
      <c r="AD22" s="34">
        <f t="shared" si="14"/>
        <v>0</v>
      </c>
      <c r="AE22" s="31">
        <f t="shared" si="14"/>
        <v>28</v>
      </c>
      <c r="AF22" s="31">
        <f t="shared" si="14"/>
        <v>39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3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4</v>
      </c>
      <c r="P23" s="15">
        <f t="shared" si="1"/>
        <v>4</v>
      </c>
      <c r="R23" s="36" t="s">
        <v>147</v>
      </c>
      <c r="S23" s="34">
        <f>SUM(C62:C65)</f>
        <v>1</v>
      </c>
      <c r="T23" s="34">
        <f t="shared" ref="T23:AF23" si="15">SUM(D62:D65)</f>
        <v>0</v>
      </c>
      <c r="U23" s="34">
        <f t="shared" si="15"/>
        <v>6</v>
      </c>
      <c r="V23" s="34">
        <f t="shared" si="15"/>
        <v>6</v>
      </c>
      <c r="W23" s="34">
        <f t="shared" si="15"/>
        <v>1</v>
      </c>
      <c r="X23" s="34">
        <f t="shared" si="15"/>
        <v>2</v>
      </c>
      <c r="Y23" s="34">
        <f t="shared" si="15"/>
        <v>5</v>
      </c>
      <c r="Z23" s="34">
        <f t="shared" si="15"/>
        <v>1</v>
      </c>
      <c r="AA23" s="34">
        <f t="shared" si="15"/>
        <v>0</v>
      </c>
      <c r="AB23" s="34">
        <f t="shared" si="15"/>
        <v>2</v>
      </c>
      <c r="AC23" s="34">
        <f t="shared" si="15"/>
        <v>8</v>
      </c>
      <c r="AD23" s="34">
        <f t="shared" si="15"/>
        <v>0</v>
      </c>
      <c r="AE23" s="31">
        <f t="shared" si="15"/>
        <v>24</v>
      </c>
      <c r="AF23" s="31">
        <f t="shared" si="15"/>
        <v>32</v>
      </c>
    </row>
    <row r="24" spans="2:32" ht="23.1" customHeight="1" x14ac:dyDescent="0.25">
      <c r="B24" s="45" t="s">
        <v>51</v>
      </c>
      <c r="C24" s="50">
        <v>2</v>
      </c>
      <c r="D24" s="50">
        <v>0</v>
      </c>
      <c r="E24" s="50">
        <v>5</v>
      </c>
      <c r="F24" s="50">
        <v>2</v>
      </c>
      <c r="G24" s="50">
        <v>0</v>
      </c>
      <c r="H24" s="50">
        <v>1</v>
      </c>
      <c r="I24" s="50">
        <v>1</v>
      </c>
      <c r="J24" s="50">
        <v>0</v>
      </c>
      <c r="K24" s="50">
        <v>0</v>
      </c>
      <c r="L24" s="50">
        <v>2</v>
      </c>
      <c r="M24" s="50">
        <v>0</v>
      </c>
      <c r="N24" s="50">
        <v>0</v>
      </c>
      <c r="O24" s="15">
        <f t="shared" si="0"/>
        <v>13</v>
      </c>
      <c r="P24" s="15">
        <f t="shared" si="1"/>
        <v>13</v>
      </c>
      <c r="R24" s="36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2</v>
      </c>
      <c r="V24" s="34">
        <f t="shared" si="16"/>
        <v>3</v>
      </c>
      <c r="W24" s="34">
        <f t="shared" si="16"/>
        <v>0</v>
      </c>
      <c r="X24" s="34">
        <f t="shared" si="16"/>
        <v>0</v>
      </c>
      <c r="Y24" s="34">
        <f t="shared" si="16"/>
        <v>7</v>
      </c>
      <c r="Z24" s="34">
        <f t="shared" si="16"/>
        <v>0</v>
      </c>
      <c r="AA24" s="34">
        <f t="shared" si="16"/>
        <v>0</v>
      </c>
      <c r="AB24" s="34">
        <f t="shared" si="16"/>
        <v>3</v>
      </c>
      <c r="AC24" s="34">
        <f t="shared" si="16"/>
        <v>3</v>
      </c>
      <c r="AD24" s="34">
        <f t="shared" si="16"/>
        <v>0</v>
      </c>
      <c r="AE24" s="31">
        <f t="shared" si="16"/>
        <v>15</v>
      </c>
      <c r="AF24" s="31">
        <f t="shared" si="16"/>
        <v>18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2</v>
      </c>
      <c r="F25" s="50">
        <v>2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</v>
      </c>
      <c r="N25" s="50">
        <v>0</v>
      </c>
      <c r="O25" s="15">
        <f t="shared" si="0"/>
        <v>4</v>
      </c>
      <c r="P25" s="15">
        <f t="shared" si="1"/>
        <v>5</v>
      </c>
      <c r="R25" s="36" t="s">
        <v>149</v>
      </c>
      <c r="S25" s="34">
        <f>SUM(C70:C73)</f>
        <v>4</v>
      </c>
      <c r="T25" s="34">
        <f t="shared" ref="T25:AF25" si="17">SUM(D70:D73)</f>
        <v>0</v>
      </c>
      <c r="U25" s="34">
        <f t="shared" si="17"/>
        <v>1</v>
      </c>
      <c r="V25" s="34">
        <f t="shared" si="17"/>
        <v>3</v>
      </c>
      <c r="W25" s="34">
        <f t="shared" si="17"/>
        <v>1</v>
      </c>
      <c r="X25" s="34">
        <f t="shared" si="17"/>
        <v>1</v>
      </c>
      <c r="Y25" s="34">
        <f t="shared" si="17"/>
        <v>9</v>
      </c>
      <c r="Z25" s="34">
        <f t="shared" si="17"/>
        <v>0</v>
      </c>
      <c r="AA25" s="34">
        <f t="shared" si="17"/>
        <v>1</v>
      </c>
      <c r="AB25" s="34">
        <f t="shared" si="17"/>
        <v>3</v>
      </c>
      <c r="AC25" s="34">
        <f t="shared" si="17"/>
        <v>2</v>
      </c>
      <c r="AD25" s="34">
        <f t="shared" si="17"/>
        <v>0</v>
      </c>
      <c r="AE25" s="31">
        <f t="shared" si="17"/>
        <v>23</v>
      </c>
      <c r="AF25" s="31">
        <f t="shared" si="17"/>
        <v>25</v>
      </c>
    </row>
    <row r="26" spans="2:32" ht="23.1" customHeight="1" x14ac:dyDescent="0.25">
      <c r="B26" s="45" t="s">
        <v>53</v>
      </c>
      <c r="C26" s="50">
        <v>2</v>
      </c>
      <c r="D26" s="50">
        <v>0</v>
      </c>
      <c r="E26" s="50">
        <v>5</v>
      </c>
      <c r="F26" s="50">
        <v>1</v>
      </c>
      <c r="G26" s="50">
        <v>0</v>
      </c>
      <c r="H26" s="50">
        <v>1</v>
      </c>
      <c r="I26" s="50">
        <v>1</v>
      </c>
      <c r="J26" s="50">
        <v>0</v>
      </c>
      <c r="K26" s="50">
        <v>0</v>
      </c>
      <c r="L26" s="50">
        <v>0</v>
      </c>
      <c r="M26" s="50">
        <v>1</v>
      </c>
      <c r="N26" s="50">
        <v>0</v>
      </c>
      <c r="O26" s="15">
        <f t="shared" si="0"/>
        <v>10</v>
      </c>
      <c r="P26" s="15">
        <f t="shared" si="1"/>
        <v>11</v>
      </c>
      <c r="R26" s="36" t="s">
        <v>150</v>
      </c>
      <c r="S26" s="34">
        <f>SUM(C74:C77)</f>
        <v>5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1</v>
      </c>
      <c r="Y26" s="34">
        <f t="shared" si="18"/>
        <v>5</v>
      </c>
      <c r="Z26" s="34">
        <f t="shared" si="18"/>
        <v>0</v>
      </c>
      <c r="AA26" s="34">
        <f t="shared" si="18"/>
        <v>0</v>
      </c>
      <c r="AB26" s="34">
        <f t="shared" si="18"/>
        <v>1</v>
      </c>
      <c r="AC26" s="34">
        <f t="shared" si="18"/>
        <v>0</v>
      </c>
      <c r="AD26" s="34">
        <f t="shared" si="18"/>
        <v>0</v>
      </c>
      <c r="AE26" s="31">
        <f t="shared" si="18"/>
        <v>12</v>
      </c>
      <c r="AF26" s="31">
        <f t="shared" si="18"/>
        <v>12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0</v>
      </c>
      <c r="F27" s="50">
        <v>2</v>
      </c>
      <c r="G27" s="50">
        <v>0</v>
      </c>
      <c r="H27" s="50">
        <v>1</v>
      </c>
      <c r="I27" s="50">
        <v>3</v>
      </c>
      <c r="J27" s="50">
        <v>0</v>
      </c>
      <c r="K27" s="50">
        <v>0</v>
      </c>
      <c r="L27" s="50">
        <v>0</v>
      </c>
      <c r="M27" s="50">
        <v>0</v>
      </c>
      <c r="N27" s="50">
        <v>0</v>
      </c>
      <c r="O27" s="15">
        <f t="shared" si="0"/>
        <v>7</v>
      </c>
      <c r="P27" s="15">
        <f t="shared" si="1"/>
        <v>7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1</v>
      </c>
      <c r="W27" s="34">
        <f t="shared" si="19"/>
        <v>0</v>
      </c>
      <c r="X27" s="34">
        <f t="shared" si="19"/>
        <v>1</v>
      </c>
      <c r="Y27" s="34">
        <f t="shared" si="19"/>
        <v>10</v>
      </c>
      <c r="Z27" s="34">
        <f t="shared" si="19"/>
        <v>0</v>
      </c>
      <c r="AA27" s="34">
        <f t="shared" si="19"/>
        <v>0</v>
      </c>
      <c r="AB27" s="34">
        <f t="shared" si="19"/>
        <v>3</v>
      </c>
      <c r="AC27" s="34">
        <f t="shared" si="19"/>
        <v>0</v>
      </c>
      <c r="AD27" s="34">
        <f t="shared" si="19"/>
        <v>0</v>
      </c>
      <c r="AE27" s="31">
        <f t="shared" si="19"/>
        <v>16</v>
      </c>
      <c r="AF27" s="31">
        <f t="shared" si="19"/>
        <v>16</v>
      </c>
    </row>
    <row r="28" spans="2:32" ht="23.1" customHeight="1" x14ac:dyDescent="0.25">
      <c r="B28" s="45" t="s">
        <v>55</v>
      </c>
      <c r="C28" s="50">
        <v>1</v>
      </c>
      <c r="D28" s="50">
        <v>0</v>
      </c>
      <c r="E28" s="50">
        <v>2</v>
      </c>
      <c r="F28" s="50">
        <v>3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</v>
      </c>
      <c r="N28" s="50">
        <v>0</v>
      </c>
      <c r="O28" s="15">
        <f t="shared" si="0"/>
        <v>6</v>
      </c>
      <c r="P28" s="15">
        <f t="shared" si="1"/>
        <v>8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8</v>
      </c>
      <c r="Z28" s="34">
        <f t="shared" si="20"/>
        <v>0</v>
      </c>
      <c r="AA28" s="34">
        <f t="shared" si="20"/>
        <v>0</v>
      </c>
      <c r="AB28" s="34">
        <f t="shared" si="20"/>
        <v>2</v>
      </c>
      <c r="AC28" s="34">
        <f t="shared" si="20"/>
        <v>0</v>
      </c>
      <c r="AD28" s="34">
        <f t="shared" si="20"/>
        <v>0</v>
      </c>
      <c r="AE28" s="31">
        <f t="shared" si="20"/>
        <v>10</v>
      </c>
      <c r="AF28" s="31">
        <f t="shared" si="20"/>
        <v>10</v>
      </c>
    </row>
    <row r="29" spans="2:32" ht="23.1" customHeight="1" x14ac:dyDescent="0.25">
      <c r="B29" s="45" t="s">
        <v>56</v>
      </c>
      <c r="C29" s="50">
        <v>1</v>
      </c>
      <c r="D29" s="50">
        <v>0</v>
      </c>
      <c r="E29" s="50">
        <v>2</v>
      </c>
      <c r="F29" s="50">
        <v>3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2</v>
      </c>
      <c r="N29" s="50">
        <v>0</v>
      </c>
      <c r="O29" s="15">
        <f t="shared" si="0"/>
        <v>8</v>
      </c>
      <c r="P29" s="15">
        <f t="shared" si="1"/>
        <v>10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1</v>
      </c>
      <c r="AC29" s="34">
        <f t="shared" si="21"/>
        <v>0</v>
      </c>
      <c r="AD29" s="34">
        <f t="shared" si="21"/>
        <v>0</v>
      </c>
      <c r="AE29" s="31">
        <f t="shared" si="21"/>
        <v>3</v>
      </c>
      <c r="AF29" s="31">
        <f t="shared" si="21"/>
        <v>3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1</v>
      </c>
      <c r="F30" s="50">
        <v>2</v>
      </c>
      <c r="G30" s="50">
        <v>0</v>
      </c>
      <c r="H30" s="50">
        <v>2</v>
      </c>
      <c r="I30" s="50">
        <v>1</v>
      </c>
      <c r="J30" s="50">
        <v>0</v>
      </c>
      <c r="K30" s="50">
        <v>0</v>
      </c>
      <c r="L30" s="50">
        <v>0</v>
      </c>
      <c r="M30" s="50">
        <v>0</v>
      </c>
      <c r="N30" s="50">
        <v>0</v>
      </c>
      <c r="O30" s="15">
        <f t="shared" si="0"/>
        <v>6</v>
      </c>
      <c r="P30" s="15">
        <f t="shared" si="1"/>
        <v>6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2</v>
      </c>
      <c r="AF30" s="31">
        <f t="shared" si="22"/>
        <v>2</v>
      </c>
    </row>
    <row r="31" spans="2:32" ht="23.1" customHeight="1" x14ac:dyDescent="0.25">
      <c r="B31" s="46" t="s">
        <v>58</v>
      </c>
      <c r="C31" s="50">
        <v>1</v>
      </c>
      <c r="D31" s="50">
        <v>0</v>
      </c>
      <c r="E31" s="50">
        <v>0</v>
      </c>
      <c r="F31" s="50">
        <v>3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1</v>
      </c>
      <c r="M31" s="50">
        <v>1</v>
      </c>
      <c r="N31" s="50">
        <v>0</v>
      </c>
      <c r="O31" s="15">
        <f t="shared" si="0"/>
        <v>5</v>
      </c>
      <c r="P31" s="15">
        <f t="shared" si="1"/>
        <v>6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1</v>
      </c>
      <c r="W31" s="34">
        <f t="shared" si="23"/>
        <v>1</v>
      </c>
      <c r="X31" s="34">
        <f t="shared" si="23"/>
        <v>0</v>
      </c>
      <c r="Y31" s="34">
        <f t="shared" si="23"/>
        <v>3</v>
      </c>
      <c r="Z31" s="34">
        <f t="shared" si="23"/>
        <v>0</v>
      </c>
      <c r="AA31" s="34">
        <f t="shared" si="23"/>
        <v>0</v>
      </c>
      <c r="AB31" s="34">
        <f t="shared" si="23"/>
        <v>3</v>
      </c>
      <c r="AC31" s="34">
        <f t="shared" si="23"/>
        <v>0</v>
      </c>
      <c r="AD31" s="34">
        <f t="shared" si="23"/>
        <v>0</v>
      </c>
      <c r="AE31" s="31">
        <f t="shared" si="23"/>
        <v>8</v>
      </c>
      <c r="AF31" s="31">
        <f t="shared" si="23"/>
        <v>8</v>
      </c>
    </row>
    <row r="32" spans="2:32" ht="23.1" customHeight="1" x14ac:dyDescent="0.25">
      <c r="B32" s="46" t="s">
        <v>59</v>
      </c>
      <c r="C32" s="50">
        <v>1</v>
      </c>
      <c r="D32" s="50">
        <v>0</v>
      </c>
      <c r="E32" s="50">
        <v>4</v>
      </c>
      <c r="F32" s="50">
        <v>1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1</v>
      </c>
      <c r="M32" s="50">
        <v>0</v>
      </c>
      <c r="N32" s="50">
        <v>0</v>
      </c>
      <c r="O32" s="15">
        <f t="shared" si="0"/>
        <v>8</v>
      </c>
      <c r="P32" s="15">
        <f t="shared" si="1"/>
        <v>8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1</v>
      </c>
      <c r="V32" s="34">
        <f t="shared" si="24"/>
        <v>2</v>
      </c>
      <c r="W32" s="34">
        <f t="shared" si="24"/>
        <v>0</v>
      </c>
      <c r="X32" s="34">
        <f t="shared" si="24"/>
        <v>0</v>
      </c>
      <c r="Y32" s="34">
        <f t="shared" si="24"/>
        <v>9</v>
      </c>
      <c r="Z32" s="34">
        <f t="shared" si="24"/>
        <v>0</v>
      </c>
      <c r="AA32" s="34">
        <f t="shared" si="24"/>
        <v>0</v>
      </c>
      <c r="AB32" s="34">
        <f t="shared" si="24"/>
        <v>1</v>
      </c>
      <c r="AC32" s="34">
        <f t="shared" si="24"/>
        <v>0</v>
      </c>
      <c r="AD32" s="34">
        <f t="shared" si="24"/>
        <v>0</v>
      </c>
      <c r="AE32" s="31">
        <f t="shared" si="24"/>
        <v>13</v>
      </c>
      <c r="AF32" s="31">
        <f t="shared" si="24"/>
        <v>13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4</v>
      </c>
      <c r="F33" s="50">
        <v>3</v>
      </c>
      <c r="G33" s="50">
        <v>0</v>
      </c>
      <c r="H33" s="50">
        <v>1</v>
      </c>
      <c r="I33" s="50">
        <v>0</v>
      </c>
      <c r="J33" s="50">
        <v>1</v>
      </c>
      <c r="K33" s="50">
        <v>0</v>
      </c>
      <c r="L33" s="50">
        <v>1</v>
      </c>
      <c r="M33" s="50">
        <v>0</v>
      </c>
      <c r="N33" s="50">
        <v>0</v>
      </c>
      <c r="O33" s="15">
        <f t="shared" si="0"/>
        <v>10</v>
      </c>
      <c r="P33" s="15">
        <f t="shared" si="1"/>
        <v>10</v>
      </c>
      <c r="R33" s="33" t="s">
        <v>157</v>
      </c>
      <c r="S33" s="34">
        <f>SUM(C102:C105)</f>
        <v>2</v>
      </c>
      <c r="T33" s="34">
        <f t="shared" ref="T33:AF33" si="25">SUM(D102:D105)</f>
        <v>0</v>
      </c>
      <c r="U33" s="34">
        <f t="shared" si="25"/>
        <v>1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7</v>
      </c>
      <c r="Z33" s="34">
        <f t="shared" si="25"/>
        <v>0</v>
      </c>
      <c r="AA33" s="34">
        <f t="shared" si="25"/>
        <v>0</v>
      </c>
      <c r="AB33" s="34">
        <f t="shared" si="25"/>
        <v>2</v>
      </c>
      <c r="AC33" s="34">
        <f t="shared" si="25"/>
        <v>3</v>
      </c>
      <c r="AD33" s="34">
        <f t="shared" si="25"/>
        <v>0</v>
      </c>
      <c r="AE33" s="31">
        <f t="shared" si="25"/>
        <v>12</v>
      </c>
      <c r="AF33" s="31">
        <f t="shared" si="25"/>
        <v>15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2</v>
      </c>
      <c r="F34" s="50">
        <v>3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1</v>
      </c>
      <c r="M34" s="50">
        <v>0</v>
      </c>
      <c r="N34" s="50">
        <v>0</v>
      </c>
      <c r="O34" s="15">
        <f t="shared" si="0"/>
        <v>6</v>
      </c>
      <c r="P34" s="15">
        <f t="shared" si="1"/>
        <v>6</v>
      </c>
      <c r="R34" s="38" t="s">
        <v>90</v>
      </c>
      <c r="S34" s="39">
        <f t="shared" ref="S34:AF34" si="26">MAX(S10:S12)</f>
        <v>8</v>
      </c>
      <c r="T34" s="39">
        <f t="shared" si="26"/>
        <v>0</v>
      </c>
      <c r="U34" s="39">
        <f t="shared" si="26"/>
        <v>11</v>
      </c>
      <c r="V34" s="39">
        <f t="shared" si="26"/>
        <v>9</v>
      </c>
      <c r="W34" s="39">
        <f t="shared" si="26"/>
        <v>0</v>
      </c>
      <c r="X34" s="39">
        <f t="shared" si="26"/>
        <v>1</v>
      </c>
      <c r="Y34" s="39">
        <f t="shared" si="26"/>
        <v>4</v>
      </c>
      <c r="Z34" s="39">
        <f t="shared" si="26"/>
        <v>0</v>
      </c>
      <c r="AA34" s="39">
        <f t="shared" si="26"/>
        <v>0</v>
      </c>
      <c r="AB34" s="39">
        <f t="shared" si="26"/>
        <v>5</v>
      </c>
      <c r="AC34" s="39">
        <f t="shared" si="26"/>
        <v>2</v>
      </c>
      <c r="AD34" s="39">
        <f t="shared" si="26"/>
        <v>0</v>
      </c>
      <c r="AE34" s="40">
        <f t="shared" si="26"/>
        <v>33</v>
      </c>
      <c r="AF34" s="40">
        <f t="shared" si="26"/>
        <v>35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3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1</v>
      </c>
      <c r="M35" s="50">
        <v>1</v>
      </c>
      <c r="N35" s="50">
        <v>0</v>
      </c>
      <c r="O35" s="15">
        <f t="shared" si="0"/>
        <v>4</v>
      </c>
      <c r="P35" s="15">
        <f t="shared" si="1"/>
        <v>5</v>
      </c>
      <c r="R35" s="38" t="s">
        <v>91</v>
      </c>
      <c r="S35" s="39">
        <f t="shared" ref="S35:AF35" si="27">MAX(S13:S18)</f>
        <v>7</v>
      </c>
      <c r="T35" s="39">
        <f t="shared" si="27"/>
        <v>0</v>
      </c>
      <c r="U35" s="39">
        <f t="shared" si="27"/>
        <v>14</v>
      </c>
      <c r="V35" s="39">
        <f t="shared" si="27"/>
        <v>11</v>
      </c>
      <c r="W35" s="39">
        <f t="shared" si="27"/>
        <v>0</v>
      </c>
      <c r="X35" s="39">
        <f t="shared" si="27"/>
        <v>3</v>
      </c>
      <c r="Y35" s="39">
        <f t="shared" si="27"/>
        <v>6</v>
      </c>
      <c r="Z35" s="39">
        <f t="shared" si="27"/>
        <v>2</v>
      </c>
      <c r="AA35" s="39">
        <f t="shared" si="27"/>
        <v>1</v>
      </c>
      <c r="AB35" s="39">
        <f t="shared" si="27"/>
        <v>5</v>
      </c>
      <c r="AC35" s="39">
        <f t="shared" si="27"/>
        <v>5</v>
      </c>
      <c r="AD35" s="39">
        <f t="shared" si="27"/>
        <v>0</v>
      </c>
      <c r="AE35" s="40">
        <f t="shared" si="27"/>
        <v>32</v>
      </c>
      <c r="AF35" s="40">
        <f t="shared" si="27"/>
        <v>36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1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</v>
      </c>
      <c r="N36" s="50">
        <v>0</v>
      </c>
      <c r="O36" s="15">
        <f t="shared" si="0"/>
        <v>3</v>
      </c>
      <c r="P36" s="15">
        <f t="shared" si="1"/>
        <v>4</v>
      </c>
      <c r="R36" s="38" t="s">
        <v>92</v>
      </c>
      <c r="S36" s="39">
        <f t="shared" ref="S36:AF36" si="28">MAX(S19:S21)</f>
        <v>5</v>
      </c>
      <c r="T36" s="39">
        <f t="shared" si="28"/>
        <v>0</v>
      </c>
      <c r="U36" s="39">
        <f t="shared" si="28"/>
        <v>10</v>
      </c>
      <c r="V36" s="39">
        <f t="shared" si="28"/>
        <v>9</v>
      </c>
      <c r="W36" s="39">
        <f t="shared" si="28"/>
        <v>0</v>
      </c>
      <c r="X36" s="39">
        <f t="shared" si="28"/>
        <v>3</v>
      </c>
      <c r="Y36" s="39">
        <f t="shared" si="28"/>
        <v>12</v>
      </c>
      <c r="Z36" s="39">
        <f t="shared" si="28"/>
        <v>2</v>
      </c>
      <c r="AA36" s="39">
        <f t="shared" si="28"/>
        <v>0</v>
      </c>
      <c r="AB36" s="39">
        <f t="shared" si="28"/>
        <v>5</v>
      </c>
      <c r="AC36" s="39">
        <f t="shared" si="28"/>
        <v>1</v>
      </c>
      <c r="AD36" s="39">
        <f t="shared" si="28"/>
        <v>0</v>
      </c>
      <c r="AE36" s="40">
        <f t="shared" si="28"/>
        <v>42</v>
      </c>
      <c r="AF36" s="40">
        <f t="shared" si="28"/>
        <v>42</v>
      </c>
    </row>
    <row r="37" spans="2:32" ht="23.1" customHeight="1" x14ac:dyDescent="0.25">
      <c r="B37" s="45" t="s">
        <v>64</v>
      </c>
      <c r="C37" s="50">
        <v>1</v>
      </c>
      <c r="D37" s="50">
        <v>0</v>
      </c>
      <c r="E37" s="50">
        <v>0</v>
      </c>
      <c r="F37" s="50">
        <v>4</v>
      </c>
      <c r="G37" s="50">
        <v>0</v>
      </c>
      <c r="H37" s="50">
        <v>1</v>
      </c>
      <c r="I37" s="50">
        <v>0</v>
      </c>
      <c r="J37" s="50">
        <v>0</v>
      </c>
      <c r="K37" s="50">
        <v>0</v>
      </c>
      <c r="L37" s="50">
        <v>3</v>
      </c>
      <c r="M37" s="50">
        <v>0</v>
      </c>
      <c r="N37" s="50">
        <v>0</v>
      </c>
      <c r="O37" s="15">
        <f t="shared" si="0"/>
        <v>9</v>
      </c>
      <c r="P37" s="15">
        <f t="shared" si="1"/>
        <v>9</v>
      </c>
      <c r="R37" s="37" t="s">
        <v>85</v>
      </c>
      <c r="S37" s="35">
        <f t="shared" ref="S37:AF37" si="29">SUM(S10:S12)</f>
        <v>17</v>
      </c>
      <c r="T37" s="16">
        <f t="shared" si="29"/>
        <v>0</v>
      </c>
      <c r="U37" s="16">
        <f t="shared" si="29"/>
        <v>27</v>
      </c>
      <c r="V37" s="16">
        <f t="shared" si="29"/>
        <v>20</v>
      </c>
      <c r="W37" s="16">
        <f t="shared" si="29"/>
        <v>0</v>
      </c>
      <c r="X37" s="16">
        <f t="shared" si="29"/>
        <v>1</v>
      </c>
      <c r="Y37" s="16">
        <f t="shared" si="29"/>
        <v>7</v>
      </c>
      <c r="Z37" s="16">
        <f t="shared" si="29"/>
        <v>0</v>
      </c>
      <c r="AA37" s="16">
        <f t="shared" si="29"/>
        <v>0</v>
      </c>
      <c r="AB37" s="16">
        <f t="shared" si="29"/>
        <v>12</v>
      </c>
      <c r="AC37" s="16">
        <f t="shared" si="29"/>
        <v>6</v>
      </c>
      <c r="AD37" s="16">
        <f t="shared" si="29"/>
        <v>0</v>
      </c>
      <c r="AE37" s="32">
        <f t="shared" si="29"/>
        <v>84</v>
      </c>
      <c r="AF37" s="32">
        <f t="shared" si="29"/>
        <v>90</v>
      </c>
    </row>
    <row r="38" spans="2:32" ht="23.1" customHeight="1" x14ac:dyDescent="0.25">
      <c r="B38" s="46" t="s">
        <v>65</v>
      </c>
      <c r="C38" s="50">
        <v>4</v>
      </c>
      <c r="D38" s="50">
        <v>0</v>
      </c>
      <c r="E38" s="50">
        <v>4</v>
      </c>
      <c r="F38" s="50">
        <v>1</v>
      </c>
      <c r="G38" s="50">
        <v>0</v>
      </c>
      <c r="H38" s="50">
        <v>1</v>
      </c>
      <c r="I38" s="50">
        <v>1</v>
      </c>
      <c r="J38" s="50">
        <v>0</v>
      </c>
      <c r="K38" s="50">
        <v>0</v>
      </c>
      <c r="L38" s="50">
        <v>1</v>
      </c>
      <c r="M38" s="50">
        <v>0</v>
      </c>
      <c r="N38" s="50">
        <v>0</v>
      </c>
      <c r="O38" s="15">
        <f t="shared" si="0"/>
        <v>12</v>
      </c>
      <c r="P38" s="15">
        <f t="shared" si="1"/>
        <v>12</v>
      </c>
      <c r="R38" s="28" t="s">
        <v>86</v>
      </c>
      <c r="S38" s="16">
        <f t="shared" ref="S38:AF38" si="30">SUM(S13:S18)</f>
        <v>19</v>
      </c>
      <c r="T38" s="16">
        <f t="shared" si="30"/>
        <v>0</v>
      </c>
      <c r="U38" s="16">
        <f t="shared" si="30"/>
        <v>57</v>
      </c>
      <c r="V38" s="16">
        <f t="shared" si="30"/>
        <v>49</v>
      </c>
      <c r="W38" s="16">
        <f t="shared" si="30"/>
        <v>0</v>
      </c>
      <c r="X38" s="16">
        <f t="shared" si="30"/>
        <v>10</v>
      </c>
      <c r="Y38" s="16">
        <f t="shared" si="30"/>
        <v>16</v>
      </c>
      <c r="Z38" s="16">
        <f t="shared" si="30"/>
        <v>2</v>
      </c>
      <c r="AA38" s="16">
        <f t="shared" si="30"/>
        <v>1</v>
      </c>
      <c r="AB38" s="16">
        <f t="shared" si="30"/>
        <v>15</v>
      </c>
      <c r="AC38" s="16">
        <f t="shared" si="30"/>
        <v>10</v>
      </c>
      <c r="AD38" s="16">
        <f t="shared" si="30"/>
        <v>0</v>
      </c>
      <c r="AE38" s="32">
        <f t="shared" si="30"/>
        <v>169</v>
      </c>
      <c r="AF38" s="32">
        <f t="shared" si="30"/>
        <v>179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1</v>
      </c>
      <c r="F39" s="50">
        <v>4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0</v>
      </c>
      <c r="N39" s="50">
        <v>0</v>
      </c>
      <c r="O39" s="15">
        <f t="shared" si="0"/>
        <v>6</v>
      </c>
      <c r="P39" s="15">
        <f t="shared" si="1"/>
        <v>6</v>
      </c>
      <c r="R39" s="29" t="s">
        <v>87</v>
      </c>
      <c r="S39" s="16">
        <f t="shared" ref="S39:AF39" si="31">SUM(S19:S21)</f>
        <v>10</v>
      </c>
      <c r="T39" s="16">
        <f t="shared" si="31"/>
        <v>0</v>
      </c>
      <c r="U39" s="16">
        <f t="shared" si="31"/>
        <v>28</v>
      </c>
      <c r="V39" s="16">
        <f t="shared" si="31"/>
        <v>25</v>
      </c>
      <c r="W39" s="16">
        <f t="shared" si="31"/>
        <v>0</v>
      </c>
      <c r="X39" s="16">
        <f t="shared" si="31"/>
        <v>6</v>
      </c>
      <c r="Y39" s="16">
        <f t="shared" si="31"/>
        <v>16</v>
      </c>
      <c r="Z39" s="16">
        <f t="shared" si="31"/>
        <v>5</v>
      </c>
      <c r="AA39" s="16">
        <f t="shared" si="31"/>
        <v>0</v>
      </c>
      <c r="AB39" s="16">
        <f t="shared" si="31"/>
        <v>12</v>
      </c>
      <c r="AC39" s="16">
        <f t="shared" si="31"/>
        <v>1</v>
      </c>
      <c r="AD39" s="16">
        <f t="shared" si="31"/>
        <v>0</v>
      </c>
      <c r="AE39" s="32">
        <f t="shared" si="31"/>
        <v>102</v>
      </c>
      <c r="AF39" s="32">
        <f t="shared" si="31"/>
        <v>103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4</v>
      </c>
      <c r="F40" s="50">
        <v>2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</v>
      </c>
      <c r="N40" s="50">
        <v>0</v>
      </c>
      <c r="O40" s="15">
        <f t="shared" si="0"/>
        <v>7</v>
      </c>
      <c r="P40" s="15">
        <f t="shared" si="1"/>
        <v>8</v>
      </c>
      <c r="R40" s="5" t="s">
        <v>17</v>
      </c>
      <c r="S40" s="16">
        <f t="shared" ref="S40:AF40" si="32">SUM(S10:S21)</f>
        <v>46</v>
      </c>
      <c r="T40" s="16">
        <f t="shared" si="32"/>
        <v>0</v>
      </c>
      <c r="U40" s="16">
        <f t="shared" si="32"/>
        <v>112</v>
      </c>
      <c r="V40" s="16">
        <f t="shared" si="32"/>
        <v>94</v>
      </c>
      <c r="W40" s="16">
        <f t="shared" si="32"/>
        <v>0</v>
      </c>
      <c r="X40" s="16">
        <f t="shared" si="32"/>
        <v>17</v>
      </c>
      <c r="Y40" s="16">
        <f t="shared" si="32"/>
        <v>39</v>
      </c>
      <c r="Z40" s="16">
        <f t="shared" si="32"/>
        <v>7</v>
      </c>
      <c r="AA40" s="16">
        <f t="shared" si="32"/>
        <v>1</v>
      </c>
      <c r="AB40" s="16">
        <f t="shared" si="32"/>
        <v>39</v>
      </c>
      <c r="AC40" s="16">
        <f t="shared" si="32"/>
        <v>17</v>
      </c>
      <c r="AD40" s="16">
        <f t="shared" si="32"/>
        <v>0</v>
      </c>
      <c r="AE40" s="32">
        <f t="shared" si="32"/>
        <v>355</v>
      </c>
      <c r="AF40" s="32">
        <f t="shared" si="32"/>
        <v>372</v>
      </c>
    </row>
    <row r="41" spans="2:32" ht="23.1" customHeight="1" x14ac:dyDescent="0.25">
      <c r="B41" s="45" t="s">
        <v>68</v>
      </c>
      <c r="C41" s="50">
        <v>2</v>
      </c>
      <c r="D41" s="50">
        <v>0</v>
      </c>
      <c r="E41" s="50">
        <v>2</v>
      </c>
      <c r="F41" s="50">
        <v>1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1</v>
      </c>
      <c r="M41" s="50">
        <v>0</v>
      </c>
      <c r="N41" s="50">
        <v>0</v>
      </c>
      <c r="O41" s="15">
        <f t="shared" si="0"/>
        <v>7</v>
      </c>
      <c r="P41" s="15">
        <f t="shared" si="1"/>
        <v>7</v>
      </c>
      <c r="R41" s="5" t="s">
        <v>159</v>
      </c>
      <c r="S41" s="16">
        <f>SUM(S10:S33)</f>
        <v>65</v>
      </c>
      <c r="T41" s="16">
        <f t="shared" ref="T41:AF41" si="33">SUM(T10:T33)</f>
        <v>0</v>
      </c>
      <c r="U41" s="16">
        <f t="shared" si="33"/>
        <v>130</v>
      </c>
      <c r="V41" s="16">
        <f t="shared" si="33"/>
        <v>116</v>
      </c>
      <c r="W41" s="16">
        <f t="shared" si="33"/>
        <v>3</v>
      </c>
      <c r="X41" s="16">
        <f t="shared" si="33"/>
        <v>22</v>
      </c>
      <c r="Y41" s="16">
        <f t="shared" si="33"/>
        <v>111</v>
      </c>
      <c r="Z41" s="16">
        <f t="shared" si="33"/>
        <v>9</v>
      </c>
      <c r="AA41" s="16">
        <f t="shared" si="33"/>
        <v>2</v>
      </c>
      <c r="AB41" s="16">
        <f t="shared" si="33"/>
        <v>63</v>
      </c>
      <c r="AC41" s="16">
        <f t="shared" si="33"/>
        <v>44</v>
      </c>
      <c r="AD41" s="16">
        <f t="shared" si="33"/>
        <v>0</v>
      </c>
      <c r="AE41" s="32">
        <f t="shared" si="33"/>
        <v>521</v>
      </c>
      <c r="AF41" s="32">
        <f t="shared" si="33"/>
        <v>565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3</v>
      </c>
      <c r="F42" s="50">
        <v>2</v>
      </c>
      <c r="G42" s="50">
        <v>0</v>
      </c>
      <c r="H42" s="50">
        <v>1</v>
      </c>
      <c r="I42" s="50">
        <v>0</v>
      </c>
      <c r="J42" s="50">
        <v>0</v>
      </c>
      <c r="K42" s="50">
        <v>0</v>
      </c>
      <c r="L42" s="50">
        <v>3</v>
      </c>
      <c r="M42" s="50">
        <v>0</v>
      </c>
      <c r="N42" s="50">
        <v>0</v>
      </c>
      <c r="O42" s="15">
        <f t="shared" si="0"/>
        <v>9</v>
      </c>
      <c r="P42" s="15">
        <f t="shared" si="1"/>
        <v>9</v>
      </c>
      <c r="R42" s="5" t="s">
        <v>160</v>
      </c>
      <c r="S42" s="48">
        <f>S41/S40</f>
        <v>1.4130434782608696</v>
      </c>
      <c r="T42" s="48" t="e">
        <f t="shared" ref="T42:AF42" si="34">T41/T40</f>
        <v>#DIV/0!</v>
      </c>
      <c r="U42" s="48">
        <f t="shared" si="34"/>
        <v>1.1607142857142858</v>
      </c>
      <c r="V42" s="48">
        <f t="shared" si="34"/>
        <v>1.2340425531914894</v>
      </c>
      <c r="W42" s="48" t="e">
        <f t="shared" si="34"/>
        <v>#DIV/0!</v>
      </c>
      <c r="X42" s="48">
        <f t="shared" si="34"/>
        <v>1.2941176470588236</v>
      </c>
      <c r="Y42" s="48">
        <f t="shared" si="34"/>
        <v>2.8461538461538463</v>
      </c>
      <c r="Z42" s="48">
        <f t="shared" si="34"/>
        <v>1.2857142857142858</v>
      </c>
      <c r="AA42" s="48">
        <f t="shared" si="34"/>
        <v>2</v>
      </c>
      <c r="AB42" s="48">
        <f t="shared" si="34"/>
        <v>1.6153846153846154</v>
      </c>
      <c r="AC42" s="48">
        <f t="shared" si="34"/>
        <v>2.5882352941176472</v>
      </c>
      <c r="AD42" s="48" t="e">
        <f t="shared" si="34"/>
        <v>#DIV/0!</v>
      </c>
      <c r="AE42" s="48">
        <f t="shared" si="34"/>
        <v>1.4676056338028169</v>
      </c>
      <c r="AF42" s="48">
        <f t="shared" si="34"/>
        <v>1.5188172043010753</v>
      </c>
    </row>
    <row r="43" spans="2:32" ht="23.1" customHeight="1" x14ac:dyDescent="0.25">
      <c r="B43" s="45" t="s">
        <v>70</v>
      </c>
      <c r="C43" s="50">
        <v>2</v>
      </c>
      <c r="D43" s="50">
        <v>0</v>
      </c>
      <c r="E43" s="50">
        <v>2</v>
      </c>
      <c r="F43" s="50">
        <v>2</v>
      </c>
      <c r="G43" s="50">
        <v>0</v>
      </c>
      <c r="H43" s="50">
        <v>1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7</v>
      </c>
      <c r="P43" s="15">
        <f t="shared" si="1"/>
        <v>7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2</v>
      </c>
      <c r="F44" s="50">
        <v>3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5</v>
      </c>
      <c r="P44" s="15">
        <f t="shared" si="1"/>
        <v>5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4</v>
      </c>
      <c r="F45" s="50">
        <v>1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7</v>
      </c>
      <c r="P45" s="15">
        <f t="shared" si="1"/>
        <v>7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2</v>
      </c>
      <c r="F46" s="50">
        <v>3</v>
      </c>
      <c r="G46" s="50">
        <v>0</v>
      </c>
      <c r="H46" s="50">
        <v>1</v>
      </c>
      <c r="I46" s="50">
        <v>0</v>
      </c>
      <c r="J46" s="50">
        <v>0</v>
      </c>
      <c r="K46" s="50">
        <v>0</v>
      </c>
      <c r="L46" s="50">
        <v>1</v>
      </c>
      <c r="M46" s="50">
        <v>1</v>
      </c>
      <c r="N46" s="50">
        <v>0</v>
      </c>
      <c r="O46" s="15">
        <f t="shared" si="0"/>
        <v>7</v>
      </c>
      <c r="P46" s="15">
        <f t="shared" si="1"/>
        <v>8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3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0</v>
      </c>
      <c r="N47" s="50">
        <v>0</v>
      </c>
      <c r="O47" s="15">
        <f t="shared" si="0"/>
        <v>4</v>
      </c>
      <c r="P47" s="15">
        <f t="shared" si="1"/>
        <v>4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4</v>
      </c>
      <c r="F48" s="50">
        <v>2</v>
      </c>
      <c r="G48" s="50">
        <v>0</v>
      </c>
      <c r="H48" s="50">
        <v>1</v>
      </c>
      <c r="I48" s="50">
        <v>0</v>
      </c>
      <c r="J48" s="50">
        <v>0</v>
      </c>
      <c r="K48" s="50">
        <v>0</v>
      </c>
      <c r="L48" s="50">
        <v>1</v>
      </c>
      <c r="M48" s="50">
        <v>0</v>
      </c>
      <c r="N48" s="50">
        <v>0</v>
      </c>
      <c r="O48" s="15">
        <f t="shared" si="0"/>
        <v>8</v>
      </c>
      <c r="P48" s="15">
        <f t="shared" si="1"/>
        <v>8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0</v>
      </c>
      <c r="E49" s="50">
        <v>0</v>
      </c>
      <c r="F49" s="50">
        <v>3</v>
      </c>
      <c r="G49" s="50">
        <v>0</v>
      </c>
      <c r="H49" s="50">
        <v>0</v>
      </c>
      <c r="I49" s="50">
        <v>1</v>
      </c>
      <c r="J49" s="50">
        <v>2</v>
      </c>
      <c r="K49" s="50">
        <v>0</v>
      </c>
      <c r="L49" s="50">
        <v>2</v>
      </c>
      <c r="M49" s="50">
        <v>0</v>
      </c>
      <c r="N49" s="50">
        <v>0</v>
      </c>
      <c r="O49" s="15">
        <f t="shared" si="0"/>
        <v>9</v>
      </c>
      <c r="P49" s="15">
        <f t="shared" si="1"/>
        <v>9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2</v>
      </c>
      <c r="F50" s="50">
        <v>5</v>
      </c>
      <c r="G50" s="50">
        <v>0</v>
      </c>
      <c r="H50" s="50">
        <v>1</v>
      </c>
      <c r="I50" s="50">
        <v>2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10</v>
      </c>
      <c r="P50" s="15">
        <f t="shared" si="1"/>
        <v>10</v>
      </c>
      <c r="R50" s="8"/>
      <c r="T50"/>
    </row>
    <row r="51" spans="2:20" ht="23.1" customHeight="1" x14ac:dyDescent="0.25">
      <c r="B51" s="46" t="s">
        <v>78</v>
      </c>
      <c r="C51" s="50">
        <v>1</v>
      </c>
      <c r="D51" s="50">
        <v>0</v>
      </c>
      <c r="E51" s="50">
        <v>5</v>
      </c>
      <c r="F51" s="50">
        <v>2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0</v>
      </c>
      <c r="N51" s="50">
        <v>0</v>
      </c>
      <c r="O51" s="15">
        <f t="shared" si="0"/>
        <v>8</v>
      </c>
      <c r="P51" s="15">
        <f t="shared" si="1"/>
        <v>8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0</v>
      </c>
      <c r="E52" s="50">
        <v>2</v>
      </c>
      <c r="F52" s="50">
        <v>1</v>
      </c>
      <c r="G52" s="50">
        <v>0</v>
      </c>
      <c r="H52" s="50">
        <v>0</v>
      </c>
      <c r="I52" s="50">
        <v>0</v>
      </c>
      <c r="J52" s="50">
        <v>1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5</v>
      </c>
      <c r="P52" s="15">
        <f t="shared" si="1"/>
        <v>5</v>
      </c>
      <c r="R52" s="8"/>
      <c r="T52"/>
    </row>
    <row r="53" spans="2:20" ht="23.1" customHeight="1" x14ac:dyDescent="0.25">
      <c r="B53" s="45" t="s">
        <v>80</v>
      </c>
      <c r="C53" s="50">
        <v>2</v>
      </c>
      <c r="D53" s="50">
        <v>0</v>
      </c>
      <c r="E53" s="50">
        <v>1</v>
      </c>
      <c r="F53" s="50">
        <v>0</v>
      </c>
      <c r="G53" s="50">
        <v>0</v>
      </c>
      <c r="H53" s="50">
        <v>2</v>
      </c>
      <c r="I53" s="50">
        <v>1</v>
      </c>
      <c r="J53" s="50">
        <v>0</v>
      </c>
      <c r="K53" s="50">
        <v>0</v>
      </c>
      <c r="L53" s="50">
        <v>3</v>
      </c>
      <c r="M53" s="50">
        <v>0</v>
      </c>
      <c r="N53" s="50">
        <v>0</v>
      </c>
      <c r="O53" s="15">
        <f t="shared" si="0"/>
        <v>9</v>
      </c>
      <c r="P53" s="15">
        <f t="shared" si="1"/>
        <v>9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4</v>
      </c>
      <c r="F54" s="50">
        <v>2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1</v>
      </c>
      <c r="M54" s="50">
        <v>0</v>
      </c>
      <c r="N54" s="50">
        <v>0</v>
      </c>
      <c r="O54" s="15">
        <f t="shared" si="0"/>
        <v>9</v>
      </c>
      <c r="P54" s="15">
        <f t="shared" si="1"/>
        <v>9</v>
      </c>
      <c r="R54" s="8"/>
      <c r="T54"/>
    </row>
    <row r="55" spans="2:20" ht="23.1" customHeight="1" x14ac:dyDescent="0.25">
      <c r="B55" s="45" t="s">
        <v>82</v>
      </c>
      <c r="C55" s="50">
        <v>2</v>
      </c>
      <c r="D55" s="50">
        <v>0</v>
      </c>
      <c r="E55" s="50">
        <v>1</v>
      </c>
      <c r="F55" s="50">
        <v>1</v>
      </c>
      <c r="G55" s="50">
        <v>0</v>
      </c>
      <c r="H55" s="50">
        <v>1</v>
      </c>
      <c r="I55" s="50">
        <v>4</v>
      </c>
      <c r="J55" s="50">
        <v>0</v>
      </c>
      <c r="K55" s="50">
        <v>0</v>
      </c>
      <c r="L55" s="50">
        <v>1</v>
      </c>
      <c r="M55" s="50">
        <v>0</v>
      </c>
      <c r="N55" s="50">
        <v>0</v>
      </c>
      <c r="O55" s="15">
        <f t="shared" si="0"/>
        <v>10</v>
      </c>
      <c r="P55" s="15">
        <f t="shared" si="1"/>
        <v>10</v>
      </c>
      <c r="R55" s="8"/>
      <c r="T55"/>
    </row>
    <row r="56" spans="2:20" ht="23.1" customHeight="1" x14ac:dyDescent="0.25">
      <c r="B56" s="45" t="s">
        <v>83</v>
      </c>
      <c r="C56" s="50">
        <v>2</v>
      </c>
      <c r="D56" s="50">
        <v>0</v>
      </c>
      <c r="E56" s="50">
        <v>3</v>
      </c>
      <c r="F56" s="50">
        <v>2</v>
      </c>
      <c r="G56" s="50">
        <v>0</v>
      </c>
      <c r="H56" s="50">
        <v>0</v>
      </c>
      <c r="I56" s="50">
        <v>4</v>
      </c>
      <c r="J56" s="50">
        <v>1</v>
      </c>
      <c r="K56" s="50">
        <v>0</v>
      </c>
      <c r="L56" s="50">
        <v>0</v>
      </c>
      <c r="M56" s="50">
        <v>0</v>
      </c>
      <c r="N56" s="50">
        <v>0</v>
      </c>
      <c r="O56" s="15">
        <f t="shared" si="0"/>
        <v>12</v>
      </c>
      <c r="P56" s="15">
        <f t="shared" si="1"/>
        <v>12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1</v>
      </c>
      <c r="F57" s="50">
        <v>3</v>
      </c>
      <c r="G57" s="50">
        <v>0</v>
      </c>
      <c r="H57" s="50">
        <v>0</v>
      </c>
      <c r="I57" s="50">
        <v>3</v>
      </c>
      <c r="J57" s="50">
        <v>0</v>
      </c>
      <c r="K57" s="50">
        <v>0</v>
      </c>
      <c r="L57" s="50">
        <v>3</v>
      </c>
      <c r="M57" s="50">
        <v>0</v>
      </c>
      <c r="N57" s="50">
        <v>0</v>
      </c>
      <c r="O57" s="15">
        <f t="shared" si="0"/>
        <v>11</v>
      </c>
      <c r="P57" s="15">
        <f t="shared" si="1"/>
        <v>11</v>
      </c>
      <c r="R57" s="8"/>
      <c r="T57"/>
    </row>
    <row r="58" spans="2:20" ht="23.1" customHeight="1" x14ac:dyDescent="0.25">
      <c r="B58" s="45" t="s">
        <v>99</v>
      </c>
      <c r="C58" s="50">
        <v>3</v>
      </c>
      <c r="D58" s="50">
        <v>0</v>
      </c>
      <c r="E58" s="50">
        <v>1</v>
      </c>
      <c r="F58" s="50">
        <v>2</v>
      </c>
      <c r="G58" s="50">
        <v>0</v>
      </c>
      <c r="H58" s="50">
        <v>0</v>
      </c>
      <c r="I58" s="50">
        <v>3</v>
      </c>
      <c r="J58" s="50">
        <v>0</v>
      </c>
      <c r="K58" s="50">
        <v>0</v>
      </c>
      <c r="L58" s="50">
        <v>1</v>
      </c>
      <c r="M58" s="50">
        <v>5</v>
      </c>
      <c r="N58" s="50">
        <v>0</v>
      </c>
      <c r="O58" s="15">
        <f t="shared" si="0"/>
        <v>10</v>
      </c>
      <c r="P58" s="15">
        <f t="shared" si="1"/>
        <v>15</v>
      </c>
      <c r="R58" s="8"/>
      <c r="T58"/>
    </row>
    <row r="59" spans="2:20" ht="23.1" customHeight="1" x14ac:dyDescent="0.25">
      <c r="B59" s="45" t="s">
        <v>100</v>
      </c>
      <c r="C59" s="50">
        <v>2</v>
      </c>
      <c r="D59" s="50">
        <v>0</v>
      </c>
      <c r="E59" s="50">
        <v>3</v>
      </c>
      <c r="F59" s="50">
        <v>1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1</v>
      </c>
      <c r="N59" s="50">
        <v>0</v>
      </c>
      <c r="O59" s="15">
        <f t="shared" si="0"/>
        <v>7</v>
      </c>
      <c r="P59" s="15">
        <f t="shared" si="1"/>
        <v>8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1</v>
      </c>
      <c r="J60" s="50">
        <v>0</v>
      </c>
      <c r="K60" s="50">
        <v>0</v>
      </c>
      <c r="L60" s="50">
        <v>0</v>
      </c>
      <c r="M60" s="50">
        <v>2</v>
      </c>
      <c r="N60" s="50">
        <v>0</v>
      </c>
      <c r="O60" s="15">
        <f t="shared" si="0"/>
        <v>2</v>
      </c>
      <c r="P60" s="15">
        <f t="shared" si="1"/>
        <v>4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0</v>
      </c>
      <c r="E61" s="50">
        <v>1</v>
      </c>
      <c r="F61" s="50">
        <v>3</v>
      </c>
      <c r="G61" s="50">
        <v>0</v>
      </c>
      <c r="H61" s="50">
        <v>0</v>
      </c>
      <c r="I61" s="50">
        <v>1</v>
      </c>
      <c r="J61" s="50">
        <v>1</v>
      </c>
      <c r="K61" s="50">
        <v>0</v>
      </c>
      <c r="L61" s="50">
        <v>2</v>
      </c>
      <c r="M61" s="50">
        <v>3</v>
      </c>
      <c r="N61" s="50">
        <v>0</v>
      </c>
      <c r="O61" s="15">
        <f t="shared" si="0"/>
        <v>9</v>
      </c>
      <c r="P61" s="15">
        <f t="shared" si="1"/>
        <v>12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3</v>
      </c>
      <c r="F62" s="50">
        <v>1</v>
      </c>
      <c r="G62" s="50">
        <v>0</v>
      </c>
      <c r="H62" s="50">
        <v>2</v>
      </c>
      <c r="I62" s="50">
        <v>2</v>
      </c>
      <c r="J62" s="50">
        <v>1</v>
      </c>
      <c r="K62" s="50">
        <v>0</v>
      </c>
      <c r="L62" s="50">
        <v>0</v>
      </c>
      <c r="M62" s="50">
        <v>4</v>
      </c>
      <c r="N62" s="50">
        <v>0</v>
      </c>
      <c r="O62" s="15">
        <f t="shared" si="0"/>
        <v>9</v>
      </c>
      <c r="P62" s="15">
        <f t="shared" si="1"/>
        <v>13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2</v>
      </c>
      <c r="F63" s="50">
        <v>2</v>
      </c>
      <c r="G63" s="50">
        <v>0</v>
      </c>
      <c r="H63" s="50">
        <v>0</v>
      </c>
      <c r="I63" s="50">
        <v>2</v>
      </c>
      <c r="J63" s="50">
        <v>0</v>
      </c>
      <c r="K63" s="50">
        <v>0</v>
      </c>
      <c r="L63" s="50">
        <v>0</v>
      </c>
      <c r="M63" s="50">
        <v>2</v>
      </c>
      <c r="N63" s="50">
        <v>0</v>
      </c>
      <c r="O63" s="15">
        <f t="shared" si="0"/>
        <v>6</v>
      </c>
      <c r="P63" s="15">
        <f t="shared" si="1"/>
        <v>8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0</v>
      </c>
      <c r="E64" s="50">
        <v>1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1</v>
      </c>
      <c r="M64" s="50">
        <v>1</v>
      </c>
      <c r="N64" s="50">
        <v>0</v>
      </c>
      <c r="O64" s="15">
        <f t="shared" si="0"/>
        <v>3</v>
      </c>
      <c r="P64" s="15">
        <f t="shared" si="1"/>
        <v>4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3</v>
      </c>
      <c r="G65" s="50">
        <v>1</v>
      </c>
      <c r="H65" s="50">
        <v>0</v>
      </c>
      <c r="I65" s="50">
        <v>1</v>
      </c>
      <c r="J65" s="50">
        <v>0</v>
      </c>
      <c r="K65" s="50">
        <v>0</v>
      </c>
      <c r="L65" s="50">
        <v>1</v>
      </c>
      <c r="M65" s="50">
        <v>1</v>
      </c>
      <c r="N65" s="50">
        <v>0</v>
      </c>
      <c r="O65" s="15">
        <f t="shared" si="0"/>
        <v>6</v>
      </c>
      <c r="P65" s="15">
        <f t="shared" si="1"/>
        <v>7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2</v>
      </c>
      <c r="F66" s="50">
        <v>0</v>
      </c>
      <c r="G66" s="50">
        <v>0</v>
      </c>
      <c r="H66" s="50">
        <v>0</v>
      </c>
      <c r="I66" s="50">
        <v>4</v>
      </c>
      <c r="J66" s="50">
        <v>0</v>
      </c>
      <c r="K66" s="50">
        <v>0</v>
      </c>
      <c r="L66" s="50">
        <v>1</v>
      </c>
      <c r="M66" s="50">
        <v>1</v>
      </c>
      <c r="N66" s="50">
        <v>0</v>
      </c>
      <c r="O66" s="15">
        <f t="shared" si="0"/>
        <v>7</v>
      </c>
      <c r="P66" s="15">
        <f t="shared" si="1"/>
        <v>8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1</v>
      </c>
      <c r="J67" s="50">
        <v>0</v>
      </c>
      <c r="K67" s="50">
        <v>0</v>
      </c>
      <c r="L67" s="50">
        <v>0</v>
      </c>
      <c r="M67" s="50">
        <v>2</v>
      </c>
      <c r="N67" s="50">
        <v>0</v>
      </c>
      <c r="O67" s="15">
        <f t="shared" si="0"/>
        <v>1</v>
      </c>
      <c r="P67" s="15">
        <f t="shared" si="1"/>
        <v>3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1</v>
      </c>
      <c r="G68" s="50">
        <v>0</v>
      </c>
      <c r="H68" s="50">
        <v>0</v>
      </c>
      <c r="I68" s="50">
        <v>1</v>
      </c>
      <c r="J68" s="50">
        <v>0</v>
      </c>
      <c r="K68" s="50">
        <v>0</v>
      </c>
      <c r="L68" s="50">
        <v>1</v>
      </c>
      <c r="M68" s="50">
        <v>0</v>
      </c>
      <c r="N68" s="50">
        <v>0</v>
      </c>
      <c r="O68" s="15">
        <f t="shared" si="0"/>
        <v>3</v>
      </c>
      <c r="P68" s="15">
        <f t="shared" si="1"/>
        <v>3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2</v>
      </c>
      <c r="G69" s="50">
        <v>0</v>
      </c>
      <c r="H69" s="50">
        <v>0</v>
      </c>
      <c r="I69" s="50">
        <v>1</v>
      </c>
      <c r="J69" s="50">
        <v>0</v>
      </c>
      <c r="K69" s="50">
        <v>0</v>
      </c>
      <c r="L69" s="50">
        <v>1</v>
      </c>
      <c r="M69" s="50">
        <v>0</v>
      </c>
      <c r="N69" s="50">
        <v>0</v>
      </c>
      <c r="O69" s="15">
        <f t="shared" si="0"/>
        <v>4</v>
      </c>
      <c r="P69" s="15">
        <f t="shared" si="1"/>
        <v>4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3</v>
      </c>
      <c r="J70" s="50">
        <v>0</v>
      </c>
      <c r="K70" s="50">
        <v>0</v>
      </c>
      <c r="L70" s="50">
        <v>1</v>
      </c>
      <c r="M70" s="50">
        <v>2</v>
      </c>
      <c r="N70" s="50">
        <v>0</v>
      </c>
      <c r="O70" s="15">
        <f t="shared" si="0"/>
        <v>5</v>
      </c>
      <c r="P70" s="15">
        <f t="shared" si="1"/>
        <v>7</v>
      </c>
      <c r="R70" s="8"/>
      <c r="T70"/>
    </row>
    <row r="71" spans="2:20" ht="23.1" customHeight="1" x14ac:dyDescent="0.25">
      <c r="B71" s="45" t="s">
        <v>111</v>
      </c>
      <c r="C71" s="50">
        <v>2</v>
      </c>
      <c r="D71" s="50">
        <v>0</v>
      </c>
      <c r="E71" s="50">
        <v>0</v>
      </c>
      <c r="F71" s="50">
        <v>0</v>
      </c>
      <c r="G71" s="50">
        <v>0</v>
      </c>
      <c r="H71" s="50">
        <v>1</v>
      </c>
      <c r="I71" s="50">
        <v>2</v>
      </c>
      <c r="J71" s="50">
        <v>0</v>
      </c>
      <c r="K71" s="50">
        <v>1</v>
      </c>
      <c r="L71" s="50">
        <v>1</v>
      </c>
      <c r="M71" s="50">
        <v>0</v>
      </c>
      <c r="N71" s="50">
        <v>0</v>
      </c>
      <c r="O71" s="15">
        <f t="shared" si="0"/>
        <v>7</v>
      </c>
      <c r="P71" s="15">
        <f t="shared" si="1"/>
        <v>7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1</v>
      </c>
      <c r="F72" s="50">
        <v>1</v>
      </c>
      <c r="G72" s="50">
        <v>0</v>
      </c>
      <c r="H72" s="50">
        <v>0</v>
      </c>
      <c r="I72" s="50">
        <v>3</v>
      </c>
      <c r="J72" s="50">
        <v>0</v>
      </c>
      <c r="K72" s="50">
        <v>0</v>
      </c>
      <c r="L72" s="50">
        <v>0</v>
      </c>
      <c r="M72" s="50">
        <v>0</v>
      </c>
      <c r="N72" s="50">
        <v>0</v>
      </c>
      <c r="O72" s="15">
        <f t="shared" si="0"/>
        <v>5</v>
      </c>
      <c r="P72" s="15">
        <f t="shared" si="1"/>
        <v>5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0</v>
      </c>
      <c r="E73" s="50">
        <v>0</v>
      </c>
      <c r="F73" s="50">
        <v>2</v>
      </c>
      <c r="G73" s="50">
        <v>1</v>
      </c>
      <c r="H73" s="50">
        <v>0</v>
      </c>
      <c r="I73" s="50">
        <v>1</v>
      </c>
      <c r="J73" s="50">
        <v>0</v>
      </c>
      <c r="K73" s="50">
        <v>0</v>
      </c>
      <c r="L73" s="50">
        <v>1</v>
      </c>
      <c r="M73" s="50">
        <v>0</v>
      </c>
      <c r="N73" s="50">
        <v>0</v>
      </c>
      <c r="O73" s="15">
        <f t="shared" si="0"/>
        <v>6</v>
      </c>
      <c r="P73" s="15">
        <f t="shared" si="1"/>
        <v>6</v>
      </c>
      <c r="R73" s="8"/>
      <c r="T73"/>
    </row>
    <row r="74" spans="2:20" ht="23.1" customHeight="1" x14ac:dyDescent="0.25">
      <c r="B74" s="45" t="s">
        <v>114</v>
      </c>
      <c r="C74" s="50">
        <v>3</v>
      </c>
      <c r="D74" s="50">
        <v>0</v>
      </c>
      <c r="E74" s="50">
        <v>0</v>
      </c>
      <c r="F74" s="50">
        <v>0</v>
      </c>
      <c r="G74" s="50">
        <v>0</v>
      </c>
      <c r="H74" s="50">
        <v>1</v>
      </c>
      <c r="I74" s="50">
        <v>3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7</v>
      </c>
      <c r="P74" s="15">
        <f t="shared" ref="P74:P105" si="36">SUM(C74:N74)</f>
        <v>7</v>
      </c>
      <c r="R74" s="8"/>
      <c r="T74"/>
    </row>
    <row r="75" spans="2:20" ht="23.1" customHeight="1" x14ac:dyDescent="0.25">
      <c r="B75" s="45" t="s">
        <v>115</v>
      </c>
      <c r="C75" s="50">
        <v>2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3</v>
      </c>
      <c r="P75" s="15">
        <f t="shared" si="36"/>
        <v>3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1</v>
      </c>
      <c r="M77" s="50">
        <v>0</v>
      </c>
      <c r="N77" s="50">
        <v>0</v>
      </c>
      <c r="O77" s="15">
        <f t="shared" si="35"/>
        <v>2</v>
      </c>
      <c r="P77" s="15">
        <f t="shared" si="36"/>
        <v>2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1</v>
      </c>
      <c r="I78" s="50">
        <v>1</v>
      </c>
      <c r="J78" s="50">
        <v>0</v>
      </c>
      <c r="K78" s="50">
        <v>0</v>
      </c>
      <c r="L78" s="50">
        <v>1</v>
      </c>
      <c r="M78" s="50">
        <v>0</v>
      </c>
      <c r="N78" s="50">
        <v>0</v>
      </c>
      <c r="O78" s="15">
        <f t="shared" si="35"/>
        <v>3</v>
      </c>
      <c r="P78" s="15">
        <f t="shared" si="36"/>
        <v>3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1</v>
      </c>
      <c r="F79" s="50">
        <v>0</v>
      </c>
      <c r="G79" s="50">
        <v>0</v>
      </c>
      <c r="H79" s="50">
        <v>0</v>
      </c>
      <c r="I79" s="50">
        <v>2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3</v>
      </c>
      <c r="P79" s="15">
        <f t="shared" si="36"/>
        <v>3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1</v>
      </c>
      <c r="G80" s="50">
        <v>0</v>
      </c>
      <c r="H80" s="50">
        <v>0</v>
      </c>
      <c r="I80" s="50">
        <v>3</v>
      </c>
      <c r="J80" s="50">
        <v>0</v>
      </c>
      <c r="K80" s="50">
        <v>0</v>
      </c>
      <c r="L80" s="50">
        <v>1</v>
      </c>
      <c r="M80" s="50">
        <v>0</v>
      </c>
      <c r="N80" s="50">
        <v>0</v>
      </c>
      <c r="O80" s="15">
        <f t="shared" si="35"/>
        <v>5</v>
      </c>
      <c r="P80" s="15">
        <f t="shared" si="36"/>
        <v>5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4</v>
      </c>
      <c r="J81" s="50">
        <v>0</v>
      </c>
      <c r="K81" s="50">
        <v>0</v>
      </c>
      <c r="L81" s="50">
        <v>1</v>
      </c>
      <c r="M81" s="50">
        <v>0</v>
      </c>
      <c r="N81" s="50">
        <v>0</v>
      </c>
      <c r="O81" s="15">
        <f t="shared" si="35"/>
        <v>5</v>
      </c>
      <c r="P81" s="15">
        <f t="shared" si="36"/>
        <v>5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3</v>
      </c>
      <c r="J82" s="50">
        <v>0</v>
      </c>
      <c r="K82" s="50">
        <v>0</v>
      </c>
      <c r="L82" s="50">
        <v>1</v>
      </c>
      <c r="M82" s="50">
        <v>0</v>
      </c>
      <c r="N82" s="50">
        <v>0</v>
      </c>
      <c r="O82" s="15">
        <f t="shared" si="35"/>
        <v>4</v>
      </c>
      <c r="P82" s="15">
        <f t="shared" si="36"/>
        <v>4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3</v>
      </c>
      <c r="J84" s="50">
        <v>0</v>
      </c>
      <c r="K84" s="50">
        <v>0</v>
      </c>
      <c r="L84" s="50">
        <v>1</v>
      </c>
      <c r="M84" s="50">
        <v>0</v>
      </c>
      <c r="N84" s="50">
        <v>0</v>
      </c>
      <c r="O84" s="15">
        <f t="shared" si="35"/>
        <v>4</v>
      </c>
      <c r="P84" s="15">
        <f t="shared" si="36"/>
        <v>4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1</v>
      </c>
      <c r="F87" s="50">
        <v>0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2</v>
      </c>
      <c r="P87" s="15">
        <f t="shared" si="36"/>
        <v>2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1</v>
      </c>
      <c r="M88" s="50">
        <v>0</v>
      </c>
      <c r="N88" s="50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2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2</v>
      </c>
      <c r="P90" s="15">
        <f t="shared" si="36"/>
        <v>2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1</v>
      </c>
      <c r="G94" s="50">
        <v>1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3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2</v>
      </c>
      <c r="M96" s="50">
        <v>0</v>
      </c>
      <c r="N96" s="50">
        <v>0</v>
      </c>
      <c r="O96" s="15">
        <f t="shared" si="35"/>
        <v>3</v>
      </c>
      <c r="P96" s="15">
        <f t="shared" si="36"/>
        <v>3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1</v>
      </c>
      <c r="M97" s="50">
        <v>0</v>
      </c>
      <c r="N97" s="50">
        <v>0</v>
      </c>
      <c r="O97" s="15">
        <f t="shared" si="35"/>
        <v>2</v>
      </c>
      <c r="P97" s="15">
        <f t="shared" si="36"/>
        <v>2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1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2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2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2</v>
      </c>
      <c r="P99" s="15">
        <f t="shared" si="36"/>
        <v>2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1</v>
      </c>
      <c r="F100" s="50">
        <v>1</v>
      </c>
      <c r="G100" s="50">
        <v>0</v>
      </c>
      <c r="H100" s="50">
        <v>0</v>
      </c>
      <c r="I100" s="50">
        <v>4</v>
      </c>
      <c r="J100" s="50">
        <v>0</v>
      </c>
      <c r="K100" s="50">
        <v>0</v>
      </c>
      <c r="L100" s="50">
        <v>1</v>
      </c>
      <c r="M100" s="50">
        <v>0</v>
      </c>
      <c r="N100" s="50">
        <v>0</v>
      </c>
      <c r="O100" s="15">
        <f t="shared" si="35"/>
        <v>7</v>
      </c>
      <c r="P100" s="15">
        <f t="shared" si="36"/>
        <v>7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2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2</v>
      </c>
      <c r="P101" s="15">
        <f t="shared" si="36"/>
        <v>2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1</v>
      </c>
      <c r="J102" s="50">
        <v>0</v>
      </c>
      <c r="K102" s="50">
        <v>0</v>
      </c>
      <c r="L102" s="50">
        <v>1</v>
      </c>
      <c r="M102" s="50">
        <v>1</v>
      </c>
      <c r="N102" s="50">
        <v>0</v>
      </c>
      <c r="O102" s="15">
        <f t="shared" si="35"/>
        <v>3</v>
      </c>
      <c r="P102" s="15">
        <f t="shared" si="36"/>
        <v>4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1</v>
      </c>
      <c r="F103" s="50">
        <v>0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1</v>
      </c>
      <c r="M103" s="50">
        <v>1</v>
      </c>
      <c r="N103" s="50">
        <v>0</v>
      </c>
      <c r="O103" s="15">
        <f t="shared" si="35"/>
        <v>3</v>
      </c>
      <c r="P103" s="15">
        <f t="shared" si="36"/>
        <v>4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3</v>
      </c>
      <c r="J104" s="50">
        <v>0</v>
      </c>
      <c r="K104" s="50">
        <v>0</v>
      </c>
      <c r="L104" s="50">
        <v>0</v>
      </c>
      <c r="M104" s="50">
        <v>1</v>
      </c>
      <c r="N104" s="50">
        <v>0</v>
      </c>
      <c r="O104" s="15">
        <f t="shared" si="35"/>
        <v>3</v>
      </c>
      <c r="P104" s="15">
        <f t="shared" si="36"/>
        <v>4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2</v>
      </c>
      <c r="J105" s="50">
        <v>0</v>
      </c>
      <c r="K105" s="50">
        <v>0</v>
      </c>
      <c r="L105" s="50">
        <v>0</v>
      </c>
      <c r="M105" s="50">
        <v>0</v>
      </c>
      <c r="N105" s="50">
        <v>0</v>
      </c>
      <c r="O105" s="15">
        <f t="shared" si="35"/>
        <v>3</v>
      </c>
      <c r="P105" s="15">
        <f t="shared" si="36"/>
        <v>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65</v>
      </c>
      <c r="D106" s="16">
        <f t="shared" ref="D106:P106" si="37">SUM(D10:D105)</f>
        <v>0</v>
      </c>
      <c r="E106" s="16">
        <f t="shared" si="37"/>
        <v>130</v>
      </c>
      <c r="F106" s="16">
        <f t="shared" si="37"/>
        <v>116</v>
      </c>
      <c r="G106" s="16">
        <f t="shared" si="37"/>
        <v>3</v>
      </c>
      <c r="H106" s="16">
        <f t="shared" si="37"/>
        <v>22</v>
      </c>
      <c r="I106" s="16">
        <f t="shared" si="37"/>
        <v>111</v>
      </c>
      <c r="J106" s="16">
        <f t="shared" si="37"/>
        <v>9</v>
      </c>
      <c r="K106" s="16">
        <f t="shared" si="37"/>
        <v>2</v>
      </c>
      <c r="L106" s="16">
        <f t="shared" si="37"/>
        <v>63</v>
      </c>
      <c r="M106" s="16">
        <f t="shared" si="37"/>
        <v>44</v>
      </c>
      <c r="N106" s="16">
        <f t="shared" si="37"/>
        <v>0</v>
      </c>
      <c r="O106" s="16">
        <f t="shared" si="37"/>
        <v>521</v>
      </c>
      <c r="P106" s="16">
        <f t="shared" si="37"/>
        <v>565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0.11504424778761062</v>
      </c>
      <c r="D107" s="43">
        <f t="shared" si="38"/>
        <v>0</v>
      </c>
      <c r="E107" s="43">
        <f t="shared" si="38"/>
        <v>0.23008849557522124</v>
      </c>
      <c r="F107" s="43">
        <f t="shared" si="38"/>
        <v>0.20530973451327433</v>
      </c>
      <c r="G107" s="43">
        <f t="shared" si="38"/>
        <v>5.3097345132743362E-3</v>
      </c>
      <c r="H107" s="43">
        <f t="shared" si="38"/>
        <v>3.8938053097345132E-2</v>
      </c>
      <c r="I107" s="43">
        <f t="shared" si="38"/>
        <v>0.19646017699115045</v>
      </c>
      <c r="J107" s="43">
        <f t="shared" si="38"/>
        <v>1.5929203539823009E-2</v>
      </c>
      <c r="K107" s="43">
        <f t="shared" si="38"/>
        <v>3.5398230088495575E-3</v>
      </c>
      <c r="L107" s="43">
        <f t="shared" si="38"/>
        <v>0.11150442477876106</v>
      </c>
      <c r="M107" s="43">
        <f t="shared" si="38"/>
        <v>7.7876106194690264E-2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0.12476007677543186</v>
      </c>
      <c r="D108" s="44">
        <f t="shared" ref="D108:N108" si="39">D106/$O$106</f>
        <v>0</v>
      </c>
      <c r="E108" s="44">
        <f t="shared" si="39"/>
        <v>0.24952015355086371</v>
      </c>
      <c r="F108" s="44">
        <f t="shared" si="39"/>
        <v>0.22264875239923224</v>
      </c>
      <c r="G108" s="44">
        <f t="shared" si="39"/>
        <v>5.7581573896353169E-3</v>
      </c>
      <c r="H108" s="44">
        <f t="shared" si="39"/>
        <v>4.2226487523992322E-2</v>
      </c>
      <c r="I108" s="44">
        <f t="shared" si="39"/>
        <v>0.21305182341650672</v>
      </c>
      <c r="J108" s="44">
        <f t="shared" si="39"/>
        <v>1.7274472168905951E-2</v>
      </c>
      <c r="K108" s="44">
        <f t="shared" si="39"/>
        <v>3.838771593090211E-3</v>
      </c>
      <c r="L108" s="44">
        <f t="shared" si="39"/>
        <v>0.12092130518234165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40" zoomScale="60" workbookViewId="0">
      <selection activeCell="N10" sqref="N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KYENJOJO-FORTPORTAL'!C3:G3</f>
        <v>C4 - STN107-FORTPORTAL-KYENJONJO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'03.08 KYENJOJO-FORTPORTAL-24h'!D5</f>
        <v>03.08.19</v>
      </c>
      <c r="E5" s="3"/>
      <c r="F5" s="41" t="s">
        <v>1</v>
      </c>
      <c r="G5" s="63" t="str">
        <f>'03.08 KYENJOJO-FORTPORTAL-24h'!G5:H5</f>
        <v>xxx</v>
      </c>
      <c r="H5" s="64"/>
      <c r="I5" s="14"/>
      <c r="J5" s="2" t="s">
        <v>5</v>
      </c>
      <c r="K5" s="63" t="str">
        <f>'03.08 KYENJOJO-FORTPORTAL-24h'!K5:L5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FORTPORTAL-KYENJOJO'!D6:E6</f>
        <v>FORTPORTAL</v>
      </c>
      <c r="E6" s="64"/>
      <c r="F6" s="2" t="s">
        <v>2</v>
      </c>
      <c r="G6" s="63" t="str">
        <f>'29.07 FORTPORTAL-KYENJOJO'!G6:H6</f>
        <v>KYENJOJO</v>
      </c>
      <c r="H6" s="64"/>
      <c r="J6" s="2" t="s">
        <v>21</v>
      </c>
      <c r="K6" s="63" t="str">
        <f>'03.08 KYENJOJO-FORTPORTAL-24h'!K6:L6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2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3</v>
      </c>
      <c r="M10" s="50">
        <v>4</v>
      </c>
      <c r="N10" s="50">
        <v>0</v>
      </c>
      <c r="O10" s="15">
        <f t="shared" ref="O10:O73" si="0">SUM(C10:L10,N10)</f>
        <v>7</v>
      </c>
      <c r="P10" s="15">
        <f t="shared" ref="P10:P73" si="1">SUM(C10:N10)</f>
        <v>11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3</v>
      </c>
      <c r="W10" s="17">
        <f t="shared" si="2"/>
        <v>0</v>
      </c>
      <c r="X10" s="17">
        <f t="shared" si="2"/>
        <v>1</v>
      </c>
      <c r="Y10" s="17">
        <f t="shared" si="2"/>
        <v>5</v>
      </c>
      <c r="Z10" s="17">
        <f t="shared" si="2"/>
        <v>0</v>
      </c>
      <c r="AA10" s="17">
        <f t="shared" si="2"/>
        <v>1</v>
      </c>
      <c r="AB10" s="17">
        <f t="shared" si="2"/>
        <v>4</v>
      </c>
      <c r="AC10" s="17">
        <f t="shared" si="2"/>
        <v>5</v>
      </c>
      <c r="AD10" s="17">
        <f t="shared" si="2"/>
        <v>0</v>
      </c>
      <c r="AE10" s="31">
        <f t="shared" si="2"/>
        <v>15</v>
      </c>
      <c r="AF10" s="31">
        <f t="shared" si="2"/>
        <v>20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1</v>
      </c>
      <c r="L11" s="50">
        <v>0</v>
      </c>
      <c r="M11" s="50">
        <v>1</v>
      </c>
      <c r="N11" s="50">
        <v>0</v>
      </c>
      <c r="O11" s="15">
        <f t="shared" si="0"/>
        <v>3</v>
      </c>
      <c r="P11" s="15">
        <f t="shared" si="1"/>
        <v>4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2</v>
      </c>
      <c r="V11" s="17">
        <f t="shared" si="3"/>
        <v>6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1</v>
      </c>
      <c r="AB11" s="17">
        <f t="shared" si="3"/>
        <v>2</v>
      </c>
      <c r="AC11" s="17">
        <f t="shared" si="3"/>
        <v>1</v>
      </c>
      <c r="AD11" s="17">
        <f t="shared" si="3"/>
        <v>0</v>
      </c>
      <c r="AE11" s="31">
        <f t="shared" si="3"/>
        <v>15</v>
      </c>
      <c r="AF11" s="31">
        <f t="shared" si="3"/>
        <v>16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2</v>
      </c>
      <c r="P12" s="15">
        <f t="shared" si="1"/>
        <v>2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6</v>
      </c>
      <c r="V12" s="17">
        <f t="shared" si="4"/>
        <v>4</v>
      </c>
      <c r="W12" s="17">
        <f t="shared" si="4"/>
        <v>0</v>
      </c>
      <c r="X12" s="17">
        <f t="shared" si="4"/>
        <v>1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5</v>
      </c>
      <c r="AC12" s="17">
        <f t="shared" si="4"/>
        <v>0</v>
      </c>
      <c r="AD12" s="17">
        <f t="shared" si="4"/>
        <v>0</v>
      </c>
      <c r="AE12" s="31">
        <f t="shared" si="4"/>
        <v>18</v>
      </c>
      <c r="AF12" s="31">
        <f t="shared" si="4"/>
        <v>18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1</v>
      </c>
      <c r="I13" s="50">
        <v>1</v>
      </c>
      <c r="J13" s="50">
        <v>0</v>
      </c>
      <c r="K13" s="50">
        <v>0</v>
      </c>
      <c r="L13" s="50">
        <v>1</v>
      </c>
      <c r="M13" s="50">
        <v>0</v>
      </c>
      <c r="N13" s="50">
        <v>0</v>
      </c>
      <c r="O13" s="15">
        <f t="shared" si="0"/>
        <v>3</v>
      </c>
      <c r="P13" s="15">
        <f t="shared" si="1"/>
        <v>3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13</v>
      </c>
      <c r="V13" s="17">
        <f t="shared" si="5"/>
        <v>11</v>
      </c>
      <c r="W13" s="17">
        <f t="shared" si="5"/>
        <v>0</v>
      </c>
      <c r="X13" s="17">
        <f t="shared" si="5"/>
        <v>2</v>
      </c>
      <c r="Y13" s="17">
        <f t="shared" si="5"/>
        <v>3</v>
      </c>
      <c r="Z13" s="17">
        <f t="shared" si="5"/>
        <v>1</v>
      </c>
      <c r="AA13" s="17">
        <f t="shared" si="5"/>
        <v>0</v>
      </c>
      <c r="AB13" s="17">
        <f t="shared" si="5"/>
        <v>3</v>
      </c>
      <c r="AC13" s="17">
        <f t="shared" si="5"/>
        <v>1</v>
      </c>
      <c r="AD13" s="17">
        <f t="shared" si="5"/>
        <v>0</v>
      </c>
      <c r="AE13" s="31">
        <f t="shared" si="5"/>
        <v>34</v>
      </c>
      <c r="AF13" s="31">
        <f t="shared" si="5"/>
        <v>35</v>
      </c>
    </row>
    <row r="14" spans="2:32" ht="23.1" customHeight="1" x14ac:dyDescent="0.25">
      <c r="B14" s="45" t="s">
        <v>41</v>
      </c>
      <c r="C14" s="50">
        <v>2</v>
      </c>
      <c r="D14" s="50">
        <v>0</v>
      </c>
      <c r="E14" s="50">
        <v>2</v>
      </c>
      <c r="F14" s="50">
        <v>2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15">
        <f t="shared" si="0"/>
        <v>7</v>
      </c>
      <c r="P14" s="15">
        <f t="shared" si="1"/>
        <v>7</v>
      </c>
      <c r="R14" s="1" t="s">
        <v>10</v>
      </c>
      <c r="S14" s="17">
        <f t="shared" ref="S14:AF14" si="6">SUM(C26:C29)</f>
        <v>2</v>
      </c>
      <c r="T14" s="17">
        <f t="shared" si="6"/>
        <v>0</v>
      </c>
      <c r="U14" s="17">
        <f t="shared" si="6"/>
        <v>12</v>
      </c>
      <c r="V14" s="17">
        <f t="shared" si="6"/>
        <v>6</v>
      </c>
      <c r="W14" s="17">
        <f t="shared" si="6"/>
        <v>0</v>
      </c>
      <c r="X14" s="17">
        <f t="shared" si="6"/>
        <v>1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2</v>
      </c>
      <c r="AC14" s="17">
        <f t="shared" si="6"/>
        <v>3</v>
      </c>
      <c r="AD14" s="17">
        <f t="shared" si="6"/>
        <v>0</v>
      </c>
      <c r="AE14" s="31">
        <f t="shared" si="6"/>
        <v>27</v>
      </c>
      <c r="AF14" s="31">
        <f t="shared" si="6"/>
        <v>30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0</v>
      </c>
      <c r="F15" s="50">
        <v>3</v>
      </c>
      <c r="G15" s="50">
        <v>0</v>
      </c>
      <c r="H15" s="50">
        <v>0</v>
      </c>
      <c r="I15" s="50">
        <v>0</v>
      </c>
      <c r="J15" s="50">
        <v>0</v>
      </c>
      <c r="K15" s="50">
        <v>1</v>
      </c>
      <c r="L15" s="50">
        <v>0</v>
      </c>
      <c r="M15" s="50">
        <v>1</v>
      </c>
      <c r="N15" s="50">
        <v>0</v>
      </c>
      <c r="O15" s="15">
        <f t="shared" si="0"/>
        <v>5</v>
      </c>
      <c r="P15" s="15">
        <f t="shared" si="1"/>
        <v>6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7</v>
      </c>
      <c r="V15" s="17">
        <f t="shared" si="7"/>
        <v>14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2</v>
      </c>
      <c r="AA15" s="17">
        <f t="shared" si="7"/>
        <v>0</v>
      </c>
      <c r="AB15" s="17">
        <f t="shared" si="7"/>
        <v>1</v>
      </c>
      <c r="AC15" s="17">
        <f t="shared" si="7"/>
        <v>1</v>
      </c>
      <c r="AD15" s="17">
        <f t="shared" si="7"/>
        <v>0</v>
      </c>
      <c r="AE15" s="31">
        <f t="shared" si="7"/>
        <v>29</v>
      </c>
      <c r="AF15" s="31">
        <f t="shared" si="7"/>
        <v>30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2</v>
      </c>
      <c r="M16" s="50">
        <v>0</v>
      </c>
      <c r="N16" s="50">
        <v>0</v>
      </c>
      <c r="O16" s="15">
        <f t="shared" si="0"/>
        <v>3</v>
      </c>
      <c r="P16" s="15">
        <f t="shared" si="1"/>
        <v>3</v>
      </c>
      <c r="R16" s="1" t="s">
        <v>12</v>
      </c>
      <c r="S16" s="17">
        <f t="shared" ref="S16:AF16" si="8">SUM(C34:C37)</f>
        <v>7</v>
      </c>
      <c r="T16" s="17">
        <f t="shared" si="8"/>
        <v>0</v>
      </c>
      <c r="U16" s="17">
        <f t="shared" si="8"/>
        <v>8</v>
      </c>
      <c r="V16" s="17">
        <f t="shared" si="8"/>
        <v>10</v>
      </c>
      <c r="W16" s="17">
        <f t="shared" si="8"/>
        <v>0</v>
      </c>
      <c r="X16" s="17">
        <f t="shared" si="8"/>
        <v>3</v>
      </c>
      <c r="Y16" s="17">
        <f t="shared" si="8"/>
        <v>4</v>
      </c>
      <c r="Z16" s="17">
        <f t="shared" si="8"/>
        <v>0</v>
      </c>
      <c r="AA16" s="17">
        <f t="shared" si="8"/>
        <v>0</v>
      </c>
      <c r="AB16" s="17">
        <f t="shared" si="8"/>
        <v>1</v>
      </c>
      <c r="AC16" s="17">
        <f t="shared" si="8"/>
        <v>1</v>
      </c>
      <c r="AD16" s="17">
        <f t="shared" si="8"/>
        <v>0</v>
      </c>
      <c r="AE16" s="31">
        <f t="shared" si="8"/>
        <v>33</v>
      </c>
      <c r="AF16" s="31">
        <f t="shared" si="8"/>
        <v>34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0</v>
      </c>
      <c r="P17" s="15">
        <f t="shared" si="1"/>
        <v>0</v>
      </c>
      <c r="R17" s="1" t="s">
        <v>13</v>
      </c>
      <c r="S17" s="17">
        <f t="shared" ref="S17:AF17" si="9">SUM(C38:C41)</f>
        <v>5</v>
      </c>
      <c r="T17" s="17">
        <f t="shared" si="9"/>
        <v>0</v>
      </c>
      <c r="U17" s="17">
        <f t="shared" si="9"/>
        <v>4</v>
      </c>
      <c r="V17" s="17">
        <f t="shared" si="9"/>
        <v>7</v>
      </c>
      <c r="W17" s="17">
        <f t="shared" si="9"/>
        <v>0</v>
      </c>
      <c r="X17" s="17">
        <f t="shared" si="9"/>
        <v>2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4</v>
      </c>
      <c r="AC17" s="17">
        <f t="shared" si="9"/>
        <v>4</v>
      </c>
      <c r="AD17" s="17">
        <f t="shared" si="9"/>
        <v>0</v>
      </c>
      <c r="AE17" s="31">
        <f t="shared" si="9"/>
        <v>25</v>
      </c>
      <c r="AF17" s="31">
        <f t="shared" si="9"/>
        <v>29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2</v>
      </c>
      <c r="F18" s="50">
        <v>1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1</v>
      </c>
      <c r="M18" s="50">
        <v>0</v>
      </c>
      <c r="N18" s="50">
        <v>0</v>
      </c>
      <c r="O18" s="15">
        <f t="shared" si="0"/>
        <v>5</v>
      </c>
      <c r="P18" s="15">
        <f t="shared" si="1"/>
        <v>5</v>
      </c>
      <c r="R18" s="1" t="s">
        <v>14</v>
      </c>
      <c r="S18" s="17">
        <f t="shared" ref="S18:AF18" si="10">SUM(C42:C45)</f>
        <v>1</v>
      </c>
      <c r="T18" s="17">
        <f t="shared" si="10"/>
        <v>0</v>
      </c>
      <c r="U18" s="17">
        <f t="shared" si="10"/>
        <v>13</v>
      </c>
      <c r="V18" s="17">
        <f t="shared" si="10"/>
        <v>8</v>
      </c>
      <c r="W18" s="17">
        <f t="shared" si="10"/>
        <v>0</v>
      </c>
      <c r="X18" s="17">
        <f t="shared" si="10"/>
        <v>2</v>
      </c>
      <c r="Y18" s="17">
        <f t="shared" si="10"/>
        <v>2</v>
      </c>
      <c r="Z18" s="17">
        <f t="shared" si="10"/>
        <v>0</v>
      </c>
      <c r="AA18" s="17">
        <f t="shared" si="10"/>
        <v>0</v>
      </c>
      <c r="AB18" s="17">
        <f t="shared" si="10"/>
        <v>2</v>
      </c>
      <c r="AC18" s="17">
        <f t="shared" si="10"/>
        <v>1</v>
      </c>
      <c r="AD18" s="17">
        <f t="shared" si="10"/>
        <v>0</v>
      </c>
      <c r="AE18" s="31">
        <f t="shared" si="10"/>
        <v>28</v>
      </c>
      <c r="AF18" s="31">
        <f t="shared" si="10"/>
        <v>29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1</v>
      </c>
      <c r="F19" s="50">
        <v>1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3</v>
      </c>
      <c r="M19" s="50">
        <v>0</v>
      </c>
      <c r="N19" s="50">
        <v>0</v>
      </c>
      <c r="O19" s="15">
        <f t="shared" si="0"/>
        <v>6</v>
      </c>
      <c r="P19" s="15">
        <f t="shared" si="1"/>
        <v>6</v>
      </c>
      <c r="R19" s="1" t="s">
        <v>15</v>
      </c>
      <c r="S19" s="17">
        <f t="shared" ref="S19:AF19" si="11">SUM(C46:C49)</f>
        <v>3</v>
      </c>
      <c r="T19" s="17">
        <f t="shared" si="11"/>
        <v>0</v>
      </c>
      <c r="U19" s="17">
        <f t="shared" si="11"/>
        <v>9</v>
      </c>
      <c r="V19" s="17">
        <f t="shared" si="11"/>
        <v>6</v>
      </c>
      <c r="W19" s="17">
        <f t="shared" si="11"/>
        <v>0</v>
      </c>
      <c r="X19" s="17">
        <f t="shared" si="11"/>
        <v>3</v>
      </c>
      <c r="Y19" s="17">
        <f t="shared" si="11"/>
        <v>6</v>
      </c>
      <c r="Z19" s="17">
        <f t="shared" si="11"/>
        <v>0</v>
      </c>
      <c r="AA19" s="17">
        <f t="shared" si="11"/>
        <v>0</v>
      </c>
      <c r="AB19" s="17">
        <f t="shared" si="11"/>
        <v>5</v>
      </c>
      <c r="AC19" s="17">
        <f t="shared" si="11"/>
        <v>0</v>
      </c>
      <c r="AD19" s="17">
        <f t="shared" si="11"/>
        <v>0</v>
      </c>
      <c r="AE19" s="31">
        <f t="shared" si="11"/>
        <v>32</v>
      </c>
      <c r="AF19" s="31">
        <f t="shared" si="11"/>
        <v>32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2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3</v>
      </c>
      <c r="P20" s="15">
        <f t="shared" si="1"/>
        <v>3</v>
      </c>
      <c r="R20" s="1" t="s">
        <v>16</v>
      </c>
      <c r="S20" s="17">
        <f t="shared" ref="S20:AF20" si="12">SUM(C50:C53)</f>
        <v>1</v>
      </c>
      <c r="T20" s="17">
        <f t="shared" si="12"/>
        <v>0</v>
      </c>
      <c r="U20" s="17">
        <f t="shared" si="12"/>
        <v>8</v>
      </c>
      <c r="V20" s="17">
        <f t="shared" si="12"/>
        <v>9</v>
      </c>
      <c r="W20" s="17">
        <f t="shared" si="12"/>
        <v>1</v>
      </c>
      <c r="X20" s="17">
        <f t="shared" si="12"/>
        <v>3</v>
      </c>
      <c r="Y20" s="17">
        <f t="shared" si="12"/>
        <v>7</v>
      </c>
      <c r="Z20" s="17">
        <f t="shared" si="12"/>
        <v>0</v>
      </c>
      <c r="AA20" s="17">
        <f t="shared" si="12"/>
        <v>0</v>
      </c>
      <c r="AB20" s="17">
        <f t="shared" si="12"/>
        <v>4</v>
      </c>
      <c r="AC20" s="17">
        <f t="shared" si="12"/>
        <v>0</v>
      </c>
      <c r="AD20" s="17">
        <f t="shared" si="12"/>
        <v>0</v>
      </c>
      <c r="AE20" s="31">
        <f t="shared" si="12"/>
        <v>33</v>
      </c>
      <c r="AF20" s="31">
        <f t="shared" si="12"/>
        <v>33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1</v>
      </c>
      <c r="F21" s="50">
        <v>1</v>
      </c>
      <c r="G21" s="50">
        <v>0</v>
      </c>
      <c r="H21" s="50">
        <v>1</v>
      </c>
      <c r="I21" s="50">
        <v>0</v>
      </c>
      <c r="J21" s="50">
        <v>0</v>
      </c>
      <c r="K21" s="50">
        <v>0</v>
      </c>
      <c r="L21" s="50">
        <v>1</v>
      </c>
      <c r="M21" s="50">
        <v>0</v>
      </c>
      <c r="N21" s="50">
        <v>0</v>
      </c>
      <c r="O21" s="15">
        <f t="shared" si="0"/>
        <v>4</v>
      </c>
      <c r="P21" s="15">
        <f t="shared" si="1"/>
        <v>4</v>
      </c>
      <c r="R21" s="36" t="s">
        <v>20</v>
      </c>
      <c r="S21" s="34">
        <f t="shared" ref="S21:AF21" si="13">SUM(C54:C57)</f>
        <v>4</v>
      </c>
      <c r="T21" s="17">
        <f t="shared" si="13"/>
        <v>0</v>
      </c>
      <c r="U21" s="17">
        <f t="shared" si="13"/>
        <v>4</v>
      </c>
      <c r="V21" s="17">
        <f t="shared" si="13"/>
        <v>6</v>
      </c>
      <c r="W21" s="17">
        <f t="shared" si="13"/>
        <v>0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1</v>
      </c>
      <c r="AB21" s="17">
        <f t="shared" si="13"/>
        <v>4</v>
      </c>
      <c r="AC21" s="17">
        <f t="shared" si="13"/>
        <v>2</v>
      </c>
      <c r="AD21" s="17">
        <f t="shared" si="13"/>
        <v>0</v>
      </c>
      <c r="AE21" s="31">
        <f t="shared" si="13"/>
        <v>23</v>
      </c>
      <c r="AF21" s="31">
        <f t="shared" si="13"/>
        <v>25</v>
      </c>
    </row>
    <row r="22" spans="2:32" ht="23.1" customHeight="1" x14ac:dyDescent="0.25">
      <c r="B22" s="45" t="s">
        <v>49</v>
      </c>
      <c r="C22" s="50">
        <v>1</v>
      </c>
      <c r="D22" s="50">
        <v>0</v>
      </c>
      <c r="E22" s="50">
        <v>1</v>
      </c>
      <c r="F22" s="50">
        <v>5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15">
        <f t="shared" si="0"/>
        <v>8</v>
      </c>
      <c r="P22" s="15">
        <f t="shared" si="1"/>
        <v>8</v>
      </c>
      <c r="R22" s="36" t="s">
        <v>146</v>
      </c>
      <c r="S22" s="34">
        <f>SUM(C58:C61)</f>
        <v>4</v>
      </c>
      <c r="T22" s="34">
        <f t="shared" ref="T22:AF22" si="14">SUM(D58:D61)</f>
        <v>0</v>
      </c>
      <c r="U22" s="34">
        <f t="shared" si="14"/>
        <v>6</v>
      </c>
      <c r="V22" s="34">
        <f t="shared" si="14"/>
        <v>4</v>
      </c>
      <c r="W22" s="34">
        <f t="shared" si="14"/>
        <v>0</v>
      </c>
      <c r="X22" s="34">
        <f t="shared" si="14"/>
        <v>0</v>
      </c>
      <c r="Y22" s="34">
        <f t="shared" si="14"/>
        <v>5</v>
      </c>
      <c r="Z22" s="34">
        <f t="shared" si="14"/>
        <v>1</v>
      </c>
      <c r="AA22" s="34">
        <f t="shared" si="14"/>
        <v>0</v>
      </c>
      <c r="AB22" s="34">
        <f t="shared" si="14"/>
        <v>5</v>
      </c>
      <c r="AC22" s="34">
        <f t="shared" si="14"/>
        <v>2</v>
      </c>
      <c r="AD22" s="34">
        <f t="shared" si="14"/>
        <v>0</v>
      </c>
      <c r="AE22" s="31">
        <f t="shared" si="14"/>
        <v>25</v>
      </c>
      <c r="AF22" s="31">
        <f t="shared" si="14"/>
        <v>27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4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</v>
      </c>
      <c r="N23" s="50">
        <v>0</v>
      </c>
      <c r="O23" s="15">
        <f t="shared" si="0"/>
        <v>5</v>
      </c>
      <c r="P23" s="15">
        <f t="shared" si="1"/>
        <v>6</v>
      </c>
      <c r="R23" s="36" t="s">
        <v>147</v>
      </c>
      <c r="S23" s="34">
        <f>SUM(C62:C65)</f>
        <v>7</v>
      </c>
      <c r="T23" s="34">
        <f t="shared" ref="T23:AF23" si="15">SUM(D62:D65)</f>
        <v>0</v>
      </c>
      <c r="U23" s="34">
        <f t="shared" si="15"/>
        <v>4</v>
      </c>
      <c r="V23" s="34">
        <f t="shared" si="15"/>
        <v>2</v>
      </c>
      <c r="W23" s="34">
        <f t="shared" si="15"/>
        <v>1</v>
      </c>
      <c r="X23" s="34">
        <f t="shared" si="15"/>
        <v>2</v>
      </c>
      <c r="Y23" s="34">
        <f t="shared" si="15"/>
        <v>11</v>
      </c>
      <c r="Z23" s="34">
        <f t="shared" si="15"/>
        <v>0</v>
      </c>
      <c r="AA23" s="34">
        <f t="shared" si="15"/>
        <v>0</v>
      </c>
      <c r="AB23" s="34">
        <f t="shared" si="15"/>
        <v>1</v>
      </c>
      <c r="AC23" s="34">
        <f t="shared" si="15"/>
        <v>5</v>
      </c>
      <c r="AD23" s="34">
        <f t="shared" si="15"/>
        <v>0</v>
      </c>
      <c r="AE23" s="31">
        <f t="shared" si="15"/>
        <v>28</v>
      </c>
      <c r="AF23" s="31">
        <f t="shared" si="15"/>
        <v>33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6</v>
      </c>
      <c r="F24" s="50">
        <v>2</v>
      </c>
      <c r="G24" s="50">
        <v>0</v>
      </c>
      <c r="H24" s="50">
        <v>1</v>
      </c>
      <c r="I24" s="50">
        <v>0</v>
      </c>
      <c r="J24" s="50">
        <v>0</v>
      </c>
      <c r="K24" s="50">
        <v>0</v>
      </c>
      <c r="L24" s="50">
        <v>1</v>
      </c>
      <c r="M24" s="50">
        <v>0</v>
      </c>
      <c r="N24" s="50">
        <v>0</v>
      </c>
      <c r="O24" s="15">
        <f t="shared" si="0"/>
        <v>10</v>
      </c>
      <c r="P24" s="15">
        <f t="shared" si="1"/>
        <v>10</v>
      </c>
      <c r="R24" s="36" t="s">
        <v>148</v>
      </c>
      <c r="S24" s="34">
        <f>SUM(C66:C69)</f>
        <v>1</v>
      </c>
      <c r="T24" s="34">
        <f t="shared" ref="T24:AF24" si="16">SUM(D66:D69)</f>
        <v>0</v>
      </c>
      <c r="U24" s="34">
        <f t="shared" si="16"/>
        <v>6</v>
      </c>
      <c r="V24" s="34">
        <f t="shared" si="16"/>
        <v>0</v>
      </c>
      <c r="W24" s="34">
        <f t="shared" si="16"/>
        <v>0</v>
      </c>
      <c r="X24" s="34">
        <f t="shared" si="16"/>
        <v>1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2</v>
      </c>
      <c r="AC24" s="34">
        <f t="shared" si="16"/>
        <v>1</v>
      </c>
      <c r="AD24" s="34">
        <f t="shared" si="16"/>
        <v>0</v>
      </c>
      <c r="AE24" s="31">
        <f t="shared" si="16"/>
        <v>10</v>
      </c>
      <c r="AF24" s="31">
        <f t="shared" si="16"/>
        <v>11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2</v>
      </c>
      <c r="F25" s="50">
        <v>4</v>
      </c>
      <c r="G25" s="50">
        <v>0</v>
      </c>
      <c r="H25" s="50">
        <v>1</v>
      </c>
      <c r="I25" s="50">
        <v>1</v>
      </c>
      <c r="J25" s="50">
        <v>1</v>
      </c>
      <c r="K25" s="50">
        <v>0</v>
      </c>
      <c r="L25" s="50">
        <v>2</v>
      </c>
      <c r="M25" s="50">
        <v>0</v>
      </c>
      <c r="N25" s="50">
        <v>0</v>
      </c>
      <c r="O25" s="15">
        <f t="shared" si="0"/>
        <v>11</v>
      </c>
      <c r="P25" s="15">
        <f t="shared" si="1"/>
        <v>11</v>
      </c>
      <c r="R25" s="36" t="s">
        <v>149</v>
      </c>
      <c r="S25" s="34">
        <f>SUM(C70:C73)</f>
        <v>2</v>
      </c>
      <c r="T25" s="34">
        <f t="shared" ref="T25:AF25" si="17">SUM(D70:D73)</f>
        <v>0</v>
      </c>
      <c r="U25" s="34">
        <f t="shared" si="17"/>
        <v>3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4</v>
      </c>
      <c r="Z25" s="34">
        <f t="shared" si="17"/>
        <v>12</v>
      </c>
      <c r="AA25" s="34">
        <f t="shared" si="17"/>
        <v>0</v>
      </c>
      <c r="AB25" s="34">
        <f t="shared" si="17"/>
        <v>1</v>
      </c>
      <c r="AC25" s="34">
        <f t="shared" si="17"/>
        <v>3</v>
      </c>
      <c r="AD25" s="34">
        <f t="shared" si="17"/>
        <v>0</v>
      </c>
      <c r="AE25" s="31">
        <f t="shared" si="17"/>
        <v>23</v>
      </c>
      <c r="AF25" s="31">
        <f t="shared" si="17"/>
        <v>26</v>
      </c>
    </row>
    <row r="26" spans="2:32" ht="23.1" customHeight="1" x14ac:dyDescent="0.25">
      <c r="B26" s="45" t="s">
        <v>53</v>
      </c>
      <c r="C26" s="50">
        <v>1</v>
      </c>
      <c r="D26" s="50">
        <v>0</v>
      </c>
      <c r="E26" s="50">
        <v>6</v>
      </c>
      <c r="F26" s="50">
        <v>2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1</v>
      </c>
      <c r="M26" s="50">
        <v>2</v>
      </c>
      <c r="N26" s="50">
        <v>0</v>
      </c>
      <c r="O26" s="15">
        <f t="shared" si="0"/>
        <v>11</v>
      </c>
      <c r="P26" s="15">
        <f t="shared" si="1"/>
        <v>13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1</v>
      </c>
      <c r="Y26" s="34">
        <f t="shared" si="18"/>
        <v>4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0</v>
      </c>
      <c r="AD26" s="34">
        <f t="shared" si="18"/>
        <v>0</v>
      </c>
      <c r="AE26" s="31">
        <f t="shared" si="18"/>
        <v>5</v>
      </c>
      <c r="AF26" s="31">
        <f t="shared" si="18"/>
        <v>5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3</v>
      </c>
      <c r="F27" s="50">
        <v>2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</v>
      </c>
      <c r="N27" s="50">
        <v>0</v>
      </c>
      <c r="O27" s="15">
        <f t="shared" si="0"/>
        <v>5</v>
      </c>
      <c r="P27" s="15">
        <f t="shared" si="1"/>
        <v>6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6</v>
      </c>
      <c r="Z27" s="34">
        <f t="shared" si="19"/>
        <v>0</v>
      </c>
      <c r="AA27" s="34">
        <f t="shared" si="19"/>
        <v>0</v>
      </c>
      <c r="AB27" s="34">
        <f t="shared" si="19"/>
        <v>4</v>
      </c>
      <c r="AC27" s="34">
        <f t="shared" si="19"/>
        <v>0</v>
      </c>
      <c r="AD27" s="34">
        <f t="shared" si="19"/>
        <v>0</v>
      </c>
      <c r="AE27" s="31">
        <f t="shared" si="19"/>
        <v>11</v>
      </c>
      <c r="AF27" s="31">
        <f t="shared" si="19"/>
        <v>11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2</v>
      </c>
      <c r="F28" s="50">
        <v>1</v>
      </c>
      <c r="G28" s="50">
        <v>0</v>
      </c>
      <c r="H28" s="50">
        <v>1</v>
      </c>
      <c r="I28" s="50">
        <v>2</v>
      </c>
      <c r="J28" s="50">
        <v>0</v>
      </c>
      <c r="K28" s="50">
        <v>0</v>
      </c>
      <c r="L28" s="50">
        <v>1</v>
      </c>
      <c r="M28" s="50">
        <v>0</v>
      </c>
      <c r="N28" s="50">
        <v>0</v>
      </c>
      <c r="O28" s="15">
        <f t="shared" si="0"/>
        <v>7</v>
      </c>
      <c r="P28" s="15">
        <f t="shared" si="1"/>
        <v>7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5</v>
      </c>
      <c r="Z28" s="34">
        <f t="shared" si="20"/>
        <v>0</v>
      </c>
      <c r="AA28" s="34">
        <f t="shared" si="20"/>
        <v>0</v>
      </c>
      <c r="AB28" s="34">
        <f t="shared" si="20"/>
        <v>4</v>
      </c>
      <c r="AC28" s="34">
        <f t="shared" si="20"/>
        <v>0</v>
      </c>
      <c r="AD28" s="34">
        <f t="shared" si="20"/>
        <v>0</v>
      </c>
      <c r="AE28" s="31">
        <f t="shared" si="20"/>
        <v>9</v>
      </c>
      <c r="AF28" s="31">
        <f t="shared" si="20"/>
        <v>9</v>
      </c>
    </row>
    <row r="29" spans="2:32" ht="23.1" customHeight="1" x14ac:dyDescent="0.25">
      <c r="B29" s="45" t="s">
        <v>56</v>
      </c>
      <c r="C29" s="50">
        <v>1</v>
      </c>
      <c r="D29" s="50">
        <v>0</v>
      </c>
      <c r="E29" s="50">
        <v>1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4</v>
      </c>
      <c r="P29" s="15">
        <f t="shared" si="1"/>
        <v>4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3</v>
      </c>
      <c r="Z29" s="34">
        <f t="shared" si="21"/>
        <v>0</v>
      </c>
      <c r="AA29" s="34">
        <f t="shared" si="21"/>
        <v>0</v>
      </c>
      <c r="AB29" s="34">
        <f t="shared" si="21"/>
        <v>1</v>
      </c>
      <c r="AC29" s="34">
        <f t="shared" si="21"/>
        <v>0</v>
      </c>
      <c r="AD29" s="34">
        <f t="shared" si="21"/>
        <v>0</v>
      </c>
      <c r="AE29" s="31">
        <f t="shared" si="21"/>
        <v>4</v>
      </c>
      <c r="AF29" s="31">
        <f t="shared" si="21"/>
        <v>4</v>
      </c>
    </row>
    <row r="30" spans="2:32" ht="23.1" customHeight="1" x14ac:dyDescent="0.25">
      <c r="B30" s="45" t="s">
        <v>57</v>
      </c>
      <c r="C30" s="50">
        <v>1</v>
      </c>
      <c r="D30" s="50">
        <v>0</v>
      </c>
      <c r="E30" s="50">
        <v>2</v>
      </c>
      <c r="F30" s="50">
        <v>5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0</v>
      </c>
      <c r="N30" s="50">
        <v>0</v>
      </c>
      <c r="O30" s="15">
        <f t="shared" si="0"/>
        <v>9</v>
      </c>
      <c r="P30" s="15">
        <f t="shared" si="1"/>
        <v>9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2</v>
      </c>
      <c r="AC30" s="34">
        <f t="shared" si="22"/>
        <v>0</v>
      </c>
      <c r="AD30" s="34">
        <f t="shared" si="22"/>
        <v>0</v>
      </c>
      <c r="AE30" s="31">
        <f t="shared" si="22"/>
        <v>3</v>
      </c>
      <c r="AF30" s="31">
        <f t="shared" si="22"/>
        <v>3</v>
      </c>
    </row>
    <row r="31" spans="2:32" ht="23.1" customHeight="1" x14ac:dyDescent="0.25">
      <c r="B31" s="46" t="s">
        <v>58</v>
      </c>
      <c r="C31" s="50">
        <v>2</v>
      </c>
      <c r="D31" s="50">
        <v>0</v>
      </c>
      <c r="E31" s="50">
        <v>1</v>
      </c>
      <c r="F31" s="50">
        <v>2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1</v>
      </c>
      <c r="M31" s="50">
        <v>1</v>
      </c>
      <c r="N31" s="50">
        <v>0</v>
      </c>
      <c r="O31" s="15">
        <f t="shared" si="0"/>
        <v>7</v>
      </c>
      <c r="P31" s="15">
        <f t="shared" si="1"/>
        <v>8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3</v>
      </c>
      <c r="W31" s="34">
        <f t="shared" si="23"/>
        <v>0</v>
      </c>
      <c r="X31" s="34">
        <f t="shared" si="23"/>
        <v>0</v>
      </c>
      <c r="Y31" s="34">
        <f t="shared" si="23"/>
        <v>5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</v>
      </c>
      <c r="AD31" s="34">
        <f t="shared" si="23"/>
        <v>0</v>
      </c>
      <c r="AE31" s="31">
        <f t="shared" si="23"/>
        <v>9</v>
      </c>
      <c r="AF31" s="31">
        <f t="shared" si="23"/>
        <v>10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2</v>
      </c>
      <c r="F32" s="50">
        <v>4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6</v>
      </c>
      <c r="P32" s="15">
        <f t="shared" si="1"/>
        <v>6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0</v>
      </c>
      <c r="AA32" s="34">
        <f t="shared" si="24"/>
        <v>0</v>
      </c>
      <c r="AB32" s="34">
        <f t="shared" si="24"/>
        <v>4</v>
      </c>
      <c r="AC32" s="34">
        <f t="shared" si="24"/>
        <v>0</v>
      </c>
      <c r="AD32" s="34">
        <f t="shared" si="24"/>
        <v>0</v>
      </c>
      <c r="AE32" s="31">
        <f t="shared" si="24"/>
        <v>6</v>
      </c>
      <c r="AF32" s="31">
        <f t="shared" si="24"/>
        <v>6</v>
      </c>
    </row>
    <row r="33" spans="2:32" ht="23.1" customHeight="1" x14ac:dyDescent="0.25">
      <c r="B33" s="45" t="s">
        <v>60</v>
      </c>
      <c r="C33" s="50">
        <v>1</v>
      </c>
      <c r="D33" s="50">
        <v>0</v>
      </c>
      <c r="E33" s="50">
        <v>2</v>
      </c>
      <c r="F33" s="50">
        <v>3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0</v>
      </c>
      <c r="N33" s="50">
        <v>0</v>
      </c>
      <c r="O33" s="15">
        <f t="shared" si="0"/>
        <v>7</v>
      </c>
      <c r="P33" s="15">
        <f t="shared" si="1"/>
        <v>7</v>
      </c>
      <c r="R33" s="33" t="s">
        <v>157</v>
      </c>
      <c r="S33" s="34">
        <f>SUM(C102:C105)</f>
        <v>3</v>
      </c>
      <c r="T33" s="34">
        <f t="shared" ref="T33:AF33" si="25">SUM(D102:D105)</f>
        <v>0</v>
      </c>
      <c r="U33" s="34">
        <f t="shared" si="25"/>
        <v>6</v>
      </c>
      <c r="V33" s="34">
        <f t="shared" si="25"/>
        <v>1</v>
      </c>
      <c r="W33" s="34">
        <f t="shared" si="25"/>
        <v>0</v>
      </c>
      <c r="X33" s="34">
        <f t="shared" si="25"/>
        <v>0</v>
      </c>
      <c r="Y33" s="34">
        <f t="shared" si="25"/>
        <v>1</v>
      </c>
      <c r="Z33" s="34">
        <f t="shared" si="25"/>
        <v>0</v>
      </c>
      <c r="AA33" s="34">
        <f t="shared" si="25"/>
        <v>0</v>
      </c>
      <c r="AB33" s="34">
        <f t="shared" si="25"/>
        <v>1</v>
      </c>
      <c r="AC33" s="34">
        <f t="shared" si="25"/>
        <v>3</v>
      </c>
      <c r="AD33" s="34">
        <f t="shared" si="25"/>
        <v>0</v>
      </c>
      <c r="AE33" s="31">
        <f t="shared" si="25"/>
        <v>12</v>
      </c>
      <c r="AF33" s="31">
        <f t="shared" si="25"/>
        <v>15</v>
      </c>
    </row>
    <row r="34" spans="2:32" ht="23.1" customHeight="1" x14ac:dyDescent="0.25">
      <c r="B34" s="46" t="s">
        <v>61</v>
      </c>
      <c r="C34" s="50">
        <v>2</v>
      </c>
      <c r="D34" s="50">
        <v>0</v>
      </c>
      <c r="E34" s="50">
        <v>1</v>
      </c>
      <c r="F34" s="50">
        <v>3</v>
      </c>
      <c r="G34" s="50">
        <v>0</v>
      </c>
      <c r="H34" s="50">
        <v>2</v>
      </c>
      <c r="I34" s="50">
        <v>2</v>
      </c>
      <c r="J34" s="50">
        <v>0</v>
      </c>
      <c r="K34" s="50">
        <v>0</v>
      </c>
      <c r="L34" s="50">
        <v>1</v>
      </c>
      <c r="M34" s="50">
        <v>0</v>
      </c>
      <c r="N34" s="50">
        <v>0</v>
      </c>
      <c r="O34" s="15">
        <f t="shared" si="0"/>
        <v>11</v>
      </c>
      <c r="P34" s="15">
        <f t="shared" si="1"/>
        <v>11</v>
      </c>
      <c r="R34" s="38" t="s">
        <v>90</v>
      </c>
      <c r="S34" s="39">
        <f t="shared" ref="S34:AF34" si="26">MAX(S10:S12)</f>
        <v>3</v>
      </c>
      <c r="T34" s="39">
        <f t="shared" si="26"/>
        <v>0</v>
      </c>
      <c r="U34" s="39">
        <f t="shared" si="26"/>
        <v>6</v>
      </c>
      <c r="V34" s="39">
        <f t="shared" si="26"/>
        <v>6</v>
      </c>
      <c r="W34" s="39">
        <f t="shared" si="26"/>
        <v>0</v>
      </c>
      <c r="X34" s="39">
        <f t="shared" si="26"/>
        <v>1</v>
      </c>
      <c r="Y34" s="39">
        <f t="shared" si="26"/>
        <v>5</v>
      </c>
      <c r="Z34" s="39">
        <f t="shared" si="26"/>
        <v>0</v>
      </c>
      <c r="AA34" s="39">
        <f t="shared" si="26"/>
        <v>1</v>
      </c>
      <c r="AB34" s="39">
        <f t="shared" si="26"/>
        <v>5</v>
      </c>
      <c r="AC34" s="39">
        <f t="shared" si="26"/>
        <v>5</v>
      </c>
      <c r="AD34" s="39">
        <f t="shared" si="26"/>
        <v>0</v>
      </c>
      <c r="AE34" s="40">
        <f t="shared" si="26"/>
        <v>18</v>
      </c>
      <c r="AF34" s="40">
        <f t="shared" si="26"/>
        <v>20</v>
      </c>
    </row>
    <row r="35" spans="2:32" ht="23.1" customHeight="1" x14ac:dyDescent="0.25">
      <c r="B35" s="46" t="s">
        <v>62</v>
      </c>
      <c r="C35" s="50">
        <v>2</v>
      </c>
      <c r="D35" s="50">
        <v>0</v>
      </c>
      <c r="E35" s="50">
        <v>4</v>
      </c>
      <c r="F35" s="50">
        <v>3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10</v>
      </c>
      <c r="P35" s="15">
        <f t="shared" si="1"/>
        <v>10</v>
      </c>
      <c r="R35" s="38" t="s">
        <v>91</v>
      </c>
      <c r="S35" s="39">
        <f t="shared" ref="S35:AF35" si="27">MAX(S13:S18)</f>
        <v>7</v>
      </c>
      <c r="T35" s="39">
        <f t="shared" si="27"/>
        <v>0</v>
      </c>
      <c r="U35" s="39">
        <f t="shared" si="27"/>
        <v>13</v>
      </c>
      <c r="V35" s="39">
        <f t="shared" si="27"/>
        <v>14</v>
      </c>
      <c r="W35" s="39">
        <f t="shared" si="27"/>
        <v>0</v>
      </c>
      <c r="X35" s="39">
        <f t="shared" si="27"/>
        <v>3</v>
      </c>
      <c r="Y35" s="39">
        <f t="shared" si="27"/>
        <v>4</v>
      </c>
      <c r="Z35" s="39">
        <f t="shared" si="27"/>
        <v>2</v>
      </c>
      <c r="AA35" s="39">
        <f t="shared" si="27"/>
        <v>0</v>
      </c>
      <c r="AB35" s="39">
        <f t="shared" si="27"/>
        <v>4</v>
      </c>
      <c r="AC35" s="39">
        <f t="shared" si="27"/>
        <v>4</v>
      </c>
      <c r="AD35" s="39">
        <f t="shared" si="27"/>
        <v>0</v>
      </c>
      <c r="AE35" s="40">
        <f t="shared" si="27"/>
        <v>34</v>
      </c>
      <c r="AF35" s="40">
        <f t="shared" si="27"/>
        <v>35</v>
      </c>
    </row>
    <row r="36" spans="2:32" ht="23.1" customHeight="1" x14ac:dyDescent="0.25">
      <c r="B36" s="46" t="s">
        <v>63</v>
      </c>
      <c r="C36" s="50">
        <v>2</v>
      </c>
      <c r="D36" s="50">
        <v>0</v>
      </c>
      <c r="E36" s="50">
        <v>2</v>
      </c>
      <c r="F36" s="50">
        <v>2</v>
      </c>
      <c r="G36" s="50">
        <v>0</v>
      </c>
      <c r="H36" s="50">
        <v>1</v>
      </c>
      <c r="I36" s="50">
        <v>1</v>
      </c>
      <c r="J36" s="50">
        <v>0</v>
      </c>
      <c r="K36" s="50">
        <v>0</v>
      </c>
      <c r="L36" s="50">
        <v>0</v>
      </c>
      <c r="M36" s="50">
        <v>1</v>
      </c>
      <c r="N36" s="50">
        <v>0</v>
      </c>
      <c r="O36" s="15">
        <f t="shared" si="0"/>
        <v>8</v>
      </c>
      <c r="P36" s="15">
        <f t="shared" si="1"/>
        <v>9</v>
      </c>
      <c r="R36" s="38" t="s">
        <v>92</v>
      </c>
      <c r="S36" s="39">
        <f t="shared" ref="S36:AF36" si="28">MAX(S19:S21)</f>
        <v>4</v>
      </c>
      <c r="T36" s="39">
        <f t="shared" si="28"/>
        <v>0</v>
      </c>
      <c r="U36" s="39">
        <f t="shared" si="28"/>
        <v>9</v>
      </c>
      <c r="V36" s="39">
        <f t="shared" si="28"/>
        <v>9</v>
      </c>
      <c r="W36" s="39">
        <f t="shared" si="28"/>
        <v>1</v>
      </c>
      <c r="X36" s="39">
        <f t="shared" si="28"/>
        <v>3</v>
      </c>
      <c r="Y36" s="39">
        <f t="shared" si="28"/>
        <v>7</v>
      </c>
      <c r="Z36" s="39">
        <f t="shared" si="28"/>
        <v>0</v>
      </c>
      <c r="AA36" s="39">
        <f t="shared" si="28"/>
        <v>1</v>
      </c>
      <c r="AB36" s="39">
        <f t="shared" si="28"/>
        <v>5</v>
      </c>
      <c r="AC36" s="39">
        <f t="shared" si="28"/>
        <v>2</v>
      </c>
      <c r="AD36" s="39">
        <f t="shared" si="28"/>
        <v>0</v>
      </c>
      <c r="AE36" s="40">
        <f t="shared" si="28"/>
        <v>33</v>
      </c>
      <c r="AF36" s="40">
        <f t="shared" si="28"/>
        <v>33</v>
      </c>
    </row>
    <row r="37" spans="2:32" ht="23.1" customHeight="1" x14ac:dyDescent="0.25">
      <c r="B37" s="45" t="s">
        <v>64</v>
      </c>
      <c r="C37" s="50">
        <v>1</v>
      </c>
      <c r="D37" s="50">
        <v>0</v>
      </c>
      <c r="E37" s="50">
        <v>1</v>
      </c>
      <c r="F37" s="50">
        <v>2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4</v>
      </c>
      <c r="P37" s="15">
        <f t="shared" si="1"/>
        <v>4</v>
      </c>
      <c r="R37" s="37" t="s">
        <v>85</v>
      </c>
      <c r="S37" s="35">
        <f t="shared" ref="S37:AF37" si="29">SUM(S10:S12)</f>
        <v>4</v>
      </c>
      <c r="T37" s="16">
        <f t="shared" si="29"/>
        <v>0</v>
      </c>
      <c r="U37" s="16">
        <f t="shared" si="29"/>
        <v>8</v>
      </c>
      <c r="V37" s="16">
        <f t="shared" si="29"/>
        <v>13</v>
      </c>
      <c r="W37" s="16">
        <f t="shared" si="29"/>
        <v>0</v>
      </c>
      <c r="X37" s="16">
        <f t="shared" si="29"/>
        <v>2</v>
      </c>
      <c r="Y37" s="16">
        <f t="shared" si="29"/>
        <v>8</v>
      </c>
      <c r="Z37" s="16">
        <f t="shared" si="29"/>
        <v>0</v>
      </c>
      <c r="AA37" s="16">
        <f t="shared" si="29"/>
        <v>2</v>
      </c>
      <c r="AB37" s="16">
        <f t="shared" si="29"/>
        <v>11</v>
      </c>
      <c r="AC37" s="16">
        <f t="shared" si="29"/>
        <v>6</v>
      </c>
      <c r="AD37" s="16">
        <f t="shared" si="29"/>
        <v>0</v>
      </c>
      <c r="AE37" s="32">
        <f t="shared" si="29"/>
        <v>48</v>
      </c>
      <c r="AF37" s="32">
        <f t="shared" si="29"/>
        <v>54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2</v>
      </c>
      <c r="F38" s="50">
        <v>0</v>
      </c>
      <c r="G38" s="50">
        <v>0</v>
      </c>
      <c r="H38" s="50">
        <v>1</v>
      </c>
      <c r="I38" s="50">
        <v>2</v>
      </c>
      <c r="J38" s="50">
        <v>0</v>
      </c>
      <c r="K38" s="50">
        <v>0</v>
      </c>
      <c r="L38" s="50">
        <v>0</v>
      </c>
      <c r="M38" s="50">
        <v>0</v>
      </c>
      <c r="N38" s="50">
        <v>0</v>
      </c>
      <c r="O38" s="15">
        <f t="shared" si="0"/>
        <v>6</v>
      </c>
      <c r="P38" s="15">
        <f t="shared" si="1"/>
        <v>6</v>
      </c>
      <c r="R38" s="28" t="s">
        <v>86</v>
      </c>
      <c r="S38" s="16">
        <f t="shared" ref="S38:AF38" si="30">SUM(S13:S18)</f>
        <v>20</v>
      </c>
      <c r="T38" s="16">
        <f t="shared" si="30"/>
        <v>0</v>
      </c>
      <c r="U38" s="16">
        <f t="shared" si="30"/>
        <v>57</v>
      </c>
      <c r="V38" s="16">
        <f t="shared" si="30"/>
        <v>56</v>
      </c>
      <c r="W38" s="16">
        <f t="shared" si="30"/>
        <v>0</v>
      </c>
      <c r="X38" s="16">
        <f t="shared" si="30"/>
        <v>10</v>
      </c>
      <c r="Y38" s="16">
        <f t="shared" si="30"/>
        <v>17</v>
      </c>
      <c r="Z38" s="16">
        <f t="shared" si="30"/>
        <v>3</v>
      </c>
      <c r="AA38" s="16">
        <f t="shared" si="30"/>
        <v>0</v>
      </c>
      <c r="AB38" s="16">
        <f t="shared" si="30"/>
        <v>13</v>
      </c>
      <c r="AC38" s="16">
        <f t="shared" si="30"/>
        <v>11</v>
      </c>
      <c r="AD38" s="16">
        <f t="shared" si="30"/>
        <v>0</v>
      </c>
      <c r="AE38" s="32">
        <f t="shared" si="30"/>
        <v>176</v>
      </c>
      <c r="AF38" s="32">
        <f t="shared" si="30"/>
        <v>187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0</v>
      </c>
      <c r="F39" s="50">
        <v>2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3</v>
      </c>
      <c r="M39" s="50">
        <v>1</v>
      </c>
      <c r="N39" s="50">
        <v>0</v>
      </c>
      <c r="O39" s="15">
        <f t="shared" si="0"/>
        <v>5</v>
      </c>
      <c r="P39" s="15">
        <f t="shared" si="1"/>
        <v>6</v>
      </c>
      <c r="R39" s="29" t="s">
        <v>87</v>
      </c>
      <c r="S39" s="16">
        <f t="shared" ref="S39:AF39" si="31">SUM(S19:S21)</f>
        <v>8</v>
      </c>
      <c r="T39" s="16">
        <f t="shared" si="31"/>
        <v>0</v>
      </c>
      <c r="U39" s="16">
        <f t="shared" si="31"/>
        <v>21</v>
      </c>
      <c r="V39" s="16">
        <f t="shared" si="31"/>
        <v>21</v>
      </c>
      <c r="W39" s="16">
        <f t="shared" si="31"/>
        <v>1</v>
      </c>
      <c r="X39" s="16">
        <f t="shared" si="31"/>
        <v>6</v>
      </c>
      <c r="Y39" s="16">
        <f t="shared" si="31"/>
        <v>17</v>
      </c>
      <c r="Z39" s="16">
        <f t="shared" si="31"/>
        <v>0</v>
      </c>
      <c r="AA39" s="16">
        <f t="shared" si="31"/>
        <v>1</v>
      </c>
      <c r="AB39" s="16">
        <f t="shared" si="31"/>
        <v>13</v>
      </c>
      <c r="AC39" s="16">
        <f t="shared" si="31"/>
        <v>2</v>
      </c>
      <c r="AD39" s="16">
        <f t="shared" si="31"/>
        <v>0</v>
      </c>
      <c r="AE39" s="32">
        <f t="shared" si="31"/>
        <v>88</v>
      </c>
      <c r="AF39" s="32">
        <f t="shared" si="31"/>
        <v>90</v>
      </c>
    </row>
    <row r="40" spans="2:32" ht="23.1" customHeight="1" x14ac:dyDescent="0.25">
      <c r="B40" s="46" t="s">
        <v>67</v>
      </c>
      <c r="C40" s="50">
        <v>3</v>
      </c>
      <c r="D40" s="50">
        <v>0</v>
      </c>
      <c r="E40" s="50">
        <v>0</v>
      </c>
      <c r="F40" s="50">
        <v>2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</v>
      </c>
      <c r="N40" s="50">
        <v>0</v>
      </c>
      <c r="O40" s="15">
        <f t="shared" si="0"/>
        <v>6</v>
      </c>
      <c r="P40" s="15">
        <f t="shared" si="1"/>
        <v>7</v>
      </c>
      <c r="R40" s="5" t="s">
        <v>17</v>
      </c>
      <c r="S40" s="16">
        <f t="shared" ref="S40:AF40" si="32">SUM(S10:S21)</f>
        <v>32</v>
      </c>
      <c r="T40" s="16">
        <f t="shared" si="32"/>
        <v>0</v>
      </c>
      <c r="U40" s="16">
        <f t="shared" si="32"/>
        <v>86</v>
      </c>
      <c r="V40" s="16">
        <f t="shared" si="32"/>
        <v>90</v>
      </c>
      <c r="W40" s="16">
        <f t="shared" si="32"/>
        <v>1</v>
      </c>
      <c r="X40" s="16">
        <f t="shared" si="32"/>
        <v>18</v>
      </c>
      <c r="Y40" s="16">
        <f t="shared" si="32"/>
        <v>42</v>
      </c>
      <c r="Z40" s="16">
        <f t="shared" si="32"/>
        <v>3</v>
      </c>
      <c r="AA40" s="16">
        <f t="shared" si="32"/>
        <v>3</v>
      </c>
      <c r="AB40" s="16">
        <f t="shared" si="32"/>
        <v>37</v>
      </c>
      <c r="AC40" s="16">
        <f t="shared" si="32"/>
        <v>19</v>
      </c>
      <c r="AD40" s="16">
        <f t="shared" si="32"/>
        <v>0</v>
      </c>
      <c r="AE40" s="32">
        <f t="shared" si="32"/>
        <v>312</v>
      </c>
      <c r="AF40" s="32">
        <f t="shared" si="32"/>
        <v>331</v>
      </c>
    </row>
    <row r="41" spans="2:32" ht="23.1" customHeight="1" x14ac:dyDescent="0.25">
      <c r="B41" s="45" t="s">
        <v>68</v>
      </c>
      <c r="C41" s="50">
        <v>1</v>
      </c>
      <c r="D41" s="50">
        <v>0</v>
      </c>
      <c r="E41" s="50">
        <v>2</v>
      </c>
      <c r="F41" s="50">
        <v>3</v>
      </c>
      <c r="G41" s="50">
        <v>0</v>
      </c>
      <c r="H41" s="50">
        <v>1</v>
      </c>
      <c r="I41" s="50">
        <v>0</v>
      </c>
      <c r="J41" s="50">
        <v>0</v>
      </c>
      <c r="K41" s="50">
        <v>0</v>
      </c>
      <c r="L41" s="50">
        <v>1</v>
      </c>
      <c r="M41" s="50">
        <v>2</v>
      </c>
      <c r="N41" s="50">
        <v>0</v>
      </c>
      <c r="O41" s="15">
        <f t="shared" si="0"/>
        <v>8</v>
      </c>
      <c r="P41" s="15">
        <f t="shared" si="1"/>
        <v>10</v>
      </c>
      <c r="R41" s="5" t="s">
        <v>159</v>
      </c>
      <c r="S41" s="16">
        <f>SUM(S10:S33)</f>
        <v>50</v>
      </c>
      <c r="T41" s="16">
        <f t="shared" ref="T41:AF41" si="33">SUM(T10:T33)</f>
        <v>0</v>
      </c>
      <c r="U41" s="16">
        <f t="shared" si="33"/>
        <v>112</v>
      </c>
      <c r="V41" s="16">
        <f t="shared" si="33"/>
        <v>102</v>
      </c>
      <c r="W41" s="16">
        <f t="shared" si="33"/>
        <v>2</v>
      </c>
      <c r="X41" s="16">
        <f t="shared" si="33"/>
        <v>22</v>
      </c>
      <c r="Y41" s="16">
        <f t="shared" si="33"/>
        <v>88</v>
      </c>
      <c r="Z41" s="16">
        <f t="shared" si="33"/>
        <v>16</v>
      </c>
      <c r="AA41" s="16">
        <f t="shared" si="33"/>
        <v>3</v>
      </c>
      <c r="AB41" s="16">
        <f t="shared" si="33"/>
        <v>62</v>
      </c>
      <c r="AC41" s="16">
        <f t="shared" si="33"/>
        <v>34</v>
      </c>
      <c r="AD41" s="16">
        <f t="shared" si="33"/>
        <v>0</v>
      </c>
      <c r="AE41" s="32">
        <f t="shared" si="33"/>
        <v>457</v>
      </c>
      <c r="AF41" s="32">
        <f t="shared" si="33"/>
        <v>491</v>
      </c>
    </row>
    <row r="42" spans="2:32" ht="23.1" customHeight="1" x14ac:dyDescent="0.25">
      <c r="B42" s="46" t="s">
        <v>69</v>
      </c>
      <c r="C42" s="50">
        <v>1</v>
      </c>
      <c r="D42" s="50">
        <v>0</v>
      </c>
      <c r="E42" s="50">
        <v>2</v>
      </c>
      <c r="F42" s="50">
        <v>4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8</v>
      </c>
      <c r="P42" s="15">
        <f t="shared" si="1"/>
        <v>8</v>
      </c>
      <c r="R42" s="5" t="s">
        <v>160</v>
      </c>
      <c r="S42" s="48">
        <f>S41/S40</f>
        <v>1.5625</v>
      </c>
      <c r="T42" s="48" t="e">
        <f t="shared" ref="T42:AF42" si="34">T41/T40</f>
        <v>#DIV/0!</v>
      </c>
      <c r="U42" s="48">
        <f t="shared" si="34"/>
        <v>1.3023255813953489</v>
      </c>
      <c r="V42" s="48">
        <f t="shared" si="34"/>
        <v>1.1333333333333333</v>
      </c>
      <c r="W42" s="48">
        <f t="shared" si="34"/>
        <v>2</v>
      </c>
      <c r="X42" s="48">
        <f t="shared" si="34"/>
        <v>1.2222222222222223</v>
      </c>
      <c r="Y42" s="48">
        <f t="shared" si="34"/>
        <v>2.0952380952380953</v>
      </c>
      <c r="Z42" s="48">
        <f t="shared" si="34"/>
        <v>5.333333333333333</v>
      </c>
      <c r="AA42" s="48">
        <f t="shared" si="34"/>
        <v>1</v>
      </c>
      <c r="AB42" s="48">
        <f t="shared" si="34"/>
        <v>1.6756756756756757</v>
      </c>
      <c r="AC42" s="48">
        <f t="shared" si="34"/>
        <v>1.7894736842105263</v>
      </c>
      <c r="AD42" s="48" t="e">
        <f t="shared" si="34"/>
        <v>#DIV/0!</v>
      </c>
      <c r="AE42" s="48">
        <f t="shared" si="34"/>
        <v>1.4647435897435896</v>
      </c>
      <c r="AF42" s="48">
        <f t="shared" si="34"/>
        <v>1.4833836858006042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2</v>
      </c>
      <c r="F43" s="50">
        <v>1</v>
      </c>
      <c r="G43" s="50">
        <v>0</v>
      </c>
      <c r="H43" s="50">
        <v>2</v>
      </c>
      <c r="I43" s="50">
        <v>0</v>
      </c>
      <c r="J43" s="50">
        <v>0</v>
      </c>
      <c r="K43" s="50">
        <v>0</v>
      </c>
      <c r="L43" s="50">
        <v>1</v>
      </c>
      <c r="M43" s="50">
        <v>0</v>
      </c>
      <c r="N43" s="50">
        <v>0</v>
      </c>
      <c r="O43" s="15">
        <f t="shared" si="0"/>
        <v>6</v>
      </c>
      <c r="P43" s="15">
        <f t="shared" si="1"/>
        <v>6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7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1</v>
      </c>
      <c r="M44" s="50">
        <v>1</v>
      </c>
      <c r="N44" s="50">
        <v>0</v>
      </c>
      <c r="O44" s="15">
        <f t="shared" si="0"/>
        <v>9</v>
      </c>
      <c r="P44" s="15">
        <f t="shared" si="1"/>
        <v>10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2</v>
      </c>
      <c r="F45" s="50">
        <v>2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5</v>
      </c>
      <c r="P45" s="15">
        <f t="shared" si="1"/>
        <v>5</v>
      </c>
    </row>
    <row r="46" spans="2:32" ht="23.1" customHeight="1" x14ac:dyDescent="0.25">
      <c r="B46" s="46" t="s">
        <v>73</v>
      </c>
      <c r="C46" s="50">
        <v>2</v>
      </c>
      <c r="D46" s="50">
        <v>0</v>
      </c>
      <c r="E46" s="50">
        <v>3</v>
      </c>
      <c r="F46" s="50">
        <v>1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2</v>
      </c>
      <c r="M46" s="50">
        <v>0</v>
      </c>
      <c r="N46" s="50">
        <v>0</v>
      </c>
      <c r="O46" s="15">
        <f t="shared" si="0"/>
        <v>9</v>
      </c>
      <c r="P46" s="15">
        <f t="shared" si="1"/>
        <v>9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2</v>
      </c>
      <c r="F47" s="50">
        <v>2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0</v>
      </c>
      <c r="N47" s="50">
        <v>0</v>
      </c>
      <c r="O47" s="15">
        <f t="shared" si="0"/>
        <v>6</v>
      </c>
      <c r="P47" s="15">
        <f t="shared" si="1"/>
        <v>6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2</v>
      </c>
      <c r="F48" s="50">
        <v>2</v>
      </c>
      <c r="G48" s="50">
        <v>0</v>
      </c>
      <c r="H48" s="50">
        <v>2</v>
      </c>
      <c r="I48" s="50">
        <v>2</v>
      </c>
      <c r="J48" s="50">
        <v>0</v>
      </c>
      <c r="K48" s="50">
        <v>0</v>
      </c>
      <c r="L48" s="50">
        <v>2</v>
      </c>
      <c r="M48" s="50">
        <v>0</v>
      </c>
      <c r="N48" s="50">
        <v>0</v>
      </c>
      <c r="O48" s="15">
        <f t="shared" si="0"/>
        <v>10</v>
      </c>
      <c r="P48" s="15">
        <f t="shared" si="1"/>
        <v>10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2</v>
      </c>
      <c r="F49" s="50">
        <v>1</v>
      </c>
      <c r="G49" s="50">
        <v>0</v>
      </c>
      <c r="H49" s="50">
        <v>1</v>
      </c>
      <c r="I49" s="50">
        <v>2</v>
      </c>
      <c r="J49" s="50">
        <v>0</v>
      </c>
      <c r="K49" s="50">
        <v>0</v>
      </c>
      <c r="L49" s="50">
        <v>1</v>
      </c>
      <c r="M49" s="50">
        <v>0</v>
      </c>
      <c r="N49" s="50">
        <v>0</v>
      </c>
      <c r="O49" s="15">
        <f t="shared" si="0"/>
        <v>7</v>
      </c>
      <c r="P49" s="15">
        <f t="shared" si="1"/>
        <v>7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0</v>
      </c>
      <c r="E50" s="50">
        <v>2</v>
      </c>
      <c r="F50" s="50">
        <v>4</v>
      </c>
      <c r="G50" s="50">
        <v>1</v>
      </c>
      <c r="H50" s="50">
        <v>0</v>
      </c>
      <c r="I50" s="50">
        <v>2</v>
      </c>
      <c r="J50" s="50">
        <v>0</v>
      </c>
      <c r="K50" s="50">
        <v>0</v>
      </c>
      <c r="L50" s="50">
        <v>2</v>
      </c>
      <c r="M50" s="50">
        <v>0</v>
      </c>
      <c r="N50" s="50">
        <v>0</v>
      </c>
      <c r="O50" s="15">
        <f t="shared" si="0"/>
        <v>12</v>
      </c>
      <c r="P50" s="15">
        <f t="shared" si="1"/>
        <v>12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2</v>
      </c>
      <c r="F51" s="50">
        <v>1</v>
      </c>
      <c r="G51" s="50">
        <v>0</v>
      </c>
      <c r="H51" s="50">
        <v>1</v>
      </c>
      <c r="I51" s="50">
        <v>1</v>
      </c>
      <c r="J51" s="50">
        <v>0</v>
      </c>
      <c r="K51" s="50">
        <v>0</v>
      </c>
      <c r="L51" s="50">
        <v>1</v>
      </c>
      <c r="M51" s="50">
        <v>0</v>
      </c>
      <c r="N51" s="50">
        <v>0</v>
      </c>
      <c r="O51" s="15">
        <f t="shared" si="0"/>
        <v>6</v>
      </c>
      <c r="P51" s="15">
        <f t="shared" si="1"/>
        <v>6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3</v>
      </c>
      <c r="F52" s="50">
        <v>1</v>
      </c>
      <c r="G52" s="50">
        <v>0</v>
      </c>
      <c r="H52" s="50">
        <v>2</v>
      </c>
      <c r="I52" s="50">
        <v>2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8</v>
      </c>
      <c r="P52" s="15">
        <f t="shared" si="1"/>
        <v>8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1</v>
      </c>
      <c r="F53" s="50">
        <v>3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1</v>
      </c>
      <c r="M53" s="50">
        <v>0</v>
      </c>
      <c r="N53" s="50">
        <v>0</v>
      </c>
      <c r="O53" s="15">
        <f t="shared" si="0"/>
        <v>7</v>
      </c>
      <c r="P53" s="15">
        <f t="shared" si="1"/>
        <v>7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</v>
      </c>
      <c r="N54" s="50">
        <v>0</v>
      </c>
      <c r="O54" s="15">
        <f t="shared" si="0"/>
        <v>1</v>
      </c>
      <c r="P54" s="15">
        <f t="shared" si="1"/>
        <v>3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0</v>
      </c>
      <c r="E55" s="50">
        <v>0</v>
      </c>
      <c r="F55" s="50">
        <v>3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2</v>
      </c>
      <c r="M55" s="50">
        <v>0</v>
      </c>
      <c r="N55" s="50">
        <v>0</v>
      </c>
      <c r="O55" s="15">
        <f t="shared" si="0"/>
        <v>7</v>
      </c>
      <c r="P55" s="15">
        <f t="shared" si="1"/>
        <v>7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2</v>
      </c>
      <c r="F56" s="50">
        <v>0</v>
      </c>
      <c r="G56" s="50">
        <v>0</v>
      </c>
      <c r="H56" s="50">
        <v>0</v>
      </c>
      <c r="I56" s="50">
        <v>2</v>
      </c>
      <c r="J56" s="50">
        <v>0</v>
      </c>
      <c r="K56" s="50">
        <v>1</v>
      </c>
      <c r="L56" s="50">
        <v>1</v>
      </c>
      <c r="M56" s="50">
        <v>0</v>
      </c>
      <c r="N56" s="50">
        <v>0</v>
      </c>
      <c r="O56" s="15">
        <f t="shared" si="0"/>
        <v>7</v>
      </c>
      <c r="P56" s="15">
        <f t="shared" si="1"/>
        <v>7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2</v>
      </c>
      <c r="F57" s="50">
        <v>3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1</v>
      </c>
      <c r="M57" s="50">
        <v>0</v>
      </c>
      <c r="N57" s="50">
        <v>0</v>
      </c>
      <c r="O57" s="15">
        <f t="shared" si="0"/>
        <v>8</v>
      </c>
      <c r="P57" s="15">
        <f t="shared" si="1"/>
        <v>8</v>
      </c>
      <c r="R57" s="8"/>
      <c r="T57"/>
    </row>
    <row r="58" spans="2:20" ht="23.1" customHeight="1" x14ac:dyDescent="0.25">
      <c r="B58" s="45" t="s">
        <v>99</v>
      </c>
      <c r="C58" s="50">
        <v>2</v>
      </c>
      <c r="D58" s="50">
        <v>0</v>
      </c>
      <c r="E58" s="50">
        <v>1</v>
      </c>
      <c r="F58" s="50">
        <v>1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1</v>
      </c>
      <c r="M58" s="50">
        <v>0</v>
      </c>
      <c r="N58" s="50">
        <v>0</v>
      </c>
      <c r="O58" s="15">
        <f t="shared" si="0"/>
        <v>6</v>
      </c>
      <c r="P58" s="15">
        <f t="shared" si="1"/>
        <v>6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2</v>
      </c>
      <c r="M59" s="50">
        <v>0</v>
      </c>
      <c r="N59" s="50">
        <v>0</v>
      </c>
      <c r="O59" s="15">
        <f t="shared" si="0"/>
        <v>3</v>
      </c>
      <c r="P59" s="15">
        <f t="shared" si="1"/>
        <v>3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3</v>
      </c>
      <c r="F60" s="50">
        <v>1</v>
      </c>
      <c r="G60" s="50">
        <v>0</v>
      </c>
      <c r="H60" s="50">
        <v>0</v>
      </c>
      <c r="I60" s="50">
        <v>2</v>
      </c>
      <c r="J60" s="50">
        <v>0</v>
      </c>
      <c r="K60" s="50">
        <v>0</v>
      </c>
      <c r="L60" s="50">
        <v>0</v>
      </c>
      <c r="M60" s="50">
        <v>0</v>
      </c>
      <c r="N60" s="50">
        <v>0</v>
      </c>
      <c r="O60" s="15">
        <f t="shared" si="0"/>
        <v>6</v>
      </c>
      <c r="P60" s="15">
        <f t="shared" si="1"/>
        <v>6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0</v>
      </c>
      <c r="E61" s="50">
        <v>2</v>
      </c>
      <c r="F61" s="50">
        <v>2</v>
      </c>
      <c r="G61" s="50">
        <v>0</v>
      </c>
      <c r="H61" s="50">
        <v>0</v>
      </c>
      <c r="I61" s="50">
        <v>2</v>
      </c>
      <c r="J61" s="50">
        <v>1</v>
      </c>
      <c r="K61" s="50">
        <v>0</v>
      </c>
      <c r="L61" s="50">
        <v>2</v>
      </c>
      <c r="M61" s="50">
        <v>2</v>
      </c>
      <c r="N61" s="50">
        <v>0</v>
      </c>
      <c r="O61" s="15">
        <f t="shared" si="0"/>
        <v>10</v>
      </c>
      <c r="P61" s="15">
        <f t="shared" si="1"/>
        <v>12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0</v>
      </c>
      <c r="E62" s="50">
        <v>1</v>
      </c>
      <c r="F62" s="50">
        <v>2</v>
      </c>
      <c r="G62" s="50">
        <v>0</v>
      </c>
      <c r="H62" s="50">
        <v>1</v>
      </c>
      <c r="I62" s="50">
        <v>3</v>
      </c>
      <c r="J62" s="50">
        <v>0</v>
      </c>
      <c r="K62" s="50">
        <v>0</v>
      </c>
      <c r="L62" s="50">
        <v>1</v>
      </c>
      <c r="M62" s="50">
        <v>2</v>
      </c>
      <c r="N62" s="50">
        <v>0</v>
      </c>
      <c r="O62" s="15">
        <f t="shared" si="0"/>
        <v>9</v>
      </c>
      <c r="P62" s="15">
        <f t="shared" si="1"/>
        <v>11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0</v>
      </c>
      <c r="E63" s="50">
        <v>1</v>
      </c>
      <c r="F63" s="50">
        <v>0</v>
      </c>
      <c r="G63" s="50">
        <v>0</v>
      </c>
      <c r="H63" s="50">
        <v>0</v>
      </c>
      <c r="I63" s="50">
        <v>3</v>
      </c>
      <c r="J63" s="50">
        <v>0</v>
      </c>
      <c r="K63" s="50">
        <v>0</v>
      </c>
      <c r="L63" s="50">
        <v>0</v>
      </c>
      <c r="M63" s="50">
        <v>0</v>
      </c>
      <c r="N63" s="50">
        <v>0</v>
      </c>
      <c r="O63" s="15">
        <f t="shared" si="0"/>
        <v>6</v>
      </c>
      <c r="P63" s="15">
        <f t="shared" si="1"/>
        <v>6</v>
      </c>
      <c r="R63" s="8"/>
      <c r="T63"/>
    </row>
    <row r="64" spans="2:20" ht="23.1" customHeight="1" x14ac:dyDescent="0.25">
      <c r="B64" s="45" t="s">
        <v>109</v>
      </c>
      <c r="C64" s="50">
        <v>2</v>
      </c>
      <c r="D64" s="50">
        <v>0</v>
      </c>
      <c r="E64" s="50">
        <v>1</v>
      </c>
      <c r="F64" s="50">
        <v>0</v>
      </c>
      <c r="G64" s="50">
        <v>0</v>
      </c>
      <c r="H64" s="50">
        <v>1</v>
      </c>
      <c r="I64" s="50">
        <v>4</v>
      </c>
      <c r="J64" s="50">
        <v>0</v>
      </c>
      <c r="K64" s="50">
        <v>0</v>
      </c>
      <c r="L64" s="50">
        <v>0</v>
      </c>
      <c r="M64" s="50">
        <v>3</v>
      </c>
      <c r="N64" s="50">
        <v>0</v>
      </c>
      <c r="O64" s="15">
        <f t="shared" si="0"/>
        <v>8</v>
      </c>
      <c r="P64" s="15">
        <f t="shared" si="1"/>
        <v>11</v>
      </c>
      <c r="R64" s="8"/>
      <c r="T64"/>
    </row>
    <row r="65" spans="2:20" ht="23.1" customHeight="1" x14ac:dyDescent="0.25">
      <c r="B65" s="45" t="s">
        <v>158</v>
      </c>
      <c r="C65" s="50">
        <v>2</v>
      </c>
      <c r="D65" s="50">
        <v>0</v>
      </c>
      <c r="E65" s="50">
        <v>1</v>
      </c>
      <c r="F65" s="50">
        <v>0</v>
      </c>
      <c r="G65" s="50">
        <v>1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0</v>
      </c>
      <c r="N65" s="50">
        <v>0</v>
      </c>
      <c r="O65" s="15">
        <f t="shared" si="0"/>
        <v>5</v>
      </c>
      <c r="P65" s="15">
        <f t="shared" si="1"/>
        <v>5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2</v>
      </c>
      <c r="F66" s="50">
        <v>0</v>
      </c>
      <c r="G66" s="50">
        <v>0</v>
      </c>
      <c r="H66" s="50">
        <v>1</v>
      </c>
      <c r="I66" s="50">
        <v>0</v>
      </c>
      <c r="J66" s="50">
        <v>0</v>
      </c>
      <c r="K66" s="50">
        <v>0</v>
      </c>
      <c r="L66" s="50">
        <v>2</v>
      </c>
      <c r="M66" s="50">
        <v>0</v>
      </c>
      <c r="N66" s="50">
        <v>0</v>
      </c>
      <c r="O66" s="15">
        <f t="shared" si="0"/>
        <v>5</v>
      </c>
      <c r="P66" s="15">
        <f t="shared" si="1"/>
        <v>5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2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0</v>
      </c>
      <c r="N67" s="50">
        <v>0</v>
      </c>
      <c r="O67" s="15">
        <f t="shared" si="0"/>
        <v>2</v>
      </c>
      <c r="P67" s="15">
        <f t="shared" si="1"/>
        <v>2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15">
        <f t="shared" si="0"/>
        <v>1</v>
      </c>
      <c r="P68" s="15">
        <f t="shared" si="1"/>
        <v>1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2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1</v>
      </c>
      <c r="N69" s="50">
        <v>0</v>
      </c>
      <c r="O69" s="15">
        <f t="shared" si="0"/>
        <v>2</v>
      </c>
      <c r="P69" s="15">
        <f t="shared" si="1"/>
        <v>3</v>
      </c>
      <c r="R69" s="8"/>
      <c r="T69"/>
    </row>
    <row r="70" spans="2:20" ht="23.1" customHeight="1" x14ac:dyDescent="0.25">
      <c r="B70" s="45" t="s">
        <v>110</v>
      </c>
      <c r="C70" s="50">
        <v>2</v>
      </c>
      <c r="D70" s="50">
        <v>0</v>
      </c>
      <c r="E70" s="50">
        <v>1</v>
      </c>
      <c r="F70" s="50">
        <v>0</v>
      </c>
      <c r="G70" s="50">
        <v>0</v>
      </c>
      <c r="H70" s="50">
        <v>0</v>
      </c>
      <c r="I70" s="50">
        <v>1</v>
      </c>
      <c r="J70" s="50">
        <v>2</v>
      </c>
      <c r="K70" s="50">
        <v>0</v>
      </c>
      <c r="L70" s="50">
        <v>1</v>
      </c>
      <c r="M70" s="50">
        <v>0</v>
      </c>
      <c r="N70" s="50">
        <v>0</v>
      </c>
      <c r="O70" s="15">
        <f t="shared" si="0"/>
        <v>7</v>
      </c>
      <c r="P70" s="15">
        <f t="shared" si="1"/>
        <v>7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1</v>
      </c>
      <c r="G71" s="50">
        <v>0</v>
      </c>
      <c r="H71" s="50">
        <v>0</v>
      </c>
      <c r="I71" s="50">
        <v>1</v>
      </c>
      <c r="J71" s="50">
        <v>3</v>
      </c>
      <c r="K71" s="50">
        <v>0</v>
      </c>
      <c r="L71" s="50">
        <v>0</v>
      </c>
      <c r="M71" s="50">
        <v>3</v>
      </c>
      <c r="N71" s="50">
        <v>0</v>
      </c>
      <c r="O71" s="15">
        <f t="shared" si="0"/>
        <v>5</v>
      </c>
      <c r="P71" s="15">
        <f t="shared" si="1"/>
        <v>8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2</v>
      </c>
      <c r="J72" s="50">
        <v>5</v>
      </c>
      <c r="K72" s="50">
        <v>0</v>
      </c>
      <c r="L72" s="50">
        <v>0</v>
      </c>
      <c r="M72" s="50">
        <v>0</v>
      </c>
      <c r="N72" s="50">
        <v>0</v>
      </c>
      <c r="O72" s="15">
        <f t="shared" si="0"/>
        <v>7</v>
      </c>
      <c r="P72" s="15">
        <f t="shared" si="1"/>
        <v>7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2</v>
      </c>
      <c r="F73" s="50">
        <v>0</v>
      </c>
      <c r="G73" s="50">
        <v>0</v>
      </c>
      <c r="H73" s="50">
        <v>0</v>
      </c>
      <c r="I73" s="50">
        <v>0</v>
      </c>
      <c r="J73" s="50">
        <v>2</v>
      </c>
      <c r="K73" s="50">
        <v>0</v>
      </c>
      <c r="L73" s="50">
        <v>0</v>
      </c>
      <c r="M73" s="50">
        <v>0</v>
      </c>
      <c r="N73" s="50">
        <v>0</v>
      </c>
      <c r="O73" s="15">
        <f t="shared" si="0"/>
        <v>4</v>
      </c>
      <c r="P73" s="15">
        <f t="shared" si="1"/>
        <v>4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1</v>
      </c>
      <c r="I74" s="50">
        <v>2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3</v>
      </c>
      <c r="P74" s="15">
        <f t="shared" ref="P74:P105" si="36">SUM(C74:N74)</f>
        <v>3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1</v>
      </c>
      <c r="P76" s="15">
        <f t="shared" si="36"/>
        <v>1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1</v>
      </c>
      <c r="P77" s="15">
        <f t="shared" si="36"/>
        <v>1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1</v>
      </c>
      <c r="P78" s="15">
        <f t="shared" si="36"/>
        <v>1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1</v>
      </c>
      <c r="M79" s="50">
        <v>0</v>
      </c>
      <c r="N79" s="50">
        <v>0</v>
      </c>
      <c r="O79" s="15">
        <f t="shared" si="35"/>
        <v>1</v>
      </c>
      <c r="P79" s="15">
        <f t="shared" si="36"/>
        <v>1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3</v>
      </c>
      <c r="J80" s="50">
        <v>0</v>
      </c>
      <c r="K80" s="50">
        <v>0</v>
      </c>
      <c r="L80" s="50">
        <v>2</v>
      </c>
      <c r="M80" s="50">
        <v>0</v>
      </c>
      <c r="N80" s="50">
        <v>0</v>
      </c>
      <c r="O80" s="15">
        <f t="shared" si="35"/>
        <v>6</v>
      </c>
      <c r="P80" s="15">
        <f t="shared" si="36"/>
        <v>6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2</v>
      </c>
      <c r="J81" s="50">
        <v>0</v>
      </c>
      <c r="K81" s="50">
        <v>0</v>
      </c>
      <c r="L81" s="50">
        <v>1</v>
      </c>
      <c r="M81" s="50">
        <v>0</v>
      </c>
      <c r="N81" s="50"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1</v>
      </c>
      <c r="M83" s="50">
        <v>0</v>
      </c>
      <c r="N83" s="50">
        <v>0</v>
      </c>
      <c r="O83" s="15">
        <f t="shared" si="35"/>
        <v>2</v>
      </c>
      <c r="P83" s="15">
        <f t="shared" si="36"/>
        <v>2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1</v>
      </c>
      <c r="M84" s="50">
        <v>0</v>
      </c>
      <c r="N84" s="50">
        <v>0</v>
      </c>
      <c r="O84" s="15">
        <f t="shared" si="35"/>
        <v>2</v>
      </c>
      <c r="P84" s="15">
        <f t="shared" si="36"/>
        <v>2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3</v>
      </c>
      <c r="J85" s="50">
        <v>0</v>
      </c>
      <c r="K85" s="50">
        <v>0</v>
      </c>
      <c r="L85" s="50">
        <v>2</v>
      </c>
      <c r="M85" s="50">
        <v>0</v>
      </c>
      <c r="N85" s="50">
        <v>0</v>
      </c>
      <c r="O85" s="15">
        <f t="shared" si="35"/>
        <v>5</v>
      </c>
      <c r="P85" s="15">
        <f t="shared" si="36"/>
        <v>5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2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2</v>
      </c>
      <c r="P86" s="15">
        <f t="shared" si="36"/>
        <v>2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1</v>
      </c>
      <c r="M88" s="50">
        <v>0</v>
      </c>
      <c r="N88" s="50">
        <v>0</v>
      </c>
      <c r="O88" s="15">
        <f t="shared" si="35"/>
        <v>2</v>
      </c>
      <c r="P88" s="15">
        <f t="shared" si="36"/>
        <v>2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2</v>
      </c>
      <c r="M91" s="50">
        <v>0</v>
      </c>
      <c r="N91" s="50">
        <v>0</v>
      </c>
      <c r="O91" s="15">
        <f t="shared" si="35"/>
        <v>2</v>
      </c>
      <c r="P91" s="15">
        <f t="shared" si="36"/>
        <v>2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1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1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1</v>
      </c>
      <c r="P94" s="15">
        <f t="shared" si="36"/>
        <v>1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2</v>
      </c>
      <c r="G95" s="50">
        <v>0</v>
      </c>
      <c r="H95" s="50">
        <v>0</v>
      </c>
      <c r="I95" s="50">
        <v>3</v>
      </c>
      <c r="J95" s="50">
        <v>0</v>
      </c>
      <c r="K95" s="50">
        <v>0</v>
      </c>
      <c r="L95" s="50">
        <v>0</v>
      </c>
      <c r="M95" s="50">
        <v>1</v>
      </c>
      <c r="N95" s="50">
        <v>0</v>
      </c>
      <c r="O95" s="15">
        <f t="shared" si="35"/>
        <v>6</v>
      </c>
      <c r="P95" s="15">
        <f t="shared" si="36"/>
        <v>7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1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2</v>
      </c>
      <c r="P96" s="15">
        <f t="shared" si="36"/>
        <v>2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1</v>
      </c>
      <c r="M98" s="50">
        <v>0</v>
      </c>
      <c r="N98" s="50">
        <v>0</v>
      </c>
      <c r="O98" s="15">
        <f t="shared" si="35"/>
        <v>2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1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2</v>
      </c>
      <c r="M100" s="50">
        <v>0</v>
      </c>
      <c r="N100" s="50">
        <v>0</v>
      </c>
      <c r="O100" s="15">
        <f t="shared" si="35"/>
        <v>3</v>
      </c>
      <c r="P100" s="15">
        <f t="shared" si="36"/>
        <v>3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1</v>
      </c>
      <c r="M101" s="50">
        <v>0</v>
      </c>
      <c r="N101" s="50">
        <v>0</v>
      </c>
      <c r="O101" s="15">
        <f t="shared" si="35"/>
        <v>1</v>
      </c>
      <c r="P101" s="15">
        <f t="shared" si="36"/>
        <v>1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1</v>
      </c>
      <c r="N102" s="50">
        <v>0</v>
      </c>
      <c r="O102" s="15">
        <f t="shared" si="35"/>
        <v>2</v>
      </c>
      <c r="P102" s="15">
        <f t="shared" si="36"/>
        <v>3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1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</v>
      </c>
      <c r="N103" s="50">
        <v>0</v>
      </c>
      <c r="O103" s="15">
        <f t="shared" si="35"/>
        <v>1</v>
      </c>
      <c r="P103" s="15">
        <f t="shared" si="36"/>
        <v>2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3</v>
      </c>
      <c r="F104" s="50">
        <v>1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1</v>
      </c>
      <c r="M104" s="50">
        <v>1</v>
      </c>
      <c r="N104" s="50">
        <v>0</v>
      </c>
      <c r="O104" s="15">
        <f t="shared" si="35"/>
        <v>7</v>
      </c>
      <c r="P104" s="15">
        <f t="shared" si="36"/>
        <v>8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2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0</v>
      </c>
      <c r="N105" s="50">
        <v>0</v>
      </c>
      <c r="O105" s="15">
        <f t="shared" si="35"/>
        <v>2</v>
      </c>
      <c r="P105" s="15">
        <f t="shared" si="36"/>
        <v>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50</v>
      </c>
      <c r="D106" s="16">
        <f t="shared" ref="D106:P106" si="37">SUM(D10:D105)</f>
        <v>0</v>
      </c>
      <c r="E106" s="16">
        <f t="shared" si="37"/>
        <v>112</v>
      </c>
      <c r="F106" s="16">
        <f t="shared" si="37"/>
        <v>102</v>
      </c>
      <c r="G106" s="16">
        <f t="shared" si="37"/>
        <v>2</v>
      </c>
      <c r="H106" s="16">
        <f t="shared" si="37"/>
        <v>22</v>
      </c>
      <c r="I106" s="16">
        <f t="shared" si="37"/>
        <v>88</v>
      </c>
      <c r="J106" s="16">
        <f t="shared" si="37"/>
        <v>16</v>
      </c>
      <c r="K106" s="16">
        <f t="shared" si="37"/>
        <v>3</v>
      </c>
      <c r="L106" s="16">
        <f t="shared" si="37"/>
        <v>62</v>
      </c>
      <c r="M106" s="16">
        <f t="shared" si="37"/>
        <v>34</v>
      </c>
      <c r="N106" s="16">
        <f t="shared" si="37"/>
        <v>0</v>
      </c>
      <c r="O106" s="16">
        <f t="shared" si="37"/>
        <v>457</v>
      </c>
      <c r="P106" s="16">
        <f t="shared" si="37"/>
        <v>491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0.10183299389002037</v>
      </c>
      <c r="D107" s="43">
        <f t="shared" si="38"/>
        <v>0</v>
      </c>
      <c r="E107" s="43">
        <f t="shared" si="38"/>
        <v>0.22810590631364563</v>
      </c>
      <c r="F107" s="43">
        <f t="shared" si="38"/>
        <v>0.20773930753564154</v>
      </c>
      <c r="G107" s="43">
        <f t="shared" si="38"/>
        <v>4.0733197556008143E-3</v>
      </c>
      <c r="H107" s="43">
        <f t="shared" si="38"/>
        <v>4.4806517311608958E-2</v>
      </c>
      <c r="I107" s="43">
        <f t="shared" si="38"/>
        <v>0.17922606924643583</v>
      </c>
      <c r="J107" s="43">
        <f t="shared" si="38"/>
        <v>3.2586558044806514E-2</v>
      </c>
      <c r="K107" s="43">
        <f t="shared" si="38"/>
        <v>6.1099796334012219E-3</v>
      </c>
      <c r="L107" s="43">
        <f t="shared" si="38"/>
        <v>0.12627291242362526</v>
      </c>
      <c r="M107" s="43">
        <f t="shared" si="38"/>
        <v>6.9246435845213852E-2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0.10940919037199125</v>
      </c>
      <c r="D108" s="44">
        <f t="shared" ref="D108:N108" si="39">D106/$O$106</f>
        <v>0</v>
      </c>
      <c r="E108" s="44">
        <f t="shared" si="39"/>
        <v>0.24507658643326038</v>
      </c>
      <c r="F108" s="44">
        <f t="shared" si="39"/>
        <v>0.22319474835886213</v>
      </c>
      <c r="G108" s="44">
        <f t="shared" si="39"/>
        <v>4.3763676148796497E-3</v>
      </c>
      <c r="H108" s="44">
        <f t="shared" si="39"/>
        <v>4.8140043763676151E-2</v>
      </c>
      <c r="I108" s="44">
        <f t="shared" si="39"/>
        <v>0.1925601750547046</v>
      </c>
      <c r="J108" s="44">
        <f t="shared" si="39"/>
        <v>3.5010940919037198E-2</v>
      </c>
      <c r="K108" s="44">
        <f t="shared" si="39"/>
        <v>6.5645514223194746E-3</v>
      </c>
      <c r="L108" s="44">
        <f t="shared" si="39"/>
        <v>0.13566739606126915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zoomScale="60" workbookViewId="0">
      <selection activeCell="N10" sqref="N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KYENJOJO-FORTPORTAL'!C3:G3</f>
        <v>C4 - STN107-FORTPORTAL-KYENJONJO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162</v>
      </c>
      <c r="E5" s="3"/>
      <c r="F5" s="41" t="s">
        <v>1</v>
      </c>
      <c r="G5" s="63" t="str">
        <f>'03.08 FORTPORTAL-KYENJOJO-24h'!G5:H5</f>
        <v>xxx</v>
      </c>
      <c r="H5" s="64"/>
      <c r="I5" s="14"/>
      <c r="J5" s="2" t="s">
        <v>5</v>
      </c>
      <c r="K5" s="63" t="str">
        <f>'03.08 FORTPORTAL-KYENJOJO-24h'!K5:L5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KYENJOJO-FORTPORTAL'!D6:E6</f>
        <v>KYENJOJO</v>
      </c>
      <c r="E6" s="64"/>
      <c r="F6" s="2" t="s">
        <v>2</v>
      </c>
      <c r="G6" s="63" t="str">
        <f>'29.07 KYENJOJO-FORTPORTAL'!G6:H6</f>
        <v>FORTPORTAL</v>
      </c>
      <c r="H6" s="64"/>
      <c r="J6" s="2" t="s">
        <v>21</v>
      </c>
      <c r="K6" s="63" t="str">
        <f>'03.08 FORTPORTAL-KYENJOJO-24h'!K6:L6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1</v>
      </c>
      <c r="F10" s="50">
        <v>1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4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4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1</v>
      </c>
      <c r="AA10" s="17">
        <f t="shared" si="2"/>
        <v>0</v>
      </c>
      <c r="AB10" s="17">
        <f t="shared" si="2"/>
        <v>1</v>
      </c>
      <c r="AC10" s="17">
        <f t="shared" si="2"/>
        <v>1</v>
      </c>
      <c r="AD10" s="17">
        <f t="shared" si="2"/>
        <v>0</v>
      </c>
      <c r="AE10" s="31">
        <f t="shared" si="2"/>
        <v>15</v>
      </c>
      <c r="AF10" s="31">
        <f t="shared" si="2"/>
        <v>16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1</v>
      </c>
      <c r="N11" s="50">
        <v>0</v>
      </c>
      <c r="O11" s="15">
        <f t="shared" si="0"/>
        <v>3</v>
      </c>
      <c r="P11" s="15">
        <f t="shared" si="1"/>
        <v>4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5</v>
      </c>
      <c r="V11" s="17">
        <f t="shared" si="3"/>
        <v>4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3</v>
      </c>
      <c r="AC11" s="17">
        <f t="shared" si="3"/>
        <v>3</v>
      </c>
      <c r="AD11" s="17">
        <f t="shared" si="3"/>
        <v>0</v>
      </c>
      <c r="AE11" s="31">
        <f t="shared" si="3"/>
        <v>18</v>
      </c>
      <c r="AF11" s="31">
        <f t="shared" si="3"/>
        <v>21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3</v>
      </c>
      <c r="F12" s="50">
        <v>1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1</v>
      </c>
      <c r="M12" s="50">
        <v>0</v>
      </c>
      <c r="N12" s="50">
        <v>0</v>
      </c>
      <c r="O12" s="15">
        <f t="shared" si="0"/>
        <v>8</v>
      </c>
      <c r="P12" s="15">
        <f t="shared" si="1"/>
        <v>8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4</v>
      </c>
      <c r="V12" s="17">
        <f t="shared" si="4"/>
        <v>4</v>
      </c>
      <c r="W12" s="17">
        <f t="shared" si="4"/>
        <v>0</v>
      </c>
      <c r="X12" s="17">
        <f t="shared" si="4"/>
        <v>2</v>
      </c>
      <c r="Y12" s="17">
        <f t="shared" si="4"/>
        <v>4</v>
      </c>
      <c r="Z12" s="17">
        <f t="shared" si="4"/>
        <v>1</v>
      </c>
      <c r="AA12" s="17">
        <f t="shared" si="4"/>
        <v>0</v>
      </c>
      <c r="AB12" s="17">
        <f t="shared" si="4"/>
        <v>5</v>
      </c>
      <c r="AC12" s="17">
        <f t="shared" si="4"/>
        <v>2</v>
      </c>
      <c r="AD12" s="17">
        <f t="shared" si="4"/>
        <v>0</v>
      </c>
      <c r="AE12" s="31">
        <f t="shared" si="4"/>
        <v>22</v>
      </c>
      <c r="AF12" s="31">
        <f t="shared" si="4"/>
        <v>24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8</v>
      </c>
      <c r="T13" s="17">
        <f t="shared" si="5"/>
        <v>0</v>
      </c>
      <c r="U13" s="17">
        <f t="shared" si="5"/>
        <v>9</v>
      </c>
      <c r="V13" s="17">
        <f t="shared" si="5"/>
        <v>11</v>
      </c>
      <c r="W13" s="17">
        <f t="shared" si="5"/>
        <v>0</v>
      </c>
      <c r="X13" s="17">
        <f t="shared" si="5"/>
        <v>1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6</v>
      </c>
      <c r="AC13" s="17">
        <f t="shared" si="5"/>
        <v>5</v>
      </c>
      <c r="AD13" s="17">
        <f t="shared" si="5"/>
        <v>0</v>
      </c>
      <c r="AE13" s="31">
        <f t="shared" si="5"/>
        <v>38</v>
      </c>
      <c r="AF13" s="31">
        <f t="shared" si="5"/>
        <v>43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1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</v>
      </c>
      <c r="N14" s="50">
        <v>0</v>
      </c>
      <c r="O14" s="15">
        <f t="shared" si="0"/>
        <v>4</v>
      </c>
      <c r="P14" s="15">
        <f t="shared" si="1"/>
        <v>5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16</v>
      </c>
      <c r="V14" s="17">
        <f t="shared" si="6"/>
        <v>8</v>
      </c>
      <c r="W14" s="17">
        <f t="shared" si="6"/>
        <v>0</v>
      </c>
      <c r="X14" s="17">
        <f t="shared" si="6"/>
        <v>2</v>
      </c>
      <c r="Y14" s="17">
        <f t="shared" si="6"/>
        <v>3</v>
      </c>
      <c r="Z14" s="17">
        <f t="shared" si="6"/>
        <v>0</v>
      </c>
      <c r="AA14" s="17">
        <f t="shared" si="6"/>
        <v>0</v>
      </c>
      <c r="AB14" s="17">
        <f t="shared" si="6"/>
        <v>6</v>
      </c>
      <c r="AC14" s="17">
        <f t="shared" si="6"/>
        <v>6</v>
      </c>
      <c r="AD14" s="17">
        <f t="shared" si="6"/>
        <v>0</v>
      </c>
      <c r="AE14" s="31">
        <f t="shared" si="6"/>
        <v>38</v>
      </c>
      <c r="AF14" s="31">
        <f t="shared" si="6"/>
        <v>44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1</v>
      </c>
      <c r="F15" s="50">
        <v>1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2</v>
      </c>
      <c r="M15" s="50">
        <v>0</v>
      </c>
      <c r="N15" s="50">
        <v>0</v>
      </c>
      <c r="O15" s="15">
        <f t="shared" si="0"/>
        <v>6</v>
      </c>
      <c r="P15" s="15">
        <f t="shared" si="1"/>
        <v>6</v>
      </c>
      <c r="R15" s="1" t="s">
        <v>11</v>
      </c>
      <c r="S15" s="17">
        <f t="shared" ref="S15:AF15" si="7">SUM(C30:C33)</f>
        <v>5</v>
      </c>
      <c r="T15" s="17">
        <f t="shared" si="7"/>
        <v>0</v>
      </c>
      <c r="U15" s="17">
        <f t="shared" si="7"/>
        <v>4</v>
      </c>
      <c r="V15" s="17">
        <f t="shared" si="7"/>
        <v>8</v>
      </c>
      <c r="W15" s="17">
        <f t="shared" si="7"/>
        <v>0</v>
      </c>
      <c r="X15" s="17">
        <f t="shared" si="7"/>
        <v>2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5</v>
      </c>
      <c r="AD15" s="17">
        <f t="shared" si="7"/>
        <v>0</v>
      </c>
      <c r="AE15" s="31">
        <f t="shared" si="7"/>
        <v>22</v>
      </c>
      <c r="AF15" s="31">
        <f t="shared" si="7"/>
        <v>27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</v>
      </c>
      <c r="N16" s="50">
        <v>0</v>
      </c>
      <c r="O16" s="15">
        <f t="shared" si="0"/>
        <v>2</v>
      </c>
      <c r="P16" s="15">
        <f t="shared" si="1"/>
        <v>3</v>
      </c>
      <c r="R16" s="1" t="s">
        <v>12</v>
      </c>
      <c r="S16" s="17">
        <f t="shared" ref="S16:AF16" si="8">SUM(C34:C37)</f>
        <v>6</v>
      </c>
      <c r="T16" s="17">
        <f t="shared" si="8"/>
        <v>0</v>
      </c>
      <c r="U16" s="17">
        <f t="shared" si="8"/>
        <v>9</v>
      </c>
      <c r="V16" s="17">
        <f t="shared" si="8"/>
        <v>8</v>
      </c>
      <c r="W16" s="17">
        <f t="shared" si="8"/>
        <v>0</v>
      </c>
      <c r="X16" s="17">
        <f t="shared" si="8"/>
        <v>1</v>
      </c>
      <c r="Y16" s="17">
        <f t="shared" si="8"/>
        <v>1</v>
      </c>
      <c r="Z16" s="17">
        <f t="shared" si="8"/>
        <v>0</v>
      </c>
      <c r="AA16" s="17">
        <f t="shared" si="8"/>
        <v>1</v>
      </c>
      <c r="AB16" s="17">
        <f t="shared" si="8"/>
        <v>2</v>
      </c>
      <c r="AC16" s="17">
        <f t="shared" si="8"/>
        <v>5</v>
      </c>
      <c r="AD16" s="17">
        <f t="shared" si="8"/>
        <v>0</v>
      </c>
      <c r="AE16" s="31">
        <f t="shared" si="8"/>
        <v>28</v>
      </c>
      <c r="AF16" s="31">
        <f t="shared" si="8"/>
        <v>33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2</v>
      </c>
      <c r="F17" s="50">
        <v>1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1</v>
      </c>
      <c r="M17" s="50">
        <v>1</v>
      </c>
      <c r="N17" s="50">
        <v>0</v>
      </c>
      <c r="O17" s="15">
        <f t="shared" si="0"/>
        <v>6</v>
      </c>
      <c r="P17" s="15">
        <f t="shared" si="1"/>
        <v>7</v>
      </c>
      <c r="R17" s="1" t="s">
        <v>13</v>
      </c>
      <c r="S17" s="17">
        <f t="shared" ref="S17:AF17" si="9">SUM(C38:C41)</f>
        <v>8</v>
      </c>
      <c r="T17" s="17">
        <f t="shared" si="9"/>
        <v>0</v>
      </c>
      <c r="U17" s="17">
        <f t="shared" si="9"/>
        <v>8</v>
      </c>
      <c r="V17" s="17">
        <f t="shared" si="9"/>
        <v>7</v>
      </c>
      <c r="W17" s="17">
        <f t="shared" si="9"/>
        <v>0</v>
      </c>
      <c r="X17" s="17">
        <f t="shared" si="9"/>
        <v>1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4</v>
      </c>
      <c r="AC17" s="17">
        <f t="shared" si="9"/>
        <v>3</v>
      </c>
      <c r="AD17" s="17">
        <f t="shared" si="9"/>
        <v>0</v>
      </c>
      <c r="AE17" s="31">
        <f t="shared" si="9"/>
        <v>30</v>
      </c>
      <c r="AF17" s="31">
        <f t="shared" si="9"/>
        <v>33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2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2</v>
      </c>
      <c r="M18" s="50">
        <v>1</v>
      </c>
      <c r="N18" s="50">
        <v>0</v>
      </c>
      <c r="O18" s="15">
        <f t="shared" si="0"/>
        <v>5</v>
      </c>
      <c r="P18" s="15">
        <f t="shared" si="1"/>
        <v>6</v>
      </c>
      <c r="R18" s="1" t="s">
        <v>14</v>
      </c>
      <c r="S18" s="17">
        <f t="shared" ref="S18:AF18" si="10">SUM(C42:C45)</f>
        <v>12</v>
      </c>
      <c r="T18" s="17">
        <f t="shared" si="10"/>
        <v>0</v>
      </c>
      <c r="U18" s="17">
        <f t="shared" si="10"/>
        <v>9</v>
      </c>
      <c r="V18" s="17">
        <f t="shared" si="10"/>
        <v>2</v>
      </c>
      <c r="W18" s="17">
        <f t="shared" si="10"/>
        <v>0</v>
      </c>
      <c r="X18" s="17">
        <f t="shared" si="10"/>
        <v>3</v>
      </c>
      <c r="Y18" s="17">
        <f t="shared" si="10"/>
        <v>3</v>
      </c>
      <c r="Z18" s="17">
        <f t="shared" si="10"/>
        <v>0</v>
      </c>
      <c r="AA18" s="17">
        <f t="shared" si="10"/>
        <v>0</v>
      </c>
      <c r="AB18" s="17">
        <f t="shared" si="10"/>
        <v>2</v>
      </c>
      <c r="AC18" s="17">
        <f t="shared" si="10"/>
        <v>6</v>
      </c>
      <c r="AD18" s="17">
        <f t="shared" si="10"/>
        <v>0</v>
      </c>
      <c r="AE18" s="31">
        <f t="shared" si="10"/>
        <v>31</v>
      </c>
      <c r="AF18" s="31">
        <f t="shared" si="10"/>
        <v>37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1</v>
      </c>
      <c r="F19" s="50">
        <v>1</v>
      </c>
      <c r="G19" s="50">
        <v>0</v>
      </c>
      <c r="H19" s="50">
        <v>1</v>
      </c>
      <c r="I19" s="50">
        <v>2</v>
      </c>
      <c r="J19" s="50">
        <v>1</v>
      </c>
      <c r="K19" s="50">
        <v>0</v>
      </c>
      <c r="L19" s="50">
        <v>2</v>
      </c>
      <c r="M19" s="50">
        <v>0</v>
      </c>
      <c r="N19" s="50">
        <v>0</v>
      </c>
      <c r="O19" s="15">
        <f t="shared" si="0"/>
        <v>8</v>
      </c>
      <c r="P19" s="15">
        <f t="shared" si="1"/>
        <v>8</v>
      </c>
      <c r="R19" s="1" t="s">
        <v>15</v>
      </c>
      <c r="S19" s="17">
        <f t="shared" ref="S19:AF19" si="11">SUM(C46:C49)</f>
        <v>10</v>
      </c>
      <c r="T19" s="17">
        <f t="shared" si="11"/>
        <v>0</v>
      </c>
      <c r="U19" s="17">
        <f t="shared" si="11"/>
        <v>10</v>
      </c>
      <c r="V19" s="17">
        <f t="shared" si="11"/>
        <v>11</v>
      </c>
      <c r="W19" s="17">
        <f t="shared" si="11"/>
        <v>1</v>
      </c>
      <c r="X19" s="17">
        <f t="shared" si="11"/>
        <v>2</v>
      </c>
      <c r="Y19" s="17">
        <f t="shared" si="11"/>
        <v>7</v>
      </c>
      <c r="Z19" s="17">
        <f t="shared" si="11"/>
        <v>0</v>
      </c>
      <c r="AA19" s="17">
        <f t="shared" si="11"/>
        <v>0</v>
      </c>
      <c r="AB19" s="17">
        <f t="shared" si="11"/>
        <v>4</v>
      </c>
      <c r="AC19" s="17">
        <f t="shared" si="11"/>
        <v>13</v>
      </c>
      <c r="AD19" s="17">
        <f t="shared" si="11"/>
        <v>0</v>
      </c>
      <c r="AE19" s="31">
        <f t="shared" si="11"/>
        <v>45</v>
      </c>
      <c r="AF19" s="31">
        <f t="shared" si="11"/>
        <v>58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2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</v>
      </c>
      <c r="N20" s="50">
        <v>0</v>
      </c>
      <c r="O20" s="15">
        <f t="shared" si="0"/>
        <v>3</v>
      </c>
      <c r="P20" s="15">
        <f t="shared" si="1"/>
        <v>4</v>
      </c>
      <c r="R20" s="1" t="s">
        <v>16</v>
      </c>
      <c r="S20" s="17">
        <f t="shared" ref="S20:AF20" si="12">SUM(C50:C53)</f>
        <v>8</v>
      </c>
      <c r="T20" s="17">
        <f t="shared" si="12"/>
        <v>0</v>
      </c>
      <c r="U20" s="17">
        <f t="shared" si="12"/>
        <v>14</v>
      </c>
      <c r="V20" s="17">
        <f t="shared" si="12"/>
        <v>15</v>
      </c>
      <c r="W20" s="17">
        <f t="shared" si="12"/>
        <v>0</v>
      </c>
      <c r="X20" s="17">
        <f t="shared" si="12"/>
        <v>1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9</v>
      </c>
      <c r="AC20" s="17">
        <f t="shared" si="12"/>
        <v>9</v>
      </c>
      <c r="AD20" s="17">
        <f t="shared" si="12"/>
        <v>0</v>
      </c>
      <c r="AE20" s="31">
        <f t="shared" si="12"/>
        <v>49</v>
      </c>
      <c r="AF20" s="31">
        <f t="shared" si="12"/>
        <v>58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1</v>
      </c>
      <c r="F21" s="50">
        <v>0</v>
      </c>
      <c r="G21" s="50">
        <v>0</v>
      </c>
      <c r="H21" s="50">
        <v>1</v>
      </c>
      <c r="I21" s="50">
        <v>1</v>
      </c>
      <c r="J21" s="50">
        <v>0</v>
      </c>
      <c r="K21" s="50">
        <v>0</v>
      </c>
      <c r="L21" s="50">
        <v>1</v>
      </c>
      <c r="M21" s="50">
        <v>0</v>
      </c>
      <c r="N21" s="50">
        <v>0</v>
      </c>
      <c r="O21" s="15">
        <f t="shared" si="0"/>
        <v>6</v>
      </c>
      <c r="P21" s="15">
        <f t="shared" si="1"/>
        <v>6</v>
      </c>
      <c r="R21" s="36" t="s">
        <v>20</v>
      </c>
      <c r="S21" s="34">
        <f t="shared" ref="S21:AF21" si="13">SUM(C54:C57)</f>
        <v>7</v>
      </c>
      <c r="T21" s="17">
        <f t="shared" si="13"/>
        <v>0</v>
      </c>
      <c r="U21" s="17">
        <f t="shared" si="13"/>
        <v>12</v>
      </c>
      <c r="V21" s="17">
        <f t="shared" si="13"/>
        <v>6</v>
      </c>
      <c r="W21" s="17">
        <f t="shared" si="13"/>
        <v>0</v>
      </c>
      <c r="X21" s="17">
        <f t="shared" si="13"/>
        <v>3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1</v>
      </c>
      <c r="AC21" s="17">
        <f t="shared" si="13"/>
        <v>7</v>
      </c>
      <c r="AD21" s="17">
        <f t="shared" si="13"/>
        <v>0</v>
      </c>
      <c r="AE21" s="31">
        <f t="shared" si="13"/>
        <v>33</v>
      </c>
      <c r="AF21" s="31">
        <f t="shared" si="13"/>
        <v>40</v>
      </c>
    </row>
    <row r="22" spans="2:32" ht="23.1" customHeight="1" x14ac:dyDescent="0.25">
      <c r="B22" s="23" t="s">
        <v>49</v>
      </c>
      <c r="C22" s="50">
        <v>4</v>
      </c>
      <c r="D22" s="50">
        <v>0</v>
      </c>
      <c r="E22" s="50">
        <v>1</v>
      </c>
      <c r="F22" s="50">
        <v>5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2</v>
      </c>
      <c r="M22" s="50">
        <v>1</v>
      </c>
      <c r="N22" s="50">
        <v>0</v>
      </c>
      <c r="O22" s="15">
        <f t="shared" si="0"/>
        <v>13</v>
      </c>
      <c r="P22" s="15">
        <f t="shared" si="1"/>
        <v>14</v>
      </c>
      <c r="R22" s="38" t="s">
        <v>90</v>
      </c>
      <c r="S22" s="39">
        <f>MAX(S10:S12)</f>
        <v>3</v>
      </c>
      <c r="T22" s="39">
        <f t="shared" ref="T22:AF22" si="14">MAX(T10:T12)</f>
        <v>0</v>
      </c>
      <c r="U22" s="39">
        <f t="shared" si="14"/>
        <v>5</v>
      </c>
      <c r="V22" s="39">
        <f t="shared" si="14"/>
        <v>4</v>
      </c>
      <c r="W22" s="39">
        <f t="shared" si="14"/>
        <v>0</v>
      </c>
      <c r="X22" s="39">
        <f t="shared" si="14"/>
        <v>2</v>
      </c>
      <c r="Y22" s="39">
        <f t="shared" si="14"/>
        <v>5</v>
      </c>
      <c r="Z22" s="39">
        <f t="shared" si="14"/>
        <v>1</v>
      </c>
      <c r="AA22" s="39">
        <f t="shared" si="14"/>
        <v>0</v>
      </c>
      <c r="AB22" s="39">
        <f t="shared" si="14"/>
        <v>5</v>
      </c>
      <c r="AC22" s="39">
        <f t="shared" si="14"/>
        <v>3</v>
      </c>
      <c r="AD22" s="39">
        <f t="shared" si="14"/>
        <v>0</v>
      </c>
      <c r="AE22" s="40">
        <f t="shared" si="14"/>
        <v>22</v>
      </c>
      <c r="AF22" s="40">
        <f t="shared" si="14"/>
        <v>24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1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1</v>
      </c>
      <c r="M23" s="50">
        <v>2</v>
      </c>
      <c r="N23" s="50">
        <v>0</v>
      </c>
      <c r="O23" s="15">
        <f t="shared" si="0"/>
        <v>4</v>
      </c>
      <c r="P23" s="15">
        <f t="shared" si="1"/>
        <v>6</v>
      </c>
      <c r="R23" s="38" t="s">
        <v>91</v>
      </c>
      <c r="S23" s="39">
        <f>MAX(S13:S18)</f>
        <v>12</v>
      </c>
      <c r="T23" s="39">
        <f t="shared" ref="T23:AF23" si="15">MAX(T13:T18)</f>
        <v>0</v>
      </c>
      <c r="U23" s="39">
        <f t="shared" si="15"/>
        <v>16</v>
      </c>
      <c r="V23" s="39">
        <f t="shared" si="15"/>
        <v>11</v>
      </c>
      <c r="W23" s="39">
        <f t="shared" si="15"/>
        <v>0</v>
      </c>
      <c r="X23" s="39">
        <f t="shared" si="15"/>
        <v>3</v>
      </c>
      <c r="Y23" s="39">
        <f t="shared" si="15"/>
        <v>3</v>
      </c>
      <c r="Z23" s="39">
        <f t="shared" si="15"/>
        <v>0</v>
      </c>
      <c r="AA23" s="39">
        <f t="shared" si="15"/>
        <v>1</v>
      </c>
      <c r="AB23" s="39">
        <f t="shared" si="15"/>
        <v>6</v>
      </c>
      <c r="AC23" s="39">
        <f t="shared" si="15"/>
        <v>6</v>
      </c>
      <c r="AD23" s="39">
        <f t="shared" si="15"/>
        <v>0</v>
      </c>
      <c r="AE23" s="40">
        <f t="shared" si="15"/>
        <v>38</v>
      </c>
      <c r="AF23" s="40">
        <f t="shared" si="15"/>
        <v>44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2</v>
      </c>
      <c r="F24" s="50">
        <v>1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1</v>
      </c>
      <c r="M24" s="50">
        <v>1</v>
      </c>
      <c r="N24" s="50">
        <v>0</v>
      </c>
      <c r="O24" s="15">
        <f t="shared" si="0"/>
        <v>6</v>
      </c>
      <c r="P24" s="15">
        <f t="shared" si="1"/>
        <v>7</v>
      </c>
      <c r="R24" s="38" t="s">
        <v>92</v>
      </c>
      <c r="S24" s="39">
        <f>MAX(S19:S21)</f>
        <v>10</v>
      </c>
      <c r="T24" s="39">
        <f t="shared" ref="T24:AF24" si="16">MAX(T19:T21)</f>
        <v>0</v>
      </c>
      <c r="U24" s="39">
        <f t="shared" si="16"/>
        <v>14</v>
      </c>
      <c r="V24" s="39">
        <f t="shared" si="16"/>
        <v>15</v>
      </c>
      <c r="W24" s="39">
        <f t="shared" si="16"/>
        <v>1</v>
      </c>
      <c r="X24" s="39">
        <f t="shared" si="16"/>
        <v>3</v>
      </c>
      <c r="Y24" s="39">
        <f t="shared" si="16"/>
        <v>7</v>
      </c>
      <c r="Z24" s="39">
        <f t="shared" si="16"/>
        <v>0</v>
      </c>
      <c r="AA24" s="39">
        <f t="shared" si="16"/>
        <v>0</v>
      </c>
      <c r="AB24" s="39">
        <f t="shared" si="16"/>
        <v>9</v>
      </c>
      <c r="AC24" s="39">
        <f t="shared" si="16"/>
        <v>13</v>
      </c>
      <c r="AD24" s="39">
        <f t="shared" si="16"/>
        <v>0</v>
      </c>
      <c r="AE24" s="40">
        <f t="shared" si="16"/>
        <v>49</v>
      </c>
      <c r="AF24" s="40">
        <f t="shared" si="16"/>
        <v>58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5</v>
      </c>
      <c r="F25" s="50">
        <v>4</v>
      </c>
      <c r="G25" s="50">
        <v>0</v>
      </c>
      <c r="H25" s="50">
        <v>1</v>
      </c>
      <c r="I25" s="50">
        <v>1</v>
      </c>
      <c r="J25" s="50">
        <v>0</v>
      </c>
      <c r="K25" s="50">
        <v>0</v>
      </c>
      <c r="L25" s="50">
        <v>2</v>
      </c>
      <c r="M25" s="50">
        <v>1</v>
      </c>
      <c r="N25" s="50">
        <v>0</v>
      </c>
      <c r="O25" s="15">
        <f t="shared" si="0"/>
        <v>15</v>
      </c>
      <c r="P25" s="15">
        <f t="shared" si="1"/>
        <v>16</v>
      </c>
      <c r="R25" s="37" t="s">
        <v>85</v>
      </c>
      <c r="S25" s="35">
        <f t="shared" ref="S25:AF25" si="17">SUM(S10:S12)</f>
        <v>7</v>
      </c>
      <c r="T25" s="16">
        <f t="shared" si="17"/>
        <v>0</v>
      </c>
      <c r="U25" s="16">
        <f t="shared" si="17"/>
        <v>13</v>
      </c>
      <c r="V25" s="16">
        <f t="shared" si="17"/>
        <v>10</v>
      </c>
      <c r="W25" s="16">
        <f t="shared" si="17"/>
        <v>0</v>
      </c>
      <c r="X25" s="16">
        <f t="shared" si="17"/>
        <v>2</v>
      </c>
      <c r="Y25" s="16">
        <f t="shared" si="17"/>
        <v>12</v>
      </c>
      <c r="Z25" s="16">
        <f t="shared" si="17"/>
        <v>2</v>
      </c>
      <c r="AA25" s="16">
        <f t="shared" si="17"/>
        <v>0</v>
      </c>
      <c r="AB25" s="16">
        <f t="shared" si="17"/>
        <v>9</v>
      </c>
      <c r="AC25" s="16">
        <f t="shared" si="17"/>
        <v>6</v>
      </c>
      <c r="AD25" s="16">
        <f t="shared" si="17"/>
        <v>0</v>
      </c>
      <c r="AE25" s="32">
        <f t="shared" si="17"/>
        <v>55</v>
      </c>
      <c r="AF25" s="32">
        <f t="shared" si="17"/>
        <v>61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5</v>
      </c>
      <c r="F26" s="50">
        <v>3</v>
      </c>
      <c r="G26" s="50">
        <v>0</v>
      </c>
      <c r="H26" s="50">
        <v>1</v>
      </c>
      <c r="I26" s="50">
        <v>0</v>
      </c>
      <c r="J26" s="50">
        <v>0</v>
      </c>
      <c r="K26" s="50">
        <v>0</v>
      </c>
      <c r="L26" s="50">
        <v>2</v>
      </c>
      <c r="M26" s="50">
        <v>1</v>
      </c>
      <c r="N26" s="50">
        <v>0</v>
      </c>
      <c r="O26" s="15">
        <f t="shared" si="0"/>
        <v>12</v>
      </c>
      <c r="P26" s="15">
        <f t="shared" si="1"/>
        <v>13</v>
      </c>
      <c r="R26" s="28" t="s">
        <v>86</v>
      </c>
      <c r="S26" s="16">
        <f t="shared" ref="S26:AF26" si="18">SUM(S13:S18)</f>
        <v>42</v>
      </c>
      <c r="T26" s="16">
        <f t="shared" si="18"/>
        <v>0</v>
      </c>
      <c r="U26" s="16">
        <f t="shared" si="18"/>
        <v>55</v>
      </c>
      <c r="V26" s="16">
        <f t="shared" si="18"/>
        <v>44</v>
      </c>
      <c r="W26" s="16">
        <f t="shared" si="18"/>
        <v>0</v>
      </c>
      <c r="X26" s="16">
        <f t="shared" si="18"/>
        <v>10</v>
      </c>
      <c r="Y26" s="16">
        <f t="shared" si="18"/>
        <v>14</v>
      </c>
      <c r="Z26" s="16">
        <f t="shared" si="18"/>
        <v>0</v>
      </c>
      <c r="AA26" s="16">
        <f t="shared" si="18"/>
        <v>1</v>
      </c>
      <c r="AB26" s="16">
        <f t="shared" si="18"/>
        <v>21</v>
      </c>
      <c r="AC26" s="16">
        <f t="shared" si="18"/>
        <v>30</v>
      </c>
      <c r="AD26" s="16">
        <f t="shared" si="18"/>
        <v>0</v>
      </c>
      <c r="AE26" s="32">
        <f t="shared" si="18"/>
        <v>187</v>
      </c>
      <c r="AF26" s="32">
        <f t="shared" si="18"/>
        <v>217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4</v>
      </c>
      <c r="F27" s="50">
        <v>2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2</v>
      </c>
      <c r="M27" s="50">
        <v>2</v>
      </c>
      <c r="N27" s="50">
        <v>0</v>
      </c>
      <c r="O27" s="15">
        <f t="shared" si="0"/>
        <v>9</v>
      </c>
      <c r="P27" s="15">
        <f t="shared" si="1"/>
        <v>11</v>
      </c>
      <c r="R27" s="29" t="s">
        <v>87</v>
      </c>
      <c r="S27" s="16">
        <f t="shared" ref="S27:AF27" si="19">SUM(S19:S21)</f>
        <v>25</v>
      </c>
      <c r="T27" s="16">
        <f t="shared" si="19"/>
        <v>0</v>
      </c>
      <c r="U27" s="16">
        <f t="shared" si="19"/>
        <v>36</v>
      </c>
      <c r="V27" s="16">
        <f t="shared" si="19"/>
        <v>32</v>
      </c>
      <c r="W27" s="16">
        <f t="shared" si="19"/>
        <v>1</v>
      </c>
      <c r="X27" s="16">
        <f t="shared" si="19"/>
        <v>6</v>
      </c>
      <c r="Y27" s="16">
        <f t="shared" si="19"/>
        <v>13</v>
      </c>
      <c r="Z27" s="16">
        <f t="shared" si="19"/>
        <v>0</v>
      </c>
      <c r="AA27" s="16">
        <f t="shared" si="19"/>
        <v>0</v>
      </c>
      <c r="AB27" s="16">
        <f t="shared" si="19"/>
        <v>14</v>
      </c>
      <c r="AC27" s="16">
        <f t="shared" si="19"/>
        <v>29</v>
      </c>
      <c r="AD27" s="16">
        <f t="shared" si="19"/>
        <v>0</v>
      </c>
      <c r="AE27" s="32">
        <f t="shared" si="19"/>
        <v>127</v>
      </c>
      <c r="AF27" s="32">
        <f t="shared" si="19"/>
        <v>156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4</v>
      </c>
      <c r="F28" s="50">
        <v>2</v>
      </c>
      <c r="G28" s="50">
        <v>0</v>
      </c>
      <c r="H28" s="50">
        <v>1</v>
      </c>
      <c r="I28" s="50">
        <v>0</v>
      </c>
      <c r="J28" s="50">
        <v>0</v>
      </c>
      <c r="K28" s="50">
        <v>0</v>
      </c>
      <c r="L28" s="50">
        <v>0</v>
      </c>
      <c r="M28" s="50">
        <v>2</v>
      </c>
      <c r="N28" s="50">
        <v>0</v>
      </c>
      <c r="O28" s="15">
        <f t="shared" si="0"/>
        <v>7</v>
      </c>
      <c r="P28" s="15">
        <f t="shared" si="1"/>
        <v>9</v>
      </c>
      <c r="R28" s="5" t="s">
        <v>17</v>
      </c>
      <c r="S28" s="16">
        <f t="shared" ref="S28:AF28" si="20">SUM(S10:S21)</f>
        <v>74</v>
      </c>
      <c r="T28" s="16">
        <f t="shared" si="20"/>
        <v>0</v>
      </c>
      <c r="U28" s="16">
        <f t="shared" si="20"/>
        <v>104</v>
      </c>
      <c r="V28" s="16">
        <f t="shared" si="20"/>
        <v>86</v>
      </c>
      <c r="W28" s="16">
        <f t="shared" si="20"/>
        <v>1</v>
      </c>
      <c r="X28" s="16">
        <f t="shared" si="20"/>
        <v>18</v>
      </c>
      <c r="Y28" s="16">
        <f t="shared" si="20"/>
        <v>39</v>
      </c>
      <c r="Z28" s="16">
        <f t="shared" si="20"/>
        <v>2</v>
      </c>
      <c r="AA28" s="16">
        <f t="shared" si="20"/>
        <v>1</v>
      </c>
      <c r="AB28" s="16">
        <f t="shared" si="20"/>
        <v>44</v>
      </c>
      <c r="AC28" s="16">
        <f t="shared" si="20"/>
        <v>65</v>
      </c>
      <c r="AD28" s="16">
        <f t="shared" si="20"/>
        <v>0</v>
      </c>
      <c r="AE28" s="32">
        <f t="shared" si="20"/>
        <v>369</v>
      </c>
      <c r="AF28" s="32">
        <f t="shared" si="20"/>
        <v>434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3</v>
      </c>
      <c r="F29" s="50">
        <v>1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2</v>
      </c>
      <c r="M29" s="50">
        <v>1</v>
      </c>
      <c r="N29" s="50">
        <v>0</v>
      </c>
      <c r="O29" s="15">
        <f t="shared" si="0"/>
        <v>10</v>
      </c>
      <c r="P29" s="15">
        <f t="shared" si="1"/>
        <v>11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3</v>
      </c>
      <c r="F30" s="50">
        <v>2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1</v>
      </c>
      <c r="M30" s="50">
        <v>1</v>
      </c>
      <c r="N30" s="50">
        <v>0</v>
      </c>
      <c r="O30" s="15">
        <f t="shared" si="0"/>
        <v>7</v>
      </c>
      <c r="P30" s="15">
        <f t="shared" si="1"/>
        <v>8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2</v>
      </c>
      <c r="N31" s="50">
        <v>0</v>
      </c>
      <c r="O31" s="15">
        <f t="shared" si="0"/>
        <v>2</v>
      </c>
      <c r="P31" s="15">
        <f t="shared" si="1"/>
        <v>4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0</v>
      </c>
      <c r="F32" s="50">
        <v>2</v>
      </c>
      <c r="G32" s="50">
        <v>0</v>
      </c>
      <c r="H32" s="50">
        <v>2</v>
      </c>
      <c r="I32" s="50">
        <v>1</v>
      </c>
      <c r="J32" s="50">
        <v>0</v>
      </c>
      <c r="K32" s="50">
        <v>0</v>
      </c>
      <c r="L32" s="50">
        <v>0</v>
      </c>
      <c r="M32" s="50">
        <v>1</v>
      </c>
      <c r="N32" s="50">
        <v>0</v>
      </c>
      <c r="O32" s="15">
        <f t="shared" si="0"/>
        <v>7</v>
      </c>
      <c r="P32" s="15">
        <f t="shared" si="1"/>
        <v>8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1</v>
      </c>
      <c r="F33" s="50">
        <v>3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</v>
      </c>
      <c r="N33" s="50">
        <v>0</v>
      </c>
      <c r="O33" s="15">
        <f t="shared" si="0"/>
        <v>6</v>
      </c>
      <c r="P33" s="15">
        <f t="shared" si="1"/>
        <v>7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1</v>
      </c>
      <c r="F34" s="50">
        <v>3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</v>
      </c>
      <c r="N34" s="50">
        <v>0</v>
      </c>
      <c r="O34" s="15">
        <f t="shared" si="0"/>
        <v>5</v>
      </c>
      <c r="P34" s="15">
        <f t="shared" si="1"/>
        <v>6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4</v>
      </c>
      <c r="F35" s="50">
        <v>3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1</v>
      </c>
      <c r="M35" s="50">
        <v>1</v>
      </c>
      <c r="N35" s="50">
        <v>0</v>
      </c>
      <c r="O35" s="15">
        <f t="shared" si="0"/>
        <v>9</v>
      </c>
      <c r="P35" s="15">
        <f t="shared" si="1"/>
        <v>10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3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</v>
      </c>
      <c r="N36" s="50">
        <v>0</v>
      </c>
      <c r="O36" s="15">
        <f t="shared" si="0"/>
        <v>6</v>
      </c>
      <c r="P36" s="15">
        <f t="shared" si="1"/>
        <v>7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1</v>
      </c>
      <c r="F37" s="50">
        <v>2</v>
      </c>
      <c r="G37" s="50">
        <v>0</v>
      </c>
      <c r="H37" s="50">
        <v>1</v>
      </c>
      <c r="I37" s="50">
        <v>0</v>
      </c>
      <c r="J37" s="50">
        <v>0</v>
      </c>
      <c r="K37" s="50">
        <v>1</v>
      </c>
      <c r="L37" s="50">
        <v>1</v>
      </c>
      <c r="M37" s="50">
        <v>2</v>
      </c>
      <c r="N37" s="50">
        <v>0</v>
      </c>
      <c r="O37" s="15">
        <f t="shared" si="0"/>
        <v>8</v>
      </c>
      <c r="P37" s="15">
        <f t="shared" si="1"/>
        <v>10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1</v>
      </c>
      <c r="F38" s="50">
        <v>2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1</v>
      </c>
      <c r="M38" s="50">
        <v>2</v>
      </c>
      <c r="N38" s="50">
        <v>0</v>
      </c>
      <c r="O38" s="15">
        <f t="shared" si="0"/>
        <v>8</v>
      </c>
      <c r="P38" s="15">
        <f t="shared" si="1"/>
        <v>10</v>
      </c>
    </row>
    <row r="39" spans="2:20" ht="23.1" customHeight="1" x14ac:dyDescent="0.25">
      <c r="B39" s="24" t="s">
        <v>66</v>
      </c>
      <c r="C39" s="50">
        <v>3</v>
      </c>
      <c r="D39" s="50">
        <v>0</v>
      </c>
      <c r="E39" s="50">
        <v>2</v>
      </c>
      <c r="F39" s="50">
        <v>2</v>
      </c>
      <c r="G39" s="50">
        <v>0</v>
      </c>
      <c r="H39" s="50">
        <v>1</v>
      </c>
      <c r="I39" s="50">
        <v>0</v>
      </c>
      <c r="J39" s="50">
        <v>0</v>
      </c>
      <c r="K39" s="50">
        <v>0</v>
      </c>
      <c r="L39" s="50">
        <v>0</v>
      </c>
      <c r="M39" s="50">
        <v>1</v>
      </c>
      <c r="N39" s="50">
        <v>0</v>
      </c>
      <c r="O39" s="15">
        <f t="shared" si="0"/>
        <v>8</v>
      </c>
      <c r="P39" s="15">
        <f t="shared" si="1"/>
        <v>9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2</v>
      </c>
      <c r="F40" s="50">
        <v>2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2</v>
      </c>
      <c r="M40" s="50">
        <v>0</v>
      </c>
      <c r="N40" s="50">
        <v>0</v>
      </c>
      <c r="O40" s="15">
        <f t="shared" si="0"/>
        <v>8</v>
      </c>
      <c r="P40" s="15">
        <f t="shared" si="1"/>
        <v>8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3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1</v>
      </c>
      <c r="M41" s="50">
        <v>0</v>
      </c>
      <c r="N41" s="50">
        <v>0</v>
      </c>
      <c r="O41" s="15">
        <f t="shared" si="0"/>
        <v>6</v>
      </c>
      <c r="P41" s="15">
        <f t="shared" si="1"/>
        <v>6</v>
      </c>
    </row>
    <row r="42" spans="2:20" ht="23.1" customHeight="1" x14ac:dyDescent="0.25">
      <c r="B42" s="24" t="s">
        <v>69</v>
      </c>
      <c r="C42" s="50">
        <v>3</v>
      </c>
      <c r="D42" s="50">
        <v>0</v>
      </c>
      <c r="E42" s="50">
        <v>3</v>
      </c>
      <c r="F42" s="50">
        <v>2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1</v>
      </c>
      <c r="M42" s="50">
        <v>2</v>
      </c>
      <c r="N42" s="50">
        <v>0</v>
      </c>
      <c r="O42" s="15">
        <f t="shared" si="0"/>
        <v>10</v>
      </c>
      <c r="P42" s="15">
        <f t="shared" si="1"/>
        <v>12</v>
      </c>
    </row>
    <row r="43" spans="2:20" ht="23.1" customHeight="1" x14ac:dyDescent="0.25">
      <c r="B43" s="23" t="s">
        <v>70</v>
      </c>
      <c r="C43" s="50">
        <v>5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1</v>
      </c>
      <c r="M43" s="50">
        <v>2</v>
      </c>
      <c r="N43" s="50">
        <v>0</v>
      </c>
      <c r="O43" s="15">
        <f t="shared" si="0"/>
        <v>8</v>
      </c>
      <c r="P43" s="15">
        <f t="shared" si="1"/>
        <v>10</v>
      </c>
    </row>
    <row r="44" spans="2:20" ht="23.1" customHeight="1" x14ac:dyDescent="0.25">
      <c r="B44" s="25" t="s">
        <v>71</v>
      </c>
      <c r="C44" s="50">
        <v>3</v>
      </c>
      <c r="D44" s="50">
        <v>0</v>
      </c>
      <c r="E44" s="50">
        <v>3</v>
      </c>
      <c r="F44" s="50">
        <v>0</v>
      </c>
      <c r="G44" s="50">
        <v>0</v>
      </c>
      <c r="H44" s="50">
        <v>2</v>
      </c>
      <c r="I44" s="50">
        <v>1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9</v>
      </c>
      <c r="P44" s="15">
        <f t="shared" si="1"/>
        <v>9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2</v>
      </c>
      <c r="F45" s="50">
        <v>0</v>
      </c>
      <c r="G45" s="50">
        <v>0</v>
      </c>
      <c r="H45" s="50">
        <v>1</v>
      </c>
      <c r="I45" s="50">
        <v>0</v>
      </c>
      <c r="J45" s="50">
        <v>0</v>
      </c>
      <c r="K45" s="50">
        <v>0</v>
      </c>
      <c r="L45" s="50">
        <v>0</v>
      </c>
      <c r="M45" s="50">
        <v>2</v>
      </c>
      <c r="N45" s="50">
        <v>0</v>
      </c>
      <c r="O45" s="15">
        <f t="shared" si="0"/>
        <v>4</v>
      </c>
      <c r="P45" s="15">
        <f t="shared" si="1"/>
        <v>6</v>
      </c>
    </row>
    <row r="46" spans="2:20" ht="23.1" customHeight="1" x14ac:dyDescent="0.25">
      <c r="B46" s="24" t="s">
        <v>73</v>
      </c>
      <c r="C46" s="50">
        <v>4</v>
      </c>
      <c r="D46" s="50">
        <v>0</v>
      </c>
      <c r="E46" s="50">
        <v>4</v>
      </c>
      <c r="F46" s="50">
        <v>4</v>
      </c>
      <c r="G46" s="50">
        <v>0</v>
      </c>
      <c r="H46" s="50">
        <v>0</v>
      </c>
      <c r="I46" s="50">
        <v>3</v>
      </c>
      <c r="J46" s="50">
        <v>0</v>
      </c>
      <c r="K46" s="50">
        <v>0</v>
      </c>
      <c r="L46" s="50">
        <v>3</v>
      </c>
      <c r="M46" s="50">
        <v>3</v>
      </c>
      <c r="N46" s="50">
        <v>0</v>
      </c>
      <c r="O46" s="15">
        <f t="shared" si="0"/>
        <v>18</v>
      </c>
      <c r="P46" s="15">
        <f t="shared" si="1"/>
        <v>21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0</v>
      </c>
      <c r="E47" s="50">
        <v>1</v>
      </c>
      <c r="F47" s="50">
        <v>3</v>
      </c>
      <c r="G47" s="50">
        <v>0</v>
      </c>
      <c r="H47" s="50">
        <v>2</v>
      </c>
      <c r="I47" s="50">
        <v>0</v>
      </c>
      <c r="J47" s="50">
        <v>0</v>
      </c>
      <c r="K47" s="50">
        <v>0</v>
      </c>
      <c r="L47" s="50">
        <v>0</v>
      </c>
      <c r="M47" s="50">
        <v>6</v>
      </c>
      <c r="N47" s="50">
        <v>0</v>
      </c>
      <c r="O47" s="15">
        <f t="shared" si="0"/>
        <v>9</v>
      </c>
      <c r="P47" s="15">
        <f t="shared" si="1"/>
        <v>15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3</v>
      </c>
      <c r="F48" s="50">
        <v>2</v>
      </c>
      <c r="G48" s="50">
        <v>1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1</v>
      </c>
      <c r="N48" s="50">
        <v>0</v>
      </c>
      <c r="O48" s="15">
        <f t="shared" si="0"/>
        <v>10</v>
      </c>
      <c r="P48" s="15">
        <f t="shared" si="1"/>
        <v>11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2</v>
      </c>
      <c r="F49" s="50">
        <v>2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1</v>
      </c>
      <c r="M49" s="50">
        <v>3</v>
      </c>
      <c r="N49" s="50">
        <v>0</v>
      </c>
      <c r="O49" s="15">
        <f t="shared" si="0"/>
        <v>8</v>
      </c>
      <c r="P49" s="15">
        <f t="shared" si="1"/>
        <v>11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3</v>
      </c>
      <c r="F50" s="50">
        <v>3</v>
      </c>
      <c r="G50" s="50">
        <v>0</v>
      </c>
      <c r="H50" s="50">
        <v>1</v>
      </c>
      <c r="I50" s="50">
        <v>0</v>
      </c>
      <c r="J50" s="50">
        <v>0</v>
      </c>
      <c r="K50" s="50">
        <v>0</v>
      </c>
      <c r="L50" s="50">
        <v>5</v>
      </c>
      <c r="M50" s="50">
        <v>2</v>
      </c>
      <c r="N50" s="50">
        <v>0</v>
      </c>
      <c r="O50" s="15">
        <f t="shared" si="0"/>
        <v>14</v>
      </c>
      <c r="P50" s="15">
        <f t="shared" si="1"/>
        <v>16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1</v>
      </c>
      <c r="F51" s="50">
        <v>2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1</v>
      </c>
      <c r="M51" s="50">
        <v>2</v>
      </c>
      <c r="N51" s="50">
        <v>0</v>
      </c>
      <c r="O51" s="15">
        <f t="shared" si="0"/>
        <v>7</v>
      </c>
      <c r="P51" s="15">
        <f t="shared" si="1"/>
        <v>9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4</v>
      </c>
      <c r="F52" s="50">
        <v>3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1</v>
      </c>
      <c r="M52" s="50">
        <v>3</v>
      </c>
      <c r="N52" s="50">
        <v>0</v>
      </c>
      <c r="O52" s="15">
        <f t="shared" si="0"/>
        <v>10</v>
      </c>
      <c r="P52" s="15">
        <f t="shared" si="1"/>
        <v>13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6</v>
      </c>
      <c r="F53" s="50">
        <v>7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2</v>
      </c>
      <c r="M53" s="50">
        <v>2</v>
      </c>
      <c r="N53" s="50">
        <v>0</v>
      </c>
      <c r="O53" s="15">
        <f t="shared" si="0"/>
        <v>18</v>
      </c>
      <c r="P53" s="15">
        <f t="shared" si="1"/>
        <v>20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6</v>
      </c>
      <c r="F54" s="50">
        <v>2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3</v>
      </c>
      <c r="N54" s="50">
        <v>0</v>
      </c>
      <c r="O54" s="15">
        <f t="shared" si="0"/>
        <v>12</v>
      </c>
      <c r="P54" s="15">
        <f t="shared" si="1"/>
        <v>15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3</v>
      </c>
      <c r="F55" s="50">
        <v>0</v>
      </c>
      <c r="G55" s="50">
        <v>0</v>
      </c>
      <c r="H55" s="50">
        <v>1</v>
      </c>
      <c r="I55" s="50">
        <v>1</v>
      </c>
      <c r="J55" s="50">
        <v>0</v>
      </c>
      <c r="K55" s="50">
        <v>0</v>
      </c>
      <c r="L55" s="50">
        <v>0</v>
      </c>
      <c r="M55" s="50">
        <v>2</v>
      </c>
      <c r="N55" s="50">
        <v>0</v>
      </c>
      <c r="O55" s="15">
        <f t="shared" si="0"/>
        <v>6</v>
      </c>
      <c r="P55" s="15">
        <f t="shared" si="1"/>
        <v>8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0</v>
      </c>
      <c r="E56" s="50">
        <v>2</v>
      </c>
      <c r="F56" s="50">
        <v>4</v>
      </c>
      <c r="G56" s="50">
        <v>0</v>
      </c>
      <c r="H56" s="50">
        <v>2</v>
      </c>
      <c r="I56" s="50">
        <v>1</v>
      </c>
      <c r="J56" s="50">
        <v>0</v>
      </c>
      <c r="K56" s="50">
        <v>0</v>
      </c>
      <c r="L56" s="50">
        <v>1</v>
      </c>
      <c r="M56" s="50">
        <v>0</v>
      </c>
      <c r="N56" s="50">
        <v>0</v>
      </c>
      <c r="O56" s="15">
        <f t="shared" si="0"/>
        <v>14</v>
      </c>
      <c r="P56" s="15">
        <f t="shared" si="1"/>
        <v>14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</v>
      </c>
      <c r="N57" s="50">
        <v>0</v>
      </c>
      <c r="O57" s="15">
        <f t="shared" si="0"/>
        <v>1</v>
      </c>
      <c r="P57" s="15">
        <f t="shared" si="1"/>
        <v>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74</v>
      </c>
      <c r="D58" s="16">
        <f t="shared" si="21"/>
        <v>0</v>
      </c>
      <c r="E58" s="16">
        <f t="shared" si="21"/>
        <v>104</v>
      </c>
      <c r="F58" s="16">
        <f t="shared" si="21"/>
        <v>86</v>
      </c>
      <c r="G58" s="16">
        <f t="shared" si="21"/>
        <v>1</v>
      </c>
      <c r="H58" s="16">
        <f t="shared" si="21"/>
        <v>18</v>
      </c>
      <c r="I58" s="16">
        <f t="shared" si="21"/>
        <v>39</v>
      </c>
      <c r="J58" s="16">
        <f t="shared" si="21"/>
        <v>2</v>
      </c>
      <c r="K58" s="16">
        <f t="shared" si="21"/>
        <v>1</v>
      </c>
      <c r="L58" s="16">
        <f t="shared" si="21"/>
        <v>44</v>
      </c>
      <c r="M58" s="16">
        <f t="shared" si="21"/>
        <v>65</v>
      </c>
      <c r="N58" s="16">
        <f t="shared" si="21"/>
        <v>0</v>
      </c>
      <c r="O58" s="16">
        <f t="shared" si="21"/>
        <v>369</v>
      </c>
      <c r="P58" s="16">
        <f t="shared" si="21"/>
        <v>434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0.17050691244239632</v>
      </c>
      <c r="D59" s="43">
        <f t="shared" si="22"/>
        <v>0</v>
      </c>
      <c r="E59" s="43">
        <f t="shared" si="22"/>
        <v>0.23963133640552994</v>
      </c>
      <c r="F59" s="43">
        <f t="shared" si="22"/>
        <v>0.19815668202764977</v>
      </c>
      <c r="G59" s="43">
        <f t="shared" si="22"/>
        <v>2.304147465437788E-3</v>
      </c>
      <c r="H59" s="43">
        <f t="shared" si="22"/>
        <v>4.1474654377880185E-2</v>
      </c>
      <c r="I59" s="43">
        <f t="shared" si="22"/>
        <v>8.9861751152073732E-2</v>
      </c>
      <c r="J59" s="43">
        <f t="shared" si="22"/>
        <v>4.608294930875576E-3</v>
      </c>
      <c r="K59" s="43">
        <f t="shared" si="22"/>
        <v>2.304147465437788E-3</v>
      </c>
      <c r="L59" s="43">
        <f t="shared" si="22"/>
        <v>0.10138248847926268</v>
      </c>
      <c r="M59" s="43">
        <f t="shared" si="22"/>
        <v>0.14976958525345621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0.20054200542005421</v>
      </c>
      <c r="D60" s="44">
        <f t="shared" ref="D60:N60" si="23">D58/$O$58</f>
        <v>0</v>
      </c>
      <c r="E60" s="44">
        <f t="shared" si="23"/>
        <v>0.28184281842818426</v>
      </c>
      <c r="F60" s="44">
        <f t="shared" si="23"/>
        <v>0.23306233062330622</v>
      </c>
      <c r="G60" s="44">
        <f t="shared" si="23"/>
        <v>2.7100271002710027E-3</v>
      </c>
      <c r="H60" s="44">
        <f t="shared" si="23"/>
        <v>4.878048780487805E-2</v>
      </c>
      <c r="I60" s="44">
        <f t="shared" si="23"/>
        <v>0.10569105691056911</v>
      </c>
      <c r="J60" s="44">
        <f t="shared" si="23"/>
        <v>5.4200542005420054E-3</v>
      </c>
      <c r="K60" s="44">
        <f t="shared" si="23"/>
        <v>2.7100271002710027E-3</v>
      </c>
      <c r="L60" s="44">
        <f t="shared" si="23"/>
        <v>0.11924119241192412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zoomScale="60" workbookViewId="0">
      <selection activeCell="P7" sqref="P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FORTPORTAL-KYENJOJO'!C3:G3</f>
        <v>C4 - STN107-FORTPORTAL-KYENJONJO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'04.08 KYENJOJO-FORTP'!D5</f>
        <v>28.07.19</v>
      </c>
      <c r="E5" s="3"/>
      <c r="F5" s="41" t="s">
        <v>1</v>
      </c>
      <c r="G5" s="63" t="str">
        <f>'04.08 KYENJOJO-FORTP'!G5:H5</f>
        <v>xxx</v>
      </c>
      <c r="H5" s="64"/>
      <c r="I5" s="14"/>
      <c r="J5" s="2" t="s">
        <v>5</v>
      </c>
      <c r="K5" s="63" t="str">
        <f>'04.08 KYENJOJO-FORTP'!K5:L5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FORTPORTAL-KYENJOJO'!D6:E6</f>
        <v>FORTPORTAL</v>
      </c>
      <c r="E6" s="64"/>
      <c r="F6" s="2" t="s">
        <v>2</v>
      </c>
      <c r="G6" s="63" t="str">
        <f>'29.07 FORTPORTAL-KYENJOJO'!G6:H6</f>
        <v>KYENJOJO</v>
      </c>
      <c r="H6" s="64"/>
      <c r="J6" s="2" t="s">
        <v>21</v>
      </c>
      <c r="K6" s="63" t="str">
        <f>'04.08 KYENJOJO-FORTP'!K6:L6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2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1</v>
      </c>
      <c r="M10" s="50">
        <v>0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3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3</v>
      </c>
      <c r="V10" s="17">
        <f t="shared" si="2"/>
        <v>4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1</v>
      </c>
      <c r="AB10" s="17">
        <f t="shared" si="2"/>
        <v>3</v>
      </c>
      <c r="AC10" s="17">
        <f t="shared" si="2"/>
        <v>5</v>
      </c>
      <c r="AD10" s="17">
        <f t="shared" si="2"/>
        <v>0</v>
      </c>
      <c r="AE10" s="31">
        <f t="shared" si="2"/>
        <v>12</v>
      </c>
      <c r="AF10" s="31">
        <f t="shared" si="2"/>
        <v>17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2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1</v>
      </c>
      <c r="L11" s="50">
        <v>1</v>
      </c>
      <c r="M11" s="50">
        <v>3</v>
      </c>
      <c r="N11" s="50">
        <v>0</v>
      </c>
      <c r="O11" s="15">
        <f t="shared" si="0"/>
        <v>5</v>
      </c>
      <c r="P11" s="15">
        <f t="shared" si="1"/>
        <v>8</v>
      </c>
      <c r="R11" s="1" t="s">
        <v>7</v>
      </c>
      <c r="S11" s="17">
        <f t="shared" ref="S11:AF11" si="3">SUM(C14:C17)</f>
        <v>5</v>
      </c>
      <c r="T11" s="17">
        <f t="shared" si="3"/>
        <v>0</v>
      </c>
      <c r="U11" s="17">
        <f t="shared" si="3"/>
        <v>6</v>
      </c>
      <c r="V11" s="17">
        <f t="shared" si="3"/>
        <v>7</v>
      </c>
      <c r="W11" s="17">
        <f t="shared" si="3"/>
        <v>0</v>
      </c>
      <c r="X11" s="17">
        <f t="shared" si="3"/>
        <v>1</v>
      </c>
      <c r="Y11" s="17">
        <f t="shared" si="3"/>
        <v>2</v>
      </c>
      <c r="Z11" s="17">
        <f t="shared" si="3"/>
        <v>1</v>
      </c>
      <c r="AA11" s="17">
        <f t="shared" si="3"/>
        <v>0</v>
      </c>
      <c r="AB11" s="17">
        <f t="shared" si="3"/>
        <v>1</v>
      </c>
      <c r="AC11" s="17">
        <f t="shared" si="3"/>
        <v>4</v>
      </c>
      <c r="AD11" s="17">
        <f t="shared" si="3"/>
        <v>0</v>
      </c>
      <c r="AE11" s="31">
        <f t="shared" si="3"/>
        <v>23</v>
      </c>
      <c r="AF11" s="31">
        <f t="shared" si="3"/>
        <v>27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2</v>
      </c>
      <c r="N12" s="50">
        <v>0</v>
      </c>
      <c r="O12" s="15">
        <f t="shared" si="0"/>
        <v>2</v>
      </c>
      <c r="P12" s="15">
        <f t="shared" si="1"/>
        <v>4</v>
      </c>
      <c r="R12" s="1" t="s">
        <v>8</v>
      </c>
      <c r="S12" s="17">
        <f t="shared" ref="S12:AF12" si="4">SUM(C18:C21)</f>
        <v>8</v>
      </c>
      <c r="T12" s="17">
        <f t="shared" si="4"/>
        <v>0</v>
      </c>
      <c r="U12" s="17">
        <f t="shared" si="4"/>
        <v>10</v>
      </c>
      <c r="V12" s="17">
        <f t="shared" si="4"/>
        <v>7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4</v>
      </c>
      <c r="AC12" s="17">
        <f t="shared" si="4"/>
        <v>0</v>
      </c>
      <c r="AD12" s="17">
        <f t="shared" si="4"/>
        <v>0</v>
      </c>
      <c r="AE12" s="31">
        <f t="shared" si="4"/>
        <v>31</v>
      </c>
      <c r="AF12" s="31">
        <f t="shared" si="4"/>
        <v>31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1</v>
      </c>
      <c r="M13" s="50">
        <v>0</v>
      </c>
      <c r="N13" s="50">
        <v>0</v>
      </c>
      <c r="O13" s="15">
        <f t="shared" si="0"/>
        <v>2</v>
      </c>
      <c r="P13" s="15">
        <f t="shared" si="1"/>
        <v>2</v>
      </c>
      <c r="R13" s="1" t="s">
        <v>9</v>
      </c>
      <c r="S13" s="17">
        <f t="shared" ref="S13:AF13" si="5">SUM(C22:C25)</f>
        <v>6</v>
      </c>
      <c r="T13" s="17">
        <f t="shared" si="5"/>
        <v>0</v>
      </c>
      <c r="U13" s="17">
        <f t="shared" si="5"/>
        <v>8</v>
      </c>
      <c r="V13" s="17">
        <f t="shared" si="5"/>
        <v>10</v>
      </c>
      <c r="W13" s="17">
        <f t="shared" si="5"/>
        <v>0</v>
      </c>
      <c r="X13" s="17">
        <f t="shared" si="5"/>
        <v>2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4</v>
      </c>
      <c r="AC13" s="17">
        <f t="shared" si="5"/>
        <v>4</v>
      </c>
      <c r="AD13" s="17">
        <f t="shared" si="5"/>
        <v>0</v>
      </c>
      <c r="AE13" s="31">
        <f t="shared" si="5"/>
        <v>33</v>
      </c>
      <c r="AF13" s="31">
        <f t="shared" si="5"/>
        <v>37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0</v>
      </c>
      <c r="F14" s="50">
        <v>2</v>
      </c>
      <c r="G14" s="50">
        <v>0</v>
      </c>
      <c r="H14" s="50">
        <v>1</v>
      </c>
      <c r="I14" s="50">
        <v>0</v>
      </c>
      <c r="J14" s="50">
        <v>0</v>
      </c>
      <c r="K14" s="50">
        <v>0</v>
      </c>
      <c r="L14" s="50">
        <v>1</v>
      </c>
      <c r="M14" s="50">
        <v>0</v>
      </c>
      <c r="N14" s="50">
        <v>0</v>
      </c>
      <c r="O14" s="15">
        <f t="shared" si="0"/>
        <v>7</v>
      </c>
      <c r="P14" s="15">
        <f t="shared" si="1"/>
        <v>7</v>
      </c>
      <c r="R14" s="1" t="s">
        <v>10</v>
      </c>
      <c r="S14" s="17">
        <f t="shared" ref="S14:AF14" si="6">SUM(C26:C29)</f>
        <v>6</v>
      </c>
      <c r="T14" s="17">
        <f t="shared" si="6"/>
        <v>0</v>
      </c>
      <c r="U14" s="17">
        <f t="shared" si="6"/>
        <v>18</v>
      </c>
      <c r="V14" s="17">
        <f t="shared" si="6"/>
        <v>8</v>
      </c>
      <c r="W14" s="17">
        <f t="shared" si="6"/>
        <v>0</v>
      </c>
      <c r="X14" s="17">
        <f t="shared" si="6"/>
        <v>1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1</v>
      </c>
      <c r="AC14" s="17">
        <f t="shared" si="6"/>
        <v>7</v>
      </c>
      <c r="AD14" s="17">
        <f t="shared" si="6"/>
        <v>0</v>
      </c>
      <c r="AE14" s="31">
        <f t="shared" si="6"/>
        <v>34</v>
      </c>
      <c r="AF14" s="31">
        <f t="shared" si="6"/>
        <v>41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3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4</v>
      </c>
      <c r="P15" s="15">
        <f t="shared" si="1"/>
        <v>4</v>
      </c>
      <c r="R15" s="1" t="s">
        <v>11</v>
      </c>
      <c r="S15" s="17">
        <f t="shared" ref="S15:AF15" si="7">SUM(C30:C33)</f>
        <v>8</v>
      </c>
      <c r="T15" s="17">
        <f t="shared" si="7"/>
        <v>0</v>
      </c>
      <c r="U15" s="17">
        <f t="shared" si="7"/>
        <v>16</v>
      </c>
      <c r="V15" s="17">
        <f t="shared" si="7"/>
        <v>10</v>
      </c>
      <c r="W15" s="17">
        <f t="shared" si="7"/>
        <v>1</v>
      </c>
      <c r="X15" s="17">
        <f t="shared" si="7"/>
        <v>4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1</v>
      </c>
      <c r="AD15" s="17">
        <f t="shared" si="7"/>
        <v>0</v>
      </c>
      <c r="AE15" s="31">
        <f t="shared" si="7"/>
        <v>40</v>
      </c>
      <c r="AF15" s="31">
        <f t="shared" si="7"/>
        <v>41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3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</v>
      </c>
      <c r="N16" s="50">
        <v>0</v>
      </c>
      <c r="O16" s="15">
        <f t="shared" si="0"/>
        <v>5</v>
      </c>
      <c r="P16" s="15">
        <f t="shared" si="1"/>
        <v>6</v>
      </c>
      <c r="R16" s="1" t="s">
        <v>12</v>
      </c>
      <c r="S16" s="17">
        <f t="shared" ref="S16:AF16" si="8">SUM(C34:C37)</f>
        <v>9</v>
      </c>
      <c r="T16" s="17">
        <f t="shared" si="8"/>
        <v>0</v>
      </c>
      <c r="U16" s="17">
        <f t="shared" si="8"/>
        <v>15</v>
      </c>
      <c r="V16" s="17">
        <f t="shared" si="8"/>
        <v>9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1</v>
      </c>
      <c r="AC16" s="17">
        <f t="shared" si="8"/>
        <v>3</v>
      </c>
      <c r="AD16" s="17">
        <f t="shared" si="8"/>
        <v>0</v>
      </c>
      <c r="AE16" s="31">
        <f t="shared" si="8"/>
        <v>37</v>
      </c>
      <c r="AF16" s="31">
        <f t="shared" si="8"/>
        <v>40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2</v>
      </c>
      <c r="F17" s="50">
        <v>1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7</v>
      </c>
      <c r="P17" s="15">
        <f t="shared" si="1"/>
        <v>10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10</v>
      </c>
      <c r="V17" s="17">
        <f t="shared" si="9"/>
        <v>3</v>
      </c>
      <c r="W17" s="17">
        <f t="shared" si="9"/>
        <v>0</v>
      </c>
      <c r="X17" s="17">
        <f t="shared" si="9"/>
        <v>3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4</v>
      </c>
      <c r="AC17" s="17">
        <f t="shared" si="9"/>
        <v>2</v>
      </c>
      <c r="AD17" s="17">
        <f t="shared" si="9"/>
        <v>0</v>
      </c>
      <c r="AE17" s="31">
        <f t="shared" si="9"/>
        <v>25</v>
      </c>
      <c r="AF17" s="31">
        <f t="shared" si="9"/>
        <v>27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2</v>
      </c>
      <c r="F18" s="50">
        <v>2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2</v>
      </c>
      <c r="M18" s="50">
        <v>0</v>
      </c>
      <c r="N18" s="50">
        <v>0</v>
      </c>
      <c r="O18" s="15">
        <f t="shared" si="0"/>
        <v>9</v>
      </c>
      <c r="P18" s="15">
        <f t="shared" si="1"/>
        <v>9</v>
      </c>
      <c r="R18" s="1" t="s">
        <v>14</v>
      </c>
      <c r="S18" s="17">
        <f t="shared" ref="S18:AF18" si="10">SUM(C42:C45)</f>
        <v>15</v>
      </c>
      <c r="T18" s="17">
        <f t="shared" si="10"/>
        <v>0</v>
      </c>
      <c r="U18" s="17">
        <f t="shared" si="10"/>
        <v>9</v>
      </c>
      <c r="V18" s="17">
        <f t="shared" si="10"/>
        <v>9</v>
      </c>
      <c r="W18" s="17">
        <f t="shared" si="10"/>
        <v>1</v>
      </c>
      <c r="X18" s="17">
        <f t="shared" si="10"/>
        <v>1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3</v>
      </c>
      <c r="AC18" s="17">
        <f t="shared" si="10"/>
        <v>5</v>
      </c>
      <c r="AD18" s="17">
        <f t="shared" si="10"/>
        <v>0</v>
      </c>
      <c r="AE18" s="31">
        <f t="shared" si="10"/>
        <v>39</v>
      </c>
      <c r="AF18" s="31">
        <f t="shared" si="10"/>
        <v>44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1</v>
      </c>
      <c r="F19" s="50">
        <v>2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1</v>
      </c>
      <c r="M19" s="50">
        <v>0</v>
      </c>
      <c r="N19" s="50">
        <v>0</v>
      </c>
      <c r="O19" s="15">
        <f t="shared" si="0"/>
        <v>6</v>
      </c>
      <c r="P19" s="15">
        <f t="shared" si="1"/>
        <v>6</v>
      </c>
      <c r="R19" s="1" t="s">
        <v>15</v>
      </c>
      <c r="S19" s="17">
        <f t="shared" ref="S19:AF19" si="11">SUM(C46:C49)</f>
        <v>11</v>
      </c>
      <c r="T19" s="17">
        <f t="shared" si="11"/>
        <v>0</v>
      </c>
      <c r="U19" s="17">
        <f t="shared" si="11"/>
        <v>15</v>
      </c>
      <c r="V19" s="17">
        <f t="shared" si="11"/>
        <v>10</v>
      </c>
      <c r="W19" s="17">
        <f t="shared" si="11"/>
        <v>0</v>
      </c>
      <c r="X19" s="17">
        <f t="shared" si="11"/>
        <v>1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7</v>
      </c>
      <c r="AD19" s="17">
        <f t="shared" si="11"/>
        <v>0</v>
      </c>
      <c r="AE19" s="31">
        <f t="shared" si="11"/>
        <v>40</v>
      </c>
      <c r="AF19" s="31">
        <f t="shared" si="11"/>
        <v>47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4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1</v>
      </c>
      <c r="M20" s="50">
        <v>0</v>
      </c>
      <c r="N20" s="50">
        <v>0</v>
      </c>
      <c r="O20" s="15">
        <f t="shared" si="0"/>
        <v>9</v>
      </c>
      <c r="P20" s="15">
        <f t="shared" si="1"/>
        <v>9</v>
      </c>
      <c r="R20" s="1" t="s">
        <v>16</v>
      </c>
      <c r="S20" s="17">
        <f t="shared" ref="S20:AF20" si="12">SUM(C50:C53)</f>
        <v>10</v>
      </c>
      <c r="T20" s="17">
        <f t="shared" si="12"/>
        <v>0</v>
      </c>
      <c r="U20" s="17">
        <f t="shared" si="12"/>
        <v>14</v>
      </c>
      <c r="V20" s="17">
        <f t="shared" si="12"/>
        <v>10</v>
      </c>
      <c r="W20" s="17">
        <f t="shared" si="12"/>
        <v>0</v>
      </c>
      <c r="X20" s="17">
        <f t="shared" si="12"/>
        <v>2</v>
      </c>
      <c r="Y20" s="17">
        <f t="shared" si="12"/>
        <v>7</v>
      </c>
      <c r="Z20" s="17">
        <f t="shared" si="12"/>
        <v>0</v>
      </c>
      <c r="AA20" s="17">
        <f t="shared" si="12"/>
        <v>0</v>
      </c>
      <c r="AB20" s="17">
        <f t="shared" si="12"/>
        <v>1</v>
      </c>
      <c r="AC20" s="17">
        <f t="shared" si="12"/>
        <v>14</v>
      </c>
      <c r="AD20" s="17">
        <f t="shared" si="12"/>
        <v>0</v>
      </c>
      <c r="AE20" s="31">
        <f t="shared" si="12"/>
        <v>44</v>
      </c>
      <c r="AF20" s="31">
        <f t="shared" si="12"/>
        <v>58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3</v>
      </c>
      <c r="F21" s="50">
        <v>2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15">
        <f t="shared" si="0"/>
        <v>7</v>
      </c>
      <c r="P21" s="15">
        <f t="shared" si="1"/>
        <v>7</v>
      </c>
      <c r="R21" s="36" t="s">
        <v>20</v>
      </c>
      <c r="S21" s="34">
        <f t="shared" ref="S21:AF21" si="13">SUM(C54:C57)</f>
        <v>5</v>
      </c>
      <c r="T21" s="17">
        <f t="shared" si="13"/>
        <v>0</v>
      </c>
      <c r="U21" s="17">
        <f t="shared" si="13"/>
        <v>11</v>
      </c>
      <c r="V21" s="17">
        <f t="shared" si="13"/>
        <v>7</v>
      </c>
      <c r="W21" s="17">
        <f t="shared" si="13"/>
        <v>0</v>
      </c>
      <c r="X21" s="17">
        <f t="shared" si="13"/>
        <v>1</v>
      </c>
      <c r="Y21" s="17">
        <f t="shared" si="13"/>
        <v>7</v>
      </c>
      <c r="Z21" s="17">
        <f t="shared" si="13"/>
        <v>0</v>
      </c>
      <c r="AA21" s="17">
        <f t="shared" si="13"/>
        <v>0</v>
      </c>
      <c r="AB21" s="17">
        <f t="shared" si="13"/>
        <v>3</v>
      </c>
      <c r="AC21" s="17">
        <f t="shared" si="13"/>
        <v>10</v>
      </c>
      <c r="AD21" s="17">
        <f t="shared" si="13"/>
        <v>0</v>
      </c>
      <c r="AE21" s="31">
        <f t="shared" si="13"/>
        <v>34</v>
      </c>
      <c r="AF21" s="31">
        <f t="shared" si="13"/>
        <v>44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1</v>
      </c>
      <c r="F22" s="50">
        <v>2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1</v>
      </c>
      <c r="M22" s="50">
        <v>1</v>
      </c>
      <c r="N22" s="50">
        <v>0</v>
      </c>
      <c r="O22" s="15">
        <f t="shared" si="0"/>
        <v>6</v>
      </c>
      <c r="P22" s="15">
        <f t="shared" si="1"/>
        <v>7</v>
      </c>
      <c r="R22" s="38" t="s">
        <v>90</v>
      </c>
      <c r="S22" s="39">
        <f>MAX(S10:S12)</f>
        <v>8</v>
      </c>
      <c r="T22" s="39">
        <f t="shared" ref="T22:AF22" si="14">MAX(T10:T12)</f>
        <v>0</v>
      </c>
      <c r="U22" s="39">
        <f t="shared" si="14"/>
        <v>10</v>
      </c>
      <c r="V22" s="39">
        <f t="shared" si="14"/>
        <v>7</v>
      </c>
      <c r="W22" s="39">
        <f t="shared" si="14"/>
        <v>0</v>
      </c>
      <c r="X22" s="39">
        <f t="shared" si="14"/>
        <v>1</v>
      </c>
      <c r="Y22" s="39">
        <f t="shared" si="14"/>
        <v>2</v>
      </c>
      <c r="Z22" s="39">
        <f t="shared" si="14"/>
        <v>1</v>
      </c>
      <c r="AA22" s="39">
        <f t="shared" si="14"/>
        <v>1</v>
      </c>
      <c r="AB22" s="39">
        <f t="shared" si="14"/>
        <v>4</v>
      </c>
      <c r="AC22" s="39">
        <f t="shared" si="14"/>
        <v>5</v>
      </c>
      <c r="AD22" s="39">
        <f t="shared" si="14"/>
        <v>0</v>
      </c>
      <c r="AE22" s="40">
        <f t="shared" si="14"/>
        <v>31</v>
      </c>
      <c r="AF22" s="40">
        <f t="shared" si="14"/>
        <v>31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1</v>
      </c>
      <c r="F23" s="50">
        <v>1</v>
      </c>
      <c r="G23" s="50">
        <v>0</v>
      </c>
      <c r="H23" s="50">
        <v>1</v>
      </c>
      <c r="I23" s="50">
        <v>1</v>
      </c>
      <c r="J23" s="50">
        <v>0</v>
      </c>
      <c r="K23" s="50">
        <v>0</v>
      </c>
      <c r="L23" s="50">
        <v>0</v>
      </c>
      <c r="M23" s="50">
        <v>1</v>
      </c>
      <c r="N23" s="50">
        <v>0</v>
      </c>
      <c r="O23" s="15">
        <f t="shared" si="0"/>
        <v>6</v>
      </c>
      <c r="P23" s="15">
        <f t="shared" si="1"/>
        <v>7</v>
      </c>
      <c r="R23" s="38" t="s">
        <v>91</v>
      </c>
      <c r="S23" s="39">
        <f>MAX(S13:S18)</f>
        <v>15</v>
      </c>
      <c r="T23" s="39">
        <f t="shared" ref="T23:AF23" si="15">MAX(T13:T18)</f>
        <v>0</v>
      </c>
      <c r="U23" s="39">
        <f t="shared" si="15"/>
        <v>18</v>
      </c>
      <c r="V23" s="39">
        <f t="shared" si="15"/>
        <v>10</v>
      </c>
      <c r="W23" s="39">
        <f t="shared" si="15"/>
        <v>1</v>
      </c>
      <c r="X23" s="39">
        <f t="shared" si="15"/>
        <v>4</v>
      </c>
      <c r="Y23" s="39">
        <f t="shared" si="15"/>
        <v>3</v>
      </c>
      <c r="Z23" s="39">
        <f t="shared" si="15"/>
        <v>0</v>
      </c>
      <c r="AA23" s="39">
        <f t="shared" si="15"/>
        <v>0</v>
      </c>
      <c r="AB23" s="39">
        <f t="shared" si="15"/>
        <v>4</v>
      </c>
      <c r="AC23" s="39">
        <f t="shared" si="15"/>
        <v>7</v>
      </c>
      <c r="AD23" s="39">
        <f t="shared" si="15"/>
        <v>0</v>
      </c>
      <c r="AE23" s="40">
        <f t="shared" si="15"/>
        <v>40</v>
      </c>
      <c r="AF23" s="40">
        <f t="shared" si="15"/>
        <v>44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3</v>
      </c>
      <c r="F24" s="50">
        <v>2</v>
      </c>
      <c r="G24" s="50">
        <v>0</v>
      </c>
      <c r="H24" s="50">
        <v>1</v>
      </c>
      <c r="I24" s="50">
        <v>0</v>
      </c>
      <c r="J24" s="50">
        <v>0</v>
      </c>
      <c r="K24" s="50">
        <v>0</v>
      </c>
      <c r="L24" s="50">
        <v>2</v>
      </c>
      <c r="M24" s="50">
        <v>2</v>
      </c>
      <c r="N24" s="50">
        <v>0</v>
      </c>
      <c r="O24" s="15">
        <f t="shared" si="0"/>
        <v>9</v>
      </c>
      <c r="P24" s="15">
        <f t="shared" si="1"/>
        <v>11</v>
      </c>
      <c r="R24" s="38" t="s">
        <v>92</v>
      </c>
      <c r="S24" s="39">
        <f>MAX(S19:S21)</f>
        <v>11</v>
      </c>
      <c r="T24" s="39">
        <f t="shared" ref="T24:AF24" si="16">MAX(T19:T21)</f>
        <v>0</v>
      </c>
      <c r="U24" s="39">
        <f t="shared" si="16"/>
        <v>15</v>
      </c>
      <c r="V24" s="39">
        <f t="shared" si="16"/>
        <v>10</v>
      </c>
      <c r="W24" s="39">
        <f t="shared" si="16"/>
        <v>0</v>
      </c>
      <c r="X24" s="39">
        <f t="shared" si="16"/>
        <v>2</v>
      </c>
      <c r="Y24" s="39">
        <f t="shared" si="16"/>
        <v>7</v>
      </c>
      <c r="Z24" s="39">
        <f t="shared" si="16"/>
        <v>0</v>
      </c>
      <c r="AA24" s="39">
        <f t="shared" si="16"/>
        <v>0</v>
      </c>
      <c r="AB24" s="39">
        <f t="shared" si="16"/>
        <v>3</v>
      </c>
      <c r="AC24" s="39">
        <f t="shared" si="16"/>
        <v>14</v>
      </c>
      <c r="AD24" s="39">
        <f t="shared" si="16"/>
        <v>0</v>
      </c>
      <c r="AE24" s="40">
        <f t="shared" si="16"/>
        <v>44</v>
      </c>
      <c r="AF24" s="40">
        <f t="shared" si="16"/>
        <v>58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3</v>
      </c>
      <c r="F25" s="50">
        <v>5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1</v>
      </c>
      <c r="M25" s="50">
        <v>0</v>
      </c>
      <c r="N25" s="50">
        <v>0</v>
      </c>
      <c r="O25" s="15">
        <f t="shared" si="0"/>
        <v>12</v>
      </c>
      <c r="P25" s="15">
        <f t="shared" si="1"/>
        <v>12</v>
      </c>
      <c r="R25" s="37" t="s">
        <v>85</v>
      </c>
      <c r="S25" s="35">
        <f t="shared" ref="S25:AF25" si="17">SUM(S10:S12)</f>
        <v>13</v>
      </c>
      <c r="T25" s="16">
        <f t="shared" si="17"/>
        <v>0</v>
      </c>
      <c r="U25" s="16">
        <f t="shared" si="17"/>
        <v>19</v>
      </c>
      <c r="V25" s="16">
        <f t="shared" si="17"/>
        <v>18</v>
      </c>
      <c r="W25" s="16">
        <f t="shared" si="17"/>
        <v>0</v>
      </c>
      <c r="X25" s="16">
        <f t="shared" si="17"/>
        <v>1</v>
      </c>
      <c r="Y25" s="16">
        <f t="shared" si="17"/>
        <v>5</v>
      </c>
      <c r="Z25" s="16">
        <f t="shared" si="17"/>
        <v>1</v>
      </c>
      <c r="AA25" s="16">
        <f t="shared" si="17"/>
        <v>1</v>
      </c>
      <c r="AB25" s="16">
        <f t="shared" si="17"/>
        <v>8</v>
      </c>
      <c r="AC25" s="16">
        <f t="shared" si="17"/>
        <v>9</v>
      </c>
      <c r="AD25" s="16">
        <f t="shared" si="17"/>
        <v>0</v>
      </c>
      <c r="AE25" s="32">
        <f t="shared" si="17"/>
        <v>66</v>
      </c>
      <c r="AF25" s="32">
        <f t="shared" si="17"/>
        <v>75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4</v>
      </c>
      <c r="F26" s="50">
        <v>4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</v>
      </c>
      <c r="N26" s="50">
        <v>0</v>
      </c>
      <c r="O26" s="15">
        <f t="shared" si="0"/>
        <v>9</v>
      </c>
      <c r="P26" s="15">
        <f t="shared" si="1"/>
        <v>10</v>
      </c>
      <c r="R26" s="28" t="s">
        <v>86</v>
      </c>
      <c r="S26" s="16">
        <f t="shared" ref="S26:AF26" si="18">SUM(S13:S18)</f>
        <v>47</v>
      </c>
      <c r="T26" s="16">
        <f t="shared" si="18"/>
        <v>0</v>
      </c>
      <c r="U26" s="16">
        <f t="shared" si="18"/>
        <v>76</v>
      </c>
      <c r="V26" s="16">
        <f t="shared" si="18"/>
        <v>49</v>
      </c>
      <c r="W26" s="16">
        <f t="shared" si="18"/>
        <v>2</v>
      </c>
      <c r="X26" s="16">
        <f t="shared" si="18"/>
        <v>11</v>
      </c>
      <c r="Y26" s="16">
        <f t="shared" si="18"/>
        <v>9</v>
      </c>
      <c r="Z26" s="16">
        <f t="shared" si="18"/>
        <v>0</v>
      </c>
      <c r="AA26" s="16">
        <f t="shared" si="18"/>
        <v>0</v>
      </c>
      <c r="AB26" s="16">
        <f t="shared" si="18"/>
        <v>14</v>
      </c>
      <c r="AC26" s="16">
        <f t="shared" si="18"/>
        <v>22</v>
      </c>
      <c r="AD26" s="16">
        <f t="shared" si="18"/>
        <v>0</v>
      </c>
      <c r="AE26" s="32">
        <f t="shared" si="18"/>
        <v>208</v>
      </c>
      <c r="AF26" s="32">
        <f t="shared" si="18"/>
        <v>230</v>
      </c>
    </row>
    <row r="27" spans="2:32" ht="23.1" customHeight="1" x14ac:dyDescent="0.25">
      <c r="B27" s="23" t="s">
        <v>54</v>
      </c>
      <c r="C27" s="50">
        <v>2</v>
      </c>
      <c r="D27" s="50">
        <v>0</v>
      </c>
      <c r="E27" s="50">
        <v>5</v>
      </c>
      <c r="F27" s="50">
        <v>2</v>
      </c>
      <c r="G27" s="50">
        <v>0</v>
      </c>
      <c r="H27" s="50">
        <v>1</v>
      </c>
      <c r="I27" s="50">
        <v>0</v>
      </c>
      <c r="J27" s="50">
        <v>0</v>
      </c>
      <c r="K27" s="50">
        <v>0</v>
      </c>
      <c r="L27" s="50">
        <v>1</v>
      </c>
      <c r="M27" s="50">
        <v>3</v>
      </c>
      <c r="N27" s="50">
        <v>0</v>
      </c>
      <c r="O27" s="15">
        <f t="shared" si="0"/>
        <v>11</v>
      </c>
      <c r="P27" s="15">
        <f t="shared" si="1"/>
        <v>14</v>
      </c>
      <c r="R27" s="29" t="s">
        <v>87</v>
      </c>
      <c r="S27" s="16">
        <f t="shared" ref="S27:AF27" si="19">SUM(S19:S21)</f>
        <v>26</v>
      </c>
      <c r="T27" s="16">
        <f t="shared" si="19"/>
        <v>0</v>
      </c>
      <c r="U27" s="16">
        <f t="shared" si="19"/>
        <v>40</v>
      </c>
      <c r="V27" s="16">
        <f t="shared" si="19"/>
        <v>27</v>
      </c>
      <c r="W27" s="16">
        <f t="shared" si="19"/>
        <v>0</v>
      </c>
      <c r="X27" s="16">
        <f t="shared" si="19"/>
        <v>4</v>
      </c>
      <c r="Y27" s="16">
        <f t="shared" si="19"/>
        <v>16</v>
      </c>
      <c r="Z27" s="16">
        <f t="shared" si="19"/>
        <v>0</v>
      </c>
      <c r="AA27" s="16">
        <f t="shared" si="19"/>
        <v>0</v>
      </c>
      <c r="AB27" s="16">
        <f t="shared" si="19"/>
        <v>5</v>
      </c>
      <c r="AC27" s="16">
        <f t="shared" si="19"/>
        <v>31</v>
      </c>
      <c r="AD27" s="16">
        <f t="shared" si="19"/>
        <v>0</v>
      </c>
      <c r="AE27" s="32">
        <f t="shared" si="19"/>
        <v>118</v>
      </c>
      <c r="AF27" s="32">
        <f t="shared" si="19"/>
        <v>149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6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</v>
      </c>
      <c r="N28" s="50">
        <v>0</v>
      </c>
      <c r="O28" s="15">
        <f t="shared" si="0"/>
        <v>8</v>
      </c>
      <c r="P28" s="15">
        <f t="shared" si="1"/>
        <v>9</v>
      </c>
      <c r="R28" s="5" t="s">
        <v>17</v>
      </c>
      <c r="S28" s="16">
        <f t="shared" ref="S28:AF28" si="20">SUM(S10:S21)</f>
        <v>86</v>
      </c>
      <c r="T28" s="16">
        <f t="shared" si="20"/>
        <v>0</v>
      </c>
      <c r="U28" s="16">
        <f t="shared" si="20"/>
        <v>135</v>
      </c>
      <c r="V28" s="16">
        <f t="shared" si="20"/>
        <v>94</v>
      </c>
      <c r="W28" s="16">
        <f t="shared" si="20"/>
        <v>2</v>
      </c>
      <c r="X28" s="16">
        <f t="shared" si="20"/>
        <v>16</v>
      </c>
      <c r="Y28" s="16">
        <f t="shared" si="20"/>
        <v>30</v>
      </c>
      <c r="Z28" s="16">
        <f t="shared" si="20"/>
        <v>1</v>
      </c>
      <c r="AA28" s="16">
        <f t="shared" si="20"/>
        <v>1</v>
      </c>
      <c r="AB28" s="16">
        <f t="shared" si="20"/>
        <v>27</v>
      </c>
      <c r="AC28" s="16">
        <f t="shared" si="20"/>
        <v>62</v>
      </c>
      <c r="AD28" s="16">
        <f t="shared" si="20"/>
        <v>0</v>
      </c>
      <c r="AE28" s="32">
        <f t="shared" si="20"/>
        <v>392</v>
      </c>
      <c r="AF28" s="32">
        <f t="shared" si="20"/>
        <v>454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3</v>
      </c>
      <c r="F29" s="50">
        <v>2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2</v>
      </c>
      <c r="N29" s="50">
        <v>0</v>
      </c>
      <c r="O29" s="15">
        <f t="shared" si="0"/>
        <v>6</v>
      </c>
      <c r="P29" s="15">
        <f t="shared" si="1"/>
        <v>8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0</v>
      </c>
      <c r="E30" s="50">
        <v>6</v>
      </c>
      <c r="F30" s="50">
        <v>3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0</v>
      </c>
      <c r="N30" s="50">
        <v>0</v>
      </c>
      <c r="O30" s="15">
        <f t="shared" si="0"/>
        <v>12</v>
      </c>
      <c r="P30" s="15">
        <f t="shared" si="1"/>
        <v>12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3</v>
      </c>
      <c r="F31" s="50">
        <v>2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1</v>
      </c>
      <c r="M31" s="50">
        <v>1</v>
      </c>
      <c r="N31" s="50">
        <v>0</v>
      </c>
      <c r="O31" s="15">
        <f t="shared" si="0"/>
        <v>9</v>
      </c>
      <c r="P31" s="15">
        <f t="shared" si="1"/>
        <v>10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2</v>
      </c>
      <c r="F32" s="50">
        <v>1</v>
      </c>
      <c r="G32" s="50">
        <v>0</v>
      </c>
      <c r="H32" s="50">
        <v>3</v>
      </c>
      <c r="I32" s="50">
        <v>0</v>
      </c>
      <c r="J32" s="50">
        <v>0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7</v>
      </c>
      <c r="P32" s="15">
        <f t="shared" si="1"/>
        <v>7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5</v>
      </c>
      <c r="F33" s="50">
        <v>4</v>
      </c>
      <c r="G33" s="50">
        <v>1</v>
      </c>
      <c r="H33" s="50">
        <v>1</v>
      </c>
      <c r="I33" s="50">
        <v>0</v>
      </c>
      <c r="J33" s="50">
        <v>0</v>
      </c>
      <c r="K33" s="50">
        <v>0</v>
      </c>
      <c r="L33" s="50">
        <v>0</v>
      </c>
      <c r="M33" s="50">
        <v>0</v>
      </c>
      <c r="N33" s="50">
        <v>0</v>
      </c>
      <c r="O33" s="15">
        <f t="shared" si="0"/>
        <v>12</v>
      </c>
      <c r="P33" s="15">
        <f t="shared" si="1"/>
        <v>12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5</v>
      </c>
      <c r="F34" s="50">
        <v>3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2</v>
      </c>
      <c r="N34" s="50">
        <v>0</v>
      </c>
      <c r="O34" s="15">
        <f t="shared" si="0"/>
        <v>13</v>
      </c>
      <c r="P34" s="15">
        <f t="shared" si="1"/>
        <v>15</v>
      </c>
    </row>
    <row r="35" spans="2:20" ht="23.1" customHeight="1" x14ac:dyDescent="0.25">
      <c r="B35" s="24" t="s">
        <v>62</v>
      </c>
      <c r="C35" s="50">
        <v>3</v>
      </c>
      <c r="D35" s="50">
        <v>0</v>
      </c>
      <c r="E35" s="50">
        <v>6</v>
      </c>
      <c r="F35" s="50">
        <v>3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1</v>
      </c>
      <c r="M35" s="50">
        <v>1</v>
      </c>
      <c r="N35" s="50">
        <v>0</v>
      </c>
      <c r="O35" s="15">
        <f t="shared" si="0"/>
        <v>13</v>
      </c>
      <c r="P35" s="15">
        <f t="shared" si="1"/>
        <v>14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2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0</v>
      </c>
      <c r="N36" s="50">
        <v>0</v>
      </c>
      <c r="O36" s="15">
        <f t="shared" si="0"/>
        <v>6</v>
      </c>
      <c r="P36" s="15">
        <f t="shared" si="1"/>
        <v>6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2</v>
      </c>
      <c r="F37" s="50">
        <v>2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5</v>
      </c>
      <c r="P37" s="15">
        <f t="shared" si="1"/>
        <v>5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4</v>
      </c>
      <c r="F38" s="50">
        <v>2</v>
      </c>
      <c r="G38" s="50">
        <v>0</v>
      </c>
      <c r="H38" s="50">
        <v>1</v>
      </c>
      <c r="I38" s="50">
        <v>1</v>
      </c>
      <c r="J38" s="50">
        <v>0</v>
      </c>
      <c r="K38" s="50">
        <v>0</v>
      </c>
      <c r="L38" s="50">
        <v>1</v>
      </c>
      <c r="M38" s="50">
        <v>0</v>
      </c>
      <c r="N38" s="50">
        <v>0</v>
      </c>
      <c r="O38" s="15">
        <f t="shared" si="0"/>
        <v>9</v>
      </c>
      <c r="P38" s="15">
        <f t="shared" si="1"/>
        <v>9</v>
      </c>
    </row>
    <row r="39" spans="2:20" ht="23.1" customHeight="1" x14ac:dyDescent="0.25">
      <c r="B39" s="24" t="s">
        <v>66</v>
      </c>
      <c r="C39" s="50">
        <v>3</v>
      </c>
      <c r="D39" s="50">
        <v>0</v>
      </c>
      <c r="E39" s="50">
        <v>6</v>
      </c>
      <c r="F39" s="50">
        <v>1</v>
      </c>
      <c r="G39" s="50">
        <v>0</v>
      </c>
      <c r="H39" s="50">
        <v>2</v>
      </c>
      <c r="I39" s="50">
        <v>1</v>
      </c>
      <c r="J39" s="50">
        <v>0</v>
      </c>
      <c r="K39" s="50">
        <v>0</v>
      </c>
      <c r="L39" s="50">
        <v>2</v>
      </c>
      <c r="M39" s="50">
        <v>2</v>
      </c>
      <c r="N39" s="50">
        <v>0</v>
      </c>
      <c r="O39" s="15">
        <f t="shared" si="0"/>
        <v>15</v>
      </c>
      <c r="P39" s="15">
        <f t="shared" si="1"/>
        <v>17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1</v>
      </c>
      <c r="M40" s="50">
        <v>0</v>
      </c>
      <c r="N40" s="50">
        <v>0</v>
      </c>
      <c r="O40" s="15">
        <f t="shared" si="0"/>
        <v>1</v>
      </c>
      <c r="P40" s="15">
        <f t="shared" si="1"/>
        <v>1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0</v>
      </c>
      <c r="P41" s="15">
        <f t="shared" si="1"/>
        <v>0</v>
      </c>
    </row>
    <row r="42" spans="2:20" ht="23.1" customHeight="1" x14ac:dyDescent="0.25">
      <c r="B42" s="24" t="s">
        <v>69</v>
      </c>
      <c r="C42" s="50">
        <v>3</v>
      </c>
      <c r="D42" s="50">
        <v>0</v>
      </c>
      <c r="E42" s="50">
        <v>2</v>
      </c>
      <c r="F42" s="50">
        <v>3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</v>
      </c>
      <c r="N42" s="50">
        <v>0</v>
      </c>
      <c r="O42" s="15">
        <f t="shared" si="0"/>
        <v>8</v>
      </c>
      <c r="P42" s="15">
        <f t="shared" si="1"/>
        <v>10</v>
      </c>
    </row>
    <row r="43" spans="2:20" ht="23.1" customHeight="1" x14ac:dyDescent="0.25">
      <c r="B43" s="23" t="s">
        <v>70</v>
      </c>
      <c r="C43" s="50">
        <v>7</v>
      </c>
      <c r="D43" s="50">
        <v>0</v>
      </c>
      <c r="E43" s="50">
        <v>3</v>
      </c>
      <c r="F43" s="50">
        <v>2</v>
      </c>
      <c r="G43" s="50">
        <v>1</v>
      </c>
      <c r="H43" s="50">
        <v>0</v>
      </c>
      <c r="I43" s="50">
        <v>0</v>
      </c>
      <c r="J43" s="50">
        <v>0</v>
      </c>
      <c r="K43" s="50">
        <v>0</v>
      </c>
      <c r="L43" s="50">
        <v>2</v>
      </c>
      <c r="M43" s="50">
        <v>1</v>
      </c>
      <c r="N43" s="50">
        <v>0</v>
      </c>
      <c r="O43" s="15">
        <f t="shared" si="0"/>
        <v>15</v>
      </c>
      <c r="P43" s="15">
        <f t="shared" si="1"/>
        <v>16</v>
      </c>
    </row>
    <row r="44" spans="2:20" ht="23.1" customHeight="1" x14ac:dyDescent="0.25">
      <c r="B44" s="25" t="s">
        <v>71</v>
      </c>
      <c r="C44" s="50">
        <v>4</v>
      </c>
      <c r="D44" s="50">
        <v>0</v>
      </c>
      <c r="E44" s="50">
        <v>1</v>
      </c>
      <c r="F44" s="50">
        <v>2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1</v>
      </c>
      <c r="M44" s="50">
        <v>2</v>
      </c>
      <c r="N44" s="50">
        <v>0</v>
      </c>
      <c r="O44" s="15">
        <f t="shared" si="0"/>
        <v>9</v>
      </c>
      <c r="P44" s="15">
        <f t="shared" si="1"/>
        <v>11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3</v>
      </c>
      <c r="F45" s="50">
        <v>2</v>
      </c>
      <c r="G45" s="50">
        <v>0</v>
      </c>
      <c r="H45" s="50">
        <v>1</v>
      </c>
      <c r="I45" s="50">
        <v>0</v>
      </c>
      <c r="J45" s="50">
        <v>0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7</v>
      </c>
      <c r="P45" s="15">
        <f t="shared" si="1"/>
        <v>7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5</v>
      </c>
      <c r="F46" s="50">
        <v>2</v>
      </c>
      <c r="G46" s="50">
        <v>0</v>
      </c>
      <c r="H46" s="50">
        <v>1</v>
      </c>
      <c r="I46" s="50">
        <v>1</v>
      </c>
      <c r="J46" s="50">
        <v>0</v>
      </c>
      <c r="K46" s="50">
        <v>0</v>
      </c>
      <c r="L46" s="50">
        <v>0</v>
      </c>
      <c r="M46" s="50">
        <v>2</v>
      </c>
      <c r="N46" s="50">
        <v>0</v>
      </c>
      <c r="O46" s="15">
        <f t="shared" si="0"/>
        <v>11</v>
      </c>
      <c r="P46" s="15">
        <f t="shared" si="1"/>
        <v>13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1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</v>
      </c>
      <c r="N47" s="50">
        <v>0</v>
      </c>
      <c r="O47" s="15">
        <f t="shared" si="0"/>
        <v>4</v>
      </c>
      <c r="P47" s="15">
        <f t="shared" si="1"/>
        <v>5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0</v>
      </c>
      <c r="E48" s="50">
        <v>5</v>
      </c>
      <c r="F48" s="50">
        <v>3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</v>
      </c>
      <c r="N48" s="50">
        <v>0</v>
      </c>
      <c r="O48" s="15">
        <f t="shared" si="0"/>
        <v>12</v>
      </c>
      <c r="P48" s="15">
        <f t="shared" si="1"/>
        <v>14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4</v>
      </c>
      <c r="F49" s="50">
        <v>4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1</v>
      </c>
      <c r="M49" s="50">
        <v>2</v>
      </c>
      <c r="N49" s="50">
        <v>0</v>
      </c>
      <c r="O49" s="15">
        <f t="shared" si="0"/>
        <v>13</v>
      </c>
      <c r="P49" s="15">
        <f t="shared" si="1"/>
        <v>15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1</v>
      </c>
      <c r="F50" s="50">
        <v>2</v>
      </c>
      <c r="G50" s="50">
        <v>0</v>
      </c>
      <c r="H50" s="50">
        <v>1</v>
      </c>
      <c r="I50" s="50">
        <v>1</v>
      </c>
      <c r="J50" s="50">
        <v>0</v>
      </c>
      <c r="K50" s="50">
        <v>0</v>
      </c>
      <c r="L50" s="50">
        <v>0</v>
      </c>
      <c r="M50" s="50">
        <v>2</v>
      </c>
      <c r="N50" s="50">
        <v>0</v>
      </c>
      <c r="O50" s="15">
        <f t="shared" si="0"/>
        <v>8</v>
      </c>
      <c r="P50" s="15">
        <f t="shared" si="1"/>
        <v>10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9</v>
      </c>
      <c r="F51" s="50">
        <v>4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2</v>
      </c>
      <c r="N51" s="50">
        <v>0</v>
      </c>
      <c r="O51" s="15">
        <f t="shared" si="0"/>
        <v>17</v>
      </c>
      <c r="P51" s="15">
        <f t="shared" si="1"/>
        <v>19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3</v>
      </c>
      <c r="F52" s="50">
        <v>4</v>
      </c>
      <c r="G52" s="50">
        <v>0</v>
      </c>
      <c r="H52" s="50">
        <v>1</v>
      </c>
      <c r="I52" s="50">
        <v>4</v>
      </c>
      <c r="J52" s="50">
        <v>0</v>
      </c>
      <c r="K52" s="50">
        <v>0</v>
      </c>
      <c r="L52" s="50">
        <v>1</v>
      </c>
      <c r="M52" s="50">
        <v>5</v>
      </c>
      <c r="N52" s="50">
        <v>0</v>
      </c>
      <c r="O52" s="15">
        <f t="shared" si="0"/>
        <v>15</v>
      </c>
      <c r="P52" s="15">
        <f t="shared" si="1"/>
        <v>20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5</v>
      </c>
      <c r="N53" s="50">
        <v>0</v>
      </c>
      <c r="O53" s="15">
        <f t="shared" si="0"/>
        <v>4</v>
      </c>
      <c r="P53" s="15">
        <f t="shared" si="1"/>
        <v>9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5</v>
      </c>
      <c r="F54" s="50">
        <v>3</v>
      </c>
      <c r="G54" s="50">
        <v>0</v>
      </c>
      <c r="H54" s="50">
        <v>1</v>
      </c>
      <c r="I54" s="50">
        <v>1</v>
      </c>
      <c r="J54" s="50">
        <v>0</v>
      </c>
      <c r="K54" s="50">
        <v>0</v>
      </c>
      <c r="L54" s="50">
        <v>0</v>
      </c>
      <c r="M54" s="50">
        <v>3</v>
      </c>
      <c r="N54" s="50">
        <v>0</v>
      </c>
      <c r="O54" s="15">
        <f t="shared" si="0"/>
        <v>11</v>
      </c>
      <c r="P54" s="15">
        <f t="shared" si="1"/>
        <v>14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3</v>
      </c>
      <c r="F55" s="50">
        <v>2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5</v>
      </c>
      <c r="N55" s="50">
        <v>0</v>
      </c>
      <c r="O55" s="15">
        <f t="shared" si="0"/>
        <v>7</v>
      </c>
      <c r="P55" s="15">
        <f t="shared" si="1"/>
        <v>12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2</v>
      </c>
      <c r="F56" s="50">
        <v>1</v>
      </c>
      <c r="G56" s="50">
        <v>0</v>
      </c>
      <c r="H56" s="50">
        <v>0</v>
      </c>
      <c r="I56" s="50">
        <v>4</v>
      </c>
      <c r="J56" s="50">
        <v>0</v>
      </c>
      <c r="K56" s="50">
        <v>0</v>
      </c>
      <c r="L56" s="50">
        <v>0</v>
      </c>
      <c r="M56" s="50">
        <v>1</v>
      </c>
      <c r="N56" s="50">
        <v>0</v>
      </c>
      <c r="O56" s="15">
        <f t="shared" si="0"/>
        <v>8</v>
      </c>
      <c r="P56" s="15">
        <f t="shared" si="1"/>
        <v>9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1</v>
      </c>
      <c r="F57" s="50">
        <v>1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3</v>
      </c>
      <c r="M57" s="50">
        <v>1</v>
      </c>
      <c r="N57" s="50">
        <v>0</v>
      </c>
      <c r="O57" s="15">
        <f t="shared" si="0"/>
        <v>8</v>
      </c>
      <c r="P57" s="15">
        <f t="shared" si="1"/>
        <v>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86</v>
      </c>
      <c r="D58" s="16">
        <f t="shared" si="21"/>
        <v>0</v>
      </c>
      <c r="E58" s="16">
        <f t="shared" si="21"/>
        <v>135</v>
      </c>
      <c r="F58" s="16">
        <f t="shared" si="21"/>
        <v>94</v>
      </c>
      <c r="G58" s="16">
        <f t="shared" si="21"/>
        <v>2</v>
      </c>
      <c r="H58" s="16">
        <f t="shared" si="21"/>
        <v>16</v>
      </c>
      <c r="I58" s="16">
        <f t="shared" si="21"/>
        <v>30</v>
      </c>
      <c r="J58" s="16">
        <f t="shared" si="21"/>
        <v>1</v>
      </c>
      <c r="K58" s="16">
        <f t="shared" si="21"/>
        <v>1</v>
      </c>
      <c r="L58" s="16">
        <f t="shared" si="21"/>
        <v>27</v>
      </c>
      <c r="M58" s="16">
        <f t="shared" si="21"/>
        <v>62</v>
      </c>
      <c r="N58" s="16">
        <f t="shared" si="21"/>
        <v>0</v>
      </c>
      <c r="O58" s="16">
        <f t="shared" si="21"/>
        <v>392</v>
      </c>
      <c r="P58" s="16">
        <f t="shared" si="21"/>
        <v>454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0.1894273127753304</v>
      </c>
      <c r="D59" s="43">
        <f t="shared" si="22"/>
        <v>0</v>
      </c>
      <c r="E59" s="43">
        <f t="shared" si="22"/>
        <v>0.29735682819383258</v>
      </c>
      <c r="F59" s="43">
        <f t="shared" si="22"/>
        <v>0.20704845814977973</v>
      </c>
      <c r="G59" s="43">
        <f t="shared" si="22"/>
        <v>4.4052863436123352E-3</v>
      </c>
      <c r="H59" s="43">
        <f t="shared" si="22"/>
        <v>3.5242290748898682E-2</v>
      </c>
      <c r="I59" s="43">
        <f t="shared" si="22"/>
        <v>6.6079295154185022E-2</v>
      </c>
      <c r="J59" s="43">
        <f t="shared" si="22"/>
        <v>2.2026431718061676E-3</v>
      </c>
      <c r="K59" s="43">
        <f t="shared" si="22"/>
        <v>2.2026431718061676E-3</v>
      </c>
      <c r="L59" s="43">
        <f t="shared" si="22"/>
        <v>5.9471365638766517E-2</v>
      </c>
      <c r="M59" s="43">
        <f t="shared" si="22"/>
        <v>0.13656387665198239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0.21938775510204081</v>
      </c>
      <c r="D60" s="44">
        <f t="shared" ref="D60:N60" si="23">D58/$O$58</f>
        <v>0</v>
      </c>
      <c r="E60" s="44">
        <f t="shared" si="23"/>
        <v>0.34438775510204084</v>
      </c>
      <c r="F60" s="44">
        <f t="shared" si="23"/>
        <v>0.23979591836734693</v>
      </c>
      <c r="G60" s="44">
        <f t="shared" si="23"/>
        <v>5.1020408163265302E-3</v>
      </c>
      <c r="H60" s="44">
        <f t="shared" si="23"/>
        <v>4.0816326530612242E-2</v>
      </c>
      <c r="I60" s="44">
        <f t="shared" si="23"/>
        <v>7.6530612244897961E-2</v>
      </c>
      <c r="J60" s="44">
        <f t="shared" si="23"/>
        <v>2.5510204081632651E-3</v>
      </c>
      <c r="K60" s="44">
        <f t="shared" si="23"/>
        <v>2.5510204081632651E-3</v>
      </c>
      <c r="L60" s="44">
        <f t="shared" si="23"/>
        <v>6.8877551020408156E-2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L54" zoomScale="60" workbookViewId="0">
      <selection activeCell="AD58" sqref="AD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FORTPORTAL-KYENJOJO'!C3:G3</f>
        <v>C4 - STN107-FORTPORTAL-KYENJONJO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164</v>
      </c>
      <c r="E5" s="66"/>
      <c r="F5" s="41" t="s">
        <v>1</v>
      </c>
      <c r="G5" s="63" t="str">
        <f>'04.08 KYENJOJO-FORTP'!G5:H5</f>
        <v>xxx</v>
      </c>
      <c r="H5" s="64"/>
      <c r="I5" s="14"/>
      <c r="J5" s="2" t="s">
        <v>5</v>
      </c>
      <c r="K5" s="63" t="str">
        <f>'04.08 KYENJOJO-FORTP'!K5:L5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'04.08 KYENJOJO-FORTP'!D6:E6</f>
        <v>KYENJOJO</v>
      </c>
      <c r="E6" s="64"/>
      <c r="F6" s="2" t="s">
        <v>2</v>
      </c>
      <c r="G6" s="63" t="str">
        <f>'04.08 KYENJOJO-FORTP'!G6:H6</f>
        <v>FORTPORTAL</v>
      </c>
      <c r="H6" s="64"/>
      <c r="J6" s="2" t="s">
        <v>21</v>
      </c>
      <c r="K6" s="63" t="str">
        <f>'04.08 KYENJOJO-FORTP'!K6:L6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KYENJOJO-FORTPORTAL'!C10,'30.07 KYENJOJO-FORTPORTAL'!C10,'31.07 KYENJOJO-FORTPORTAL'!C10,'02.08 KYENJOJO-FORTPORTAL'!C10,'01.08 KYENJOJO-FORTPORTAL-24h'!C10,'03.08 KYENJOJO-FORTPORTAL-24h'!C10,'04.08 KYENJOJO-FORTP'!C10)</f>
        <v>1</v>
      </c>
      <c r="D10" s="49">
        <f>AVERAGE('29.07 KYENJOJO-FORTPORTAL'!D10,'30.07 KYENJOJO-FORTPORTAL'!D10,'31.07 KYENJOJO-FORTPORTAL'!D10,'02.08 KYENJOJO-FORTPORTAL'!D10,'01.08 KYENJOJO-FORTPORTAL-24h'!D10,'03.08 KYENJOJO-FORTPORTAL-24h'!D10,'04.08 KYENJOJO-FORTP'!D10)</f>
        <v>0</v>
      </c>
      <c r="E10" s="49">
        <f>AVERAGE('29.07 KYENJOJO-FORTPORTAL'!E10,'30.07 KYENJOJO-FORTPORTAL'!E10,'31.07 KYENJOJO-FORTPORTAL'!E10,'02.08 KYENJOJO-FORTPORTAL'!E10,'01.08 KYENJOJO-FORTPORTAL-24h'!E10,'03.08 KYENJOJO-FORTPORTAL-24h'!E10,'04.08 KYENJOJO-FORTP'!E10)</f>
        <v>1.5714285714285714</v>
      </c>
      <c r="F10" s="49">
        <f>AVERAGE('29.07 KYENJOJO-FORTPORTAL'!F10,'30.07 KYENJOJO-FORTPORTAL'!F10,'31.07 KYENJOJO-FORTPORTAL'!F10,'02.08 KYENJOJO-FORTPORTAL'!F10,'01.08 KYENJOJO-FORTPORTAL-24h'!F10,'03.08 KYENJOJO-FORTPORTAL-24h'!F10,'04.08 KYENJOJO-FORTP'!F10)</f>
        <v>2.1428571428571428</v>
      </c>
      <c r="G10" s="49">
        <f>AVERAGE('29.07 KYENJOJO-FORTPORTAL'!G10,'30.07 KYENJOJO-FORTPORTAL'!G10,'31.07 KYENJOJO-FORTPORTAL'!G10,'02.08 KYENJOJO-FORTPORTAL'!G10,'01.08 KYENJOJO-FORTPORTAL-24h'!G10,'03.08 KYENJOJO-FORTPORTAL-24h'!G10,'04.08 KYENJOJO-FORTP'!G10)</f>
        <v>0.14285714285714285</v>
      </c>
      <c r="H10" s="49">
        <f>AVERAGE('29.07 KYENJOJO-FORTPORTAL'!H10,'30.07 KYENJOJO-FORTPORTAL'!H10,'31.07 KYENJOJO-FORTPORTAL'!H10,'02.08 KYENJOJO-FORTPORTAL'!H10,'01.08 KYENJOJO-FORTPORTAL-24h'!H10,'03.08 KYENJOJO-FORTPORTAL-24h'!H10,'04.08 KYENJOJO-FORTP'!H10)</f>
        <v>0</v>
      </c>
      <c r="I10" s="49">
        <f>AVERAGE('29.07 KYENJOJO-FORTPORTAL'!I10,'30.07 KYENJOJO-FORTPORTAL'!I10,'31.07 KYENJOJO-FORTPORTAL'!I10,'02.08 KYENJOJO-FORTPORTAL'!I10,'01.08 KYENJOJO-FORTPORTAL-24h'!I10,'03.08 KYENJOJO-FORTPORTAL-24h'!I10,'04.08 KYENJOJO-FORTP'!I10)</f>
        <v>0.7142857142857143</v>
      </c>
      <c r="J10" s="49">
        <f>AVERAGE('29.07 KYENJOJO-FORTPORTAL'!J10,'30.07 KYENJOJO-FORTPORTAL'!J10,'31.07 KYENJOJO-FORTPORTAL'!J10,'02.08 KYENJOJO-FORTPORTAL'!J10,'01.08 KYENJOJO-FORTPORTAL-24h'!J10,'03.08 KYENJOJO-FORTPORTAL-24h'!J10,'04.08 KYENJOJO-FORTP'!J10)</f>
        <v>0.2857142857142857</v>
      </c>
      <c r="K10" s="49">
        <f>AVERAGE('29.07 KYENJOJO-FORTPORTAL'!K10,'30.07 KYENJOJO-FORTPORTAL'!K10,'31.07 KYENJOJO-FORTPORTAL'!K10,'02.08 KYENJOJO-FORTPORTAL'!K10,'01.08 KYENJOJO-FORTPORTAL-24h'!K10,'03.08 KYENJOJO-FORTPORTAL-24h'!K10,'04.08 KYENJOJO-FORTP'!K10)</f>
        <v>0.14285714285714285</v>
      </c>
      <c r="L10" s="49">
        <f>AVERAGE('29.07 KYENJOJO-FORTPORTAL'!L10,'30.07 KYENJOJO-FORTPORTAL'!L10,'31.07 KYENJOJO-FORTPORTAL'!L10,'02.08 KYENJOJO-FORTPORTAL'!L10,'01.08 KYENJOJO-FORTPORTAL-24h'!L10,'03.08 KYENJOJO-FORTPORTAL-24h'!L10,'04.08 KYENJOJO-FORTP'!L10)</f>
        <v>1</v>
      </c>
      <c r="M10" s="49">
        <f>AVERAGE('29.07 KYENJOJO-FORTPORTAL'!M10,'30.07 KYENJOJO-FORTPORTAL'!M10,'31.07 KYENJOJO-FORTPORTAL'!M10,'02.08 KYENJOJO-FORTPORTAL'!M10,'01.08 KYENJOJO-FORTPORTAL-24h'!M10,'03.08 KYENJOJO-FORTPORTAL-24h'!M10,'04.08 KYENJOJO-FORTP'!M10)</f>
        <v>1.4285714285714286</v>
      </c>
      <c r="N10" s="49">
        <f>AVERAGE('29.07 KYENJOJO-FORTPORTAL'!N10,'30.07 KYENJOJO-FORTPORTAL'!N10,'31.07 KYENJOJO-FORTPORTAL'!N10,'02.08 KYENJOJO-FORTPORTAL'!N10,'01.08 KYENJOJO-FORTPORTAL-24h'!N10,'03.08 KYENJOJO-FORTPORTAL-24h'!N10,'04.08 KYENJOJO-FORTP'!N10)</f>
        <v>0</v>
      </c>
      <c r="O10" s="15">
        <f t="shared" ref="O10:O73" si="0">SUM(C10:L10,N10)</f>
        <v>7</v>
      </c>
      <c r="P10" s="15">
        <f t="shared" ref="P10:P73" si="1">SUM(C10:N10)</f>
        <v>8.4285714285714288</v>
      </c>
      <c r="R10" s="1" t="s">
        <v>6</v>
      </c>
      <c r="S10" s="17">
        <f t="shared" ref="S10:AF10" si="2">SUM(C10:C13)</f>
        <v>4.2857142857142865</v>
      </c>
      <c r="T10" s="17">
        <f t="shared" si="2"/>
        <v>0</v>
      </c>
      <c r="U10" s="17">
        <f t="shared" si="2"/>
        <v>5.2857142857142856</v>
      </c>
      <c r="V10" s="17">
        <f t="shared" si="2"/>
        <v>7.2857142857142865</v>
      </c>
      <c r="W10" s="17">
        <f t="shared" si="2"/>
        <v>0.42857142857142855</v>
      </c>
      <c r="X10" s="17">
        <f t="shared" si="2"/>
        <v>0.42857142857142855</v>
      </c>
      <c r="Y10" s="17">
        <f t="shared" si="2"/>
        <v>3.2857142857142856</v>
      </c>
      <c r="Z10" s="17">
        <f t="shared" si="2"/>
        <v>0.85714285714285698</v>
      </c>
      <c r="AA10" s="17">
        <f t="shared" si="2"/>
        <v>0.85714285714285698</v>
      </c>
      <c r="AB10" s="17">
        <f t="shared" si="2"/>
        <v>3.8571428571428577</v>
      </c>
      <c r="AC10" s="17">
        <f t="shared" si="2"/>
        <v>4.5714285714285712</v>
      </c>
      <c r="AD10" s="17">
        <f t="shared" si="2"/>
        <v>0</v>
      </c>
      <c r="AE10" s="31">
        <f t="shared" si="2"/>
        <v>26.571428571428577</v>
      </c>
      <c r="AF10" s="31">
        <f t="shared" si="2"/>
        <v>31.142857142857146</v>
      </c>
    </row>
    <row r="11" spans="2:32" s="6" customFormat="1" ht="23.1" customHeight="1" x14ac:dyDescent="0.25">
      <c r="B11" s="23" t="s">
        <v>38</v>
      </c>
      <c r="C11" s="49">
        <f>AVERAGE('29.07 KYENJOJO-FORTPORTAL'!C11,'30.07 KYENJOJO-FORTPORTAL'!C11,'31.07 KYENJOJO-FORTPORTAL'!C11,'02.08 KYENJOJO-FORTPORTAL'!C11,'01.08 KYENJOJO-FORTPORTAL-24h'!C11,'03.08 KYENJOJO-FORTPORTAL-24h'!C11,'04.08 KYENJOJO-FORTP'!C11)</f>
        <v>1.4285714285714286</v>
      </c>
      <c r="D11" s="49">
        <f>AVERAGE('29.07 KYENJOJO-FORTPORTAL'!D11,'30.07 KYENJOJO-FORTPORTAL'!D11,'31.07 KYENJOJO-FORTPORTAL'!D11,'02.08 KYENJOJO-FORTPORTAL'!D11,'01.08 KYENJOJO-FORTPORTAL-24h'!D11,'03.08 KYENJOJO-FORTPORTAL-24h'!D11,'04.08 KYENJOJO-FORTP'!D11)</f>
        <v>0</v>
      </c>
      <c r="E11" s="49">
        <f>AVERAGE('29.07 KYENJOJO-FORTPORTAL'!E11,'30.07 KYENJOJO-FORTPORTAL'!E11,'31.07 KYENJOJO-FORTPORTAL'!E11,'02.08 KYENJOJO-FORTPORTAL'!E11,'01.08 KYENJOJO-FORTPORTAL-24h'!E11,'03.08 KYENJOJO-FORTPORTAL-24h'!E11,'04.08 KYENJOJO-FORTP'!E11)</f>
        <v>0.8571428571428571</v>
      </c>
      <c r="F11" s="49">
        <f>AVERAGE('29.07 KYENJOJO-FORTPORTAL'!F11,'30.07 KYENJOJO-FORTPORTAL'!F11,'31.07 KYENJOJO-FORTPORTAL'!F11,'02.08 KYENJOJO-FORTPORTAL'!F11,'01.08 KYENJOJO-FORTPORTAL-24h'!F11,'03.08 KYENJOJO-FORTPORTAL-24h'!F11,'04.08 KYENJOJO-FORTP'!F11)</f>
        <v>2.5714285714285716</v>
      </c>
      <c r="G11" s="49">
        <f>AVERAGE('29.07 KYENJOJO-FORTPORTAL'!G11,'30.07 KYENJOJO-FORTPORTAL'!G11,'31.07 KYENJOJO-FORTPORTAL'!G11,'02.08 KYENJOJO-FORTPORTAL'!G11,'01.08 KYENJOJO-FORTPORTAL-24h'!G11,'03.08 KYENJOJO-FORTPORTAL-24h'!G11,'04.08 KYENJOJO-FORTP'!G11)</f>
        <v>0</v>
      </c>
      <c r="H11" s="49">
        <f>AVERAGE('29.07 KYENJOJO-FORTPORTAL'!H11,'30.07 KYENJOJO-FORTPORTAL'!H11,'31.07 KYENJOJO-FORTPORTAL'!H11,'02.08 KYENJOJO-FORTPORTAL'!H11,'01.08 KYENJOJO-FORTPORTAL-24h'!H11,'03.08 KYENJOJO-FORTPORTAL-24h'!H11,'04.08 KYENJOJO-FORTP'!H11)</f>
        <v>0</v>
      </c>
      <c r="I11" s="49">
        <f>AVERAGE('29.07 KYENJOJO-FORTPORTAL'!I11,'30.07 KYENJOJO-FORTPORTAL'!I11,'31.07 KYENJOJO-FORTPORTAL'!I11,'02.08 KYENJOJO-FORTPORTAL'!I11,'01.08 KYENJOJO-FORTPORTAL-24h'!I11,'03.08 KYENJOJO-FORTPORTAL-24h'!I11,'04.08 KYENJOJO-FORTP'!I11)</f>
        <v>0.5714285714285714</v>
      </c>
      <c r="J11" s="49">
        <f>AVERAGE('29.07 KYENJOJO-FORTPORTAL'!J11,'30.07 KYENJOJO-FORTPORTAL'!J11,'31.07 KYENJOJO-FORTPORTAL'!J11,'02.08 KYENJOJO-FORTPORTAL'!J11,'01.08 KYENJOJO-FORTPORTAL-24h'!J11,'03.08 KYENJOJO-FORTPORTAL-24h'!J11,'04.08 KYENJOJO-FORTP'!J11)</f>
        <v>0.14285714285714285</v>
      </c>
      <c r="K11" s="49">
        <f>AVERAGE('29.07 KYENJOJO-FORTPORTAL'!K11,'30.07 KYENJOJO-FORTPORTAL'!K11,'31.07 KYENJOJO-FORTPORTAL'!K11,'02.08 KYENJOJO-FORTPORTAL'!K11,'01.08 KYENJOJO-FORTPORTAL-24h'!K11,'03.08 KYENJOJO-FORTPORTAL-24h'!K11,'04.08 KYENJOJO-FORTP'!K11)</f>
        <v>0.5714285714285714</v>
      </c>
      <c r="L11" s="49">
        <f>AVERAGE('29.07 KYENJOJO-FORTPORTAL'!L11,'30.07 KYENJOJO-FORTPORTAL'!L11,'31.07 KYENJOJO-FORTPORTAL'!L11,'02.08 KYENJOJO-FORTPORTAL'!L11,'01.08 KYENJOJO-FORTPORTAL-24h'!L11,'03.08 KYENJOJO-FORTPORTAL-24h'!L11,'04.08 KYENJOJO-FORTP'!L11)</f>
        <v>1.4285714285714286</v>
      </c>
      <c r="M11" s="49">
        <f>AVERAGE('29.07 KYENJOJO-FORTPORTAL'!M11,'30.07 KYENJOJO-FORTPORTAL'!M11,'31.07 KYENJOJO-FORTPORTAL'!M11,'02.08 KYENJOJO-FORTPORTAL'!M11,'01.08 KYENJOJO-FORTPORTAL-24h'!M11,'03.08 KYENJOJO-FORTPORTAL-24h'!M11,'04.08 KYENJOJO-FORTP'!M11)</f>
        <v>1.1428571428571428</v>
      </c>
      <c r="N11" s="49">
        <f>AVERAGE('29.07 KYENJOJO-FORTPORTAL'!N11,'30.07 KYENJOJO-FORTPORTAL'!N11,'31.07 KYENJOJO-FORTPORTAL'!N11,'02.08 KYENJOJO-FORTPORTAL'!N11,'01.08 KYENJOJO-FORTPORTAL-24h'!N11,'03.08 KYENJOJO-FORTPORTAL-24h'!N11,'04.08 KYENJOJO-FORTP'!N11)</f>
        <v>0</v>
      </c>
      <c r="O11" s="15">
        <f t="shared" si="0"/>
        <v>7.5714285714285721</v>
      </c>
      <c r="P11" s="15">
        <f t="shared" si="1"/>
        <v>8.7142857142857153</v>
      </c>
      <c r="R11" s="1" t="s">
        <v>7</v>
      </c>
      <c r="S11" s="17">
        <f t="shared" ref="S11:AF11" si="3">SUM(C14:C17)</f>
        <v>4.1428571428571423</v>
      </c>
      <c r="T11" s="17">
        <f t="shared" si="3"/>
        <v>0</v>
      </c>
      <c r="U11" s="17">
        <f t="shared" si="3"/>
        <v>6.1428571428571432</v>
      </c>
      <c r="V11" s="17">
        <f t="shared" si="3"/>
        <v>5.7142857142857144</v>
      </c>
      <c r="W11" s="17">
        <f t="shared" si="3"/>
        <v>0.14285714285714285</v>
      </c>
      <c r="X11" s="17">
        <f t="shared" si="3"/>
        <v>0.2857142857142857</v>
      </c>
      <c r="Y11" s="17">
        <f t="shared" si="3"/>
        <v>2.5714285714285712</v>
      </c>
      <c r="Z11" s="17">
        <f t="shared" si="3"/>
        <v>0</v>
      </c>
      <c r="AA11" s="17">
        <f t="shared" si="3"/>
        <v>0.14285714285714285</v>
      </c>
      <c r="AB11" s="17">
        <f t="shared" si="3"/>
        <v>1.857142857142857</v>
      </c>
      <c r="AC11" s="17">
        <f t="shared" si="3"/>
        <v>4.2857142857142856</v>
      </c>
      <c r="AD11" s="17">
        <f t="shared" si="3"/>
        <v>0</v>
      </c>
      <c r="AE11" s="31">
        <f t="shared" si="3"/>
        <v>21</v>
      </c>
      <c r="AF11" s="31">
        <f t="shared" si="3"/>
        <v>25.285714285714285</v>
      </c>
    </row>
    <row r="12" spans="2:32" ht="23.1" customHeight="1" x14ac:dyDescent="0.25">
      <c r="B12" s="23" t="s">
        <v>39</v>
      </c>
      <c r="C12" s="49">
        <f>AVERAGE('29.07 KYENJOJO-FORTPORTAL'!C12,'30.07 KYENJOJO-FORTPORTAL'!C12,'31.07 KYENJOJO-FORTPORTAL'!C12,'02.08 KYENJOJO-FORTPORTAL'!C12,'01.08 KYENJOJO-FORTPORTAL-24h'!C12,'03.08 KYENJOJO-FORTPORTAL-24h'!C12,'04.08 KYENJOJO-FORTP'!C12)</f>
        <v>0.7142857142857143</v>
      </c>
      <c r="D12" s="49">
        <f>AVERAGE('29.07 KYENJOJO-FORTPORTAL'!D12,'30.07 KYENJOJO-FORTPORTAL'!D12,'31.07 KYENJOJO-FORTPORTAL'!D12,'02.08 KYENJOJO-FORTPORTAL'!D12,'01.08 KYENJOJO-FORTPORTAL-24h'!D12,'03.08 KYENJOJO-FORTPORTAL-24h'!D12,'04.08 KYENJOJO-FORTP'!D12)</f>
        <v>0</v>
      </c>
      <c r="E12" s="49">
        <f>AVERAGE('29.07 KYENJOJO-FORTPORTAL'!E12,'30.07 KYENJOJO-FORTPORTAL'!E12,'31.07 KYENJOJO-FORTPORTAL'!E12,'02.08 KYENJOJO-FORTPORTAL'!E12,'01.08 KYENJOJO-FORTPORTAL-24h'!E12,'03.08 KYENJOJO-FORTPORTAL-24h'!E12,'04.08 KYENJOJO-FORTP'!E12)</f>
        <v>1.5714285714285714</v>
      </c>
      <c r="F12" s="49">
        <f>AVERAGE('29.07 KYENJOJO-FORTPORTAL'!F12,'30.07 KYENJOJO-FORTPORTAL'!F12,'31.07 KYENJOJO-FORTPORTAL'!F12,'02.08 KYENJOJO-FORTPORTAL'!F12,'01.08 KYENJOJO-FORTPORTAL-24h'!F12,'03.08 KYENJOJO-FORTPORTAL-24h'!F12,'04.08 KYENJOJO-FORTP'!F12)</f>
        <v>1.4285714285714286</v>
      </c>
      <c r="G12" s="49">
        <f>AVERAGE('29.07 KYENJOJO-FORTPORTAL'!G12,'30.07 KYENJOJO-FORTPORTAL'!G12,'31.07 KYENJOJO-FORTPORTAL'!G12,'02.08 KYENJOJO-FORTPORTAL'!G12,'01.08 KYENJOJO-FORTPORTAL-24h'!G12,'03.08 KYENJOJO-FORTPORTAL-24h'!G12,'04.08 KYENJOJO-FORTP'!G12)</f>
        <v>0</v>
      </c>
      <c r="H12" s="49">
        <f>AVERAGE('29.07 KYENJOJO-FORTPORTAL'!H12,'30.07 KYENJOJO-FORTPORTAL'!H12,'31.07 KYENJOJO-FORTPORTAL'!H12,'02.08 KYENJOJO-FORTPORTAL'!H12,'01.08 KYENJOJO-FORTPORTAL-24h'!H12,'03.08 KYENJOJO-FORTPORTAL-24h'!H12,'04.08 KYENJOJO-FORTP'!H12)</f>
        <v>0.14285714285714285</v>
      </c>
      <c r="I12" s="49">
        <f>AVERAGE('29.07 KYENJOJO-FORTPORTAL'!I12,'30.07 KYENJOJO-FORTPORTAL'!I12,'31.07 KYENJOJO-FORTPORTAL'!I12,'02.08 KYENJOJO-FORTPORTAL'!I12,'01.08 KYENJOJO-FORTPORTAL-24h'!I12,'03.08 KYENJOJO-FORTPORTAL-24h'!I12,'04.08 KYENJOJO-FORTP'!I12)</f>
        <v>0.8571428571428571</v>
      </c>
      <c r="J12" s="49">
        <f>AVERAGE('29.07 KYENJOJO-FORTPORTAL'!J12,'30.07 KYENJOJO-FORTPORTAL'!J12,'31.07 KYENJOJO-FORTPORTAL'!J12,'02.08 KYENJOJO-FORTPORTAL'!J12,'01.08 KYENJOJO-FORTPORTAL-24h'!J12,'03.08 KYENJOJO-FORTPORTAL-24h'!J12,'04.08 KYENJOJO-FORTP'!J12)</f>
        <v>0.2857142857142857</v>
      </c>
      <c r="K12" s="49">
        <f>AVERAGE('29.07 KYENJOJO-FORTPORTAL'!K12,'30.07 KYENJOJO-FORTPORTAL'!K12,'31.07 KYENJOJO-FORTPORTAL'!K12,'02.08 KYENJOJO-FORTPORTAL'!K12,'01.08 KYENJOJO-FORTPORTAL-24h'!K12,'03.08 KYENJOJO-FORTPORTAL-24h'!K12,'04.08 KYENJOJO-FORTP'!K12)</f>
        <v>0.14285714285714285</v>
      </c>
      <c r="L12" s="49">
        <f>AVERAGE('29.07 KYENJOJO-FORTPORTAL'!L12,'30.07 KYENJOJO-FORTPORTAL'!L12,'31.07 KYENJOJO-FORTPORTAL'!L12,'02.08 KYENJOJO-FORTPORTAL'!L12,'01.08 KYENJOJO-FORTPORTAL-24h'!L12,'03.08 KYENJOJO-FORTPORTAL-24h'!L12,'04.08 KYENJOJO-FORTP'!L12)</f>
        <v>0.7142857142857143</v>
      </c>
      <c r="M12" s="49">
        <f>AVERAGE('29.07 KYENJOJO-FORTPORTAL'!M12,'30.07 KYENJOJO-FORTPORTAL'!M12,'31.07 KYENJOJO-FORTPORTAL'!M12,'02.08 KYENJOJO-FORTPORTAL'!M12,'01.08 KYENJOJO-FORTPORTAL-24h'!M12,'03.08 KYENJOJO-FORTPORTAL-24h'!M12,'04.08 KYENJOJO-FORTP'!M12)</f>
        <v>1</v>
      </c>
      <c r="N12" s="49">
        <f>AVERAGE('29.07 KYENJOJO-FORTPORTAL'!N12,'30.07 KYENJOJO-FORTPORTAL'!N12,'31.07 KYENJOJO-FORTPORTAL'!N12,'02.08 KYENJOJO-FORTPORTAL'!N12,'01.08 KYENJOJO-FORTPORTAL-24h'!N12,'03.08 KYENJOJO-FORTPORTAL-24h'!N12,'04.08 KYENJOJO-FORTP'!N12)</f>
        <v>0</v>
      </c>
      <c r="O12" s="15">
        <f t="shared" si="0"/>
        <v>5.8571428571428577</v>
      </c>
      <c r="P12" s="15">
        <f t="shared" si="1"/>
        <v>6.8571428571428577</v>
      </c>
      <c r="R12" s="1" t="s">
        <v>8</v>
      </c>
      <c r="S12" s="17">
        <f t="shared" ref="S12:AF12" si="4">SUM(C18:C21)</f>
        <v>5.2857142857142856</v>
      </c>
      <c r="T12" s="17">
        <f t="shared" si="4"/>
        <v>0</v>
      </c>
      <c r="U12" s="17">
        <f t="shared" si="4"/>
        <v>7.7142857142857135</v>
      </c>
      <c r="V12" s="17">
        <f t="shared" si="4"/>
        <v>6.8571428571428568</v>
      </c>
      <c r="W12" s="17">
        <f t="shared" si="4"/>
        <v>0</v>
      </c>
      <c r="X12" s="17">
        <f t="shared" si="4"/>
        <v>1.4285714285714284</v>
      </c>
      <c r="Y12" s="17">
        <f t="shared" si="4"/>
        <v>1.2857142857142856</v>
      </c>
      <c r="Z12" s="17">
        <f t="shared" si="4"/>
        <v>0.14285714285714285</v>
      </c>
      <c r="AA12" s="17">
        <f t="shared" si="4"/>
        <v>0.2857142857142857</v>
      </c>
      <c r="AB12" s="17">
        <f t="shared" si="4"/>
        <v>3.7142857142857144</v>
      </c>
      <c r="AC12" s="17">
        <f t="shared" si="4"/>
        <v>4.7142857142857135</v>
      </c>
      <c r="AD12" s="17">
        <f t="shared" si="4"/>
        <v>0</v>
      </c>
      <c r="AE12" s="31">
        <f t="shared" si="4"/>
        <v>26.714285714285715</v>
      </c>
      <c r="AF12" s="31">
        <f t="shared" si="4"/>
        <v>31.428571428571431</v>
      </c>
    </row>
    <row r="13" spans="2:32" ht="23.1" customHeight="1" x14ac:dyDescent="0.25">
      <c r="B13" s="23" t="s">
        <v>40</v>
      </c>
      <c r="C13" s="49">
        <f>AVERAGE('29.07 KYENJOJO-FORTPORTAL'!C13,'30.07 KYENJOJO-FORTPORTAL'!C13,'31.07 KYENJOJO-FORTPORTAL'!C13,'02.08 KYENJOJO-FORTPORTAL'!C13,'01.08 KYENJOJO-FORTPORTAL-24h'!C13,'03.08 KYENJOJO-FORTPORTAL-24h'!C13,'04.08 KYENJOJO-FORTP'!C13)</f>
        <v>1.1428571428571428</v>
      </c>
      <c r="D13" s="49">
        <f>AVERAGE('29.07 KYENJOJO-FORTPORTAL'!D13,'30.07 KYENJOJO-FORTPORTAL'!D13,'31.07 KYENJOJO-FORTPORTAL'!D13,'02.08 KYENJOJO-FORTPORTAL'!D13,'01.08 KYENJOJO-FORTPORTAL-24h'!D13,'03.08 KYENJOJO-FORTPORTAL-24h'!D13,'04.08 KYENJOJO-FORTP'!D13)</f>
        <v>0</v>
      </c>
      <c r="E13" s="49">
        <f>AVERAGE('29.07 KYENJOJO-FORTPORTAL'!E13,'30.07 KYENJOJO-FORTPORTAL'!E13,'31.07 KYENJOJO-FORTPORTAL'!E13,'02.08 KYENJOJO-FORTPORTAL'!E13,'01.08 KYENJOJO-FORTPORTAL-24h'!E13,'03.08 KYENJOJO-FORTPORTAL-24h'!E13,'04.08 KYENJOJO-FORTP'!E13)</f>
        <v>1.2857142857142858</v>
      </c>
      <c r="F13" s="49">
        <f>AVERAGE('29.07 KYENJOJO-FORTPORTAL'!F13,'30.07 KYENJOJO-FORTPORTAL'!F13,'31.07 KYENJOJO-FORTPORTAL'!F13,'02.08 KYENJOJO-FORTPORTAL'!F13,'01.08 KYENJOJO-FORTPORTAL-24h'!F13,'03.08 KYENJOJO-FORTPORTAL-24h'!F13,'04.08 KYENJOJO-FORTP'!F13)</f>
        <v>1.1428571428571428</v>
      </c>
      <c r="G13" s="49">
        <f>AVERAGE('29.07 KYENJOJO-FORTPORTAL'!G13,'30.07 KYENJOJO-FORTPORTAL'!G13,'31.07 KYENJOJO-FORTPORTAL'!G13,'02.08 KYENJOJO-FORTPORTAL'!G13,'01.08 KYENJOJO-FORTPORTAL-24h'!G13,'03.08 KYENJOJO-FORTPORTAL-24h'!G13,'04.08 KYENJOJO-FORTP'!G13)</f>
        <v>0.2857142857142857</v>
      </c>
      <c r="H13" s="49">
        <f>AVERAGE('29.07 KYENJOJO-FORTPORTAL'!H13,'30.07 KYENJOJO-FORTPORTAL'!H13,'31.07 KYENJOJO-FORTPORTAL'!H13,'02.08 KYENJOJO-FORTPORTAL'!H13,'01.08 KYENJOJO-FORTPORTAL-24h'!H13,'03.08 KYENJOJO-FORTPORTAL-24h'!H13,'04.08 KYENJOJO-FORTP'!H13)</f>
        <v>0.2857142857142857</v>
      </c>
      <c r="I13" s="49">
        <f>AVERAGE('29.07 KYENJOJO-FORTPORTAL'!I13,'30.07 KYENJOJO-FORTPORTAL'!I13,'31.07 KYENJOJO-FORTPORTAL'!I13,'02.08 KYENJOJO-FORTPORTAL'!I13,'01.08 KYENJOJO-FORTPORTAL-24h'!I13,'03.08 KYENJOJO-FORTPORTAL-24h'!I13,'04.08 KYENJOJO-FORTP'!I13)</f>
        <v>1.1428571428571428</v>
      </c>
      <c r="J13" s="49">
        <f>AVERAGE('29.07 KYENJOJO-FORTPORTAL'!J13,'30.07 KYENJOJO-FORTPORTAL'!J13,'31.07 KYENJOJO-FORTPORTAL'!J13,'02.08 KYENJOJO-FORTPORTAL'!J13,'01.08 KYENJOJO-FORTPORTAL-24h'!J13,'03.08 KYENJOJO-FORTPORTAL-24h'!J13,'04.08 KYENJOJO-FORTP'!J13)</f>
        <v>0.14285714285714285</v>
      </c>
      <c r="K13" s="49">
        <f>AVERAGE('29.07 KYENJOJO-FORTPORTAL'!K13,'30.07 KYENJOJO-FORTPORTAL'!K13,'31.07 KYENJOJO-FORTPORTAL'!K13,'02.08 KYENJOJO-FORTPORTAL'!K13,'01.08 KYENJOJO-FORTPORTAL-24h'!K13,'03.08 KYENJOJO-FORTPORTAL-24h'!K13,'04.08 KYENJOJO-FORTP'!K13)</f>
        <v>0</v>
      </c>
      <c r="L13" s="49">
        <f>AVERAGE('29.07 KYENJOJO-FORTPORTAL'!L13,'30.07 KYENJOJO-FORTPORTAL'!L13,'31.07 KYENJOJO-FORTPORTAL'!L13,'02.08 KYENJOJO-FORTPORTAL'!L13,'01.08 KYENJOJO-FORTPORTAL-24h'!L13,'03.08 KYENJOJO-FORTPORTAL-24h'!L13,'04.08 KYENJOJO-FORTP'!L13)</f>
        <v>0.7142857142857143</v>
      </c>
      <c r="M13" s="49">
        <f>AVERAGE('29.07 KYENJOJO-FORTPORTAL'!M13,'30.07 KYENJOJO-FORTPORTAL'!M13,'31.07 KYENJOJO-FORTPORTAL'!M13,'02.08 KYENJOJO-FORTPORTAL'!M13,'01.08 KYENJOJO-FORTPORTAL-24h'!M13,'03.08 KYENJOJO-FORTPORTAL-24h'!M13,'04.08 KYENJOJO-FORTP'!M13)</f>
        <v>1</v>
      </c>
      <c r="N13" s="49">
        <f>AVERAGE('29.07 KYENJOJO-FORTPORTAL'!N13,'30.07 KYENJOJO-FORTPORTAL'!N13,'31.07 KYENJOJO-FORTPORTAL'!N13,'02.08 KYENJOJO-FORTPORTAL'!N13,'01.08 KYENJOJO-FORTPORTAL-24h'!N13,'03.08 KYENJOJO-FORTPORTAL-24h'!N13,'04.08 KYENJOJO-FORTP'!N13)</f>
        <v>0</v>
      </c>
      <c r="O13" s="15">
        <f t="shared" si="0"/>
        <v>6.1428571428571441</v>
      </c>
      <c r="P13" s="15">
        <f t="shared" si="1"/>
        <v>7.1428571428571441</v>
      </c>
      <c r="R13" s="1" t="s">
        <v>9</v>
      </c>
      <c r="S13" s="17">
        <f t="shared" ref="S13:AF13" si="5">SUM(C22:C25)</f>
        <v>5.8571428571428577</v>
      </c>
      <c r="T13" s="17">
        <f t="shared" si="5"/>
        <v>0</v>
      </c>
      <c r="U13" s="17">
        <f t="shared" si="5"/>
        <v>9.7142857142857135</v>
      </c>
      <c r="V13" s="17">
        <f t="shared" si="5"/>
        <v>8.2857142857142847</v>
      </c>
      <c r="W13" s="17">
        <f t="shared" si="5"/>
        <v>0.14285714285714285</v>
      </c>
      <c r="X13" s="17">
        <f t="shared" si="5"/>
        <v>0.85714285714285698</v>
      </c>
      <c r="Y13" s="17">
        <f t="shared" si="5"/>
        <v>3</v>
      </c>
      <c r="Z13" s="17">
        <f t="shared" si="5"/>
        <v>0.2857142857142857</v>
      </c>
      <c r="AA13" s="17">
        <f t="shared" si="5"/>
        <v>0.2857142857142857</v>
      </c>
      <c r="AB13" s="17">
        <f t="shared" si="5"/>
        <v>3.2857142857142856</v>
      </c>
      <c r="AC13" s="17">
        <f t="shared" si="5"/>
        <v>4.2857142857142856</v>
      </c>
      <c r="AD13" s="17">
        <f t="shared" si="5"/>
        <v>0</v>
      </c>
      <c r="AE13" s="31">
        <f t="shared" si="5"/>
        <v>31.714285714285715</v>
      </c>
      <c r="AF13" s="31">
        <f t="shared" si="5"/>
        <v>36</v>
      </c>
    </row>
    <row r="14" spans="2:32" ht="23.1" customHeight="1" x14ac:dyDescent="0.25">
      <c r="B14" s="23" t="s">
        <v>41</v>
      </c>
      <c r="C14" s="49">
        <f>AVERAGE('29.07 KYENJOJO-FORTPORTAL'!C14,'30.07 KYENJOJO-FORTPORTAL'!C14,'31.07 KYENJOJO-FORTPORTAL'!C14,'02.08 KYENJOJO-FORTPORTAL'!C14,'01.08 KYENJOJO-FORTPORTAL-24h'!C14,'03.08 KYENJOJO-FORTPORTAL-24h'!C14,'04.08 KYENJOJO-FORTP'!C14)</f>
        <v>1.2857142857142858</v>
      </c>
      <c r="D14" s="49">
        <f>AVERAGE('29.07 KYENJOJO-FORTPORTAL'!D14,'30.07 KYENJOJO-FORTPORTAL'!D14,'31.07 KYENJOJO-FORTPORTAL'!D14,'02.08 KYENJOJO-FORTPORTAL'!D14,'01.08 KYENJOJO-FORTPORTAL-24h'!D14,'03.08 KYENJOJO-FORTPORTAL-24h'!D14,'04.08 KYENJOJO-FORTP'!D14)</f>
        <v>0</v>
      </c>
      <c r="E14" s="49">
        <f>AVERAGE('29.07 KYENJOJO-FORTPORTAL'!E14,'30.07 KYENJOJO-FORTPORTAL'!E14,'31.07 KYENJOJO-FORTPORTAL'!E14,'02.08 KYENJOJO-FORTPORTAL'!E14,'01.08 KYENJOJO-FORTPORTAL-24h'!E14,'03.08 KYENJOJO-FORTPORTAL-24h'!E14,'04.08 KYENJOJO-FORTP'!E14)</f>
        <v>1.2857142857142858</v>
      </c>
      <c r="F14" s="49">
        <f>AVERAGE('29.07 KYENJOJO-FORTPORTAL'!F14,'30.07 KYENJOJO-FORTPORTAL'!F14,'31.07 KYENJOJO-FORTPORTAL'!F14,'02.08 KYENJOJO-FORTPORTAL'!F14,'01.08 KYENJOJO-FORTPORTAL-24h'!F14,'03.08 KYENJOJO-FORTPORTAL-24h'!F14,'04.08 KYENJOJO-FORTP'!F14)</f>
        <v>1.2857142857142858</v>
      </c>
      <c r="G14" s="49">
        <f>AVERAGE('29.07 KYENJOJO-FORTPORTAL'!G14,'30.07 KYENJOJO-FORTPORTAL'!G14,'31.07 KYENJOJO-FORTPORTAL'!G14,'02.08 KYENJOJO-FORTPORTAL'!G14,'01.08 KYENJOJO-FORTPORTAL-24h'!G14,'03.08 KYENJOJO-FORTPORTAL-24h'!G14,'04.08 KYENJOJO-FORTP'!G14)</f>
        <v>0</v>
      </c>
      <c r="H14" s="49">
        <f>AVERAGE('29.07 KYENJOJO-FORTPORTAL'!H14,'30.07 KYENJOJO-FORTPORTAL'!H14,'31.07 KYENJOJO-FORTPORTAL'!H14,'02.08 KYENJOJO-FORTPORTAL'!H14,'01.08 KYENJOJO-FORTPORTAL-24h'!H14,'03.08 KYENJOJO-FORTPORTAL-24h'!H14,'04.08 KYENJOJO-FORTP'!H14)</f>
        <v>0</v>
      </c>
      <c r="I14" s="49">
        <f>AVERAGE('29.07 KYENJOJO-FORTPORTAL'!I14,'30.07 KYENJOJO-FORTPORTAL'!I14,'31.07 KYENJOJO-FORTPORTAL'!I14,'02.08 KYENJOJO-FORTPORTAL'!I14,'01.08 KYENJOJO-FORTPORTAL-24h'!I14,'03.08 KYENJOJO-FORTPORTAL-24h'!I14,'04.08 KYENJOJO-FORTP'!I14)</f>
        <v>1.4285714285714286</v>
      </c>
      <c r="J14" s="49">
        <f>AVERAGE('29.07 KYENJOJO-FORTPORTAL'!J14,'30.07 KYENJOJO-FORTPORTAL'!J14,'31.07 KYENJOJO-FORTPORTAL'!J14,'02.08 KYENJOJO-FORTPORTAL'!J14,'01.08 KYENJOJO-FORTPORTAL-24h'!J14,'03.08 KYENJOJO-FORTPORTAL-24h'!J14,'04.08 KYENJOJO-FORTP'!J14)</f>
        <v>0</v>
      </c>
      <c r="K14" s="49">
        <f>AVERAGE('29.07 KYENJOJO-FORTPORTAL'!K14,'30.07 KYENJOJO-FORTPORTAL'!K14,'31.07 KYENJOJO-FORTPORTAL'!K14,'02.08 KYENJOJO-FORTPORTAL'!K14,'01.08 KYENJOJO-FORTPORTAL-24h'!K14,'03.08 KYENJOJO-FORTPORTAL-24h'!K14,'04.08 KYENJOJO-FORTP'!K14)</f>
        <v>0</v>
      </c>
      <c r="L14" s="49">
        <f>AVERAGE('29.07 KYENJOJO-FORTPORTAL'!L14,'30.07 KYENJOJO-FORTPORTAL'!L14,'31.07 KYENJOJO-FORTPORTAL'!L14,'02.08 KYENJOJO-FORTPORTAL'!L14,'01.08 KYENJOJO-FORTPORTAL-24h'!L14,'03.08 KYENJOJO-FORTPORTAL-24h'!L14,'04.08 KYENJOJO-FORTP'!L14)</f>
        <v>0.14285714285714285</v>
      </c>
      <c r="M14" s="49">
        <f>AVERAGE('29.07 KYENJOJO-FORTPORTAL'!M14,'30.07 KYENJOJO-FORTPORTAL'!M14,'31.07 KYENJOJO-FORTPORTAL'!M14,'02.08 KYENJOJO-FORTPORTAL'!M14,'01.08 KYENJOJO-FORTPORTAL-24h'!M14,'03.08 KYENJOJO-FORTPORTAL-24h'!M14,'04.08 KYENJOJO-FORTP'!M14)</f>
        <v>1.2857142857142858</v>
      </c>
      <c r="N14" s="49">
        <f>AVERAGE('29.07 KYENJOJO-FORTPORTAL'!N14,'30.07 KYENJOJO-FORTPORTAL'!N14,'31.07 KYENJOJO-FORTPORTAL'!N14,'02.08 KYENJOJO-FORTPORTAL'!N14,'01.08 KYENJOJO-FORTPORTAL-24h'!N14,'03.08 KYENJOJO-FORTPORTAL-24h'!N14,'04.08 KYENJOJO-FORTP'!N14)</f>
        <v>0</v>
      </c>
      <c r="O14" s="15">
        <f t="shared" si="0"/>
        <v>5.4285714285714297</v>
      </c>
      <c r="P14" s="15">
        <f t="shared" si="1"/>
        <v>6.7142857142857153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11.571428571428571</v>
      </c>
      <c r="V14" s="17">
        <f t="shared" si="6"/>
        <v>8.8571428571428577</v>
      </c>
      <c r="W14" s="17">
        <f t="shared" si="6"/>
        <v>0</v>
      </c>
      <c r="X14" s="17">
        <f t="shared" si="6"/>
        <v>1.7142857142857142</v>
      </c>
      <c r="Y14" s="17">
        <f t="shared" si="6"/>
        <v>3.7142857142857144</v>
      </c>
      <c r="Z14" s="17">
        <f t="shared" si="6"/>
        <v>0.14285714285714285</v>
      </c>
      <c r="AA14" s="17">
        <f t="shared" si="6"/>
        <v>0.14285714285714285</v>
      </c>
      <c r="AB14" s="17">
        <f t="shared" si="6"/>
        <v>2.1428571428571428</v>
      </c>
      <c r="AC14" s="17">
        <f t="shared" si="6"/>
        <v>5.8571428571428577</v>
      </c>
      <c r="AD14" s="17">
        <f t="shared" si="6"/>
        <v>0</v>
      </c>
      <c r="AE14" s="31">
        <f t="shared" si="6"/>
        <v>32.285714285714285</v>
      </c>
      <c r="AF14" s="31">
        <f t="shared" si="6"/>
        <v>38.142857142857139</v>
      </c>
    </row>
    <row r="15" spans="2:32" ht="23.1" customHeight="1" x14ac:dyDescent="0.25">
      <c r="B15" s="23" t="s">
        <v>42</v>
      </c>
      <c r="C15" s="49">
        <f>AVERAGE('29.07 KYENJOJO-FORTPORTAL'!C15,'30.07 KYENJOJO-FORTPORTAL'!C15,'31.07 KYENJOJO-FORTPORTAL'!C15,'02.08 KYENJOJO-FORTPORTAL'!C15,'01.08 KYENJOJO-FORTPORTAL-24h'!C15,'03.08 KYENJOJO-FORTPORTAL-24h'!C15,'04.08 KYENJOJO-FORTP'!C15)</f>
        <v>0.7142857142857143</v>
      </c>
      <c r="D15" s="49">
        <f>AVERAGE('29.07 KYENJOJO-FORTPORTAL'!D15,'30.07 KYENJOJO-FORTPORTAL'!D15,'31.07 KYENJOJO-FORTPORTAL'!D15,'02.08 KYENJOJO-FORTPORTAL'!D15,'01.08 KYENJOJO-FORTPORTAL-24h'!D15,'03.08 KYENJOJO-FORTPORTAL-24h'!D15,'04.08 KYENJOJO-FORTP'!D15)</f>
        <v>0</v>
      </c>
      <c r="E15" s="49">
        <f>AVERAGE('29.07 KYENJOJO-FORTPORTAL'!E15,'30.07 KYENJOJO-FORTPORTAL'!E15,'31.07 KYENJOJO-FORTPORTAL'!E15,'02.08 KYENJOJO-FORTPORTAL'!E15,'01.08 KYENJOJO-FORTPORTAL-24h'!E15,'03.08 KYENJOJO-FORTPORTAL-24h'!E15,'04.08 KYENJOJO-FORTP'!E15)</f>
        <v>1.1428571428571428</v>
      </c>
      <c r="F15" s="49">
        <f>AVERAGE('29.07 KYENJOJO-FORTPORTAL'!F15,'30.07 KYENJOJO-FORTPORTAL'!F15,'31.07 KYENJOJO-FORTPORTAL'!F15,'02.08 KYENJOJO-FORTPORTAL'!F15,'01.08 KYENJOJO-FORTPORTAL-24h'!F15,'03.08 KYENJOJO-FORTPORTAL-24h'!F15,'04.08 KYENJOJO-FORTP'!F15)</f>
        <v>1.1428571428571428</v>
      </c>
      <c r="G15" s="49">
        <f>AVERAGE('29.07 KYENJOJO-FORTPORTAL'!G15,'30.07 KYENJOJO-FORTPORTAL'!G15,'31.07 KYENJOJO-FORTPORTAL'!G15,'02.08 KYENJOJO-FORTPORTAL'!G15,'01.08 KYENJOJO-FORTPORTAL-24h'!G15,'03.08 KYENJOJO-FORTPORTAL-24h'!G15,'04.08 KYENJOJO-FORTP'!G15)</f>
        <v>0</v>
      </c>
      <c r="H15" s="49">
        <f>AVERAGE('29.07 KYENJOJO-FORTPORTAL'!H15,'30.07 KYENJOJO-FORTPORTAL'!H15,'31.07 KYENJOJO-FORTPORTAL'!H15,'02.08 KYENJOJO-FORTPORTAL'!H15,'01.08 KYENJOJO-FORTPORTAL-24h'!H15,'03.08 KYENJOJO-FORTPORTAL-24h'!H15,'04.08 KYENJOJO-FORTP'!H15)</f>
        <v>0.14285714285714285</v>
      </c>
      <c r="I15" s="49">
        <f>AVERAGE('29.07 KYENJOJO-FORTPORTAL'!I15,'30.07 KYENJOJO-FORTPORTAL'!I15,'31.07 KYENJOJO-FORTPORTAL'!I15,'02.08 KYENJOJO-FORTPORTAL'!I15,'01.08 KYENJOJO-FORTPORTAL-24h'!I15,'03.08 KYENJOJO-FORTPORTAL-24h'!I15,'04.08 KYENJOJO-FORTP'!I15)</f>
        <v>0.5714285714285714</v>
      </c>
      <c r="J15" s="49">
        <f>AVERAGE('29.07 KYENJOJO-FORTPORTAL'!J15,'30.07 KYENJOJO-FORTPORTAL'!J15,'31.07 KYENJOJO-FORTPORTAL'!J15,'02.08 KYENJOJO-FORTPORTAL'!J15,'01.08 KYENJOJO-FORTPORTAL-24h'!J15,'03.08 KYENJOJO-FORTPORTAL-24h'!J15,'04.08 KYENJOJO-FORTP'!J15)</f>
        <v>0</v>
      </c>
      <c r="K15" s="49">
        <f>AVERAGE('29.07 KYENJOJO-FORTPORTAL'!K15,'30.07 KYENJOJO-FORTPORTAL'!K15,'31.07 KYENJOJO-FORTPORTAL'!K15,'02.08 KYENJOJO-FORTPORTAL'!K15,'01.08 KYENJOJO-FORTPORTAL-24h'!K15,'03.08 KYENJOJO-FORTPORTAL-24h'!K15,'04.08 KYENJOJO-FORTP'!K15)</f>
        <v>0</v>
      </c>
      <c r="L15" s="49">
        <f>AVERAGE('29.07 KYENJOJO-FORTPORTAL'!L15,'30.07 KYENJOJO-FORTPORTAL'!L15,'31.07 KYENJOJO-FORTPORTAL'!L15,'02.08 KYENJOJO-FORTPORTAL'!L15,'01.08 KYENJOJO-FORTPORTAL-24h'!L15,'03.08 KYENJOJO-FORTPORTAL-24h'!L15,'04.08 KYENJOJO-FORTP'!L15)</f>
        <v>0.8571428571428571</v>
      </c>
      <c r="M15" s="49">
        <f>AVERAGE('29.07 KYENJOJO-FORTPORTAL'!M15,'30.07 KYENJOJO-FORTPORTAL'!M15,'31.07 KYENJOJO-FORTPORTAL'!M15,'02.08 KYENJOJO-FORTPORTAL'!M15,'01.08 KYENJOJO-FORTPORTAL-24h'!M15,'03.08 KYENJOJO-FORTPORTAL-24h'!M15,'04.08 KYENJOJO-FORTP'!M15)</f>
        <v>0.5714285714285714</v>
      </c>
      <c r="N15" s="49">
        <f>AVERAGE('29.07 KYENJOJO-FORTPORTAL'!N15,'30.07 KYENJOJO-FORTPORTAL'!N15,'31.07 KYENJOJO-FORTPORTAL'!N15,'02.08 KYENJOJO-FORTPORTAL'!N15,'01.08 KYENJOJO-FORTPORTAL-24h'!N15,'03.08 KYENJOJO-FORTPORTAL-24h'!N15,'04.08 KYENJOJO-FORTP'!N15)</f>
        <v>0</v>
      </c>
      <c r="O15" s="15">
        <f t="shared" si="0"/>
        <v>4.5714285714285712</v>
      </c>
      <c r="P15" s="15">
        <f t="shared" si="1"/>
        <v>5.1428571428571423</v>
      </c>
      <c r="R15" s="1" t="s">
        <v>11</v>
      </c>
      <c r="S15" s="17">
        <f t="shared" ref="S15:AF15" si="7">SUM(C30:C33)</f>
        <v>4.5714285714285712</v>
      </c>
      <c r="T15" s="17">
        <f t="shared" si="7"/>
        <v>0</v>
      </c>
      <c r="U15" s="17">
        <f t="shared" si="7"/>
        <v>7.2857142857142856</v>
      </c>
      <c r="V15" s="17">
        <f t="shared" si="7"/>
        <v>8.5714285714285712</v>
      </c>
      <c r="W15" s="17">
        <f t="shared" si="7"/>
        <v>0.42857142857142855</v>
      </c>
      <c r="X15" s="17">
        <f t="shared" si="7"/>
        <v>3</v>
      </c>
      <c r="Y15" s="17">
        <f t="shared" si="7"/>
        <v>3.2857142857142856</v>
      </c>
      <c r="Z15" s="17">
        <f t="shared" si="7"/>
        <v>0.71428571428571419</v>
      </c>
      <c r="AA15" s="17">
        <f t="shared" si="7"/>
        <v>0</v>
      </c>
      <c r="AB15" s="17">
        <f t="shared" si="7"/>
        <v>2.1428571428571428</v>
      </c>
      <c r="AC15" s="17">
        <f t="shared" si="7"/>
        <v>5.8571428571428568</v>
      </c>
      <c r="AD15" s="17">
        <f t="shared" si="7"/>
        <v>0</v>
      </c>
      <c r="AE15" s="31">
        <f t="shared" si="7"/>
        <v>30</v>
      </c>
      <c r="AF15" s="31">
        <f t="shared" si="7"/>
        <v>35.857142857142854</v>
      </c>
    </row>
    <row r="16" spans="2:32" ht="23.1" customHeight="1" x14ac:dyDescent="0.25">
      <c r="B16" s="23" t="s">
        <v>43</v>
      </c>
      <c r="C16" s="49">
        <f>AVERAGE('29.07 KYENJOJO-FORTPORTAL'!C16,'30.07 KYENJOJO-FORTPORTAL'!C16,'31.07 KYENJOJO-FORTPORTAL'!C16,'02.08 KYENJOJO-FORTPORTAL'!C16,'01.08 KYENJOJO-FORTPORTAL-24h'!C16,'03.08 KYENJOJO-FORTPORTAL-24h'!C16,'04.08 KYENJOJO-FORTP'!C16)</f>
        <v>0.5714285714285714</v>
      </c>
      <c r="D16" s="49">
        <f>AVERAGE('29.07 KYENJOJO-FORTPORTAL'!D16,'30.07 KYENJOJO-FORTPORTAL'!D16,'31.07 KYENJOJO-FORTPORTAL'!D16,'02.08 KYENJOJO-FORTPORTAL'!D16,'01.08 KYENJOJO-FORTPORTAL-24h'!D16,'03.08 KYENJOJO-FORTPORTAL-24h'!D16,'04.08 KYENJOJO-FORTP'!D16)</f>
        <v>0</v>
      </c>
      <c r="E16" s="49">
        <f>AVERAGE('29.07 KYENJOJO-FORTPORTAL'!E16,'30.07 KYENJOJO-FORTPORTAL'!E16,'31.07 KYENJOJO-FORTPORTAL'!E16,'02.08 KYENJOJO-FORTPORTAL'!E16,'01.08 KYENJOJO-FORTPORTAL-24h'!E16,'03.08 KYENJOJO-FORTPORTAL-24h'!E16,'04.08 KYENJOJO-FORTP'!E16)</f>
        <v>2</v>
      </c>
      <c r="F16" s="49">
        <f>AVERAGE('29.07 KYENJOJO-FORTPORTAL'!F16,'30.07 KYENJOJO-FORTPORTAL'!F16,'31.07 KYENJOJO-FORTPORTAL'!F16,'02.08 KYENJOJO-FORTPORTAL'!F16,'01.08 KYENJOJO-FORTPORTAL-24h'!F16,'03.08 KYENJOJO-FORTPORTAL-24h'!F16,'04.08 KYENJOJO-FORTP'!F16)</f>
        <v>1.7142857142857142</v>
      </c>
      <c r="G16" s="49">
        <f>AVERAGE('29.07 KYENJOJO-FORTPORTAL'!G16,'30.07 KYENJOJO-FORTPORTAL'!G16,'31.07 KYENJOJO-FORTPORTAL'!G16,'02.08 KYENJOJO-FORTPORTAL'!G16,'01.08 KYENJOJO-FORTPORTAL-24h'!G16,'03.08 KYENJOJO-FORTPORTAL-24h'!G16,'04.08 KYENJOJO-FORTP'!G16)</f>
        <v>0.14285714285714285</v>
      </c>
      <c r="H16" s="49">
        <f>AVERAGE('29.07 KYENJOJO-FORTPORTAL'!H16,'30.07 KYENJOJO-FORTPORTAL'!H16,'31.07 KYENJOJO-FORTPORTAL'!H16,'02.08 KYENJOJO-FORTPORTAL'!H16,'01.08 KYENJOJO-FORTPORTAL-24h'!H16,'03.08 KYENJOJO-FORTPORTAL-24h'!H16,'04.08 KYENJOJO-FORTP'!H16)</f>
        <v>0</v>
      </c>
      <c r="I16" s="49">
        <f>AVERAGE('29.07 KYENJOJO-FORTPORTAL'!I16,'30.07 KYENJOJO-FORTPORTAL'!I16,'31.07 KYENJOJO-FORTPORTAL'!I16,'02.08 KYENJOJO-FORTPORTAL'!I16,'01.08 KYENJOJO-FORTPORTAL-24h'!I16,'03.08 KYENJOJO-FORTPORTAL-24h'!I16,'04.08 KYENJOJO-FORTP'!I16)</f>
        <v>0.2857142857142857</v>
      </c>
      <c r="J16" s="49">
        <f>AVERAGE('29.07 KYENJOJO-FORTPORTAL'!J16,'30.07 KYENJOJO-FORTPORTAL'!J16,'31.07 KYENJOJO-FORTPORTAL'!J16,'02.08 KYENJOJO-FORTPORTAL'!J16,'01.08 KYENJOJO-FORTPORTAL-24h'!J16,'03.08 KYENJOJO-FORTPORTAL-24h'!J16,'04.08 KYENJOJO-FORTP'!J16)</f>
        <v>0</v>
      </c>
      <c r="K16" s="49">
        <f>AVERAGE('29.07 KYENJOJO-FORTPORTAL'!K16,'30.07 KYENJOJO-FORTPORTAL'!K16,'31.07 KYENJOJO-FORTPORTAL'!K16,'02.08 KYENJOJO-FORTPORTAL'!K16,'01.08 KYENJOJO-FORTPORTAL-24h'!K16,'03.08 KYENJOJO-FORTPORTAL-24h'!K16,'04.08 KYENJOJO-FORTP'!K16)</f>
        <v>0</v>
      </c>
      <c r="L16" s="49">
        <f>AVERAGE('29.07 KYENJOJO-FORTPORTAL'!L16,'30.07 KYENJOJO-FORTPORTAL'!L16,'31.07 KYENJOJO-FORTPORTAL'!L16,'02.08 KYENJOJO-FORTPORTAL'!L16,'01.08 KYENJOJO-FORTPORTAL-24h'!L16,'03.08 KYENJOJO-FORTPORTAL-24h'!L16,'04.08 KYENJOJO-FORTP'!L16)</f>
        <v>0.2857142857142857</v>
      </c>
      <c r="M16" s="49">
        <f>AVERAGE('29.07 KYENJOJO-FORTPORTAL'!M16,'30.07 KYENJOJO-FORTPORTAL'!M16,'31.07 KYENJOJO-FORTPORTAL'!M16,'02.08 KYENJOJO-FORTPORTAL'!M16,'01.08 KYENJOJO-FORTPORTAL-24h'!M16,'03.08 KYENJOJO-FORTPORTAL-24h'!M16,'04.08 KYENJOJO-FORTP'!M16)</f>
        <v>2</v>
      </c>
      <c r="N16" s="49">
        <f>AVERAGE('29.07 KYENJOJO-FORTPORTAL'!N16,'30.07 KYENJOJO-FORTPORTAL'!N16,'31.07 KYENJOJO-FORTPORTAL'!N16,'02.08 KYENJOJO-FORTPORTAL'!N16,'01.08 KYENJOJO-FORTPORTAL-24h'!N16,'03.08 KYENJOJO-FORTPORTAL-24h'!N16,'04.08 KYENJOJO-FORTP'!N16)</f>
        <v>0</v>
      </c>
      <c r="O16" s="15">
        <f t="shared" si="0"/>
        <v>5</v>
      </c>
      <c r="P16" s="15">
        <f t="shared" si="1"/>
        <v>7</v>
      </c>
      <c r="R16" s="1" t="s">
        <v>12</v>
      </c>
      <c r="S16" s="17">
        <f t="shared" ref="S16:AF16" si="8">SUM(C34:C37)</f>
        <v>4.7142857142857135</v>
      </c>
      <c r="T16" s="17">
        <f t="shared" si="8"/>
        <v>0</v>
      </c>
      <c r="U16" s="17">
        <f t="shared" si="8"/>
        <v>7.7142857142857135</v>
      </c>
      <c r="V16" s="17">
        <f t="shared" si="8"/>
        <v>9.571428571428573</v>
      </c>
      <c r="W16" s="17">
        <f t="shared" si="8"/>
        <v>0</v>
      </c>
      <c r="X16" s="17">
        <f t="shared" si="8"/>
        <v>1.2857142857142856</v>
      </c>
      <c r="Y16" s="17">
        <f t="shared" si="8"/>
        <v>2.5714285714285712</v>
      </c>
      <c r="Z16" s="17">
        <f t="shared" si="8"/>
        <v>0.71428571428571419</v>
      </c>
      <c r="AA16" s="17">
        <f t="shared" si="8"/>
        <v>0.14285714285714285</v>
      </c>
      <c r="AB16" s="17">
        <f t="shared" si="8"/>
        <v>2.4285714285714284</v>
      </c>
      <c r="AC16" s="17">
        <f t="shared" si="8"/>
        <v>5</v>
      </c>
      <c r="AD16" s="17">
        <f t="shared" si="8"/>
        <v>0</v>
      </c>
      <c r="AE16" s="31">
        <f t="shared" si="8"/>
        <v>29.142857142857146</v>
      </c>
      <c r="AF16" s="31">
        <f t="shared" si="8"/>
        <v>34.142857142857146</v>
      </c>
    </row>
    <row r="17" spans="2:32" ht="23.1" customHeight="1" x14ac:dyDescent="0.25">
      <c r="B17" s="23" t="s">
        <v>44</v>
      </c>
      <c r="C17" s="49">
        <f>AVERAGE('29.07 KYENJOJO-FORTPORTAL'!C17,'30.07 KYENJOJO-FORTPORTAL'!C17,'31.07 KYENJOJO-FORTPORTAL'!C17,'02.08 KYENJOJO-FORTPORTAL'!C17,'01.08 KYENJOJO-FORTPORTAL-24h'!C17,'03.08 KYENJOJO-FORTPORTAL-24h'!C17,'04.08 KYENJOJO-FORTP'!C17)</f>
        <v>1.5714285714285714</v>
      </c>
      <c r="D17" s="49">
        <f>AVERAGE('29.07 KYENJOJO-FORTPORTAL'!D17,'30.07 KYENJOJO-FORTPORTAL'!D17,'31.07 KYENJOJO-FORTPORTAL'!D17,'02.08 KYENJOJO-FORTPORTAL'!D17,'01.08 KYENJOJO-FORTPORTAL-24h'!D17,'03.08 KYENJOJO-FORTPORTAL-24h'!D17,'04.08 KYENJOJO-FORTP'!D17)</f>
        <v>0</v>
      </c>
      <c r="E17" s="49">
        <f>AVERAGE('29.07 KYENJOJO-FORTPORTAL'!E17,'30.07 KYENJOJO-FORTPORTAL'!E17,'31.07 KYENJOJO-FORTPORTAL'!E17,'02.08 KYENJOJO-FORTPORTAL'!E17,'01.08 KYENJOJO-FORTPORTAL-24h'!E17,'03.08 KYENJOJO-FORTPORTAL-24h'!E17,'04.08 KYENJOJO-FORTP'!E17)</f>
        <v>1.7142857142857142</v>
      </c>
      <c r="F17" s="49">
        <f>AVERAGE('29.07 KYENJOJO-FORTPORTAL'!F17,'30.07 KYENJOJO-FORTPORTAL'!F17,'31.07 KYENJOJO-FORTPORTAL'!F17,'02.08 KYENJOJO-FORTPORTAL'!F17,'01.08 KYENJOJO-FORTPORTAL-24h'!F17,'03.08 KYENJOJO-FORTPORTAL-24h'!F17,'04.08 KYENJOJO-FORTP'!F17)</f>
        <v>1.5714285714285714</v>
      </c>
      <c r="G17" s="49">
        <f>AVERAGE('29.07 KYENJOJO-FORTPORTAL'!G17,'30.07 KYENJOJO-FORTPORTAL'!G17,'31.07 KYENJOJO-FORTPORTAL'!G17,'02.08 KYENJOJO-FORTPORTAL'!G17,'01.08 KYENJOJO-FORTPORTAL-24h'!G17,'03.08 KYENJOJO-FORTPORTAL-24h'!G17,'04.08 KYENJOJO-FORTP'!G17)</f>
        <v>0</v>
      </c>
      <c r="H17" s="49">
        <f>AVERAGE('29.07 KYENJOJO-FORTPORTAL'!H17,'30.07 KYENJOJO-FORTPORTAL'!H17,'31.07 KYENJOJO-FORTPORTAL'!H17,'02.08 KYENJOJO-FORTPORTAL'!H17,'01.08 KYENJOJO-FORTPORTAL-24h'!H17,'03.08 KYENJOJO-FORTPORTAL-24h'!H17,'04.08 KYENJOJO-FORTP'!H17)</f>
        <v>0.14285714285714285</v>
      </c>
      <c r="I17" s="49">
        <f>AVERAGE('29.07 KYENJOJO-FORTPORTAL'!I17,'30.07 KYENJOJO-FORTPORTAL'!I17,'31.07 KYENJOJO-FORTPORTAL'!I17,'02.08 KYENJOJO-FORTPORTAL'!I17,'01.08 KYENJOJO-FORTPORTAL-24h'!I17,'03.08 KYENJOJO-FORTPORTAL-24h'!I17,'04.08 KYENJOJO-FORTP'!I17)</f>
        <v>0.2857142857142857</v>
      </c>
      <c r="J17" s="49">
        <f>AVERAGE('29.07 KYENJOJO-FORTPORTAL'!J17,'30.07 KYENJOJO-FORTPORTAL'!J17,'31.07 KYENJOJO-FORTPORTAL'!J17,'02.08 KYENJOJO-FORTPORTAL'!J17,'01.08 KYENJOJO-FORTPORTAL-24h'!J17,'03.08 KYENJOJO-FORTPORTAL-24h'!J17,'04.08 KYENJOJO-FORTP'!J17)</f>
        <v>0</v>
      </c>
      <c r="K17" s="49">
        <f>AVERAGE('29.07 KYENJOJO-FORTPORTAL'!K17,'30.07 KYENJOJO-FORTPORTAL'!K17,'31.07 KYENJOJO-FORTPORTAL'!K17,'02.08 KYENJOJO-FORTPORTAL'!K17,'01.08 KYENJOJO-FORTPORTAL-24h'!K17,'03.08 KYENJOJO-FORTPORTAL-24h'!K17,'04.08 KYENJOJO-FORTP'!K17)</f>
        <v>0.14285714285714285</v>
      </c>
      <c r="L17" s="49">
        <f>AVERAGE('29.07 KYENJOJO-FORTPORTAL'!L17,'30.07 KYENJOJO-FORTPORTAL'!L17,'31.07 KYENJOJO-FORTPORTAL'!L17,'02.08 KYENJOJO-FORTPORTAL'!L17,'01.08 KYENJOJO-FORTPORTAL-24h'!L17,'03.08 KYENJOJO-FORTPORTAL-24h'!L17,'04.08 KYENJOJO-FORTP'!L17)</f>
        <v>0.5714285714285714</v>
      </c>
      <c r="M17" s="49">
        <f>AVERAGE('29.07 KYENJOJO-FORTPORTAL'!M17,'30.07 KYENJOJO-FORTPORTAL'!M17,'31.07 KYENJOJO-FORTPORTAL'!M17,'02.08 KYENJOJO-FORTPORTAL'!M17,'01.08 KYENJOJO-FORTPORTAL-24h'!M17,'03.08 KYENJOJO-FORTPORTAL-24h'!M17,'04.08 KYENJOJO-FORTP'!M17)</f>
        <v>0.42857142857142855</v>
      </c>
      <c r="N17" s="49">
        <f>AVERAGE('29.07 KYENJOJO-FORTPORTAL'!N17,'30.07 KYENJOJO-FORTPORTAL'!N17,'31.07 KYENJOJO-FORTPORTAL'!N17,'02.08 KYENJOJO-FORTPORTAL'!N17,'01.08 KYENJOJO-FORTPORTAL-24h'!N17,'03.08 KYENJOJO-FORTPORTAL-24h'!N17,'04.08 KYENJOJO-FORTP'!N17)</f>
        <v>0</v>
      </c>
      <c r="O17" s="15">
        <f t="shared" si="0"/>
        <v>6</v>
      </c>
      <c r="P17" s="15">
        <f t="shared" si="1"/>
        <v>6.4285714285714288</v>
      </c>
      <c r="R17" s="1" t="s">
        <v>13</v>
      </c>
      <c r="S17" s="17">
        <f t="shared" ref="S17:AF17" si="9">SUM(C38:C41)</f>
        <v>6.5714285714285712</v>
      </c>
      <c r="T17" s="17">
        <f t="shared" si="9"/>
        <v>0</v>
      </c>
      <c r="U17" s="17">
        <f t="shared" si="9"/>
        <v>11.142857142857142</v>
      </c>
      <c r="V17" s="17">
        <f t="shared" si="9"/>
        <v>8</v>
      </c>
      <c r="W17" s="17">
        <f t="shared" si="9"/>
        <v>0.2857142857142857</v>
      </c>
      <c r="X17" s="17">
        <f t="shared" si="9"/>
        <v>1.7142857142857142</v>
      </c>
      <c r="Y17" s="17">
        <f t="shared" si="9"/>
        <v>3.5714285714285712</v>
      </c>
      <c r="Z17" s="17">
        <f t="shared" si="9"/>
        <v>0.5714285714285714</v>
      </c>
      <c r="AA17" s="17">
        <f t="shared" si="9"/>
        <v>0</v>
      </c>
      <c r="AB17" s="17">
        <f t="shared" si="9"/>
        <v>2.4285714285714284</v>
      </c>
      <c r="AC17" s="17">
        <f t="shared" si="9"/>
        <v>6</v>
      </c>
      <c r="AD17" s="17">
        <f t="shared" si="9"/>
        <v>0</v>
      </c>
      <c r="AE17" s="31">
        <f t="shared" si="9"/>
        <v>34.285714285714285</v>
      </c>
      <c r="AF17" s="31">
        <f t="shared" si="9"/>
        <v>40.285714285714285</v>
      </c>
    </row>
    <row r="18" spans="2:32" ht="23.1" customHeight="1" x14ac:dyDescent="0.25">
      <c r="B18" s="23" t="s">
        <v>45</v>
      </c>
      <c r="C18" s="49">
        <f>AVERAGE('29.07 KYENJOJO-FORTPORTAL'!C18,'30.07 KYENJOJO-FORTPORTAL'!C18,'31.07 KYENJOJO-FORTPORTAL'!C18,'02.08 KYENJOJO-FORTPORTAL'!C18,'01.08 KYENJOJO-FORTPORTAL-24h'!C18,'03.08 KYENJOJO-FORTPORTAL-24h'!C18,'04.08 KYENJOJO-FORTP'!C18)</f>
        <v>1.1428571428571428</v>
      </c>
      <c r="D18" s="49">
        <f>AVERAGE('29.07 KYENJOJO-FORTPORTAL'!D18,'30.07 KYENJOJO-FORTPORTAL'!D18,'31.07 KYENJOJO-FORTPORTAL'!D18,'02.08 KYENJOJO-FORTPORTAL'!D18,'01.08 KYENJOJO-FORTPORTAL-24h'!D18,'03.08 KYENJOJO-FORTPORTAL-24h'!D18,'04.08 KYENJOJO-FORTP'!D18)</f>
        <v>0</v>
      </c>
      <c r="E18" s="49">
        <f>AVERAGE('29.07 KYENJOJO-FORTPORTAL'!E18,'30.07 KYENJOJO-FORTPORTAL'!E18,'31.07 KYENJOJO-FORTPORTAL'!E18,'02.08 KYENJOJO-FORTPORTAL'!E18,'01.08 KYENJOJO-FORTPORTAL-24h'!E18,'03.08 KYENJOJO-FORTPORTAL-24h'!E18,'04.08 KYENJOJO-FORTP'!E18)</f>
        <v>2.2857142857142856</v>
      </c>
      <c r="F18" s="49">
        <f>AVERAGE('29.07 KYENJOJO-FORTPORTAL'!F18,'30.07 KYENJOJO-FORTPORTAL'!F18,'31.07 KYENJOJO-FORTPORTAL'!F18,'02.08 KYENJOJO-FORTPORTAL'!F18,'01.08 KYENJOJO-FORTPORTAL-24h'!F18,'03.08 KYENJOJO-FORTPORTAL-24h'!F18,'04.08 KYENJOJO-FORTP'!F18)</f>
        <v>1.1428571428571428</v>
      </c>
      <c r="G18" s="49">
        <f>AVERAGE('29.07 KYENJOJO-FORTPORTAL'!G18,'30.07 KYENJOJO-FORTPORTAL'!G18,'31.07 KYENJOJO-FORTPORTAL'!G18,'02.08 KYENJOJO-FORTPORTAL'!G18,'01.08 KYENJOJO-FORTPORTAL-24h'!G18,'03.08 KYENJOJO-FORTPORTAL-24h'!G18,'04.08 KYENJOJO-FORTP'!G18)</f>
        <v>0</v>
      </c>
      <c r="H18" s="49">
        <f>AVERAGE('29.07 KYENJOJO-FORTPORTAL'!H18,'30.07 KYENJOJO-FORTPORTAL'!H18,'31.07 KYENJOJO-FORTPORTAL'!H18,'02.08 KYENJOJO-FORTPORTAL'!H18,'01.08 KYENJOJO-FORTPORTAL-24h'!H18,'03.08 KYENJOJO-FORTPORTAL-24h'!H18,'04.08 KYENJOJO-FORTP'!H18)</f>
        <v>0.14285714285714285</v>
      </c>
      <c r="I18" s="49">
        <f>AVERAGE('29.07 KYENJOJO-FORTPORTAL'!I18,'30.07 KYENJOJO-FORTPORTAL'!I18,'31.07 KYENJOJO-FORTPORTAL'!I18,'02.08 KYENJOJO-FORTPORTAL'!I18,'01.08 KYENJOJO-FORTPORTAL-24h'!I18,'03.08 KYENJOJO-FORTPORTAL-24h'!I18,'04.08 KYENJOJO-FORTP'!I18)</f>
        <v>0.14285714285714285</v>
      </c>
      <c r="J18" s="49">
        <f>AVERAGE('29.07 KYENJOJO-FORTPORTAL'!J18,'30.07 KYENJOJO-FORTPORTAL'!J18,'31.07 KYENJOJO-FORTPORTAL'!J18,'02.08 KYENJOJO-FORTPORTAL'!J18,'01.08 KYENJOJO-FORTPORTAL-24h'!J18,'03.08 KYENJOJO-FORTPORTAL-24h'!J18,'04.08 KYENJOJO-FORTP'!J18)</f>
        <v>0</v>
      </c>
      <c r="K18" s="49">
        <f>AVERAGE('29.07 KYENJOJO-FORTPORTAL'!K18,'30.07 KYENJOJO-FORTPORTAL'!K18,'31.07 KYENJOJO-FORTPORTAL'!K18,'02.08 KYENJOJO-FORTPORTAL'!K18,'01.08 KYENJOJO-FORTPORTAL-24h'!K18,'03.08 KYENJOJO-FORTPORTAL-24h'!K18,'04.08 KYENJOJO-FORTP'!K18)</f>
        <v>0.14285714285714285</v>
      </c>
      <c r="L18" s="49">
        <f>AVERAGE('29.07 KYENJOJO-FORTPORTAL'!L18,'30.07 KYENJOJO-FORTPORTAL'!L18,'31.07 KYENJOJO-FORTPORTAL'!L18,'02.08 KYENJOJO-FORTPORTAL'!L18,'01.08 KYENJOJO-FORTPORTAL-24h'!L18,'03.08 KYENJOJO-FORTPORTAL-24h'!L18,'04.08 KYENJOJO-FORTP'!L18)</f>
        <v>1</v>
      </c>
      <c r="M18" s="49">
        <f>AVERAGE('29.07 KYENJOJO-FORTPORTAL'!M18,'30.07 KYENJOJO-FORTPORTAL'!M18,'31.07 KYENJOJO-FORTPORTAL'!M18,'02.08 KYENJOJO-FORTPORTAL'!M18,'01.08 KYENJOJO-FORTPORTAL-24h'!M18,'03.08 KYENJOJO-FORTPORTAL-24h'!M18,'04.08 KYENJOJO-FORTP'!M18)</f>
        <v>1.1428571428571428</v>
      </c>
      <c r="N18" s="49">
        <f>AVERAGE('29.07 KYENJOJO-FORTPORTAL'!N18,'30.07 KYENJOJO-FORTPORTAL'!N18,'31.07 KYENJOJO-FORTPORTAL'!N18,'02.08 KYENJOJO-FORTPORTAL'!N18,'01.08 KYENJOJO-FORTPORTAL-24h'!N18,'03.08 KYENJOJO-FORTPORTAL-24h'!N18,'04.08 KYENJOJO-FORTP'!N18)</f>
        <v>0</v>
      </c>
      <c r="O18" s="15">
        <f t="shared" si="0"/>
        <v>6.0000000000000009</v>
      </c>
      <c r="P18" s="15">
        <f t="shared" si="1"/>
        <v>7.1428571428571441</v>
      </c>
      <c r="R18" s="1" t="s">
        <v>14</v>
      </c>
      <c r="S18" s="17">
        <f t="shared" ref="S18:AF18" si="10">SUM(C42:C45)</f>
        <v>6.2857142857142847</v>
      </c>
      <c r="T18" s="17">
        <f t="shared" si="10"/>
        <v>0</v>
      </c>
      <c r="U18" s="17">
        <f t="shared" si="10"/>
        <v>11.285714285714285</v>
      </c>
      <c r="V18" s="17">
        <f t="shared" si="10"/>
        <v>8</v>
      </c>
      <c r="W18" s="17">
        <f t="shared" si="10"/>
        <v>0.14285714285714285</v>
      </c>
      <c r="X18" s="17">
        <f t="shared" si="10"/>
        <v>2.2857142857142856</v>
      </c>
      <c r="Y18" s="17">
        <f t="shared" si="10"/>
        <v>3.2857142857142856</v>
      </c>
      <c r="Z18" s="17">
        <f t="shared" si="10"/>
        <v>0.2857142857142857</v>
      </c>
      <c r="AA18" s="17">
        <f t="shared" si="10"/>
        <v>0</v>
      </c>
      <c r="AB18" s="17">
        <f t="shared" si="10"/>
        <v>2.714285714285714</v>
      </c>
      <c r="AC18" s="17">
        <f t="shared" si="10"/>
        <v>6</v>
      </c>
      <c r="AD18" s="17">
        <f t="shared" si="10"/>
        <v>0</v>
      </c>
      <c r="AE18" s="31">
        <f t="shared" si="10"/>
        <v>34.285714285714285</v>
      </c>
      <c r="AF18" s="31">
        <f t="shared" si="10"/>
        <v>40.285714285714285</v>
      </c>
    </row>
    <row r="19" spans="2:32" ht="23.1" customHeight="1" x14ac:dyDescent="0.25">
      <c r="B19" s="23" t="s">
        <v>46</v>
      </c>
      <c r="C19" s="49">
        <f>AVERAGE('29.07 KYENJOJO-FORTPORTAL'!C19,'30.07 KYENJOJO-FORTPORTAL'!C19,'31.07 KYENJOJO-FORTPORTAL'!C19,'02.08 KYENJOJO-FORTPORTAL'!C19,'01.08 KYENJOJO-FORTPORTAL-24h'!C19,'03.08 KYENJOJO-FORTPORTAL-24h'!C19,'04.08 KYENJOJO-FORTP'!C19)</f>
        <v>0.8571428571428571</v>
      </c>
      <c r="D19" s="49">
        <f>AVERAGE('29.07 KYENJOJO-FORTPORTAL'!D19,'30.07 KYENJOJO-FORTPORTAL'!D19,'31.07 KYENJOJO-FORTPORTAL'!D19,'02.08 KYENJOJO-FORTPORTAL'!D19,'01.08 KYENJOJO-FORTPORTAL-24h'!D19,'03.08 KYENJOJO-FORTPORTAL-24h'!D19,'04.08 KYENJOJO-FORTP'!D19)</f>
        <v>0</v>
      </c>
      <c r="E19" s="49">
        <f>AVERAGE('29.07 KYENJOJO-FORTPORTAL'!E19,'30.07 KYENJOJO-FORTPORTAL'!E19,'31.07 KYENJOJO-FORTPORTAL'!E19,'02.08 KYENJOJO-FORTPORTAL'!E19,'01.08 KYENJOJO-FORTPORTAL-24h'!E19,'03.08 KYENJOJO-FORTPORTAL-24h'!E19,'04.08 KYENJOJO-FORTP'!E19)</f>
        <v>2.1428571428571428</v>
      </c>
      <c r="F19" s="49">
        <f>AVERAGE('29.07 KYENJOJO-FORTPORTAL'!F19,'30.07 KYENJOJO-FORTPORTAL'!F19,'31.07 KYENJOJO-FORTPORTAL'!F19,'02.08 KYENJOJO-FORTPORTAL'!F19,'01.08 KYENJOJO-FORTPORTAL-24h'!F19,'03.08 KYENJOJO-FORTPORTAL-24h'!F19,'04.08 KYENJOJO-FORTP'!F19)</f>
        <v>2.1428571428571428</v>
      </c>
      <c r="G19" s="49">
        <f>AVERAGE('29.07 KYENJOJO-FORTPORTAL'!G19,'30.07 KYENJOJO-FORTPORTAL'!G19,'31.07 KYENJOJO-FORTPORTAL'!G19,'02.08 KYENJOJO-FORTPORTAL'!G19,'01.08 KYENJOJO-FORTPORTAL-24h'!G19,'03.08 KYENJOJO-FORTPORTAL-24h'!G19,'04.08 KYENJOJO-FORTP'!G19)</f>
        <v>0</v>
      </c>
      <c r="H19" s="49">
        <f>AVERAGE('29.07 KYENJOJO-FORTPORTAL'!H19,'30.07 KYENJOJO-FORTPORTAL'!H19,'31.07 KYENJOJO-FORTPORTAL'!H19,'02.08 KYENJOJO-FORTPORTAL'!H19,'01.08 KYENJOJO-FORTPORTAL-24h'!H19,'03.08 KYENJOJO-FORTPORTAL-24h'!H19,'04.08 KYENJOJO-FORTP'!H19)</f>
        <v>0.2857142857142857</v>
      </c>
      <c r="I19" s="49">
        <f>AVERAGE('29.07 KYENJOJO-FORTPORTAL'!I19,'30.07 KYENJOJO-FORTPORTAL'!I19,'31.07 KYENJOJO-FORTPORTAL'!I19,'02.08 KYENJOJO-FORTPORTAL'!I19,'01.08 KYENJOJO-FORTPORTAL-24h'!I19,'03.08 KYENJOJO-FORTPORTAL-24h'!I19,'04.08 KYENJOJO-FORTP'!I19)</f>
        <v>0.5714285714285714</v>
      </c>
      <c r="J19" s="49">
        <f>AVERAGE('29.07 KYENJOJO-FORTPORTAL'!J19,'30.07 KYENJOJO-FORTPORTAL'!J19,'31.07 KYENJOJO-FORTPORTAL'!J19,'02.08 KYENJOJO-FORTPORTAL'!J19,'01.08 KYENJOJO-FORTPORTAL-24h'!J19,'03.08 KYENJOJO-FORTPORTAL-24h'!J19,'04.08 KYENJOJO-FORTP'!J19)</f>
        <v>0.14285714285714285</v>
      </c>
      <c r="K19" s="49">
        <f>AVERAGE('29.07 KYENJOJO-FORTPORTAL'!K19,'30.07 KYENJOJO-FORTPORTAL'!K19,'31.07 KYENJOJO-FORTPORTAL'!K19,'02.08 KYENJOJO-FORTPORTAL'!K19,'01.08 KYENJOJO-FORTPORTAL-24h'!K19,'03.08 KYENJOJO-FORTPORTAL-24h'!K19,'04.08 KYENJOJO-FORTP'!K19)</f>
        <v>0</v>
      </c>
      <c r="L19" s="49">
        <f>AVERAGE('29.07 KYENJOJO-FORTPORTAL'!L19,'30.07 KYENJOJO-FORTPORTAL'!L19,'31.07 KYENJOJO-FORTPORTAL'!L19,'02.08 KYENJOJO-FORTPORTAL'!L19,'01.08 KYENJOJO-FORTPORTAL-24h'!L19,'03.08 KYENJOJO-FORTPORTAL-24h'!L19,'04.08 KYENJOJO-FORTP'!L19)</f>
        <v>1</v>
      </c>
      <c r="M19" s="49">
        <f>AVERAGE('29.07 KYENJOJO-FORTPORTAL'!M19,'30.07 KYENJOJO-FORTPORTAL'!M19,'31.07 KYENJOJO-FORTPORTAL'!M19,'02.08 KYENJOJO-FORTPORTAL'!M19,'01.08 KYENJOJO-FORTPORTAL-24h'!M19,'03.08 KYENJOJO-FORTPORTAL-24h'!M19,'04.08 KYENJOJO-FORTP'!M19)</f>
        <v>0.8571428571428571</v>
      </c>
      <c r="N19" s="49">
        <f>AVERAGE('29.07 KYENJOJO-FORTPORTAL'!N19,'30.07 KYENJOJO-FORTPORTAL'!N19,'31.07 KYENJOJO-FORTPORTAL'!N19,'02.08 KYENJOJO-FORTPORTAL'!N19,'01.08 KYENJOJO-FORTPORTAL-24h'!N19,'03.08 KYENJOJO-FORTPORTAL-24h'!N19,'04.08 KYENJOJO-FORTP'!N19)</f>
        <v>0</v>
      </c>
      <c r="O19" s="15">
        <f t="shared" si="0"/>
        <v>7.1428571428571423</v>
      </c>
      <c r="P19" s="15">
        <f t="shared" si="1"/>
        <v>7.9999999999999991</v>
      </c>
      <c r="R19" s="1" t="s">
        <v>15</v>
      </c>
      <c r="S19" s="17">
        <f t="shared" ref="S19:AF19" si="11">SUM(C46:C49)</f>
        <v>6.8571428571428568</v>
      </c>
      <c r="T19" s="17">
        <f t="shared" si="11"/>
        <v>0</v>
      </c>
      <c r="U19" s="17">
        <f t="shared" si="11"/>
        <v>10.285714285714285</v>
      </c>
      <c r="V19" s="17">
        <f t="shared" si="11"/>
        <v>8.7142857142857135</v>
      </c>
      <c r="W19" s="17">
        <f t="shared" si="11"/>
        <v>0.14285714285714285</v>
      </c>
      <c r="X19" s="17">
        <f t="shared" si="11"/>
        <v>0.85714285714285698</v>
      </c>
      <c r="Y19" s="17">
        <f t="shared" si="11"/>
        <v>5.2857142857142856</v>
      </c>
      <c r="Z19" s="17">
        <f t="shared" si="11"/>
        <v>0.42857142857142855</v>
      </c>
      <c r="AA19" s="17">
        <f t="shared" si="11"/>
        <v>0.14285714285714285</v>
      </c>
      <c r="AB19" s="17">
        <f t="shared" si="11"/>
        <v>3.1428571428571428</v>
      </c>
      <c r="AC19" s="17">
        <f t="shared" si="11"/>
        <v>5.1428571428571423</v>
      </c>
      <c r="AD19" s="17">
        <f t="shared" si="11"/>
        <v>0</v>
      </c>
      <c r="AE19" s="31">
        <f t="shared" si="11"/>
        <v>35.857142857142854</v>
      </c>
      <c r="AF19" s="31">
        <f t="shared" si="11"/>
        <v>40.999999999999993</v>
      </c>
    </row>
    <row r="20" spans="2:32" ht="23.1" customHeight="1" x14ac:dyDescent="0.25">
      <c r="B20" s="23" t="s">
        <v>47</v>
      </c>
      <c r="C20" s="49">
        <f>AVERAGE('29.07 KYENJOJO-FORTPORTAL'!C20,'30.07 KYENJOJO-FORTPORTAL'!C20,'31.07 KYENJOJO-FORTPORTAL'!C20,'02.08 KYENJOJO-FORTPORTAL'!C20,'01.08 KYENJOJO-FORTPORTAL-24h'!C20,'03.08 KYENJOJO-FORTPORTAL-24h'!C20,'04.08 KYENJOJO-FORTP'!C20)</f>
        <v>1.1428571428571428</v>
      </c>
      <c r="D20" s="49">
        <f>AVERAGE('29.07 KYENJOJO-FORTPORTAL'!D20,'30.07 KYENJOJO-FORTPORTAL'!D20,'31.07 KYENJOJO-FORTPORTAL'!D20,'02.08 KYENJOJO-FORTPORTAL'!D20,'01.08 KYENJOJO-FORTPORTAL-24h'!D20,'03.08 KYENJOJO-FORTPORTAL-24h'!D20,'04.08 KYENJOJO-FORTP'!D20)</f>
        <v>0</v>
      </c>
      <c r="E20" s="49">
        <f>AVERAGE('29.07 KYENJOJO-FORTPORTAL'!E20,'30.07 KYENJOJO-FORTPORTAL'!E20,'31.07 KYENJOJO-FORTPORTAL'!E20,'02.08 KYENJOJO-FORTPORTAL'!E20,'01.08 KYENJOJO-FORTPORTAL-24h'!E20,'03.08 KYENJOJO-FORTPORTAL-24h'!E20,'04.08 KYENJOJO-FORTP'!E20)</f>
        <v>2.1428571428571428</v>
      </c>
      <c r="F20" s="49">
        <f>AVERAGE('29.07 KYENJOJO-FORTPORTAL'!F20,'30.07 KYENJOJO-FORTPORTAL'!F20,'31.07 KYENJOJO-FORTPORTAL'!F20,'02.08 KYENJOJO-FORTPORTAL'!F20,'01.08 KYENJOJO-FORTPORTAL-24h'!F20,'03.08 KYENJOJO-FORTPORTAL-24h'!F20,'04.08 KYENJOJO-FORTP'!F20)</f>
        <v>1.5714285714285714</v>
      </c>
      <c r="G20" s="49">
        <f>AVERAGE('29.07 KYENJOJO-FORTPORTAL'!G20,'30.07 KYENJOJO-FORTPORTAL'!G20,'31.07 KYENJOJO-FORTPORTAL'!G20,'02.08 KYENJOJO-FORTPORTAL'!G20,'01.08 KYENJOJO-FORTPORTAL-24h'!G20,'03.08 KYENJOJO-FORTPORTAL-24h'!G20,'04.08 KYENJOJO-FORTP'!G20)</f>
        <v>0</v>
      </c>
      <c r="H20" s="49">
        <f>AVERAGE('29.07 KYENJOJO-FORTPORTAL'!H20,'30.07 KYENJOJO-FORTPORTAL'!H20,'31.07 KYENJOJO-FORTPORTAL'!H20,'02.08 KYENJOJO-FORTPORTAL'!H20,'01.08 KYENJOJO-FORTPORTAL-24h'!H20,'03.08 KYENJOJO-FORTPORTAL-24h'!H20,'04.08 KYENJOJO-FORTP'!H20)</f>
        <v>0.7142857142857143</v>
      </c>
      <c r="I20" s="49">
        <f>AVERAGE('29.07 KYENJOJO-FORTPORTAL'!I20,'30.07 KYENJOJO-FORTPORTAL'!I20,'31.07 KYENJOJO-FORTPORTAL'!I20,'02.08 KYENJOJO-FORTPORTAL'!I20,'01.08 KYENJOJO-FORTPORTAL-24h'!I20,'03.08 KYENJOJO-FORTPORTAL-24h'!I20,'04.08 KYENJOJO-FORTP'!I20)</f>
        <v>0.14285714285714285</v>
      </c>
      <c r="J20" s="49">
        <f>AVERAGE('29.07 KYENJOJO-FORTPORTAL'!J20,'30.07 KYENJOJO-FORTPORTAL'!J20,'31.07 KYENJOJO-FORTPORTAL'!J20,'02.08 KYENJOJO-FORTPORTAL'!J20,'01.08 KYENJOJO-FORTPORTAL-24h'!J20,'03.08 KYENJOJO-FORTPORTAL-24h'!J20,'04.08 KYENJOJO-FORTP'!J20)</f>
        <v>0</v>
      </c>
      <c r="K20" s="49">
        <f>AVERAGE('29.07 KYENJOJO-FORTPORTAL'!K20,'30.07 KYENJOJO-FORTPORTAL'!K20,'31.07 KYENJOJO-FORTPORTAL'!K20,'02.08 KYENJOJO-FORTPORTAL'!K20,'01.08 KYENJOJO-FORTPORTAL-24h'!K20,'03.08 KYENJOJO-FORTPORTAL-24h'!K20,'04.08 KYENJOJO-FORTP'!K20)</f>
        <v>0.14285714285714285</v>
      </c>
      <c r="L20" s="49">
        <f>AVERAGE('29.07 KYENJOJO-FORTPORTAL'!L20,'30.07 KYENJOJO-FORTPORTAL'!L20,'31.07 KYENJOJO-FORTPORTAL'!L20,'02.08 KYENJOJO-FORTPORTAL'!L20,'01.08 KYENJOJO-FORTPORTAL-24h'!L20,'03.08 KYENJOJO-FORTPORTAL-24h'!L20,'04.08 KYENJOJO-FORTP'!L20)</f>
        <v>0.8571428571428571</v>
      </c>
      <c r="M20" s="49">
        <f>AVERAGE('29.07 KYENJOJO-FORTPORTAL'!M20,'30.07 KYENJOJO-FORTPORTAL'!M20,'31.07 KYENJOJO-FORTPORTAL'!M20,'02.08 KYENJOJO-FORTPORTAL'!M20,'01.08 KYENJOJO-FORTPORTAL-24h'!M20,'03.08 KYENJOJO-FORTPORTAL-24h'!M20,'04.08 KYENJOJO-FORTP'!M20)</f>
        <v>1.5714285714285714</v>
      </c>
      <c r="N20" s="49">
        <f>AVERAGE('29.07 KYENJOJO-FORTPORTAL'!N20,'30.07 KYENJOJO-FORTPORTAL'!N20,'31.07 KYENJOJO-FORTPORTAL'!N20,'02.08 KYENJOJO-FORTPORTAL'!N20,'01.08 KYENJOJO-FORTPORTAL-24h'!N20,'03.08 KYENJOJO-FORTPORTAL-24h'!N20,'04.08 KYENJOJO-FORTP'!N20)</f>
        <v>0</v>
      </c>
      <c r="O20" s="15">
        <f t="shared" si="0"/>
        <v>6.7142857142857144</v>
      </c>
      <c r="P20" s="15">
        <f t="shared" si="1"/>
        <v>8.2857142857142865</v>
      </c>
      <c r="R20" s="1" t="s">
        <v>16</v>
      </c>
      <c r="S20" s="17">
        <f t="shared" ref="S20:AF20" si="12">SUM(C50:C53)</f>
        <v>8</v>
      </c>
      <c r="T20" s="17">
        <f t="shared" si="12"/>
        <v>0</v>
      </c>
      <c r="U20" s="17">
        <f t="shared" si="12"/>
        <v>15.857142857142858</v>
      </c>
      <c r="V20" s="17">
        <f t="shared" si="12"/>
        <v>9.8571428571428577</v>
      </c>
      <c r="W20" s="17">
        <f t="shared" si="12"/>
        <v>0</v>
      </c>
      <c r="X20" s="17">
        <f t="shared" si="12"/>
        <v>2.2857142857142856</v>
      </c>
      <c r="Y20" s="17">
        <f t="shared" si="12"/>
        <v>2.5714285714285712</v>
      </c>
      <c r="Z20" s="17">
        <f t="shared" si="12"/>
        <v>1.1428571428571428</v>
      </c>
      <c r="AA20" s="17">
        <f t="shared" si="12"/>
        <v>0</v>
      </c>
      <c r="AB20" s="17">
        <f t="shared" si="12"/>
        <v>4.2857142857142856</v>
      </c>
      <c r="AC20" s="17">
        <f t="shared" si="12"/>
        <v>5.5714285714285712</v>
      </c>
      <c r="AD20" s="17">
        <f t="shared" si="12"/>
        <v>0</v>
      </c>
      <c r="AE20" s="31">
        <f t="shared" si="12"/>
        <v>44</v>
      </c>
      <c r="AF20" s="31">
        <f t="shared" si="12"/>
        <v>49.571428571428569</v>
      </c>
    </row>
    <row r="21" spans="2:32" ht="23.1" customHeight="1" x14ac:dyDescent="0.25">
      <c r="B21" s="23" t="s">
        <v>48</v>
      </c>
      <c r="C21" s="49">
        <f>AVERAGE('29.07 KYENJOJO-FORTPORTAL'!C21,'30.07 KYENJOJO-FORTPORTAL'!C21,'31.07 KYENJOJO-FORTPORTAL'!C21,'02.08 KYENJOJO-FORTPORTAL'!C21,'01.08 KYENJOJO-FORTPORTAL-24h'!C21,'03.08 KYENJOJO-FORTPORTAL-24h'!C21,'04.08 KYENJOJO-FORTP'!C21)</f>
        <v>2.1428571428571428</v>
      </c>
      <c r="D21" s="49">
        <f>AVERAGE('29.07 KYENJOJO-FORTPORTAL'!D21,'30.07 KYENJOJO-FORTPORTAL'!D21,'31.07 KYENJOJO-FORTPORTAL'!D21,'02.08 KYENJOJO-FORTPORTAL'!D21,'01.08 KYENJOJO-FORTPORTAL-24h'!D21,'03.08 KYENJOJO-FORTPORTAL-24h'!D21,'04.08 KYENJOJO-FORTP'!D21)</f>
        <v>0</v>
      </c>
      <c r="E21" s="49">
        <f>AVERAGE('29.07 KYENJOJO-FORTPORTAL'!E21,'30.07 KYENJOJO-FORTPORTAL'!E21,'31.07 KYENJOJO-FORTPORTAL'!E21,'02.08 KYENJOJO-FORTPORTAL'!E21,'01.08 KYENJOJO-FORTPORTAL-24h'!E21,'03.08 KYENJOJO-FORTPORTAL-24h'!E21,'04.08 KYENJOJO-FORTP'!E21)</f>
        <v>1.1428571428571428</v>
      </c>
      <c r="F21" s="49">
        <f>AVERAGE('29.07 KYENJOJO-FORTPORTAL'!F21,'30.07 KYENJOJO-FORTPORTAL'!F21,'31.07 KYENJOJO-FORTPORTAL'!F21,'02.08 KYENJOJO-FORTPORTAL'!F21,'01.08 KYENJOJO-FORTPORTAL-24h'!F21,'03.08 KYENJOJO-FORTPORTAL-24h'!F21,'04.08 KYENJOJO-FORTP'!F21)</f>
        <v>2</v>
      </c>
      <c r="G21" s="49">
        <f>AVERAGE('29.07 KYENJOJO-FORTPORTAL'!G21,'30.07 KYENJOJO-FORTPORTAL'!G21,'31.07 KYENJOJO-FORTPORTAL'!G21,'02.08 KYENJOJO-FORTPORTAL'!G21,'01.08 KYENJOJO-FORTPORTAL-24h'!G21,'03.08 KYENJOJO-FORTPORTAL-24h'!G21,'04.08 KYENJOJO-FORTP'!G21)</f>
        <v>0</v>
      </c>
      <c r="H21" s="49">
        <f>AVERAGE('29.07 KYENJOJO-FORTPORTAL'!H21,'30.07 KYENJOJO-FORTPORTAL'!H21,'31.07 KYENJOJO-FORTPORTAL'!H21,'02.08 KYENJOJO-FORTPORTAL'!H21,'01.08 KYENJOJO-FORTPORTAL-24h'!H21,'03.08 KYENJOJO-FORTPORTAL-24h'!H21,'04.08 KYENJOJO-FORTP'!H21)</f>
        <v>0.2857142857142857</v>
      </c>
      <c r="I21" s="49">
        <f>AVERAGE('29.07 KYENJOJO-FORTPORTAL'!I21,'30.07 KYENJOJO-FORTPORTAL'!I21,'31.07 KYENJOJO-FORTPORTAL'!I21,'02.08 KYENJOJO-FORTPORTAL'!I21,'01.08 KYENJOJO-FORTPORTAL-24h'!I21,'03.08 KYENJOJO-FORTPORTAL-24h'!I21,'04.08 KYENJOJO-FORTP'!I21)</f>
        <v>0.42857142857142855</v>
      </c>
      <c r="J21" s="49">
        <f>AVERAGE('29.07 KYENJOJO-FORTPORTAL'!J21,'30.07 KYENJOJO-FORTPORTAL'!J21,'31.07 KYENJOJO-FORTPORTAL'!J21,'02.08 KYENJOJO-FORTPORTAL'!J21,'01.08 KYENJOJO-FORTPORTAL-24h'!J21,'03.08 KYENJOJO-FORTPORTAL-24h'!J21,'04.08 KYENJOJO-FORTP'!J21)</f>
        <v>0</v>
      </c>
      <c r="K21" s="49">
        <f>AVERAGE('29.07 KYENJOJO-FORTPORTAL'!K21,'30.07 KYENJOJO-FORTPORTAL'!K21,'31.07 KYENJOJO-FORTPORTAL'!K21,'02.08 KYENJOJO-FORTPORTAL'!K21,'01.08 KYENJOJO-FORTPORTAL-24h'!K21,'03.08 KYENJOJO-FORTPORTAL-24h'!K21,'04.08 KYENJOJO-FORTP'!K21)</f>
        <v>0</v>
      </c>
      <c r="L21" s="49">
        <f>AVERAGE('29.07 KYENJOJO-FORTPORTAL'!L21,'30.07 KYENJOJO-FORTPORTAL'!L21,'31.07 KYENJOJO-FORTPORTAL'!L21,'02.08 KYENJOJO-FORTPORTAL'!L21,'01.08 KYENJOJO-FORTPORTAL-24h'!L21,'03.08 KYENJOJO-FORTPORTAL-24h'!L21,'04.08 KYENJOJO-FORTP'!L21)</f>
        <v>0.8571428571428571</v>
      </c>
      <c r="M21" s="49">
        <f>AVERAGE('29.07 KYENJOJO-FORTPORTAL'!M21,'30.07 KYENJOJO-FORTPORTAL'!M21,'31.07 KYENJOJO-FORTPORTAL'!M21,'02.08 KYENJOJO-FORTPORTAL'!M21,'01.08 KYENJOJO-FORTPORTAL-24h'!M21,'03.08 KYENJOJO-FORTPORTAL-24h'!M21,'04.08 KYENJOJO-FORTP'!M21)</f>
        <v>1.1428571428571428</v>
      </c>
      <c r="N21" s="49">
        <f>AVERAGE('29.07 KYENJOJO-FORTPORTAL'!N21,'30.07 KYENJOJO-FORTPORTAL'!N21,'31.07 KYENJOJO-FORTPORTAL'!N21,'02.08 KYENJOJO-FORTPORTAL'!N21,'01.08 KYENJOJO-FORTPORTAL-24h'!N21,'03.08 KYENJOJO-FORTPORTAL-24h'!N21,'04.08 KYENJOJO-FORTP'!N21)</f>
        <v>0</v>
      </c>
      <c r="O21" s="15">
        <f t="shared" si="0"/>
        <v>6.8571428571428568</v>
      </c>
      <c r="P21" s="15">
        <f t="shared" si="1"/>
        <v>8</v>
      </c>
      <c r="R21" s="36" t="s">
        <v>20</v>
      </c>
      <c r="S21" s="34">
        <f t="shared" ref="S21:AF21" si="13">SUM(C54:C57)</f>
        <v>5.2857142857142865</v>
      </c>
      <c r="T21" s="17">
        <f t="shared" si="13"/>
        <v>0</v>
      </c>
      <c r="U21" s="17">
        <f t="shared" si="13"/>
        <v>13</v>
      </c>
      <c r="V21" s="17">
        <f t="shared" si="13"/>
        <v>7.7142857142857144</v>
      </c>
      <c r="W21" s="17">
        <f t="shared" si="13"/>
        <v>1.1428571428571428</v>
      </c>
      <c r="X21" s="17">
        <f t="shared" si="13"/>
        <v>1.9999999999999998</v>
      </c>
      <c r="Y21" s="17">
        <f t="shared" si="13"/>
        <v>6.1428571428571423</v>
      </c>
      <c r="Z21" s="17">
        <f t="shared" si="13"/>
        <v>2</v>
      </c>
      <c r="AA21" s="17">
        <f t="shared" si="13"/>
        <v>0.42857142857142855</v>
      </c>
      <c r="AB21" s="17">
        <f t="shared" si="13"/>
        <v>1.9999999999999998</v>
      </c>
      <c r="AC21" s="17">
        <f t="shared" si="13"/>
        <v>5.1428571428571423</v>
      </c>
      <c r="AD21" s="17">
        <f t="shared" si="13"/>
        <v>0</v>
      </c>
      <c r="AE21" s="31">
        <f t="shared" si="13"/>
        <v>39.714285714285708</v>
      </c>
      <c r="AF21" s="31">
        <f t="shared" si="13"/>
        <v>44.857142857142854</v>
      </c>
    </row>
    <row r="22" spans="2:32" ht="23.1" customHeight="1" x14ac:dyDescent="0.25">
      <c r="B22" s="23" t="s">
        <v>49</v>
      </c>
      <c r="C22" s="49">
        <f>AVERAGE('29.07 KYENJOJO-FORTPORTAL'!C22,'30.07 KYENJOJO-FORTPORTAL'!C22,'31.07 KYENJOJO-FORTPORTAL'!C22,'02.08 KYENJOJO-FORTPORTAL'!C22,'01.08 KYENJOJO-FORTPORTAL-24h'!C22,'03.08 KYENJOJO-FORTPORTAL-24h'!C22,'04.08 KYENJOJO-FORTP'!C22)</f>
        <v>2.4285714285714284</v>
      </c>
      <c r="D22" s="49">
        <f>AVERAGE('29.07 KYENJOJO-FORTPORTAL'!D22,'30.07 KYENJOJO-FORTPORTAL'!D22,'31.07 KYENJOJO-FORTPORTAL'!D22,'02.08 KYENJOJO-FORTPORTAL'!D22,'01.08 KYENJOJO-FORTPORTAL-24h'!D22,'03.08 KYENJOJO-FORTPORTAL-24h'!D22,'04.08 KYENJOJO-FORTP'!D22)</f>
        <v>0</v>
      </c>
      <c r="E22" s="49">
        <f>AVERAGE('29.07 KYENJOJO-FORTPORTAL'!E22,'30.07 KYENJOJO-FORTPORTAL'!E22,'31.07 KYENJOJO-FORTPORTAL'!E22,'02.08 KYENJOJO-FORTPORTAL'!E22,'01.08 KYENJOJO-FORTPORTAL-24h'!E22,'03.08 KYENJOJO-FORTPORTAL-24h'!E22,'04.08 KYENJOJO-FORTP'!E22)</f>
        <v>2.7142857142857144</v>
      </c>
      <c r="F22" s="49">
        <f>AVERAGE('29.07 KYENJOJO-FORTPORTAL'!F22,'30.07 KYENJOJO-FORTPORTAL'!F22,'31.07 KYENJOJO-FORTPORTAL'!F22,'02.08 KYENJOJO-FORTPORTAL'!F22,'01.08 KYENJOJO-FORTPORTAL-24h'!F22,'03.08 KYENJOJO-FORTPORTAL-24h'!F22,'04.08 KYENJOJO-FORTP'!F22)</f>
        <v>1.8571428571428572</v>
      </c>
      <c r="G22" s="49">
        <f>AVERAGE('29.07 KYENJOJO-FORTPORTAL'!G22,'30.07 KYENJOJO-FORTPORTAL'!G22,'31.07 KYENJOJO-FORTPORTAL'!G22,'02.08 KYENJOJO-FORTPORTAL'!G22,'01.08 KYENJOJO-FORTPORTAL-24h'!G22,'03.08 KYENJOJO-FORTPORTAL-24h'!G22,'04.08 KYENJOJO-FORTP'!G22)</f>
        <v>0</v>
      </c>
      <c r="H22" s="49">
        <f>AVERAGE('29.07 KYENJOJO-FORTPORTAL'!H22,'30.07 KYENJOJO-FORTPORTAL'!H22,'31.07 KYENJOJO-FORTPORTAL'!H22,'02.08 KYENJOJO-FORTPORTAL'!H22,'01.08 KYENJOJO-FORTPORTAL-24h'!H22,'03.08 KYENJOJO-FORTPORTAL-24h'!H22,'04.08 KYENJOJO-FORTP'!H22)</f>
        <v>0.14285714285714285</v>
      </c>
      <c r="I22" s="49">
        <f>AVERAGE('29.07 KYENJOJO-FORTPORTAL'!I22,'30.07 KYENJOJO-FORTPORTAL'!I22,'31.07 KYENJOJO-FORTPORTAL'!I22,'02.08 KYENJOJO-FORTPORTAL'!I22,'01.08 KYENJOJO-FORTPORTAL-24h'!I22,'03.08 KYENJOJO-FORTPORTAL-24h'!I22,'04.08 KYENJOJO-FORTP'!I22)</f>
        <v>1</v>
      </c>
      <c r="J22" s="49">
        <f>AVERAGE('29.07 KYENJOJO-FORTPORTAL'!J22,'30.07 KYENJOJO-FORTPORTAL'!J22,'31.07 KYENJOJO-FORTPORTAL'!J22,'02.08 KYENJOJO-FORTPORTAL'!J22,'01.08 KYENJOJO-FORTPORTAL-24h'!J22,'03.08 KYENJOJO-FORTPORTAL-24h'!J22,'04.08 KYENJOJO-FORTP'!J22)</f>
        <v>0.14285714285714285</v>
      </c>
      <c r="K22" s="49">
        <f>AVERAGE('29.07 KYENJOJO-FORTPORTAL'!K22,'30.07 KYENJOJO-FORTPORTAL'!K22,'31.07 KYENJOJO-FORTPORTAL'!K22,'02.08 KYENJOJO-FORTPORTAL'!K22,'01.08 KYENJOJO-FORTPORTAL-24h'!K22,'03.08 KYENJOJO-FORTPORTAL-24h'!K22,'04.08 KYENJOJO-FORTP'!K22)</f>
        <v>0.2857142857142857</v>
      </c>
      <c r="L22" s="49">
        <f>AVERAGE('29.07 KYENJOJO-FORTPORTAL'!L22,'30.07 KYENJOJO-FORTPORTAL'!L22,'31.07 KYENJOJO-FORTPORTAL'!L22,'02.08 KYENJOJO-FORTPORTAL'!L22,'01.08 KYENJOJO-FORTPORTAL-24h'!L22,'03.08 KYENJOJO-FORTPORTAL-24h'!L22,'04.08 KYENJOJO-FORTP'!L22)</f>
        <v>0.7142857142857143</v>
      </c>
      <c r="M22" s="49">
        <f>AVERAGE('29.07 KYENJOJO-FORTPORTAL'!M22,'30.07 KYENJOJO-FORTPORTAL'!M22,'31.07 KYENJOJO-FORTPORTAL'!M22,'02.08 KYENJOJO-FORTPORTAL'!M22,'01.08 KYENJOJO-FORTPORTAL-24h'!M22,'03.08 KYENJOJO-FORTPORTAL-24h'!M22,'04.08 KYENJOJO-FORTP'!M22)</f>
        <v>0.8571428571428571</v>
      </c>
      <c r="N22" s="49">
        <f>AVERAGE('29.07 KYENJOJO-FORTPORTAL'!N22,'30.07 KYENJOJO-FORTPORTAL'!N22,'31.07 KYENJOJO-FORTPORTAL'!N22,'02.08 KYENJOJO-FORTPORTAL'!N22,'01.08 KYENJOJO-FORTPORTAL-24h'!N22,'03.08 KYENJOJO-FORTPORTAL-24h'!N22,'04.08 KYENJOJO-FORTP'!N22)</f>
        <v>0</v>
      </c>
      <c r="O22" s="15">
        <f t="shared" si="0"/>
        <v>9.2857142857142847</v>
      </c>
      <c r="P22" s="15">
        <f t="shared" si="1"/>
        <v>10.142857142857142</v>
      </c>
      <c r="R22" s="1" t="s">
        <v>146</v>
      </c>
      <c r="S22" s="34">
        <f>SUM(C58:C61)</f>
        <v>6</v>
      </c>
      <c r="T22" s="34">
        <f t="shared" ref="T22:AF22" si="14">SUM(D58:D61)</f>
        <v>0</v>
      </c>
      <c r="U22" s="34">
        <f t="shared" si="14"/>
        <v>3.5</v>
      </c>
      <c r="V22" s="34">
        <f t="shared" si="14"/>
        <v>3.5</v>
      </c>
      <c r="W22" s="34">
        <f t="shared" si="14"/>
        <v>0</v>
      </c>
      <c r="X22" s="34">
        <f t="shared" si="14"/>
        <v>0</v>
      </c>
      <c r="Y22" s="34">
        <f t="shared" si="14"/>
        <v>3.5</v>
      </c>
      <c r="Z22" s="34">
        <f t="shared" si="14"/>
        <v>0.5</v>
      </c>
      <c r="AA22" s="34">
        <f t="shared" si="14"/>
        <v>0</v>
      </c>
      <c r="AB22" s="34">
        <f t="shared" si="14"/>
        <v>2</v>
      </c>
      <c r="AC22" s="34">
        <f t="shared" si="14"/>
        <v>6</v>
      </c>
      <c r="AD22" s="34">
        <f t="shared" si="14"/>
        <v>0</v>
      </c>
      <c r="AE22" s="31">
        <f t="shared" si="14"/>
        <v>19</v>
      </c>
      <c r="AF22" s="31">
        <f t="shared" si="14"/>
        <v>25</v>
      </c>
    </row>
    <row r="23" spans="2:32" ht="23.1" customHeight="1" x14ac:dyDescent="0.25">
      <c r="B23" s="23" t="s">
        <v>50</v>
      </c>
      <c r="C23" s="49">
        <f>AVERAGE('29.07 KYENJOJO-FORTPORTAL'!C23,'30.07 KYENJOJO-FORTPORTAL'!C23,'31.07 KYENJOJO-FORTPORTAL'!C23,'02.08 KYENJOJO-FORTPORTAL'!C23,'01.08 KYENJOJO-FORTPORTAL-24h'!C23,'03.08 KYENJOJO-FORTPORTAL-24h'!C23,'04.08 KYENJOJO-FORTP'!C23)</f>
        <v>1.1428571428571428</v>
      </c>
      <c r="D23" s="49">
        <f>AVERAGE('29.07 KYENJOJO-FORTPORTAL'!D23,'30.07 KYENJOJO-FORTPORTAL'!D23,'31.07 KYENJOJO-FORTPORTAL'!D23,'02.08 KYENJOJO-FORTPORTAL'!D23,'01.08 KYENJOJO-FORTPORTAL-24h'!D23,'03.08 KYENJOJO-FORTPORTAL-24h'!D23,'04.08 KYENJOJO-FORTP'!D23)</f>
        <v>0</v>
      </c>
      <c r="E23" s="49">
        <f>AVERAGE('29.07 KYENJOJO-FORTPORTAL'!E23,'30.07 KYENJOJO-FORTPORTAL'!E23,'31.07 KYENJOJO-FORTPORTAL'!E23,'02.08 KYENJOJO-FORTPORTAL'!E23,'01.08 KYENJOJO-FORTPORTAL-24h'!E23,'03.08 KYENJOJO-FORTPORTAL-24h'!E23,'04.08 KYENJOJO-FORTP'!E23)</f>
        <v>1.8571428571428572</v>
      </c>
      <c r="F23" s="49">
        <f>AVERAGE('29.07 KYENJOJO-FORTPORTAL'!F23,'30.07 KYENJOJO-FORTPORTAL'!F23,'31.07 KYENJOJO-FORTPORTAL'!F23,'02.08 KYENJOJO-FORTPORTAL'!F23,'01.08 KYENJOJO-FORTPORTAL-24h'!F23,'03.08 KYENJOJO-FORTPORTAL-24h'!F23,'04.08 KYENJOJO-FORTP'!F23)</f>
        <v>1.8571428571428572</v>
      </c>
      <c r="G23" s="49">
        <f>AVERAGE('29.07 KYENJOJO-FORTPORTAL'!G23,'30.07 KYENJOJO-FORTPORTAL'!G23,'31.07 KYENJOJO-FORTPORTAL'!G23,'02.08 KYENJOJO-FORTPORTAL'!G23,'01.08 KYENJOJO-FORTPORTAL-24h'!G23,'03.08 KYENJOJO-FORTPORTAL-24h'!G23,'04.08 KYENJOJO-FORTP'!G23)</f>
        <v>0</v>
      </c>
      <c r="H23" s="49">
        <f>AVERAGE('29.07 KYENJOJO-FORTPORTAL'!H23,'30.07 KYENJOJO-FORTPORTAL'!H23,'31.07 KYENJOJO-FORTPORTAL'!H23,'02.08 KYENJOJO-FORTPORTAL'!H23,'01.08 KYENJOJO-FORTPORTAL-24h'!H23,'03.08 KYENJOJO-FORTPORTAL-24h'!H23,'04.08 KYENJOJO-FORTP'!H23)</f>
        <v>0.42857142857142855</v>
      </c>
      <c r="I23" s="49">
        <f>AVERAGE('29.07 KYENJOJO-FORTPORTAL'!I23,'30.07 KYENJOJO-FORTPORTAL'!I23,'31.07 KYENJOJO-FORTPORTAL'!I23,'02.08 KYENJOJO-FORTPORTAL'!I23,'01.08 KYENJOJO-FORTPORTAL-24h'!I23,'03.08 KYENJOJO-FORTPORTAL-24h'!I23,'04.08 KYENJOJO-FORTP'!I23)</f>
        <v>0.5714285714285714</v>
      </c>
      <c r="J23" s="49">
        <f>AVERAGE('29.07 KYENJOJO-FORTPORTAL'!J23,'30.07 KYENJOJO-FORTPORTAL'!J23,'31.07 KYENJOJO-FORTPORTAL'!J23,'02.08 KYENJOJO-FORTPORTAL'!J23,'01.08 KYENJOJO-FORTPORTAL-24h'!J23,'03.08 KYENJOJO-FORTPORTAL-24h'!J23,'04.08 KYENJOJO-FORTP'!J23)</f>
        <v>0.14285714285714285</v>
      </c>
      <c r="K23" s="49">
        <f>AVERAGE('29.07 KYENJOJO-FORTPORTAL'!K23,'30.07 KYENJOJO-FORTPORTAL'!K23,'31.07 KYENJOJO-FORTPORTAL'!K23,'02.08 KYENJOJO-FORTPORTAL'!K23,'01.08 KYENJOJO-FORTPORTAL-24h'!K23,'03.08 KYENJOJO-FORTPORTAL-24h'!K23,'04.08 KYENJOJO-FORTP'!K23)</f>
        <v>0</v>
      </c>
      <c r="L23" s="49">
        <f>AVERAGE('29.07 KYENJOJO-FORTPORTAL'!L23,'30.07 KYENJOJO-FORTPORTAL'!L23,'31.07 KYENJOJO-FORTPORTAL'!L23,'02.08 KYENJOJO-FORTPORTAL'!L23,'01.08 KYENJOJO-FORTPORTAL-24h'!L23,'03.08 KYENJOJO-FORTPORTAL-24h'!L23,'04.08 KYENJOJO-FORTP'!L23)</f>
        <v>0.8571428571428571</v>
      </c>
      <c r="M23" s="49">
        <f>AVERAGE('29.07 KYENJOJO-FORTPORTAL'!M23,'30.07 KYENJOJO-FORTPORTAL'!M23,'31.07 KYENJOJO-FORTPORTAL'!M23,'02.08 KYENJOJO-FORTPORTAL'!M23,'01.08 KYENJOJO-FORTPORTAL-24h'!M23,'03.08 KYENJOJO-FORTPORTAL-24h'!M23,'04.08 KYENJOJO-FORTP'!M23)</f>
        <v>1.4285714285714286</v>
      </c>
      <c r="N23" s="49">
        <f>AVERAGE('29.07 KYENJOJO-FORTPORTAL'!N23,'30.07 KYENJOJO-FORTPORTAL'!N23,'31.07 KYENJOJO-FORTPORTAL'!N23,'02.08 KYENJOJO-FORTPORTAL'!N23,'01.08 KYENJOJO-FORTPORTAL-24h'!N23,'03.08 KYENJOJO-FORTPORTAL-24h'!N23,'04.08 KYENJOJO-FORTP'!N23)</f>
        <v>0</v>
      </c>
      <c r="O23" s="15">
        <f t="shared" si="0"/>
        <v>6.8571428571428577</v>
      </c>
      <c r="P23" s="15">
        <f t="shared" si="1"/>
        <v>8.2857142857142865</v>
      </c>
      <c r="R23" s="1" t="s">
        <v>147</v>
      </c>
      <c r="S23" s="34">
        <f>SUM(C62:C65)</f>
        <v>1</v>
      </c>
      <c r="T23" s="34">
        <f t="shared" ref="T23:AF23" si="15">SUM(D62:D65)</f>
        <v>0</v>
      </c>
      <c r="U23" s="34">
        <f t="shared" si="15"/>
        <v>8.5</v>
      </c>
      <c r="V23" s="34">
        <f t="shared" si="15"/>
        <v>5</v>
      </c>
      <c r="W23" s="34">
        <f t="shared" si="15"/>
        <v>0.5</v>
      </c>
      <c r="X23" s="34">
        <f t="shared" si="15"/>
        <v>1.5</v>
      </c>
      <c r="Y23" s="34">
        <f t="shared" si="15"/>
        <v>5</v>
      </c>
      <c r="Z23" s="34">
        <f t="shared" si="15"/>
        <v>0.5</v>
      </c>
      <c r="AA23" s="34">
        <f t="shared" si="15"/>
        <v>0</v>
      </c>
      <c r="AB23" s="34">
        <f t="shared" si="15"/>
        <v>3</v>
      </c>
      <c r="AC23" s="34">
        <f t="shared" si="15"/>
        <v>4</v>
      </c>
      <c r="AD23" s="34">
        <f t="shared" si="15"/>
        <v>0</v>
      </c>
      <c r="AE23" s="31">
        <f t="shared" si="15"/>
        <v>25</v>
      </c>
      <c r="AF23" s="31">
        <f t="shared" si="15"/>
        <v>29</v>
      </c>
    </row>
    <row r="24" spans="2:32" ht="23.1" customHeight="1" x14ac:dyDescent="0.25">
      <c r="B24" s="23" t="s">
        <v>51</v>
      </c>
      <c r="C24" s="49">
        <f>AVERAGE('29.07 KYENJOJO-FORTPORTAL'!C24,'30.07 KYENJOJO-FORTPORTAL'!C24,'31.07 KYENJOJO-FORTPORTAL'!C24,'02.08 KYENJOJO-FORTPORTAL'!C24,'01.08 KYENJOJO-FORTPORTAL-24h'!C24,'03.08 KYENJOJO-FORTPORTAL-24h'!C24,'04.08 KYENJOJO-FORTP'!C24)</f>
        <v>1.8571428571428572</v>
      </c>
      <c r="D24" s="49">
        <f>AVERAGE('29.07 KYENJOJO-FORTPORTAL'!D24,'30.07 KYENJOJO-FORTPORTAL'!D24,'31.07 KYENJOJO-FORTPORTAL'!D24,'02.08 KYENJOJO-FORTPORTAL'!D24,'01.08 KYENJOJO-FORTPORTAL-24h'!D24,'03.08 KYENJOJO-FORTPORTAL-24h'!D24,'04.08 KYENJOJO-FORTP'!D24)</f>
        <v>0</v>
      </c>
      <c r="E24" s="49">
        <f>AVERAGE('29.07 KYENJOJO-FORTPORTAL'!E24,'30.07 KYENJOJO-FORTPORTAL'!E24,'31.07 KYENJOJO-FORTPORTAL'!E24,'02.08 KYENJOJO-FORTPORTAL'!E24,'01.08 KYENJOJO-FORTPORTAL-24h'!E24,'03.08 KYENJOJO-FORTPORTAL-24h'!E24,'04.08 KYENJOJO-FORTP'!E24)</f>
        <v>2.5714285714285716</v>
      </c>
      <c r="F24" s="49">
        <f>AVERAGE('29.07 KYENJOJO-FORTPORTAL'!F24,'30.07 KYENJOJO-FORTPORTAL'!F24,'31.07 KYENJOJO-FORTPORTAL'!F24,'02.08 KYENJOJO-FORTPORTAL'!F24,'01.08 KYENJOJO-FORTPORTAL-24h'!F24,'03.08 KYENJOJO-FORTPORTAL-24h'!F24,'04.08 KYENJOJO-FORTP'!F24)</f>
        <v>1.2857142857142858</v>
      </c>
      <c r="G24" s="49">
        <f>AVERAGE('29.07 KYENJOJO-FORTPORTAL'!G24,'30.07 KYENJOJO-FORTPORTAL'!G24,'31.07 KYENJOJO-FORTPORTAL'!G24,'02.08 KYENJOJO-FORTPORTAL'!G24,'01.08 KYENJOJO-FORTPORTAL-24h'!G24,'03.08 KYENJOJO-FORTPORTAL-24h'!G24,'04.08 KYENJOJO-FORTP'!G24)</f>
        <v>0</v>
      </c>
      <c r="H24" s="49">
        <f>AVERAGE('29.07 KYENJOJO-FORTPORTAL'!H24,'30.07 KYENJOJO-FORTPORTAL'!H24,'31.07 KYENJOJO-FORTPORTAL'!H24,'02.08 KYENJOJO-FORTPORTAL'!H24,'01.08 KYENJOJO-FORTPORTAL-24h'!H24,'03.08 KYENJOJO-FORTPORTAL-24h'!H24,'04.08 KYENJOJO-FORTP'!H24)</f>
        <v>0.14285714285714285</v>
      </c>
      <c r="I24" s="49">
        <f>AVERAGE('29.07 KYENJOJO-FORTPORTAL'!I24,'30.07 KYENJOJO-FORTPORTAL'!I24,'31.07 KYENJOJO-FORTPORTAL'!I24,'02.08 KYENJOJO-FORTPORTAL'!I24,'01.08 KYENJOJO-FORTPORTAL-24h'!I24,'03.08 KYENJOJO-FORTPORTAL-24h'!I24,'04.08 KYENJOJO-FORTP'!I24)</f>
        <v>0.5714285714285714</v>
      </c>
      <c r="J24" s="49">
        <f>AVERAGE('29.07 KYENJOJO-FORTPORTAL'!J24,'30.07 KYENJOJO-FORTPORTAL'!J24,'31.07 KYENJOJO-FORTPORTAL'!J24,'02.08 KYENJOJO-FORTPORTAL'!J24,'01.08 KYENJOJO-FORTPORTAL-24h'!J24,'03.08 KYENJOJO-FORTPORTAL-24h'!J24,'04.08 KYENJOJO-FORTP'!J24)</f>
        <v>0</v>
      </c>
      <c r="K24" s="49">
        <f>AVERAGE('29.07 KYENJOJO-FORTPORTAL'!K24,'30.07 KYENJOJO-FORTPORTAL'!K24,'31.07 KYENJOJO-FORTPORTAL'!K24,'02.08 KYENJOJO-FORTPORTAL'!K24,'01.08 KYENJOJO-FORTPORTAL-24h'!K24,'03.08 KYENJOJO-FORTPORTAL-24h'!K24,'04.08 KYENJOJO-FORTP'!K24)</f>
        <v>0</v>
      </c>
      <c r="L24" s="49">
        <f>AVERAGE('29.07 KYENJOJO-FORTPORTAL'!L24,'30.07 KYENJOJO-FORTPORTAL'!L24,'31.07 KYENJOJO-FORTPORTAL'!L24,'02.08 KYENJOJO-FORTPORTAL'!L24,'01.08 KYENJOJO-FORTPORTAL-24h'!L24,'03.08 KYENJOJO-FORTPORTAL-24h'!L24,'04.08 KYENJOJO-FORTP'!L24)</f>
        <v>0.7142857142857143</v>
      </c>
      <c r="M24" s="49">
        <f>AVERAGE('29.07 KYENJOJO-FORTPORTAL'!M24,'30.07 KYENJOJO-FORTPORTAL'!M24,'31.07 KYENJOJO-FORTPORTAL'!M24,'02.08 KYENJOJO-FORTPORTAL'!M24,'01.08 KYENJOJO-FORTPORTAL-24h'!M24,'03.08 KYENJOJO-FORTPORTAL-24h'!M24,'04.08 KYENJOJO-FORTP'!M24)</f>
        <v>1</v>
      </c>
      <c r="N24" s="49">
        <f>AVERAGE('29.07 KYENJOJO-FORTPORTAL'!N24,'30.07 KYENJOJO-FORTPORTAL'!N24,'31.07 KYENJOJO-FORTPORTAL'!N24,'02.08 KYENJOJO-FORTPORTAL'!N24,'01.08 KYENJOJO-FORTPORTAL-24h'!N24,'03.08 KYENJOJO-FORTPORTAL-24h'!N24,'04.08 KYENJOJO-FORTP'!N24)</f>
        <v>0</v>
      </c>
      <c r="O24" s="15">
        <f t="shared" si="0"/>
        <v>7.1428571428571432</v>
      </c>
      <c r="P24" s="15">
        <f t="shared" si="1"/>
        <v>8.1428571428571423</v>
      </c>
      <c r="R24" s="1" t="s">
        <v>148</v>
      </c>
      <c r="S24" s="34">
        <f>SUM(C66:C69)</f>
        <v>1</v>
      </c>
      <c r="T24" s="34">
        <f t="shared" ref="T24:AF24" si="16">SUM(D66:D69)</f>
        <v>0</v>
      </c>
      <c r="U24" s="34">
        <f t="shared" si="16"/>
        <v>3.5</v>
      </c>
      <c r="V24" s="34">
        <f t="shared" si="16"/>
        <v>1.5</v>
      </c>
      <c r="W24" s="34">
        <f t="shared" si="16"/>
        <v>0</v>
      </c>
      <c r="X24" s="34">
        <f t="shared" si="16"/>
        <v>0.5</v>
      </c>
      <c r="Y24" s="34">
        <f t="shared" si="16"/>
        <v>11.5</v>
      </c>
      <c r="Z24" s="34">
        <f t="shared" si="16"/>
        <v>1</v>
      </c>
      <c r="AA24" s="34">
        <f t="shared" si="16"/>
        <v>0</v>
      </c>
      <c r="AB24" s="34">
        <f t="shared" si="16"/>
        <v>4</v>
      </c>
      <c r="AC24" s="34">
        <f t="shared" si="16"/>
        <v>1.5</v>
      </c>
      <c r="AD24" s="34">
        <f t="shared" si="16"/>
        <v>0</v>
      </c>
      <c r="AE24" s="31">
        <f t="shared" si="16"/>
        <v>23</v>
      </c>
      <c r="AF24" s="31">
        <f t="shared" si="16"/>
        <v>24.5</v>
      </c>
    </row>
    <row r="25" spans="2:32" ht="23.1" customHeight="1" x14ac:dyDescent="0.25">
      <c r="B25" s="23" t="s">
        <v>52</v>
      </c>
      <c r="C25" s="49">
        <f>AVERAGE('29.07 KYENJOJO-FORTPORTAL'!C25,'30.07 KYENJOJO-FORTPORTAL'!C25,'31.07 KYENJOJO-FORTPORTAL'!C25,'02.08 KYENJOJO-FORTPORTAL'!C25,'01.08 KYENJOJO-FORTPORTAL-24h'!C25,'03.08 KYENJOJO-FORTPORTAL-24h'!C25,'04.08 KYENJOJO-FORTP'!C25)</f>
        <v>0.42857142857142855</v>
      </c>
      <c r="D25" s="49">
        <f>AVERAGE('29.07 KYENJOJO-FORTPORTAL'!D25,'30.07 KYENJOJO-FORTPORTAL'!D25,'31.07 KYENJOJO-FORTPORTAL'!D25,'02.08 KYENJOJO-FORTPORTAL'!D25,'01.08 KYENJOJO-FORTPORTAL-24h'!D25,'03.08 KYENJOJO-FORTPORTAL-24h'!D25,'04.08 KYENJOJO-FORTP'!D25)</f>
        <v>0</v>
      </c>
      <c r="E25" s="49">
        <f>AVERAGE('29.07 KYENJOJO-FORTPORTAL'!E25,'30.07 KYENJOJO-FORTPORTAL'!E25,'31.07 KYENJOJO-FORTPORTAL'!E25,'02.08 KYENJOJO-FORTPORTAL'!E25,'01.08 KYENJOJO-FORTPORTAL-24h'!E25,'03.08 KYENJOJO-FORTPORTAL-24h'!E25,'04.08 KYENJOJO-FORTP'!E25)</f>
        <v>2.5714285714285716</v>
      </c>
      <c r="F25" s="49">
        <f>AVERAGE('29.07 KYENJOJO-FORTPORTAL'!F25,'30.07 KYENJOJO-FORTPORTAL'!F25,'31.07 KYENJOJO-FORTPORTAL'!F25,'02.08 KYENJOJO-FORTPORTAL'!F25,'01.08 KYENJOJO-FORTPORTAL-24h'!F25,'03.08 KYENJOJO-FORTPORTAL-24h'!F25,'04.08 KYENJOJO-FORTP'!F25)</f>
        <v>3.2857142857142856</v>
      </c>
      <c r="G25" s="49">
        <f>AVERAGE('29.07 KYENJOJO-FORTPORTAL'!G25,'30.07 KYENJOJO-FORTPORTAL'!G25,'31.07 KYENJOJO-FORTPORTAL'!G25,'02.08 KYENJOJO-FORTPORTAL'!G25,'01.08 KYENJOJO-FORTPORTAL-24h'!G25,'03.08 KYENJOJO-FORTPORTAL-24h'!G25,'04.08 KYENJOJO-FORTP'!G25)</f>
        <v>0.14285714285714285</v>
      </c>
      <c r="H25" s="49">
        <f>AVERAGE('29.07 KYENJOJO-FORTPORTAL'!H25,'30.07 KYENJOJO-FORTPORTAL'!H25,'31.07 KYENJOJO-FORTPORTAL'!H25,'02.08 KYENJOJO-FORTPORTAL'!H25,'01.08 KYENJOJO-FORTPORTAL-24h'!H25,'03.08 KYENJOJO-FORTPORTAL-24h'!H25,'04.08 KYENJOJO-FORTP'!H25)</f>
        <v>0.14285714285714285</v>
      </c>
      <c r="I25" s="49">
        <f>AVERAGE('29.07 KYENJOJO-FORTPORTAL'!I25,'30.07 KYENJOJO-FORTPORTAL'!I25,'31.07 KYENJOJO-FORTPORTAL'!I25,'02.08 KYENJOJO-FORTPORTAL'!I25,'01.08 KYENJOJO-FORTPORTAL-24h'!I25,'03.08 KYENJOJO-FORTPORTAL-24h'!I25,'04.08 KYENJOJO-FORTP'!I25)</f>
        <v>0.8571428571428571</v>
      </c>
      <c r="J25" s="49">
        <f>AVERAGE('29.07 KYENJOJO-FORTPORTAL'!J25,'30.07 KYENJOJO-FORTPORTAL'!J25,'31.07 KYENJOJO-FORTPORTAL'!J25,'02.08 KYENJOJO-FORTPORTAL'!J25,'01.08 KYENJOJO-FORTPORTAL-24h'!J25,'03.08 KYENJOJO-FORTPORTAL-24h'!J25,'04.08 KYENJOJO-FORTP'!J25)</f>
        <v>0</v>
      </c>
      <c r="K25" s="49">
        <f>AVERAGE('29.07 KYENJOJO-FORTPORTAL'!K25,'30.07 KYENJOJO-FORTPORTAL'!K25,'31.07 KYENJOJO-FORTPORTAL'!K25,'02.08 KYENJOJO-FORTPORTAL'!K25,'01.08 KYENJOJO-FORTPORTAL-24h'!K25,'03.08 KYENJOJO-FORTPORTAL-24h'!K25,'04.08 KYENJOJO-FORTP'!K25)</f>
        <v>0</v>
      </c>
      <c r="L25" s="49">
        <f>AVERAGE('29.07 KYENJOJO-FORTPORTAL'!L25,'30.07 KYENJOJO-FORTPORTAL'!L25,'31.07 KYENJOJO-FORTPORTAL'!L25,'02.08 KYENJOJO-FORTPORTAL'!L25,'01.08 KYENJOJO-FORTPORTAL-24h'!L25,'03.08 KYENJOJO-FORTPORTAL-24h'!L25,'04.08 KYENJOJO-FORTP'!L25)</f>
        <v>1</v>
      </c>
      <c r="M25" s="49">
        <f>AVERAGE('29.07 KYENJOJO-FORTPORTAL'!M25,'30.07 KYENJOJO-FORTPORTAL'!M25,'31.07 KYENJOJO-FORTPORTAL'!M25,'02.08 KYENJOJO-FORTPORTAL'!M25,'01.08 KYENJOJO-FORTPORTAL-24h'!M25,'03.08 KYENJOJO-FORTPORTAL-24h'!M25,'04.08 KYENJOJO-FORTP'!M25)</f>
        <v>1</v>
      </c>
      <c r="N25" s="49">
        <f>AVERAGE('29.07 KYENJOJO-FORTPORTAL'!N25,'30.07 KYENJOJO-FORTPORTAL'!N25,'31.07 KYENJOJO-FORTPORTAL'!N25,'02.08 KYENJOJO-FORTPORTAL'!N25,'01.08 KYENJOJO-FORTPORTAL-24h'!N25,'03.08 KYENJOJO-FORTPORTAL-24h'!N25,'04.08 KYENJOJO-FORTP'!N25)</f>
        <v>0</v>
      </c>
      <c r="O25" s="15">
        <f t="shared" si="0"/>
        <v>8.4285714285714288</v>
      </c>
      <c r="P25" s="15">
        <f t="shared" si="1"/>
        <v>9.4285714285714288</v>
      </c>
      <c r="R25" s="1" t="s">
        <v>149</v>
      </c>
      <c r="S25" s="34">
        <f>SUM(C70:C73)</f>
        <v>4</v>
      </c>
      <c r="T25" s="34">
        <f t="shared" ref="T25:AF25" si="17">SUM(D70:D73)</f>
        <v>0</v>
      </c>
      <c r="U25" s="34">
        <f t="shared" si="17"/>
        <v>1</v>
      </c>
      <c r="V25" s="34">
        <f t="shared" si="17"/>
        <v>2.5</v>
      </c>
      <c r="W25" s="34">
        <f t="shared" si="17"/>
        <v>0.5</v>
      </c>
      <c r="X25" s="34">
        <f t="shared" si="17"/>
        <v>0.5</v>
      </c>
      <c r="Y25" s="34">
        <f t="shared" si="17"/>
        <v>10.5</v>
      </c>
      <c r="Z25" s="34">
        <f t="shared" si="17"/>
        <v>0</v>
      </c>
      <c r="AA25" s="34">
        <f t="shared" si="17"/>
        <v>0.5</v>
      </c>
      <c r="AB25" s="34">
        <f t="shared" si="17"/>
        <v>4.5</v>
      </c>
      <c r="AC25" s="34">
        <f t="shared" si="17"/>
        <v>1</v>
      </c>
      <c r="AD25" s="34">
        <f t="shared" si="17"/>
        <v>0</v>
      </c>
      <c r="AE25" s="31">
        <f t="shared" si="17"/>
        <v>24</v>
      </c>
      <c r="AF25" s="31">
        <f t="shared" si="17"/>
        <v>25</v>
      </c>
    </row>
    <row r="26" spans="2:32" ht="23.1" customHeight="1" x14ac:dyDescent="0.25">
      <c r="B26" s="23" t="s">
        <v>53</v>
      </c>
      <c r="C26" s="49">
        <f>AVERAGE('29.07 KYENJOJO-FORTPORTAL'!C26,'30.07 KYENJOJO-FORTPORTAL'!C26,'31.07 KYENJOJO-FORTPORTAL'!C26,'02.08 KYENJOJO-FORTPORTAL'!C26,'01.08 KYENJOJO-FORTPORTAL-24h'!C26,'03.08 KYENJOJO-FORTPORTAL-24h'!C26,'04.08 KYENJOJO-FORTP'!C26)</f>
        <v>1</v>
      </c>
      <c r="D26" s="49">
        <f>AVERAGE('29.07 KYENJOJO-FORTPORTAL'!D26,'30.07 KYENJOJO-FORTPORTAL'!D26,'31.07 KYENJOJO-FORTPORTAL'!D26,'02.08 KYENJOJO-FORTPORTAL'!D26,'01.08 KYENJOJO-FORTPORTAL-24h'!D26,'03.08 KYENJOJO-FORTPORTAL-24h'!D26,'04.08 KYENJOJO-FORTP'!D26)</f>
        <v>0</v>
      </c>
      <c r="E26" s="49">
        <f>AVERAGE('29.07 KYENJOJO-FORTPORTAL'!E26,'30.07 KYENJOJO-FORTPORTAL'!E26,'31.07 KYENJOJO-FORTPORTAL'!E26,'02.08 KYENJOJO-FORTPORTAL'!E26,'01.08 KYENJOJO-FORTPORTAL-24h'!E26,'03.08 KYENJOJO-FORTPORTAL-24h'!E26,'04.08 KYENJOJO-FORTP'!E26)</f>
        <v>3.4285714285714284</v>
      </c>
      <c r="F26" s="49">
        <f>AVERAGE('29.07 KYENJOJO-FORTPORTAL'!F26,'30.07 KYENJOJO-FORTPORTAL'!F26,'31.07 KYENJOJO-FORTPORTAL'!F26,'02.08 KYENJOJO-FORTPORTAL'!F26,'01.08 KYENJOJO-FORTPORTAL-24h'!F26,'03.08 KYENJOJO-FORTPORTAL-24h'!F26,'04.08 KYENJOJO-FORTP'!F26)</f>
        <v>2.4285714285714284</v>
      </c>
      <c r="G26" s="49">
        <f>AVERAGE('29.07 KYENJOJO-FORTPORTAL'!G26,'30.07 KYENJOJO-FORTPORTAL'!G26,'31.07 KYENJOJO-FORTPORTAL'!G26,'02.08 KYENJOJO-FORTPORTAL'!G26,'01.08 KYENJOJO-FORTPORTAL-24h'!G26,'03.08 KYENJOJO-FORTPORTAL-24h'!G26,'04.08 KYENJOJO-FORTP'!G26)</f>
        <v>0</v>
      </c>
      <c r="H26" s="49">
        <f>AVERAGE('29.07 KYENJOJO-FORTPORTAL'!H26,'30.07 KYENJOJO-FORTPORTAL'!H26,'31.07 KYENJOJO-FORTPORTAL'!H26,'02.08 KYENJOJO-FORTPORTAL'!H26,'01.08 KYENJOJO-FORTPORTAL-24h'!H26,'03.08 KYENJOJO-FORTPORTAL-24h'!H26,'04.08 KYENJOJO-FORTP'!H26)</f>
        <v>0.7142857142857143</v>
      </c>
      <c r="I26" s="49">
        <f>AVERAGE('29.07 KYENJOJO-FORTPORTAL'!I26,'30.07 KYENJOJO-FORTPORTAL'!I26,'31.07 KYENJOJO-FORTPORTAL'!I26,'02.08 KYENJOJO-FORTPORTAL'!I26,'01.08 KYENJOJO-FORTPORTAL-24h'!I26,'03.08 KYENJOJO-FORTPORTAL-24h'!I26,'04.08 KYENJOJO-FORTP'!I26)</f>
        <v>1</v>
      </c>
      <c r="J26" s="49">
        <f>AVERAGE('29.07 KYENJOJO-FORTPORTAL'!J26,'30.07 KYENJOJO-FORTPORTAL'!J26,'31.07 KYENJOJO-FORTPORTAL'!J26,'02.08 KYENJOJO-FORTPORTAL'!J26,'01.08 KYENJOJO-FORTPORTAL-24h'!J26,'03.08 KYENJOJO-FORTPORTAL-24h'!J26,'04.08 KYENJOJO-FORTP'!J26)</f>
        <v>0</v>
      </c>
      <c r="K26" s="49">
        <f>AVERAGE('29.07 KYENJOJO-FORTPORTAL'!K26,'30.07 KYENJOJO-FORTPORTAL'!K26,'31.07 KYENJOJO-FORTPORTAL'!K26,'02.08 KYENJOJO-FORTPORTAL'!K26,'01.08 KYENJOJO-FORTPORTAL-24h'!K26,'03.08 KYENJOJO-FORTPORTAL-24h'!K26,'04.08 KYENJOJO-FORTP'!K26)</f>
        <v>0.14285714285714285</v>
      </c>
      <c r="L26" s="49">
        <f>AVERAGE('29.07 KYENJOJO-FORTPORTAL'!L26,'30.07 KYENJOJO-FORTPORTAL'!L26,'31.07 KYENJOJO-FORTPORTAL'!L26,'02.08 KYENJOJO-FORTPORTAL'!L26,'01.08 KYENJOJO-FORTPORTAL-24h'!L26,'03.08 KYENJOJO-FORTPORTAL-24h'!L26,'04.08 KYENJOJO-FORTP'!L26)</f>
        <v>0.5714285714285714</v>
      </c>
      <c r="M26" s="49">
        <f>AVERAGE('29.07 KYENJOJO-FORTPORTAL'!M26,'30.07 KYENJOJO-FORTPORTAL'!M26,'31.07 KYENJOJO-FORTPORTAL'!M26,'02.08 KYENJOJO-FORTPORTAL'!M26,'01.08 KYENJOJO-FORTPORTAL-24h'!M26,'03.08 KYENJOJO-FORTPORTAL-24h'!M26,'04.08 KYENJOJO-FORTP'!M26)</f>
        <v>2.1428571428571428</v>
      </c>
      <c r="N26" s="49">
        <f>AVERAGE('29.07 KYENJOJO-FORTPORTAL'!N26,'30.07 KYENJOJO-FORTPORTAL'!N26,'31.07 KYENJOJO-FORTPORTAL'!N26,'02.08 KYENJOJO-FORTPORTAL'!N26,'01.08 KYENJOJO-FORTPORTAL-24h'!N26,'03.08 KYENJOJO-FORTPORTAL-24h'!N26,'04.08 KYENJOJO-FORTP'!N26)</f>
        <v>0</v>
      </c>
      <c r="O26" s="15">
        <f t="shared" si="0"/>
        <v>9.2857142857142865</v>
      </c>
      <c r="P26" s="15">
        <f t="shared" si="1"/>
        <v>11.428571428571429</v>
      </c>
      <c r="R26" s="1" t="s">
        <v>150</v>
      </c>
      <c r="S26" s="34">
        <f>SUM(C74:C77)</f>
        <v>3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0.5</v>
      </c>
      <c r="W26" s="34">
        <f t="shared" si="18"/>
        <v>0</v>
      </c>
      <c r="X26" s="34">
        <f t="shared" si="18"/>
        <v>1</v>
      </c>
      <c r="Y26" s="34">
        <f t="shared" si="18"/>
        <v>9</v>
      </c>
      <c r="Z26" s="34">
        <f t="shared" si="18"/>
        <v>0.5</v>
      </c>
      <c r="AA26" s="34">
        <f t="shared" si="18"/>
        <v>0</v>
      </c>
      <c r="AB26" s="34">
        <f t="shared" si="18"/>
        <v>1</v>
      </c>
      <c r="AC26" s="34">
        <f t="shared" si="18"/>
        <v>0</v>
      </c>
      <c r="AD26" s="34">
        <f t="shared" si="18"/>
        <v>0</v>
      </c>
      <c r="AE26" s="31">
        <f t="shared" si="18"/>
        <v>15</v>
      </c>
      <c r="AF26" s="31">
        <f t="shared" si="18"/>
        <v>15</v>
      </c>
    </row>
    <row r="27" spans="2:32" ht="23.1" customHeight="1" x14ac:dyDescent="0.25">
      <c r="B27" s="23" t="s">
        <v>54</v>
      </c>
      <c r="C27" s="49">
        <f>AVERAGE('29.07 KYENJOJO-FORTPORTAL'!C27,'30.07 KYENJOJO-FORTPORTAL'!C27,'31.07 KYENJOJO-FORTPORTAL'!C27,'02.08 KYENJOJO-FORTPORTAL'!C27,'01.08 KYENJOJO-FORTPORTAL-24h'!C27,'03.08 KYENJOJO-FORTPORTAL-24h'!C27,'04.08 KYENJOJO-FORTP'!C27)</f>
        <v>1.1428571428571428</v>
      </c>
      <c r="D27" s="49">
        <f>AVERAGE('29.07 KYENJOJO-FORTPORTAL'!D27,'30.07 KYENJOJO-FORTPORTAL'!D27,'31.07 KYENJOJO-FORTPORTAL'!D27,'02.08 KYENJOJO-FORTPORTAL'!D27,'01.08 KYENJOJO-FORTPORTAL-24h'!D27,'03.08 KYENJOJO-FORTPORTAL-24h'!D27,'04.08 KYENJOJO-FORTP'!D27)</f>
        <v>0</v>
      </c>
      <c r="E27" s="49">
        <f>AVERAGE('29.07 KYENJOJO-FORTPORTAL'!E27,'30.07 KYENJOJO-FORTPORTAL'!E27,'31.07 KYENJOJO-FORTPORTAL'!E27,'02.08 KYENJOJO-FORTPORTAL'!E27,'01.08 KYENJOJO-FORTPORTAL-24h'!E27,'03.08 KYENJOJO-FORTPORTAL-24h'!E27,'04.08 KYENJOJO-FORTP'!E27)</f>
        <v>3</v>
      </c>
      <c r="F27" s="49">
        <f>AVERAGE('29.07 KYENJOJO-FORTPORTAL'!F27,'30.07 KYENJOJO-FORTPORTAL'!F27,'31.07 KYENJOJO-FORTPORTAL'!F27,'02.08 KYENJOJO-FORTPORTAL'!F27,'01.08 KYENJOJO-FORTPORTAL-24h'!F27,'03.08 KYENJOJO-FORTPORTAL-24h'!F27,'04.08 KYENJOJO-FORTP'!F27)</f>
        <v>2.7142857142857144</v>
      </c>
      <c r="G27" s="49">
        <f>AVERAGE('29.07 KYENJOJO-FORTPORTAL'!G27,'30.07 KYENJOJO-FORTPORTAL'!G27,'31.07 KYENJOJO-FORTPORTAL'!G27,'02.08 KYENJOJO-FORTPORTAL'!G27,'01.08 KYENJOJO-FORTPORTAL-24h'!G27,'03.08 KYENJOJO-FORTPORTAL-24h'!G27,'04.08 KYENJOJO-FORTP'!G27)</f>
        <v>0</v>
      </c>
      <c r="H27" s="49">
        <f>AVERAGE('29.07 KYENJOJO-FORTPORTAL'!H27,'30.07 KYENJOJO-FORTPORTAL'!H27,'31.07 KYENJOJO-FORTPORTAL'!H27,'02.08 KYENJOJO-FORTPORTAL'!H27,'01.08 KYENJOJO-FORTPORTAL-24h'!H27,'03.08 KYENJOJO-FORTPORTAL-24h'!H27,'04.08 KYENJOJO-FORTP'!H27)</f>
        <v>0.7142857142857143</v>
      </c>
      <c r="I27" s="49">
        <f>AVERAGE('29.07 KYENJOJO-FORTPORTAL'!I27,'30.07 KYENJOJO-FORTPORTAL'!I27,'31.07 KYENJOJO-FORTPORTAL'!I27,'02.08 KYENJOJO-FORTPORTAL'!I27,'01.08 KYENJOJO-FORTPORTAL-24h'!I27,'03.08 KYENJOJO-FORTPORTAL-24h'!I27,'04.08 KYENJOJO-FORTP'!I27)</f>
        <v>1</v>
      </c>
      <c r="J27" s="49">
        <f>AVERAGE('29.07 KYENJOJO-FORTPORTAL'!J27,'30.07 KYENJOJO-FORTPORTAL'!J27,'31.07 KYENJOJO-FORTPORTAL'!J27,'02.08 KYENJOJO-FORTPORTAL'!J27,'01.08 KYENJOJO-FORTPORTAL-24h'!J27,'03.08 KYENJOJO-FORTPORTAL-24h'!J27,'04.08 KYENJOJO-FORTP'!J27)</f>
        <v>0.14285714285714285</v>
      </c>
      <c r="K27" s="49">
        <f>AVERAGE('29.07 KYENJOJO-FORTPORTAL'!K27,'30.07 KYENJOJO-FORTPORTAL'!K27,'31.07 KYENJOJO-FORTPORTAL'!K27,'02.08 KYENJOJO-FORTPORTAL'!K27,'01.08 KYENJOJO-FORTPORTAL-24h'!K27,'03.08 KYENJOJO-FORTPORTAL-24h'!K27,'04.08 KYENJOJO-FORTP'!K27)</f>
        <v>0</v>
      </c>
      <c r="L27" s="49">
        <f>AVERAGE('29.07 KYENJOJO-FORTPORTAL'!L27,'30.07 KYENJOJO-FORTPORTAL'!L27,'31.07 KYENJOJO-FORTPORTAL'!L27,'02.08 KYENJOJO-FORTPORTAL'!L27,'01.08 KYENJOJO-FORTPORTAL-24h'!L27,'03.08 KYENJOJO-FORTPORTAL-24h'!L27,'04.08 KYENJOJO-FORTP'!L27)</f>
        <v>0.42857142857142855</v>
      </c>
      <c r="M27" s="49">
        <f>AVERAGE('29.07 KYENJOJO-FORTPORTAL'!M27,'30.07 KYENJOJO-FORTPORTAL'!M27,'31.07 KYENJOJO-FORTPORTAL'!M27,'02.08 KYENJOJO-FORTPORTAL'!M27,'01.08 KYENJOJO-FORTPORTAL-24h'!M27,'03.08 KYENJOJO-FORTPORTAL-24h'!M27,'04.08 KYENJOJO-FORTP'!M27)</f>
        <v>1</v>
      </c>
      <c r="N27" s="49">
        <f>AVERAGE('29.07 KYENJOJO-FORTPORTAL'!N27,'30.07 KYENJOJO-FORTPORTAL'!N27,'31.07 KYENJOJO-FORTPORTAL'!N27,'02.08 KYENJOJO-FORTPORTAL'!N27,'01.08 KYENJOJO-FORTPORTAL-24h'!N27,'03.08 KYENJOJO-FORTPORTAL-24h'!N27,'04.08 KYENJOJO-FORTP'!N27)</f>
        <v>0</v>
      </c>
      <c r="O27" s="15">
        <f t="shared" si="0"/>
        <v>9.1428571428571423</v>
      </c>
      <c r="P27" s="15">
        <f t="shared" si="1"/>
        <v>10.142857142857142</v>
      </c>
      <c r="R27" s="1" t="s">
        <v>151</v>
      </c>
      <c r="S27" s="34">
        <f>SUM(C78:C81)</f>
        <v>0.5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0.5</v>
      </c>
      <c r="W27" s="34">
        <f t="shared" si="19"/>
        <v>0</v>
      </c>
      <c r="X27" s="34">
        <f t="shared" si="19"/>
        <v>1.5</v>
      </c>
      <c r="Y27" s="34">
        <f t="shared" si="19"/>
        <v>10</v>
      </c>
      <c r="Z27" s="34">
        <f t="shared" si="19"/>
        <v>0</v>
      </c>
      <c r="AA27" s="34">
        <f t="shared" si="19"/>
        <v>1</v>
      </c>
      <c r="AB27" s="34">
        <f t="shared" si="19"/>
        <v>2</v>
      </c>
      <c r="AC27" s="34">
        <f t="shared" si="19"/>
        <v>0</v>
      </c>
      <c r="AD27" s="34">
        <f t="shared" si="19"/>
        <v>0</v>
      </c>
      <c r="AE27" s="31">
        <f t="shared" si="19"/>
        <v>17.5</v>
      </c>
      <c r="AF27" s="31">
        <f t="shared" si="19"/>
        <v>17.5</v>
      </c>
    </row>
    <row r="28" spans="2:32" ht="23.1" customHeight="1" x14ac:dyDescent="0.25">
      <c r="B28" s="23" t="s">
        <v>55</v>
      </c>
      <c r="C28" s="49">
        <f>AVERAGE('29.07 KYENJOJO-FORTPORTAL'!C28,'30.07 KYENJOJO-FORTPORTAL'!C28,'31.07 KYENJOJO-FORTPORTAL'!C28,'02.08 KYENJOJO-FORTPORTAL'!C28,'01.08 KYENJOJO-FORTPORTAL-24h'!C28,'03.08 KYENJOJO-FORTPORTAL-24h'!C28,'04.08 KYENJOJO-FORTP'!C28)</f>
        <v>0.8571428571428571</v>
      </c>
      <c r="D28" s="49">
        <f>AVERAGE('29.07 KYENJOJO-FORTPORTAL'!D28,'30.07 KYENJOJO-FORTPORTAL'!D28,'31.07 KYENJOJO-FORTPORTAL'!D28,'02.08 KYENJOJO-FORTPORTAL'!D28,'01.08 KYENJOJO-FORTPORTAL-24h'!D28,'03.08 KYENJOJO-FORTPORTAL-24h'!D28,'04.08 KYENJOJO-FORTP'!D28)</f>
        <v>0</v>
      </c>
      <c r="E28" s="49">
        <f>AVERAGE('29.07 KYENJOJO-FORTPORTAL'!E28,'30.07 KYENJOJO-FORTPORTAL'!E28,'31.07 KYENJOJO-FORTPORTAL'!E28,'02.08 KYENJOJO-FORTPORTAL'!E28,'01.08 KYENJOJO-FORTPORTAL-24h'!E28,'03.08 KYENJOJO-FORTPORTAL-24h'!E28,'04.08 KYENJOJO-FORTP'!E28)</f>
        <v>3.4285714285714284</v>
      </c>
      <c r="F28" s="49">
        <f>AVERAGE('29.07 KYENJOJO-FORTPORTAL'!F28,'30.07 KYENJOJO-FORTPORTAL'!F28,'31.07 KYENJOJO-FORTPORTAL'!F28,'02.08 KYENJOJO-FORTPORTAL'!F28,'01.08 KYENJOJO-FORTPORTAL-24h'!F28,'03.08 KYENJOJO-FORTPORTAL-24h'!F28,'04.08 KYENJOJO-FORTP'!F28)</f>
        <v>2.4285714285714284</v>
      </c>
      <c r="G28" s="49">
        <f>AVERAGE('29.07 KYENJOJO-FORTPORTAL'!G28,'30.07 KYENJOJO-FORTPORTAL'!G28,'31.07 KYENJOJO-FORTPORTAL'!G28,'02.08 KYENJOJO-FORTPORTAL'!G28,'01.08 KYENJOJO-FORTPORTAL-24h'!G28,'03.08 KYENJOJO-FORTPORTAL-24h'!G28,'04.08 KYENJOJO-FORTP'!G28)</f>
        <v>0</v>
      </c>
      <c r="H28" s="49">
        <f>AVERAGE('29.07 KYENJOJO-FORTPORTAL'!H28,'30.07 KYENJOJO-FORTPORTAL'!H28,'31.07 KYENJOJO-FORTPORTAL'!H28,'02.08 KYENJOJO-FORTPORTAL'!H28,'01.08 KYENJOJO-FORTPORTAL-24h'!H28,'03.08 KYENJOJO-FORTPORTAL-24h'!H28,'04.08 KYENJOJO-FORTP'!H28)</f>
        <v>0.14285714285714285</v>
      </c>
      <c r="I28" s="49">
        <f>AVERAGE('29.07 KYENJOJO-FORTPORTAL'!I28,'30.07 KYENJOJO-FORTPORTAL'!I28,'31.07 KYENJOJO-FORTPORTAL'!I28,'02.08 KYENJOJO-FORTPORTAL'!I28,'01.08 KYENJOJO-FORTPORTAL-24h'!I28,'03.08 KYENJOJO-FORTPORTAL-24h'!I28,'04.08 KYENJOJO-FORTP'!I28)</f>
        <v>0.42857142857142855</v>
      </c>
      <c r="J28" s="49">
        <f>AVERAGE('29.07 KYENJOJO-FORTPORTAL'!J28,'30.07 KYENJOJO-FORTPORTAL'!J28,'31.07 KYENJOJO-FORTPORTAL'!J28,'02.08 KYENJOJO-FORTPORTAL'!J28,'01.08 KYENJOJO-FORTPORTAL-24h'!J28,'03.08 KYENJOJO-FORTPORTAL-24h'!J28,'04.08 KYENJOJO-FORTP'!J28)</f>
        <v>0</v>
      </c>
      <c r="K28" s="49">
        <f>AVERAGE('29.07 KYENJOJO-FORTPORTAL'!K28,'30.07 KYENJOJO-FORTPORTAL'!K28,'31.07 KYENJOJO-FORTPORTAL'!K28,'02.08 KYENJOJO-FORTPORTAL'!K28,'01.08 KYENJOJO-FORTPORTAL-24h'!K28,'03.08 KYENJOJO-FORTPORTAL-24h'!K28,'04.08 KYENJOJO-FORTP'!K28)</f>
        <v>0</v>
      </c>
      <c r="L28" s="49">
        <f>AVERAGE('29.07 KYENJOJO-FORTPORTAL'!L28,'30.07 KYENJOJO-FORTPORTAL'!L28,'31.07 KYENJOJO-FORTPORTAL'!L28,'02.08 KYENJOJO-FORTPORTAL'!L28,'01.08 KYENJOJO-FORTPORTAL-24h'!L28,'03.08 KYENJOJO-FORTPORTAL-24h'!L28,'04.08 KYENJOJO-FORTP'!L28)</f>
        <v>0.2857142857142857</v>
      </c>
      <c r="M28" s="49">
        <f>AVERAGE('29.07 KYENJOJO-FORTPORTAL'!M28,'30.07 KYENJOJO-FORTPORTAL'!M28,'31.07 KYENJOJO-FORTPORTAL'!M28,'02.08 KYENJOJO-FORTPORTAL'!M28,'01.08 KYENJOJO-FORTPORTAL-24h'!M28,'03.08 KYENJOJO-FORTPORTAL-24h'!M28,'04.08 KYENJOJO-FORTP'!M28)</f>
        <v>1.2857142857142858</v>
      </c>
      <c r="N28" s="49">
        <f>AVERAGE('29.07 KYENJOJO-FORTPORTAL'!N28,'30.07 KYENJOJO-FORTPORTAL'!N28,'31.07 KYENJOJO-FORTPORTAL'!N28,'02.08 KYENJOJO-FORTPORTAL'!N28,'01.08 KYENJOJO-FORTPORTAL-24h'!N28,'03.08 KYENJOJO-FORTPORTAL-24h'!N28,'04.08 KYENJOJO-FORTP'!N28)</f>
        <v>0</v>
      </c>
      <c r="O28" s="15">
        <f t="shared" si="0"/>
        <v>7.5714285714285712</v>
      </c>
      <c r="P28" s="15">
        <f t="shared" si="1"/>
        <v>8.8571428571428577</v>
      </c>
      <c r="R28" s="1" t="s">
        <v>152</v>
      </c>
      <c r="S28" s="34">
        <f>SUM(C82:C85)</f>
        <v>0.5</v>
      </c>
      <c r="T28" s="34">
        <f t="shared" ref="T28:AF28" si="20">SUM(D82:D85)</f>
        <v>0</v>
      </c>
      <c r="U28" s="34">
        <f t="shared" si="20"/>
        <v>1.5</v>
      </c>
      <c r="V28" s="34">
        <f t="shared" si="20"/>
        <v>0</v>
      </c>
      <c r="W28" s="34">
        <f t="shared" si="20"/>
        <v>0</v>
      </c>
      <c r="X28" s="34">
        <f t="shared" si="20"/>
        <v>1</v>
      </c>
      <c r="Y28" s="34">
        <f t="shared" si="20"/>
        <v>9</v>
      </c>
      <c r="Z28" s="34">
        <f t="shared" si="20"/>
        <v>0</v>
      </c>
      <c r="AA28" s="34">
        <f t="shared" si="20"/>
        <v>1</v>
      </c>
      <c r="AB28" s="34">
        <f t="shared" si="20"/>
        <v>1.5</v>
      </c>
      <c r="AC28" s="34">
        <f t="shared" si="20"/>
        <v>0</v>
      </c>
      <c r="AD28" s="34">
        <f t="shared" si="20"/>
        <v>0</v>
      </c>
      <c r="AE28" s="31">
        <f t="shared" si="20"/>
        <v>14.5</v>
      </c>
      <c r="AF28" s="31">
        <f t="shared" si="20"/>
        <v>14.5</v>
      </c>
    </row>
    <row r="29" spans="2:32" ht="23.1" customHeight="1" x14ac:dyDescent="0.25">
      <c r="B29" s="23" t="s">
        <v>56</v>
      </c>
      <c r="C29" s="49">
        <f>AVERAGE('29.07 KYENJOJO-FORTPORTAL'!C29,'30.07 KYENJOJO-FORTPORTAL'!C29,'31.07 KYENJOJO-FORTPORTAL'!C29,'02.08 KYENJOJO-FORTPORTAL'!C29,'01.08 KYENJOJO-FORTPORTAL-24h'!C29,'03.08 KYENJOJO-FORTPORTAL-24h'!C29,'04.08 KYENJOJO-FORTP'!C29)</f>
        <v>1</v>
      </c>
      <c r="D29" s="49">
        <f>AVERAGE('29.07 KYENJOJO-FORTPORTAL'!D29,'30.07 KYENJOJO-FORTPORTAL'!D29,'31.07 KYENJOJO-FORTPORTAL'!D29,'02.08 KYENJOJO-FORTPORTAL'!D29,'01.08 KYENJOJO-FORTPORTAL-24h'!D29,'03.08 KYENJOJO-FORTPORTAL-24h'!D29,'04.08 KYENJOJO-FORTP'!D29)</f>
        <v>0</v>
      </c>
      <c r="E29" s="49">
        <f>AVERAGE('29.07 KYENJOJO-FORTPORTAL'!E29,'30.07 KYENJOJO-FORTPORTAL'!E29,'31.07 KYENJOJO-FORTPORTAL'!E29,'02.08 KYENJOJO-FORTPORTAL'!E29,'01.08 KYENJOJO-FORTPORTAL-24h'!E29,'03.08 KYENJOJO-FORTPORTAL-24h'!E29,'04.08 KYENJOJO-FORTP'!E29)</f>
        <v>1.7142857142857142</v>
      </c>
      <c r="F29" s="49">
        <f>AVERAGE('29.07 KYENJOJO-FORTPORTAL'!F29,'30.07 KYENJOJO-FORTPORTAL'!F29,'31.07 KYENJOJO-FORTPORTAL'!F29,'02.08 KYENJOJO-FORTPORTAL'!F29,'01.08 KYENJOJO-FORTPORTAL-24h'!F29,'03.08 KYENJOJO-FORTPORTAL-24h'!F29,'04.08 KYENJOJO-FORTP'!F29)</f>
        <v>1.2857142857142858</v>
      </c>
      <c r="G29" s="49">
        <f>AVERAGE('29.07 KYENJOJO-FORTPORTAL'!G29,'30.07 KYENJOJO-FORTPORTAL'!G29,'31.07 KYENJOJO-FORTPORTAL'!G29,'02.08 KYENJOJO-FORTPORTAL'!G29,'01.08 KYENJOJO-FORTPORTAL-24h'!G29,'03.08 KYENJOJO-FORTPORTAL-24h'!G29,'04.08 KYENJOJO-FORTP'!G29)</f>
        <v>0</v>
      </c>
      <c r="H29" s="49">
        <f>AVERAGE('29.07 KYENJOJO-FORTPORTAL'!H29,'30.07 KYENJOJO-FORTPORTAL'!H29,'31.07 KYENJOJO-FORTPORTAL'!H29,'02.08 KYENJOJO-FORTPORTAL'!H29,'01.08 KYENJOJO-FORTPORTAL-24h'!H29,'03.08 KYENJOJO-FORTPORTAL-24h'!H29,'04.08 KYENJOJO-FORTP'!H29)</f>
        <v>0.14285714285714285</v>
      </c>
      <c r="I29" s="49">
        <f>AVERAGE('29.07 KYENJOJO-FORTPORTAL'!I29,'30.07 KYENJOJO-FORTPORTAL'!I29,'31.07 KYENJOJO-FORTPORTAL'!I29,'02.08 KYENJOJO-FORTPORTAL'!I29,'01.08 KYENJOJO-FORTPORTAL-24h'!I29,'03.08 KYENJOJO-FORTPORTAL-24h'!I29,'04.08 KYENJOJO-FORTP'!I29)</f>
        <v>1.2857142857142858</v>
      </c>
      <c r="J29" s="49">
        <f>AVERAGE('29.07 KYENJOJO-FORTPORTAL'!J29,'30.07 KYENJOJO-FORTPORTAL'!J29,'31.07 KYENJOJO-FORTPORTAL'!J29,'02.08 KYENJOJO-FORTPORTAL'!J29,'01.08 KYENJOJO-FORTPORTAL-24h'!J29,'03.08 KYENJOJO-FORTPORTAL-24h'!J29,'04.08 KYENJOJO-FORTP'!J29)</f>
        <v>0</v>
      </c>
      <c r="K29" s="49">
        <f>AVERAGE('29.07 KYENJOJO-FORTPORTAL'!K29,'30.07 KYENJOJO-FORTPORTAL'!K29,'31.07 KYENJOJO-FORTPORTAL'!K29,'02.08 KYENJOJO-FORTPORTAL'!K29,'01.08 KYENJOJO-FORTPORTAL-24h'!K29,'03.08 KYENJOJO-FORTPORTAL-24h'!K29,'04.08 KYENJOJO-FORTP'!K29)</f>
        <v>0</v>
      </c>
      <c r="L29" s="49">
        <f>AVERAGE('29.07 KYENJOJO-FORTPORTAL'!L29,'30.07 KYENJOJO-FORTPORTAL'!L29,'31.07 KYENJOJO-FORTPORTAL'!L29,'02.08 KYENJOJO-FORTPORTAL'!L29,'01.08 KYENJOJO-FORTPORTAL-24h'!L29,'03.08 KYENJOJO-FORTPORTAL-24h'!L29,'04.08 KYENJOJO-FORTP'!L29)</f>
        <v>0.8571428571428571</v>
      </c>
      <c r="M29" s="49">
        <f>AVERAGE('29.07 KYENJOJO-FORTPORTAL'!M29,'30.07 KYENJOJO-FORTPORTAL'!M29,'31.07 KYENJOJO-FORTPORTAL'!M29,'02.08 KYENJOJO-FORTPORTAL'!M29,'01.08 KYENJOJO-FORTPORTAL-24h'!M29,'03.08 KYENJOJO-FORTPORTAL-24h'!M29,'04.08 KYENJOJO-FORTP'!M29)</f>
        <v>1.4285714285714286</v>
      </c>
      <c r="N29" s="49">
        <f>AVERAGE('29.07 KYENJOJO-FORTPORTAL'!N29,'30.07 KYENJOJO-FORTPORTAL'!N29,'31.07 KYENJOJO-FORTPORTAL'!N29,'02.08 KYENJOJO-FORTPORTAL'!N29,'01.08 KYENJOJO-FORTPORTAL-24h'!N29,'03.08 KYENJOJO-FORTPORTAL-24h'!N29,'04.08 KYENJOJO-FORTP'!N29)</f>
        <v>0</v>
      </c>
      <c r="O29" s="15">
        <f t="shared" si="0"/>
        <v>6.2857142857142856</v>
      </c>
      <c r="P29" s="15">
        <f t="shared" si="1"/>
        <v>7.7142857142857144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0.5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2.5</v>
      </c>
      <c r="Z29" s="34">
        <f t="shared" si="21"/>
        <v>0</v>
      </c>
      <c r="AA29" s="34">
        <f t="shared" si="21"/>
        <v>0</v>
      </c>
      <c r="AB29" s="34">
        <f t="shared" si="21"/>
        <v>3.5</v>
      </c>
      <c r="AC29" s="34">
        <f t="shared" si="21"/>
        <v>0</v>
      </c>
      <c r="AD29" s="34">
        <f t="shared" si="21"/>
        <v>0</v>
      </c>
      <c r="AE29" s="31">
        <f t="shared" si="21"/>
        <v>6.5</v>
      </c>
      <c r="AF29" s="31">
        <f t="shared" si="21"/>
        <v>6.5</v>
      </c>
    </row>
    <row r="30" spans="2:32" ht="23.1" customHeight="1" x14ac:dyDescent="0.25">
      <c r="B30" s="23" t="s">
        <v>57</v>
      </c>
      <c r="C30" s="49">
        <f>AVERAGE('29.07 KYENJOJO-FORTPORTAL'!C30,'30.07 KYENJOJO-FORTPORTAL'!C30,'31.07 KYENJOJO-FORTPORTAL'!C30,'02.08 KYENJOJO-FORTPORTAL'!C30,'01.08 KYENJOJO-FORTPORTAL-24h'!C30,'03.08 KYENJOJO-FORTPORTAL-24h'!C30,'04.08 KYENJOJO-FORTP'!C30)</f>
        <v>0.42857142857142855</v>
      </c>
      <c r="D30" s="49">
        <f>AVERAGE('29.07 KYENJOJO-FORTPORTAL'!D30,'30.07 KYENJOJO-FORTPORTAL'!D30,'31.07 KYENJOJO-FORTPORTAL'!D30,'02.08 KYENJOJO-FORTPORTAL'!D30,'01.08 KYENJOJO-FORTPORTAL-24h'!D30,'03.08 KYENJOJO-FORTPORTAL-24h'!D30,'04.08 KYENJOJO-FORTP'!D30)</f>
        <v>0</v>
      </c>
      <c r="E30" s="49">
        <f>AVERAGE('29.07 KYENJOJO-FORTPORTAL'!E30,'30.07 KYENJOJO-FORTPORTAL'!E30,'31.07 KYENJOJO-FORTPORTAL'!E30,'02.08 KYENJOJO-FORTPORTAL'!E30,'01.08 KYENJOJO-FORTPORTAL-24h'!E30,'03.08 KYENJOJO-FORTPORTAL-24h'!E30,'04.08 KYENJOJO-FORTP'!E30)</f>
        <v>1.8571428571428572</v>
      </c>
      <c r="F30" s="49">
        <f>AVERAGE('29.07 KYENJOJO-FORTPORTAL'!F30,'30.07 KYENJOJO-FORTPORTAL'!F30,'31.07 KYENJOJO-FORTPORTAL'!F30,'02.08 KYENJOJO-FORTPORTAL'!F30,'01.08 KYENJOJO-FORTPORTAL-24h'!F30,'03.08 KYENJOJO-FORTPORTAL-24h'!F30,'04.08 KYENJOJO-FORTP'!F30)</f>
        <v>1.7142857142857142</v>
      </c>
      <c r="G30" s="49">
        <f>AVERAGE('29.07 KYENJOJO-FORTPORTAL'!G30,'30.07 KYENJOJO-FORTPORTAL'!G30,'31.07 KYENJOJO-FORTPORTAL'!G30,'02.08 KYENJOJO-FORTPORTAL'!G30,'01.08 KYENJOJO-FORTPORTAL-24h'!G30,'03.08 KYENJOJO-FORTPORTAL-24h'!G30,'04.08 KYENJOJO-FORTP'!G30)</f>
        <v>0.14285714285714285</v>
      </c>
      <c r="H30" s="49">
        <f>AVERAGE('29.07 KYENJOJO-FORTPORTAL'!H30,'30.07 KYENJOJO-FORTPORTAL'!H30,'31.07 KYENJOJO-FORTPORTAL'!H30,'02.08 KYENJOJO-FORTPORTAL'!H30,'01.08 KYENJOJO-FORTPORTAL-24h'!H30,'03.08 KYENJOJO-FORTPORTAL-24h'!H30,'04.08 KYENJOJO-FORTP'!H30)</f>
        <v>1</v>
      </c>
      <c r="I30" s="49">
        <f>AVERAGE('29.07 KYENJOJO-FORTPORTAL'!I30,'30.07 KYENJOJO-FORTPORTAL'!I30,'31.07 KYENJOJO-FORTPORTAL'!I30,'02.08 KYENJOJO-FORTPORTAL'!I30,'01.08 KYENJOJO-FORTPORTAL-24h'!I30,'03.08 KYENJOJO-FORTPORTAL-24h'!I30,'04.08 KYENJOJO-FORTP'!I30)</f>
        <v>0.7142857142857143</v>
      </c>
      <c r="J30" s="49">
        <f>AVERAGE('29.07 KYENJOJO-FORTPORTAL'!J30,'30.07 KYENJOJO-FORTPORTAL'!J30,'31.07 KYENJOJO-FORTPORTAL'!J30,'02.08 KYENJOJO-FORTPORTAL'!J30,'01.08 KYENJOJO-FORTPORTAL-24h'!J30,'03.08 KYENJOJO-FORTPORTAL-24h'!J30,'04.08 KYENJOJO-FORTP'!J30)</f>
        <v>0</v>
      </c>
      <c r="K30" s="49">
        <f>AVERAGE('29.07 KYENJOJO-FORTPORTAL'!K30,'30.07 KYENJOJO-FORTPORTAL'!K30,'31.07 KYENJOJO-FORTPORTAL'!K30,'02.08 KYENJOJO-FORTPORTAL'!K30,'01.08 KYENJOJO-FORTPORTAL-24h'!K30,'03.08 KYENJOJO-FORTPORTAL-24h'!K30,'04.08 KYENJOJO-FORTP'!K30)</f>
        <v>0</v>
      </c>
      <c r="L30" s="49">
        <f>AVERAGE('29.07 KYENJOJO-FORTPORTAL'!L30,'30.07 KYENJOJO-FORTPORTAL'!L30,'31.07 KYENJOJO-FORTPORTAL'!L30,'02.08 KYENJOJO-FORTPORTAL'!L30,'01.08 KYENJOJO-FORTPORTAL-24h'!L30,'03.08 KYENJOJO-FORTPORTAL-24h'!L30,'04.08 KYENJOJO-FORTP'!L30)</f>
        <v>0.5714285714285714</v>
      </c>
      <c r="M30" s="49">
        <f>AVERAGE('29.07 KYENJOJO-FORTPORTAL'!M30,'30.07 KYENJOJO-FORTPORTAL'!M30,'31.07 KYENJOJO-FORTPORTAL'!M30,'02.08 KYENJOJO-FORTPORTAL'!M30,'01.08 KYENJOJO-FORTPORTAL-24h'!M30,'03.08 KYENJOJO-FORTPORTAL-24h'!M30,'04.08 KYENJOJO-FORTP'!M30)</f>
        <v>1.5714285714285714</v>
      </c>
      <c r="N30" s="49">
        <f>AVERAGE('29.07 KYENJOJO-FORTPORTAL'!N30,'30.07 KYENJOJO-FORTPORTAL'!N30,'31.07 KYENJOJO-FORTPORTAL'!N30,'02.08 KYENJOJO-FORTPORTAL'!N30,'01.08 KYENJOJO-FORTPORTAL-24h'!N30,'03.08 KYENJOJO-FORTPORTAL-24h'!N30,'04.08 KYENJOJO-FORTP'!N30)</f>
        <v>0</v>
      </c>
      <c r="O30" s="15">
        <f t="shared" si="0"/>
        <v>6.4285714285714288</v>
      </c>
      <c r="P30" s="15">
        <f t="shared" si="1"/>
        <v>8</v>
      </c>
      <c r="R30" s="1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0.5</v>
      </c>
      <c r="V30" s="34">
        <f t="shared" si="22"/>
        <v>0</v>
      </c>
      <c r="W30" s="34">
        <f t="shared" si="22"/>
        <v>0</v>
      </c>
      <c r="X30" s="34">
        <f t="shared" si="22"/>
        <v>0.5</v>
      </c>
      <c r="Y30" s="34">
        <f t="shared" si="22"/>
        <v>4.5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6.5</v>
      </c>
      <c r="AF30" s="31">
        <f t="shared" si="22"/>
        <v>6.5</v>
      </c>
    </row>
    <row r="31" spans="2:32" ht="23.1" customHeight="1" x14ac:dyDescent="0.25">
      <c r="B31" s="24" t="s">
        <v>58</v>
      </c>
      <c r="C31" s="49">
        <f>AVERAGE('29.07 KYENJOJO-FORTPORTAL'!C31,'30.07 KYENJOJO-FORTPORTAL'!C31,'31.07 KYENJOJO-FORTPORTAL'!C31,'02.08 KYENJOJO-FORTPORTAL'!C31,'01.08 KYENJOJO-FORTPORTAL-24h'!C31,'03.08 KYENJOJO-FORTPORTAL-24h'!C31,'04.08 KYENJOJO-FORTP'!C31)</f>
        <v>1.5714285714285714</v>
      </c>
      <c r="D31" s="49">
        <f>AVERAGE('29.07 KYENJOJO-FORTPORTAL'!D31,'30.07 KYENJOJO-FORTPORTAL'!D31,'31.07 KYENJOJO-FORTPORTAL'!D31,'02.08 KYENJOJO-FORTPORTAL'!D31,'01.08 KYENJOJO-FORTPORTAL-24h'!D31,'03.08 KYENJOJO-FORTPORTAL-24h'!D31,'04.08 KYENJOJO-FORTP'!D31)</f>
        <v>0</v>
      </c>
      <c r="E31" s="49">
        <f>AVERAGE('29.07 KYENJOJO-FORTPORTAL'!E31,'30.07 KYENJOJO-FORTPORTAL'!E31,'31.07 KYENJOJO-FORTPORTAL'!E31,'02.08 KYENJOJO-FORTPORTAL'!E31,'01.08 KYENJOJO-FORTPORTAL-24h'!E31,'03.08 KYENJOJO-FORTPORTAL-24h'!E31,'04.08 KYENJOJO-FORTP'!E31)</f>
        <v>1.7142857142857142</v>
      </c>
      <c r="F31" s="49">
        <f>AVERAGE('29.07 KYENJOJO-FORTPORTAL'!F31,'30.07 KYENJOJO-FORTPORTAL'!F31,'31.07 KYENJOJO-FORTPORTAL'!F31,'02.08 KYENJOJO-FORTPORTAL'!F31,'01.08 KYENJOJO-FORTPORTAL-24h'!F31,'03.08 KYENJOJO-FORTPORTAL-24h'!F31,'04.08 KYENJOJO-FORTP'!F31)</f>
        <v>2.4285714285714284</v>
      </c>
      <c r="G31" s="49">
        <f>AVERAGE('29.07 KYENJOJO-FORTPORTAL'!G31,'30.07 KYENJOJO-FORTPORTAL'!G31,'31.07 KYENJOJO-FORTPORTAL'!G31,'02.08 KYENJOJO-FORTPORTAL'!G31,'01.08 KYENJOJO-FORTPORTAL-24h'!G31,'03.08 KYENJOJO-FORTPORTAL-24h'!G31,'04.08 KYENJOJO-FORTP'!G31)</f>
        <v>0</v>
      </c>
      <c r="H31" s="49">
        <f>AVERAGE('29.07 KYENJOJO-FORTPORTAL'!H31,'30.07 KYENJOJO-FORTPORTAL'!H31,'31.07 KYENJOJO-FORTPORTAL'!H31,'02.08 KYENJOJO-FORTPORTAL'!H31,'01.08 KYENJOJO-FORTPORTAL-24h'!H31,'03.08 KYENJOJO-FORTPORTAL-24h'!H31,'04.08 KYENJOJO-FORTP'!H31)</f>
        <v>0.42857142857142855</v>
      </c>
      <c r="I31" s="49">
        <f>AVERAGE('29.07 KYENJOJO-FORTPORTAL'!I31,'30.07 KYENJOJO-FORTPORTAL'!I31,'31.07 KYENJOJO-FORTPORTAL'!I31,'02.08 KYENJOJO-FORTPORTAL'!I31,'01.08 KYENJOJO-FORTPORTAL-24h'!I31,'03.08 KYENJOJO-FORTPORTAL-24h'!I31,'04.08 KYENJOJO-FORTP'!I31)</f>
        <v>0.5714285714285714</v>
      </c>
      <c r="J31" s="49">
        <f>AVERAGE('29.07 KYENJOJO-FORTPORTAL'!J31,'30.07 KYENJOJO-FORTPORTAL'!J31,'31.07 KYENJOJO-FORTPORTAL'!J31,'02.08 KYENJOJO-FORTPORTAL'!J31,'01.08 KYENJOJO-FORTPORTAL-24h'!J31,'03.08 KYENJOJO-FORTPORTAL-24h'!J31,'04.08 KYENJOJO-FORTP'!J31)</f>
        <v>0.42857142857142855</v>
      </c>
      <c r="K31" s="49">
        <f>AVERAGE('29.07 KYENJOJO-FORTPORTAL'!K31,'30.07 KYENJOJO-FORTPORTAL'!K31,'31.07 KYENJOJO-FORTPORTAL'!K31,'02.08 KYENJOJO-FORTPORTAL'!K31,'01.08 KYENJOJO-FORTPORTAL-24h'!K31,'03.08 KYENJOJO-FORTPORTAL-24h'!K31,'04.08 KYENJOJO-FORTP'!K31)</f>
        <v>0</v>
      </c>
      <c r="L31" s="49">
        <f>AVERAGE('29.07 KYENJOJO-FORTPORTAL'!L31,'30.07 KYENJOJO-FORTPORTAL'!L31,'31.07 KYENJOJO-FORTPORTAL'!L31,'02.08 KYENJOJO-FORTPORTAL'!L31,'01.08 KYENJOJO-FORTPORTAL-24h'!L31,'03.08 KYENJOJO-FORTPORTAL-24h'!L31,'04.08 KYENJOJO-FORTP'!L31)</f>
        <v>0.2857142857142857</v>
      </c>
      <c r="M31" s="49">
        <f>AVERAGE('29.07 KYENJOJO-FORTPORTAL'!M31,'30.07 KYENJOJO-FORTPORTAL'!M31,'31.07 KYENJOJO-FORTPORTAL'!M31,'02.08 KYENJOJO-FORTPORTAL'!M31,'01.08 KYENJOJO-FORTPORTAL-24h'!M31,'03.08 KYENJOJO-FORTPORTAL-24h'!M31,'04.08 KYENJOJO-FORTP'!M31)</f>
        <v>1.5714285714285714</v>
      </c>
      <c r="N31" s="49">
        <f>AVERAGE('29.07 KYENJOJO-FORTPORTAL'!N31,'30.07 KYENJOJO-FORTPORTAL'!N31,'31.07 KYENJOJO-FORTPORTAL'!N31,'02.08 KYENJOJO-FORTPORTAL'!N31,'01.08 KYENJOJO-FORTPORTAL-24h'!N31,'03.08 KYENJOJO-FORTPORTAL-24h'!N31,'04.08 KYENJOJO-FORTP'!N31)</f>
        <v>0</v>
      </c>
      <c r="O31" s="15">
        <f t="shared" si="0"/>
        <v>7.4285714285714279</v>
      </c>
      <c r="P31" s="15">
        <f t="shared" si="1"/>
        <v>9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0.5</v>
      </c>
      <c r="W31" s="34">
        <f t="shared" si="23"/>
        <v>0.5</v>
      </c>
      <c r="X31" s="34">
        <f t="shared" si="23"/>
        <v>0</v>
      </c>
      <c r="Y31" s="34">
        <f t="shared" si="23"/>
        <v>1.5</v>
      </c>
      <c r="Z31" s="34">
        <f t="shared" si="23"/>
        <v>0</v>
      </c>
      <c r="AA31" s="34">
        <f t="shared" si="23"/>
        <v>0</v>
      </c>
      <c r="AB31" s="34">
        <f t="shared" si="23"/>
        <v>1.5</v>
      </c>
      <c r="AC31" s="34">
        <f t="shared" si="23"/>
        <v>0</v>
      </c>
      <c r="AD31" s="34">
        <f t="shared" si="23"/>
        <v>0</v>
      </c>
      <c r="AE31" s="31">
        <f t="shared" si="23"/>
        <v>4</v>
      </c>
      <c r="AF31" s="31">
        <f t="shared" si="23"/>
        <v>4</v>
      </c>
    </row>
    <row r="32" spans="2:32" ht="23.1" customHeight="1" x14ac:dyDescent="0.25">
      <c r="B32" s="24" t="s">
        <v>59</v>
      </c>
      <c r="C32" s="49">
        <f>AVERAGE('29.07 KYENJOJO-FORTPORTAL'!C32,'30.07 KYENJOJO-FORTPORTAL'!C32,'31.07 KYENJOJO-FORTPORTAL'!C32,'02.08 KYENJOJO-FORTPORTAL'!C32,'01.08 KYENJOJO-FORTPORTAL-24h'!C32,'03.08 KYENJOJO-FORTPORTAL-24h'!C32,'04.08 KYENJOJO-FORTP'!C32)</f>
        <v>1.4285714285714286</v>
      </c>
      <c r="D32" s="49">
        <f>AVERAGE('29.07 KYENJOJO-FORTPORTAL'!D32,'30.07 KYENJOJO-FORTPORTAL'!D32,'31.07 KYENJOJO-FORTPORTAL'!D32,'02.08 KYENJOJO-FORTPORTAL'!D32,'01.08 KYENJOJO-FORTPORTAL-24h'!D32,'03.08 KYENJOJO-FORTPORTAL-24h'!D32,'04.08 KYENJOJO-FORTP'!D32)</f>
        <v>0</v>
      </c>
      <c r="E32" s="49">
        <f>AVERAGE('29.07 KYENJOJO-FORTPORTAL'!E32,'30.07 KYENJOJO-FORTPORTAL'!E32,'31.07 KYENJOJO-FORTPORTAL'!E32,'02.08 KYENJOJO-FORTPORTAL'!E32,'01.08 KYENJOJO-FORTPORTAL-24h'!E32,'03.08 KYENJOJO-FORTPORTAL-24h'!E32,'04.08 KYENJOJO-FORTP'!E32)</f>
        <v>1.4285714285714286</v>
      </c>
      <c r="F32" s="49">
        <f>AVERAGE('29.07 KYENJOJO-FORTPORTAL'!F32,'30.07 KYENJOJO-FORTPORTAL'!F32,'31.07 KYENJOJO-FORTPORTAL'!F32,'02.08 KYENJOJO-FORTPORTAL'!F32,'01.08 KYENJOJO-FORTPORTAL-24h'!F32,'03.08 KYENJOJO-FORTPORTAL-24h'!F32,'04.08 KYENJOJO-FORTP'!F32)</f>
        <v>2.4285714285714284</v>
      </c>
      <c r="G32" s="49">
        <f>AVERAGE('29.07 KYENJOJO-FORTPORTAL'!G32,'30.07 KYENJOJO-FORTPORTAL'!G32,'31.07 KYENJOJO-FORTPORTAL'!G32,'02.08 KYENJOJO-FORTPORTAL'!G32,'01.08 KYENJOJO-FORTPORTAL-24h'!G32,'03.08 KYENJOJO-FORTPORTAL-24h'!G32,'04.08 KYENJOJO-FORTP'!G32)</f>
        <v>0</v>
      </c>
      <c r="H32" s="49">
        <f>AVERAGE('29.07 KYENJOJO-FORTPORTAL'!H32,'30.07 KYENJOJO-FORTPORTAL'!H32,'31.07 KYENJOJO-FORTPORTAL'!H32,'02.08 KYENJOJO-FORTPORTAL'!H32,'01.08 KYENJOJO-FORTPORTAL-24h'!H32,'03.08 KYENJOJO-FORTPORTAL-24h'!H32,'04.08 KYENJOJO-FORTP'!H32)</f>
        <v>0.8571428571428571</v>
      </c>
      <c r="I32" s="49">
        <f>AVERAGE('29.07 KYENJOJO-FORTPORTAL'!I32,'30.07 KYENJOJO-FORTPORTAL'!I32,'31.07 KYENJOJO-FORTPORTAL'!I32,'02.08 KYENJOJO-FORTPORTAL'!I32,'01.08 KYENJOJO-FORTPORTAL-24h'!I32,'03.08 KYENJOJO-FORTPORTAL-24h'!I32,'04.08 KYENJOJO-FORTP'!I32)</f>
        <v>1.1428571428571428</v>
      </c>
      <c r="J32" s="49">
        <f>AVERAGE('29.07 KYENJOJO-FORTPORTAL'!J32,'30.07 KYENJOJO-FORTPORTAL'!J32,'31.07 KYENJOJO-FORTPORTAL'!J32,'02.08 KYENJOJO-FORTPORTAL'!J32,'01.08 KYENJOJO-FORTPORTAL-24h'!J32,'03.08 KYENJOJO-FORTPORTAL-24h'!J32,'04.08 KYENJOJO-FORTP'!J32)</f>
        <v>0.14285714285714285</v>
      </c>
      <c r="K32" s="49">
        <f>AVERAGE('29.07 KYENJOJO-FORTPORTAL'!K32,'30.07 KYENJOJO-FORTPORTAL'!K32,'31.07 KYENJOJO-FORTPORTAL'!K32,'02.08 KYENJOJO-FORTPORTAL'!K32,'01.08 KYENJOJO-FORTPORTAL-24h'!K32,'03.08 KYENJOJO-FORTPORTAL-24h'!K32,'04.08 KYENJOJO-FORTP'!K32)</f>
        <v>0</v>
      </c>
      <c r="L32" s="49">
        <f>AVERAGE('29.07 KYENJOJO-FORTPORTAL'!L32,'30.07 KYENJOJO-FORTPORTAL'!L32,'31.07 KYENJOJO-FORTPORTAL'!L32,'02.08 KYENJOJO-FORTPORTAL'!L32,'01.08 KYENJOJO-FORTPORTAL-24h'!L32,'03.08 KYENJOJO-FORTPORTAL-24h'!L32,'04.08 KYENJOJO-FORTP'!L32)</f>
        <v>1</v>
      </c>
      <c r="M32" s="49">
        <f>AVERAGE('29.07 KYENJOJO-FORTPORTAL'!M32,'30.07 KYENJOJO-FORTPORTAL'!M32,'31.07 KYENJOJO-FORTPORTAL'!M32,'02.08 KYENJOJO-FORTPORTAL'!M32,'01.08 KYENJOJO-FORTPORTAL-24h'!M32,'03.08 KYENJOJO-FORTPORTAL-24h'!M32,'04.08 KYENJOJO-FORTP'!M32)</f>
        <v>1.4285714285714286</v>
      </c>
      <c r="N32" s="49">
        <f>AVERAGE('29.07 KYENJOJO-FORTPORTAL'!N32,'30.07 KYENJOJO-FORTPORTAL'!N32,'31.07 KYENJOJO-FORTPORTAL'!N32,'02.08 KYENJOJO-FORTPORTAL'!N32,'01.08 KYENJOJO-FORTPORTAL-24h'!N32,'03.08 KYENJOJO-FORTPORTAL-24h'!N32,'04.08 KYENJOJO-FORTP'!N32)</f>
        <v>0</v>
      </c>
      <c r="O32" s="15">
        <f t="shared" si="0"/>
        <v>8.428571428571427</v>
      </c>
      <c r="P32" s="15">
        <f t="shared" si="1"/>
        <v>9.8571428571428559</v>
      </c>
      <c r="R32" s="1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0.5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4.5</v>
      </c>
      <c r="Z32" s="34">
        <f t="shared" si="24"/>
        <v>0</v>
      </c>
      <c r="AA32" s="34">
        <f t="shared" si="24"/>
        <v>0</v>
      </c>
      <c r="AB32" s="34">
        <f t="shared" si="24"/>
        <v>0.5</v>
      </c>
      <c r="AC32" s="34">
        <f t="shared" si="24"/>
        <v>0</v>
      </c>
      <c r="AD32" s="34">
        <f t="shared" si="24"/>
        <v>0</v>
      </c>
      <c r="AE32" s="31">
        <f t="shared" si="24"/>
        <v>6.5</v>
      </c>
      <c r="AF32" s="31">
        <f t="shared" si="24"/>
        <v>6.5</v>
      </c>
    </row>
    <row r="33" spans="2:32" ht="23.1" customHeight="1" x14ac:dyDescent="0.25">
      <c r="B33" s="23" t="s">
        <v>60</v>
      </c>
      <c r="C33" s="49">
        <f>AVERAGE('29.07 KYENJOJO-FORTPORTAL'!C33,'30.07 KYENJOJO-FORTPORTAL'!C33,'31.07 KYENJOJO-FORTPORTAL'!C33,'02.08 KYENJOJO-FORTPORTAL'!C33,'01.08 KYENJOJO-FORTPORTAL-24h'!C33,'03.08 KYENJOJO-FORTPORTAL-24h'!C33,'04.08 KYENJOJO-FORTP'!C33)</f>
        <v>1.1428571428571428</v>
      </c>
      <c r="D33" s="49">
        <f>AVERAGE('29.07 KYENJOJO-FORTPORTAL'!D33,'30.07 KYENJOJO-FORTPORTAL'!D33,'31.07 KYENJOJO-FORTPORTAL'!D33,'02.08 KYENJOJO-FORTPORTAL'!D33,'01.08 KYENJOJO-FORTPORTAL-24h'!D33,'03.08 KYENJOJO-FORTPORTAL-24h'!D33,'04.08 KYENJOJO-FORTP'!D33)</f>
        <v>0</v>
      </c>
      <c r="E33" s="49">
        <f>AVERAGE('29.07 KYENJOJO-FORTPORTAL'!E33,'30.07 KYENJOJO-FORTPORTAL'!E33,'31.07 KYENJOJO-FORTPORTAL'!E33,'02.08 KYENJOJO-FORTPORTAL'!E33,'01.08 KYENJOJO-FORTPORTAL-24h'!E33,'03.08 KYENJOJO-FORTPORTAL-24h'!E33,'04.08 KYENJOJO-FORTP'!E33)</f>
        <v>2.2857142857142856</v>
      </c>
      <c r="F33" s="49">
        <f>AVERAGE('29.07 KYENJOJO-FORTPORTAL'!F33,'30.07 KYENJOJO-FORTPORTAL'!F33,'31.07 KYENJOJO-FORTPORTAL'!F33,'02.08 KYENJOJO-FORTPORTAL'!F33,'01.08 KYENJOJO-FORTPORTAL-24h'!F33,'03.08 KYENJOJO-FORTPORTAL-24h'!F33,'04.08 KYENJOJO-FORTP'!F33)</f>
        <v>2</v>
      </c>
      <c r="G33" s="49">
        <f>AVERAGE('29.07 KYENJOJO-FORTPORTAL'!G33,'30.07 KYENJOJO-FORTPORTAL'!G33,'31.07 KYENJOJO-FORTPORTAL'!G33,'02.08 KYENJOJO-FORTPORTAL'!G33,'01.08 KYENJOJO-FORTPORTAL-24h'!G33,'03.08 KYENJOJO-FORTPORTAL-24h'!G33,'04.08 KYENJOJO-FORTP'!G33)</f>
        <v>0.2857142857142857</v>
      </c>
      <c r="H33" s="49">
        <f>AVERAGE('29.07 KYENJOJO-FORTPORTAL'!H33,'30.07 KYENJOJO-FORTPORTAL'!H33,'31.07 KYENJOJO-FORTPORTAL'!H33,'02.08 KYENJOJO-FORTPORTAL'!H33,'01.08 KYENJOJO-FORTPORTAL-24h'!H33,'03.08 KYENJOJO-FORTPORTAL-24h'!H33,'04.08 KYENJOJO-FORTP'!H33)</f>
        <v>0.7142857142857143</v>
      </c>
      <c r="I33" s="49">
        <f>AVERAGE('29.07 KYENJOJO-FORTPORTAL'!I33,'30.07 KYENJOJO-FORTPORTAL'!I33,'31.07 KYENJOJO-FORTPORTAL'!I33,'02.08 KYENJOJO-FORTPORTAL'!I33,'01.08 KYENJOJO-FORTPORTAL-24h'!I33,'03.08 KYENJOJO-FORTPORTAL-24h'!I33,'04.08 KYENJOJO-FORTP'!I33)</f>
        <v>0.8571428571428571</v>
      </c>
      <c r="J33" s="49">
        <f>AVERAGE('29.07 KYENJOJO-FORTPORTAL'!J33,'30.07 KYENJOJO-FORTPORTAL'!J33,'31.07 KYENJOJO-FORTPORTAL'!J33,'02.08 KYENJOJO-FORTPORTAL'!J33,'01.08 KYENJOJO-FORTPORTAL-24h'!J33,'03.08 KYENJOJO-FORTPORTAL-24h'!J33,'04.08 KYENJOJO-FORTP'!J33)</f>
        <v>0.14285714285714285</v>
      </c>
      <c r="K33" s="49">
        <f>AVERAGE('29.07 KYENJOJO-FORTPORTAL'!K33,'30.07 KYENJOJO-FORTPORTAL'!K33,'31.07 KYENJOJO-FORTPORTAL'!K33,'02.08 KYENJOJO-FORTPORTAL'!K33,'01.08 KYENJOJO-FORTPORTAL-24h'!K33,'03.08 KYENJOJO-FORTPORTAL-24h'!K33,'04.08 KYENJOJO-FORTP'!K33)</f>
        <v>0</v>
      </c>
      <c r="L33" s="49">
        <f>AVERAGE('29.07 KYENJOJO-FORTPORTAL'!L33,'30.07 KYENJOJO-FORTPORTAL'!L33,'31.07 KYENJOJO-FORTPORTAL'!L33,'02.08 KYENJOJO-FORTPORTAL'!L33,'01.08 KYENJOJO-FORTPORTAL-24h'!L33,'03.08 KYENJOJO-FORTPORTAL-24h'!L33,'04.08 KYENJOJO-FORTP'!L33)</f>
        <v>0.2857142857142857</v>
      </c>
      <c r="M33" s="49">
        <f>AVERAGE('29.07 KYENJOJO-FORTPORTAL'!M33,'30.07 KYENJOJO-FORTPORTAL'!M33,'31.07 KYENJOJO-FORTPORTAL'!M33,'02.08 KYENJOJO-FORTPORTAL'!M33,'01.08 KYENJOJO-FORTPORTAL-24h'!M33,'03.08 KYENJOJO-FORTPORTAL-24h'!M33,'04.08 KYENJOJO-FORTP'!M33)</f>
        <v>1.2857142857142858</v>
      </c>
      <c r="N33" s="49">
        <f>AVERAGE('29.07 KYENJOJO-FORTPORTAL'!N33,'30.07 KYENJOJO-FORTPORTAL'!N33,'31.07 KYENJOJO-FORTPORTAL'!N33,'02.08 KYENJOJO-FORTPORTAL'!N33,'01.08 KYENJOJO-FORTPORTAL-24h'!N33,'03.08 KYENJOJO-FORTPORTAL-24h'!N33,'04.08 KYENJOJO-FORTP'!N33)</f>
        <v>0</v>
      </c>
      <c r="O33" s="15">
        <f t="shared" si="0"/>
        <v>7.7142857142857144</v>
      </c>
      <c r="P33" s="15">
        <f t="shared" si="1"/>
        <v>9</v>
      </c>
      <c r="R33" s="1" t="s">
        <v>157</v>
      </c>
      <c r="S33" s="34">
        <f>SUM(C102:C105)</f>
        <v>1.5</v>
      </c>
      <c r="T33" s="34">
        <f t="shared" ref="T33:AF33" si="25">SUM(D102:D105)</f>
        <v>0</v>
      </c>
      <c r="U33" s="34">
        <f t="shared" si="25"/>
        <v>2</v>
      </c>
      <c r="V33" s="34">
        <f t="shared" si="25"/>
        <v>2</v>
      </c>
      <c r="W33" s="34">
        <f t="shared" si="25"/>
        <v>0</v>
      </c>
      <c r="X33" s="34">
        <f t="shared" si="25"/>
        <v>0</v>
      </c>
      <c r="Y33" s="34">
        <f t="shared" si="25"/>
        <v>3.5</v>
      </c>
      <c r="Z33" s="34">
        <f t="shared" si="25"/>
        <v>1</v>
      </c>
      <c r="AA33" s="34">
        <f t="shared" si="25"/>
        <v>0</v>
      </c>
      <c r="AB33" s="34">
        <f t="shared" si="25"/>
        <v>1</v>
      </c>
      <c r="AC33" s="34">
        <f t="shared" si="25"/>
        <v>1.5</v>
      </c>
      <c r="AD33" s="34">
        <f t="shared" si="25"/>
        <v>0</v>
      </c>
      <c r="AE33" s="31">
        <f t="shared" si="25"/>
        <v>11</v>
      </c>
      <c r="AF33" s="31">
        <f t="shared" si="25"/>
        <v>12.5</v>
      </c>
    </row>
    <row r="34" spans="2:32" ht="23.1" customHeight="1" x14ac:dyDescent="0.25">
      <c r="B34" s="24" t="s">
        <v>61</v>
      </c>
      <c r="C34" s="49">
        <f>AVERAGE('29.07 KYENJOJO-FORTPORTAL'!C34,'30.07 KYENJOJO-FORTPORTAL'!C34,'31.07 KYENJOJO-FORTPORTAL'!C34,'02.08 KYENJOJO-FORTPORTAL'!C34,'01.08 KYENJOJO-FORTPORTAL-24h'!C34,'03.08 KYENJOJO-FORTPORTAL-24h'!C34,'04.08 KYENJOJO-FORTP'!C34)</f>
        <v>1.7142857142857142</v>
      </c>
      <c r="D34" s="49">
        <f>AVERAGE('29.07 KYENJOJO-FORTPORTAL'!D34,'30.07 KYENJOJO-FORTPORTAL'!D34,'31.07 KYENJOJO-FORTPORTAL'!D34,'02.08 KYENJOJO-FORTPORTAL'!D34,'01.08 KYENJOJO-FORTPORTAL-24h'!D34,'03.08 KYENJOJO-FORTPORTAL-24h'!D34,'04.08 KYENJOJO-FORTP'!D34)</f>
        <v>0</v>
      </c>
      <c r="E34" s="49">
        <f>AVERAGE('29.07 KYENJOJO-FORTPORTAL'!E34,'30.07 KYENJOJO-FORTPORTAL'!E34,'31.07 KYENJOJO-FORTPORTAL'!E34,'02.08 KYENJOJO-FORTPORTAL'!E34,'01.08 KYENJOJO-FORTPORTAL-24h'!E34,'03.08 KYENJOJO-FORTPORTAL-24h'!E34,'04.08 KYENJOJO-FORTP'!E34)</f>
        <v>2.1428571428571428</v>
      </c>
      <c r="F34" s="49">
        <f>AVERAGE('29.07 KYENJOJO-FORTPORTAL'!F34,'30.07 KYENJOJO-FORTPORTAL'!F34,'31.07 KYENJOJO-FORTPORTAL'!F34,'02.08 KYENJOJO-FORTPORTAL'!F34,'01.08 KYENJOJO-FORTPORTAL-24h'!F34,'03.08 KYENJOJO-FORTPORTAL-24h'!F34,'04.08 KYENJOJO-FORTP'!F34)</f>
        <v>2.5714285714285716</v>
      </c>
      <c r="G34" s="49">
        <f>AVERAGE('29.07 KYENJOJO-FORTPORTAL'!G34,'30.07 KYENJOJO-FORTPORTAL'!G34,'31.07 KYENJOJO-FORTPORTAL'!G34,'02.08 KYENJOJO-FORTPORTAL'!G34,'01.08 KYENJOJO-FORTPORTAL-24h'!G34,'03.08 KYENJOJO-FORTPORTAL-24h'!G34,'04.08 KYENJOJO-FORTP'!G34)</f>
        <v>0</v>
      </c>
      <c r="H34" s="49">
        <f>AVERAGE('29.07 KYENJOJO-FORTPORTAL'!H34,'30.07 KYENJOJO-FORTPORTAL'!H34,'31.07 KYENJOJO-FORTPORTAL'!H34,'02.08 KYENJOJO-FORTPORTAL'!H34,'01.08 KYENJOJO-FORTPORTAL-24h'!H34,'03.08 KYENJOJO-FORTPORTAL-24h'!H34,'04.08 KYENJOJO-FORTP'!H34)</f>
        <v>0.2857142857142857</v>
      </c>
      <c r="I34" s="49">
        <f>AVERAGE('29.07 KYENJOJO-FORTPORTAL'!I34,'30.07 KYENJOJO-FORTPORTAL'!I34,'31.07 KYENJOJO-FORTPORTAL'!I34,'02.08 KYENJOJO-FORTPORTAL'!I34,'01.08 KYENJOJO-FORTPORTAL-24h'!I34,'03.08 KYENJOJO-FORTPORTAL-24h'!I34,'04.08 KYENJOJO-FORTP'!I34)</f>
        <v>0.7142857142857143</v>
      </c>
      <c r="J34" s="49">
        <f>AVERAGE('29.07 KYENJOJO-FORTPORTAL'!J34,'30.07 KYENJOJO-FORTPORTAL'!J34,'31.07 KYENJOJO-FORTPORTAL'!J34,'02.08 KYENJOJO-FORTPORTAL'!J34,'01.08 KYENJOJO-FORTPORTAL-24h'!J34,'03.08 KYENJOJO-FORTPORTAL-24h'!J34,'04.08 KYENJOJO-FORTP'!J34)</f>
        <v>0.42857142857142855</v>
      </c>
      <c r="K34" s="49">
        <f>AVERAGE('29.07 KYENJOJO-FORTPORTAL'!K34,'30.07 KYENJOJO-FORTPORTAL'!K34,'31.07 KYENJOJO-FORTPORTAL'!K34,'02.08 KYENJOJO-FORTPORTAL'!K34,'01.08 KYENJOJO-FORTPORTAL-24h'!K34,'03.08 KYENJOJO-FORTPORTAL-24h'!K34,'04.08 KYENJOJO-FORTP'!K34)</f>
        <v>0</v>
      </c>
      <c r="L34" s="49">
        <f>AVERAGE('29.07 KYENJOJO-FORTPORTAL'!L34,'30.07 KYENJOJO-FORTPORTAL'!L34,'31.07 KYENJOJO-FORTPORTAL'!L34,'02.08 KYENJOJO-FORTPORTAL'!L34,'01.08 KYENJOJO-FORTPORTAL-24h'!L34,'03.08 KYENJOJO-FORTPORTAL-24h'!L34,'04.08 KYENJOJO-FORTP'!L34)</f>
        <v>0.8571428571428571</v>
      </c>
      <c r="M34" s="49">
        <f>AVERAGE('29.07 KYENJOJO-FORTPORTAL'!M34,'30.07 KYENJOJO-FORTPORTAL'!M34,'31.07 KYENJOJO-FORTPORTAL'!M34,'02.08 KYENJOJO-FORTPORTAL'!M34,'01.08 KYENJOJO-FORTPORTAL-24h'!M34,'03.08 KYENJOJO-FORTPORTAL-24h'!M34,'04.08 KYENJOJO-FORTP'!M34)</f>
        <v>1.1428571428571428</v>
      </c>
      <c r="N34" s="49">
        <f>AVERAGE('29.07 KYENJOJO-FORTPORTAL'!N34,'30.07 KYENJOJO-FORTPORTAL'!N34,'31.07 KYENJOJO-FORTPORTAL'!N34,'02.08 KYENJOJO-FORTPORTAL'!N34,'01.08 KYENJOJO-FORTPORTAL-24h'!N34,'03.08 KYENJOJO-FORTPORTAL-24h'!N34,'04.08 KYENJOJO-FORTP'!N34)</f>
        <v>0</v>
      </c>
      <c r="O34" s="15">
        <f t="shared" si="0"/>
        <v>8.7142857142857153</v>
      </c>
      <c r="P34" s="15">
        <f t="shared" si="1"/>
        <v>9.8571428571428577</v>
      </c>
      <c r="R34" s="38" t="s">
        <v>90</v>
      </c>
      <c r="S34" s="39">
        <f t="shared" ref="S34:AF34" si="26">MAX(S10:S12)</f>
        <v>5.2857142857142856</v>
      </c>
      <c r="T34" s="39">
        <f t="shared" si="26"/>
        <v>0</v>
      </c>
      <c r="U34" s="39">
        <f t="shared" si="26"/>
        <v>7.7142857142857135</v>
      </c>
      <c r="V34" s="39">
        <f t="shared" si="26"/>
        <v>7.2857142857142865</v>
      </c>
      <c r="W34" s="39">
        <f t="shared" si="26"/>
        <v>0.42857142857142855</v>
      </c>
      <c r="X34" s="39">
        <f t="shared" si="26"/>
        <v>1.4285714285714284</v>
      </c>
      <c r="Y34" s="39">
        <f t="shared" si="26"/>
        <v>3.2857142857142856</v>
      </c>
      <c r="Z34" s="39">
        <f t="shared" si="26"/>
        <v>0.85714285714285698</v>
      </c>
      <c r="AA34" s="39">
        <f t="shared" si="26"/>
        <v>0.85714285714285698</v>
      </c>
      <c r="AB34" s="39">
        <f t="shared" si="26"/>
        <v>3.8571428571428577</v>
      </c>
      <c r="AC34" s="39">
        <f t="shared" si="26"/>
        <v>4.7142857142857135</v>
      </c>
      <c r="AD34" s="39">
        <f t="shared" si="26"/>
        <v>0</v>
      </c>
      <c r="AE34" s="40">
        <f t="shared" si="26"/>
        <v>26.714285714285715</v>
      </c>
      <c r="AF34" s="40">
        <f t="shared" si="26"/>
        <v>31.428571428571431</v>
      </c>
    </row>
    <row r="35" spans="2:32" ht="23.1" customHeight="1" x14ac:dyDescent="0.25">
      <c r="B35" s="24" t="s">
        <v>62</v>
      </c>
      <c r="C35" s="49">
        <f>AVERAGE('29.07 KYENJOJO-FORTPORTAL'!C35,'30.07 KYENJOJO-FORTPORTAL'!C35,'31.07 KYENJOJO-FORTPORTAL'!C35,'02.08 KYENJOJO-FORTPORTAL'!C35,'01.08 KYENJOJO-FORTPORTAL-24h'!C35,'03.08 KYENJOJO-FORTPORTAL-24h'!C35,'04.08 KYENJOJO-FORTP'!C35)</f>
        <v>0.5714285714285714</v>
      </c>
      <c r="D35" s="49">
        <f>AVERAGE('29.07 KYENJOJO-FORTPORTAL'!D35,'30.07 KYENJOJO-FORTPORTAL'!D35,'31.07 KYENJOJO-FORTPORTAL'!D35,'02.08 KYENJOJO-FORTPORTAL'!D35,'01.08 KYENJOJO-FORTPORTAL-24h'!D35,'03.08 KYENJOJO-FORTPORTAL-24h'!D35,'04.08 KYENJOJO-FORTP'!D35)</f>
        <v>0</v>
      </c>
      <c r="E35" s="49">
        <f>AVERAGE('29.07 KYENJOJO-FORTPORTAL'!E35,'30.07 KYENJOJO-FORTPORTAL'!E35,'31.07 KYENJOJO-FORTPORTAL'!E35,'02.08 KYENJOJO-FORTPORTAL'!E35,'01.08 KYENJOJO-FORTPORTAL-24h'!E35,'03.08 KYENJOJO-FORTPORTAL-24h'!E35,'04.08 KYENJOJO-FORTP'!E35)</f>
        <v>2</v>
      </c>
      <c r="F35" s="49">
        <f>AVERAGE('29.07 KYENJOJO-FORTPORTAL'!F35,'30.07 KYENJOJO-FORTPORTAL'!F35,'31.07 KYENJOJO-FORTPORTAL'!F35,'02.08 KYENJOJO-FORTPORTAL'!F35,'01.08 KYENJOJO-FORTPORTAL-24h'!F35,'03.08 KYENJOJO-FORTPORTAL-24h'!F35,'04.08 KYENJOJO-FORTP'!F35)</f>
        <v>2.7142857142857144</v>
      </c>
      <c r="G35" s="49">
        <f>AVERAGE('29.07 KYENJOJO-FORTPORTAL'!G35,'30.07 KYENJOJO-FORTPORTAL'!G35,'31.07 KYENJOJO-FORTPORTAL'!G35,'02.08 KYENJOJO-FORTPORTAL'!G35,'01.08 KYENJOJO-FORTPORTAL-24h'!G35,'03.08 KYENJOJO-FORTPORTAL-24h'!G35,'04.08 KYENJOJO-FORTP'!G35)</f>
        <v>0</v>
      </c>
      <c r="H35" s="49">
        <f>AVERAGE('29.07 KYENJOJO-FORTPORTAL'!H35,'30.07 KYENJOJO-FORTPORTAL'!H35,'31.07 KYENJOJO-FORTPORTAL'!H35,'02.08 KYENJOJO-FORTPORTAL'!H35,'01.08 KYENJOJO-FORTPORTAL-24h'!H35,'03.08 KYENJOJO-FORTPORTAL-24h'!H35,'04.08 KYENJOJO-FORTP'!H35)</f>
        <v>0.2857142857142857</v>
      </c>
      <c r="I35" s="49">
        <f>AVERAGE('29.07 KYENJOJO-FORTPORTAL'!I35,'30.07 KYENJOJO-FORTPORTAL'!I35,'31.07 KYENJOJO-FORTPORTAL'!I35,'02.08 KYENJOJO-FORTPORTAL'!I35,'01.08 KYENJOJO-FORTPORTAL-24h'!I35,'03.08 KYENJOJO-FORTPORTAL-24h'!I35,'04.08 KYENJOJO-FORTP'!I35)</f>
        <v>0.5714285714285714</v>
      </c>
      <c r="J35" s="49">
        <f>AVERAGE('29.07 KYENJOJO-FORTPORTAL'!J35,'30.07 KYENJOJO-FORTPORTAL'!J35,'31.07 KYENJOJO-FORTPORTAL'!J35,'02.08 KYENJOJO-FORTPORTAL'!J35,'01.08 KYENJOJO-FORTPORTAL-24h'!J35,'03.08 KYENJOJO-FORTPORTAL-24h'!J35,'04.08 KYENJOJO-FORTP'!J35)</f>
        <v>0.14285714285714285</v>
      </c>
      <c r="K35" s="49">
        <f>AVERAGE('29.07 KYENJOJO-FORTPORTAL'!K35,'30.07 KYENJOJO-FORTPORTAL'!K35,'31.07 KYENJOJO-FORTPORTAL'!K35,'02.08 KYENJOJO-FORTPORTAL'!K35,'01.08 KYENJOJO-FORTPORTAL-24h'!K35,'03.08 KYENJOJO-FORTPORTAL-24h'!K35,'04.08 KYENJOJO-FORTP'!K35)</f>
        <v>0</v>
      </c>
      <c r="L35" s="49">
        <f>AVERAGE('29.07 KYENJOJO-FORTPORTAL'!L35,'30.07 KYENJOJO-FORTPORTAL'!L35,'31.07 KYENJOJO-FORTPORTAL'!L35,'02.08 KYENJOJO-FORTPORTAL'!L35,'01.08 KYENJOJO-FORTPORTAL-24h'!L35,'03.08 KYENJOJO-FORTPORTAL-24h'!L35,'04.08 KYENJOJO-FORTP'!L35)</f>
        <v>0.7142857142857143</v>
      </c>
      <c r="M35" s="49">
        <f>AVERAGE('29.07 KYENJOJO-FORTPORTAL'!M35,'30.07 KYENJOJO-FORTPORTAL'!M35,'31.07 KYENJOJO-FORTPORTAL'!M35,'02.08 KYENJOJO-FORTPORTAL'!M35,'01.08 KYENJOJO-FORTPORTAL-24h'!M35,'03.08 KYENJOJO-FORTPORTAL-24h'!M35,'04.08 KYENJOJO-FORTP'!M35)</f>
        <v>0.8571428571428571</v>
      </c>
      <c r="N35" s="49">
        <f>AVERAGE('29.07 KYENJOJO-FORTPORTAL'!N35,'30.07 KYENJOJO-FORTPORTAL'!N35,'31.07 KYENJOJO-FORTPORTAL'!N35,'02.08 KYENJOJO-FORTPORTAL'!N35,'01.08 KYENJOJO-FORTPORTAL-24h'!N35,'03.08 KYENJOJO-FORTPORTAL-24h'!N35,'04.08 KYENJOJO-FORTP'!N35)</f>
        <v>0</v>
      </c>
      <c r="O35" s="15">
        <f t="shared" si="0"/>
        <v>7</v>
      </c>
      <c r="P35" s="15">
        <f t="shared" si="1"/>
        <v>7.8571428571428568</v>
      </c>
      <c r="R35" s="38" t="s">
        <v>91</v>
      </c>
      <c r="S35" s="39">
        <f t="shared" ref="S35:AF35" si="27">MAX(S13:S18)</f>
        <v>6.5714285714285712</v>
      </c>
      <c r="T35" s="39">
        <f t="shared" si="27"/>
        <v>0</v>
      </c>
      <c r="U35" s="39">
        <f t="shared" si="27"/>
        <v>11.571428571428571</v>
      </c>
      <c r="V35" s="39">
        <f t="shared" si="27"/>
        <v>9.571428571428573</v>
      </c>
      <c r="W35" s="39">
        <f t="shared" si="27"/>
        <v>0.42857142857142855</v>
      </c>
      <c r="X35" s="39">
        <f t="shared" si="27"/>
        <v>3</v>
      </c>
      <c r="Y35" s="39">
        <f t="shared" si="27"/>
        <v>3.7142857142857144</v>
      </c>
      <c r="Z35" s="39">
        <f t="shared" si="27"/>
        <v>0.71428571428571419</v>
      </c>
      <c r="AA35" s="39">
        <f t="shared" si="27"/>
        <v>0.2857142857142857</v>
      </c>
      <c r="AB35" s="39">
        <f t="shared" si="27"/>
        <v>3.2857142857142856</v>
      </c>
      <c r="AC35" s="39">
        <f t="shared" si="27"/>
        <v>6</v>
      </c>
      <c r="AD35" s="39">
        <f t="shared" si="27"/>
        <v>0</v>
      </c>
      <c r="AE35" s="40">
        <f t="shared" si="27"/>
        <v>34.285714285714285</v>
      </c>
      <c r="AF35" s="40">
        <f t="shared" si="27"/>
        <v>40.285714285714285</v>
      </c>
    </row>
    <row r="36" spans="2:32" ht="23.1" customHeight="1" x14ac:dyDescent="0.25">
      <c r="B36" s="24" t="s">
        <v>63</v>
      </c>
      <c r="C36" s="49">
        <f>AVERAGE('29.07 KYENJOJO-FORTPORTAL'!C36,'30.07 KYENJOJO-FORTPORTAL'!C36,'31.07 KYENJOJO-FORTPORTAL'!C36,'02.08 KYENJOJO-FORTPORTAL'!C36,'01.08 KYENJOJO-FORTPORTAL-24h'!C36,'03.08 KYENJOJO-FORTPORTAL-24h'!C36,'04.08 KYENJOJO-FORTP'!C36)</f>
        <v>1.2857142857142858</v>
      </c>
      <c r="D36" s="49">
        <f>AVERAGE('29.07 KYENJOJO-FORTPORTAL'!D36,'30.07 KYENJOJO-FORTPORTAL'!D36,'31.07 KYENJOJO-FORTPORTAL'!D36,'02.08 KYENJOJO-FORTPORTAL'!D36,'01.08 KYENJOJO-FORTPORTAL-24h'!D36,'03.08 KYENJOJO-FORTPORTAL-24h'!D36,'04.08 KYENJOJO-FORTP'!D36)</f>
        <v>0</v>
      </c>
      <c r="E36" s="49">
        <f>AVERAGE('29.07 KYENJOJO-FORTPORTAL'!E36,'30.07 KYENJOJO-FORTPORTAL'!E36,'31.07 KYENJOJO-FORTPORTAL'!E36,'02.08 KYENJOJO-FORTPORTAL'!E36,'01.08 KYENJOJO-FORTPORTAL-24h'!E36,'03.08 KYENJOJO-FORTPORTAL-24h'!E36,'04.08 KYENJOJO-FORTP'!E36)</f>
        <v>2.1428571428571428</v>
      </c>
      <c r="F36" s="49">
        <f>AVERAGE('29.07 KYENJOJO-FORTPORTAL'!F36,'30.07 KYENJOJO-FORTPORTAL'!F36,'31.07 KYENJOJO-FORTPORTAL'!F36,'02.08 KYENJOJO-FORTPORTAL'!F36,'01.08 KYENJOJO-FORTPORTAL-24h'!F36,'03.08 KYENJOJO-FORTPORTAL-24h'!F36,'04.08 KYENJOJO-FORTP'!F36)</f>
        <v>2.2857142857142856</v>
      </c>
      <c r="G36" s="49">
        <f>AVERAGE('29.07 KYENJOJO-FORTPORTAL'!G36,'30.07 KYENJOJO-FORTPORTAL'!G36,'31.07 KYENJOJO-FORTPORTAL'!G36,'02.08 KYENJOJO-FORTPORTAL'!G36,'01.08 KYENJOJO-FORTPORTAL-24h'!G36,'03.08 KYENJOJO-FORTPORTAL-24h'!G36,'04.08 KYENJOJO-FORTP'!G36)</f>
        <v>0</v>
      </c>
      <c r="H36" s="49">
        <f>AVERAGE('29.07 KYENJOJO-FORTPORTAL'!H36,'30.07 KYENJOJO-FORTPORTAL'!H36,'31.07 KYENJOJO-FORTPORTAL'!H36,'02.08 KYENJOJO-FORTPORTAL'!H36,'01.08 KYENJOJO-FORTPORTAL-24h'!H36,'03.08 KYENJOJO-FORTPORTAL-24h'!H36,'04.08 KYENJOJO-FORTP'!H36)</f>
        <v>0</v>
      </c>
      <c r="I36" s="49">
        <f>AVERAGE('29.07 KYENJOJO-FORTPORTAL'!I36,'30.07 KYENJOJO-FORTPORTAL'!I36,'31.07 KYENJOJO-FORTPORTAL'!I36,'02.08 KYENJOJO-FORTPORTAL'!I36,'01.08 KYENJOJO-FORTPORTAL-24h'!I36,'03.08 KYENJOJO-FORTPORTAL-24h'!I36,'04.08 KYENJOJO-FORTP'!I36)</f>
        <v>1.1428571428571428</v>
      </c>
      <c r="J36" s="49">
        <f>AVERAGE('29.07 KYENJOJO-FORTPORTAL'!J36,'30.07 KYENJOJO-FORTPORTAL'!J36,'31.07 KYENJOJO-FORTPORTAL'!J36,'02.08 KYENJOJO-FORTPORTAL'!J36,'01.08 KYENJOJO-FORTPORTAL-24h'!J36,'03.08 KYENJOJO-FORTPORTAL-24h'!J36,'04.08 KYENJOJO-FORTP'!J36)</f>
        <v>0.14285714285714285</v>
      </c>
      <c r="K36" s="49">
        <f>AVERAGE('29.07 KYENJOJO-FORTPORTAL'!K36,'30.07 KYENJOJO-FORTPORTAL'!K36,'31.07 KYENJOJO-FORTPORTAL'!K36,'02.08 KYENJOJO-FORTPORTAL'!K36,'01.08 KYENJOJO-FORTPORTAL-24h'!K36,'03.08 KYENJOJO-FORTPORTAL-24h'!K36,'04.08 KYENJOJO-FORTP'!K36)</f>
        <v>0</v>
      </c>
      <c r="L36" s="49">
        <f>AVERAGE('29.07 KYENJOJO-FORTPORTAL'!L36,'30.07 KYENJOJO-FORTPORTAL'!L36,'31.07 KYENJOJO-FORTPORTAL'!L36,'02.08 KYENJOJO-FORTPORTAL'!L36,'01.08 KYENJOJO-FORTPORTAL-24h'!L36,'03.08 KYENJOJO-FORTPORTAL-24h'!L36,'04.08 KYENJOJO-FORTP'!L36)</f>
        <v>0.14285714285714285</v>
      </c>
      <c r="M36" s="49">
        <f>AVERAGE('29.07 KYENJOJO-FORTPORTAL'!M36,'30.07 KYENJOJO-FORTPORTAL'!M36,'31.07 KYENJOJO-FORTPORTAL'!M36,'02.08 KYENJOJO-FORTPORTAL'!M36,'01.08 KYENJOJO-FORTPORTAL-24h'!M36,'03.08 KYENJOJO-FORTPORTAL-24h'!M36,'04.08 KYENJOJO-FORTP'!M36)</f>
        <v>1.1428571428571428</v>
      </c>
      <c r="N36" s="49">
        <f>AVERAGE('29.07 KYENJOJO-FORTPORTAL'!N36,'30.07 KYENJOJO-FORTPORTAL'!N36,'31.07 KYENJOJO-FORTPORTAL'!N36,'02.08 KYENJOJO-FORTPORTAL'!N36,'01.08 KYENJOJO-FORTPORTAL-24h'!N36,'03.08 KYENJOJO-FORTPORTAL-24h'!N36,'04.08 KYENJOJO-FORTP'!N36)</f>
        <v>0</v>
      </c>
      <c r="O36" s="15">
        <f t="shared" si="0"/>
        <v>7.1428571428571441</v>
      </c>
      <c r="P36" s="15">
        <f t="shared" si="1"/>
        <v>8.2857142857142865</v>
      </c>
      <c r="R36" s="38" t="s">
        <v>92</v>
      </c>
      <c r="S36" s="39">
        <f t="shared" ref="S36:AF36" si="28">MAX(S19:S21)</f>
        <v>8</v>
      </c>
      <c r="T36" s="39">
        <f t="shared" si="28"/>
        <v>0</v>
      </c>
      <c r="U36" s="39">
        <f t="shared" si="28"/>
        <v>15.857142857142858</v>
      </c>
      <c r="V36" s="39">
        <f t="shared" si="28"/>
        <v>9.8571428571428577</v>
      </c>
      <c r="W36" s="39">
        <f t="shared" si="28"/>
        <v>1.1428571428571428</v>
      </c>
      <c r="X36" s="39">
        <f t="shared" si="28"/>
        <v>2.2857142857142856</v>
      </c>
      <c r="Y36" s="39">
        <f t="shared" si="28"/>
        <v>6.1428571428571423</v>
      </c>
      <c r="Z36" s="39">
        <f t="shared" si="28"/>
        <v>2</v>
      </c>
      <c r="AA36" s="39">
        <f t="shared" si="28"/>
        <v>0.42857142857142855</v>
      </c>
      <c r="AB36" s="39">
        <f t="shared" si="28"/>
        <v>4.2857142857142856</v>
      </c>
      <c r="AC36" s="39">
        <f t="shared" si="28"/>
        <v>5.5714285714285712</v>
      </c>
      <c r="AD36" s="39">
        <f t="shared" si="28"/>
        <v>0</v>
      </c>
      <c r="AE36" s="40">
        <f t="shared" si="28"/>
        <v>44</v>
      </c>
      <c r="AF36" s="40">
        <f t="shared" si="28"/>
        <v>49.571428571428569</v>
      </c>
    </row>
    <row r="37" spans="2:32" ht="23.1" customHeight="1" x14ac:dyDescent="0.25">
      <c r="B37" s="23" t="s">
        <v>64</v>
      </c>
      <c r="C37" s="49">
        <f>AVERAGE('29.07 KYENJOJO-FORTPORTAL'!C37,'30.07 KYENJOJO-FORTPORTAL'!C37,'31.07 KYENJOJO-FORTPORTAL'!C37,'02.08 KYENJOJO-FORTPORTAL'!C37,'01.08 KYENJOJO-FORTPORTAL-24h'!C37,'03.08 KYENJOJO-FORTPORTAL-24h'!C37,'04.08 KYENJOJO-FORTP'!C37)</f>
        <v>1.1428571428571428</v>
      </c>
      <c r="D37" s="49">
        <f>AVERAGE('29.07 KYENJOJO-FORTPORTAL'!D37,'30.07 KYENJOJO-FORTPORTAL'!D37,'31.07 KYENJOJO-FORTPORTAL'!D37,'02.08 KYENJOJO-FORTPORTAL'!D37,'01.08 KYENJOJO-FORTPORTAL-24h'!D37,'03.08 KYENJOJO-FORTPORTAL-24h'!D37,'04.08 KYENJOJO-FORTP'!D37)</f>
        <v>0</v>
      </c>
      <c r="E37" s="49">
        <f>AVERAGE('29.07 KYENJOJO-FORTPORTAL'!E37,'30.07 KYENJOJO-FORTPORTAL'!E37,'31.07 KYENJOJO-FORTPORTAL'!E37,'02.08 KYENJOJO-FORTPORTAL'!E37,'01.08 KYENJOJO-FORTPORTAL-24h'!E37,'03.08 KYENJOJO-FORTPORTAL-24h'!E37,'04.08 KYENJOJO-FORTP'!E37)</f>
        <v>1.4285714285714286</v>
      </c>
      <c r="F37" s="49">
        <f>AVERAGE('29.07 KYENJOJO-FORTPORTAL'!F37,'30.07 KYENJOJO-FORTPORTAL'!F37,'31.07 KYENJOJO-FORTPORTAL'!F37,'02.08 KYENJOJO-FORTPORTAL'!F37,'01.08 KYENJOJO-FORTPORTAL-24h'!F37,'03.08 KYENJOJO-FORTPORTAL-24h'!F37,'04.08 KYENJOJO-FORTP'!F37)</f>
        <v>2</v>
      </c>
      <c r="G37" s="49">
        <f>AVERAGE('29.07 KYENJOJO-FORTPORTAL'!G37,'30.07 KYENJOJO-FORTPORTAL'!G37,'31.07 KYENJOJO-FORTPORTAL'!G37,'02.08 KYENJOJO-FORTPORTAL'!G37,'01.08 KYENJOJO-FORTPORTAL-24h'!G37,'03.08 KYENJOJO-FORTPORTAL-24h'!G37,'04.08 KYENJOJO-FORTP'!G37)</f>
        <v>0</v>
      </c>
      <c r="H37" s="49">
        <f>AVERAGE('29.07 KYENJOJO-FORTPORTAL'!H37,'30.07 KYENJOJO-FORTPORTAL'!H37,'31.07 KYENJOJO-FORTPORTAL'!H37,'02.08 KYENJOJO-FORTPORTAL'!H37,'01.08 KYENJOJO-FORTPORTAL-24h'!H37,'03.08 KYENJOJO-FORTPORTAL-24h'!H37,'04.08 KYENJOJO-FORTP'!H37)</f>
        <v>0.7142857142857143</v>
      </c>
      <c r="I37" s="49">
        <f>AVERAGE('29.07 KYENJOJO-FORTPORTAL'!I37,'30.07 KYENJOJO-FORTPORTAL'!I37,'31.07 KYENJOJO-FORTPORTAL'!I37,'02.08 KYENJOJO-FORTPORTAL'!I37,'01.08 KYENJOJO-FORTPORTAL-24h'!I37,'03.08 KYENJOJO-FORTPORTAL-24h'!I37,'04.08 KYENJOJO-FORTP'!I37)</f>
        <v>0.14285714285714285</v>
      </c>
      <c r="J37" s="49">
        <f>AVERAGE('29.07 KYENJOJO-FORTPORTAL'!J37,'30.07 KYENJOJO-FORTPORTAL'!J37,'31.07 KYENJOJO-FORTPORTAL'!J37,'02.08 KYENJOJO-FORTPORTAL'!J37,'01.08 KYENJOJO-FORTPORTAL-24h'!J37,'03.08 KYENJOJO-FORTPORTAL-24h'!J37,'04.08 KYENJOJO-FORTP'!J37)</f>
        <v>0</v>
      </c>
      <c r="K37" s="49">
        <f>AVERAGE('29.07 KYENJOJO-FORTPORTAL'!K37,'30.07 KYENJOJO-FORTPORTAL'!K37,'31.07 KYENJOJO-FORTPORTAL'!K37,'02.08 KYENJOJO-FORTPORTAL'!K37,'01.08 KYENJOJO-FORTPORTAL-24h'!K37,'03.08 KYENJOJO-FORTPORTAL-24h'!K37,'04.08 KYENJOJO-FORTP'!K37)</f>
        <v>0.14285714285714285</v>
      </c>
      <c r="L37" s="49">
        <f>AVERAGE('29.07 KYENJOJO-FORTPORTAL'!L37,'30.07 KYENJOJO-FORTPORTAL'!L37,'31.07 KYENJOJO-FORTPORTAL'!L37,'02.08 KYENJOJO-FORTPORTAL'!L37,'01.08 KYENJOJO-FORTPORTAL-24h'!L37,'03.08 KYENJOJO-FORTPORTAL-24h'!L37,'04.08 KYENJOJO-FORTP'!L37)</f>
        <v>0.7142857142857143</v>
      </c>
      <c r="M37" s="49">
        <f>AVERAGE('29.07 KYENJOJO-FORTPORTAL'!M37,'30.07 KYENJOJO-FORTPORTAL'!M37,'31.07 KYENJOJO-FORTPORTAL'!M37,'02.08 KYENJOJO-FORTPORTAL'!M37,'01.08 KYENJOJO-FORTPORTAL-24h'!M37,'03.08 KYENJOJO-FORTPORTAL-24h'!M37,'04.08 KYENJOJO-FORTP'!M37)</f>
        <v>1.8571428571428572</v>
      </c>
      <c r="N37" s="49">
        <f>AVERAGE('29.07 KYENJOJO-FORTPORTAL'!N37,'30.07 KYENJOJO-FORTPORTAL'!N37,'31.07 KYENJOJO-FORTPORTAL'!N37,'02.08 KYENJOJO-FORTPORTAL'!N37,'01.08 KYENJOJO-FORTPORTAL-24h'!N37,'03.08 KYENJOJO-FORTPORTAL-24h'!N37,'04.08 KYENJOJO-FORTP'!N37)</f>
        <v>0</v>
      </c>
      <c r="O37" s="15">
        <f t="shared" si="0"/>
        <v>6.2857142857142865</v>
      </c>
      <c r="P37" s="15">
        <f t="shared" si="1"/>
        <v>8.1428571428571441</v>
      </c>
      <c r="R37" s="37" t="s">
        <v>85</v>
      </c>
      <c r="S37" s="35">
        <f t="shared" ref="S37:AF37" si="29">SUM(S10:S12)</f>
        <v>13.714285714285715</v>
      </c>
      <c r="T37" s="16">
        <f t="shared" si="29"/>
        <v>0</v>
      </c>
      <c r="U37" s="16">
        <f t="shared" si="29"/>
        <v>19.142857142857142</v>
      </c>
      <c r="V37" s="16">
        <f t="shared" si="29"/>
        <v>19.857142857142858</v>
      </c>
      <c r="W37" s="16">
        <f t="shared" si="29"/>
        <v>0.5714285714285714</v>
      </c>
      <c r="X37" s="16">
        <f t="shared" si="29"/>
        <v>2.1428571428571423</v>
      </c>
      <c r="Y37" s="16">
        <f t="shared" si="29"/>
        <v>7.1428571428571423</v>
      </c>
      <c r="Z37" s="16">
        <f t="shared" si="29"/>
        <v>0.99999999999999978</v>
      </c>
      <c r="AA37" s="16">
        <f t="shared" si="29"/>
        <v>1.2857142857142856</v>
      </c>
      <c r="AB37" s="16">
        <f t="shared" si="29"/>
        <v>9.4285714285714288</v>
      </c>
      <c r="AC37" s="16">
        <f t="shared" si="29"/>
        <v>13.571428571428571</v>
      </c>
      <c r="AD37" s="16">
        <f t="shared" si="29"/>
        <v>0</v>
      </c>
      <c r="AE37" s="32">
        <f t="shared" si="29"/>
        <v>74.285714285714292</v>
      </c>
      <c r="AF37" s="32">
        <f t="shared" si="29"/>
        <v>87.857142857142861</v>
      </c>
    </row>
    <row r="38" spans="2:32" ht="23.1" customHeight="1" x14ac:dyDescent="0.25">
      <c r="B38" s="24" t="s">
        <v>65</v>
      </c>
      <c r="C38" s="49">
        <f>AVERAGE('29.07 KYENJOJO-FORTPORTAL'!C38,'30.07 KYENJOJO-FORTPORTAL'!C38,'31.07 KYENJOJO-FORTPORTAL'!C38,'02.08 KYENJOJO-FORTPORTAL'!C38,'01.08 KYENJOJO-FORTPORTAL-24h'!C38,'03.08 KYENJOJO-FORTPORTAL-24h'!C38,'04.08 KYENJOJO-FORTP'!C38)</f>
        <v>2.1428571428571428</v>
      </c>
      <c r="D38" s="49">
        <f>AVERAGE('29.07 KYENJOJO-FORTPORTAL'!D38,'30.07 KYENJOJO-FORTPORTAL'!D38,'31.07 KYENJOJO-FORTPORTAL'!D38,'02.08 KYENJOJO-FORTPORTAL'!D38,'01.08 KYENJOJO-FORTPORTAL-24h'!D38,'03.08 KYENJOJO-FORTPORTAL-24h'!D38,'04.08 KYENJOJO-FORTP'!D38)</f>
        <v>0</v>
      </c>
      <c r="E38" s="49">
        <f>AVERAGE('29.07 KYENJOJO-FORTPORTAL'!E38,'30.07 KYENJOJO-FORTPORTAL'!E38,'31.07 KYENJOJO-FORTPORTAL'!E38,'02.08 KYENJOJO-FORTPORTAL'!E38,'01.08 KYENJOJO-FORTPORTAL-24h'!E38,'03.08 KYENJOJO-FORTPORTAL-24h'!E38,'04.08 KYENJOJO-FORTP'!E38)</f>
        <v>2</v>
      </c>
      <c r="F38" s="49">
        <f>AVERAGE('29.07 KYENJOJO-FORTPORTAL'!F38,'30.07 KYENJOJO-FORTPORTAL'!F38,'31.07 KYENJOJO-FORTPORTAL'!F38,'02.08 KYENJOJO-FORTPORTAL'!F38,'01.08 KYENJOJO-FORTPORTAL-24h'!F38,'03.08 KYENJOJO-FORTPORTAL-24h'!F38,'04.08 KYENJOJO-FORTP'!F38)</f>
        <v>2.2857142857142856</v>
      </c>
      <c r="G38" s="49">
        <f>AVERAGE('29.07 KYENJOJO-FORTPORTAL'!G38,'30.07 KYENJOJO-FORTPORTAL'!G38,'31.07 KYENJOJO-FORTPORTAL'!G38,'02.08 KYENJOJO-FORTPORTAL'!G38,'01.08 KYENJOJO-FORTPORTAL-24h'!G38,'03.08 KYENJOJO-FORTPORTAL-24h'!G38,'04.08 KYENJOJO-FORTP'!G38)</f>
        <v>0</v>
      </c>
      <c r="H38" s="49">
        <f>AVERAGE('29.07 KYENJOJO-FORTPORTAL'!H38,'30.07 KYENJOJO-FORTPORTAL'!H38,'31.07 KYENJOJO-FORTPORTAL'!H38,'02.08 KYENJOJO-FORTPORTAL'!H38,'01.08 KYENJOJO-FORTPORTAL-24h'!H38,'03.08 KYENJOJO-FORTPORTAL-24h'!H38,'04.08 KYENJOJO-FORTP'!H38)</f>
        <v>0.5714285714285714</v>
      </c>
      <c r="I38" s="49">
        <f>AVERAGE('29.07 KYENJOJO-FORTPORTAL'!I38,'30.07 KYENJOJO-FORTPORTAL'!I38,'31.07 KYENJOJO-FORTPORTAL'!I38,'02.08 KYENJOJO-FORTPORTAL'!I38,'01.08 KYENJOJO-FORTPORTAL-24h'!I38,'03.08 KYENJOJO-FORTPORTAL-24h'!I38,'04.08 KYENJOJO-FORTP'!I38)</f>
        <v>0.5714285714285714</v>
      </c>
      <c r="J38" s="49">
        <f>AVERAGE('29.07 KYENJOJO-FORTPORTAL'!J38,'30.07 KYENJOJO-FORTPORTAL'!J38,'31.07 KYENJOJO-FORTPORTAL'!J38,'02.08 KYENJOJO-FORTPORTAL'!J38,'01.08 KYENJOJO-FORTPORTAL-24h'!J38,'03.08 KYENJOJO-FORTPORTAL-24h'!J38,'04.08 KYENJOJO-FORTP'!J38)</f>
        <v>0.14285714285714285</v>
      </c>
      <c r="K38" s="49">
        <f>AVERAGE('29.07 KYENJOJO-FORTPORTAL'!K38,'30.07 KYENJOJO-FORTPORTAL'!K38,'31.07 KYENJOJO-FORTPORTAL'!K38,'02.08 KYENJOJO-FORTPORTAL'!K38,'01.08 KYENJOJO-FORTPORTAL-24h'!K38,'03.08 KYENJOJO-FORTPORTAL-24h'!K38,'04.08 KYENJOJO-FORTP'!K38)</f>
        <v>0</v>
      </c>
      <c r="L38" s="49">
        <f>AVERAGE('29.07 KYENJOJO-FORTPORTAL'!L38,'30.07 KYENJOJO-FORTPORTAL'!L38,'31.07 KYENJOJO-FORTPORTAL'!L38,'02.08 KYENJOJO-FORTPORTAL'!L38,'01.08 KYENJOJO-FORTPORTAL-24h'!L38,'03.08 KYENJOJO-FORTPORTAL-24h'!L38,'04.08 KYENJOJO-FORTP'!L38)</f>
        <v>0.7142857142857143</v>
      </c>
      <c r="M38" s="49">
        <f>AVERAGE('29.07 KYENJOJO-FORTPORTAL'!M38,'30.07 KYENJOJO-FORTPORTAL'!M38,'31.07 KYENJOJO-FORTPORTAL'!M38,'02.08 KYENJOJO-FORTPORTAL'!M38,'01.08 KYENJOJO-FORTPORTAL-24h'!M38,'03.08 KYENJOJO-FORTPORTAL-24h'!M38,'04.08 KYENJOJO-FORTP'!M38)</f>
        <v>1.7142857142857142</v>
      </c>
      <c r="N38" s="49">
        <f>AVERAGE('29.07 KYENJOJO-FORTPORTAL'!N38,'30.07 KYENJOJO-FORTPORTAL'!N38,'31.07 KYENJOJO-FORTPORTAL'!N38,'02.08 KYENJOJO-FORTPORTAL'!N38,'01.08 KYENJOJO-FORTPORTAL-24h'!N38,'03.08 KYENJOJO-FORTPORTAL-24h'!N38,'04.08 KYENJOJO-FORTP'!N38)</f>
        <v>0</v>
      </c>
      <c r="O38" s="15">
        <f t="shared" si="0"/>
        <v>8.428571428571427</v>
      </c>
      <c r="P38" s="15">
        <f t="shared" si="1"/>
        <v>10.142857142857141</v>
      </c>
      <c r="R38" s="28" t="s">
        <v>86</v>
      </c>
      <c r="S38" s="16">
        <f t="shared" ref="S38:AF38" si="30">SUM(S13:S18)</f>
        <v>32</v>
      </c>
      <c r="T38" s="16">
        <f t="shared" si="30"/>
        <v>0</v>
      </c>
      <c r="U38" s="16">
        <f t="shared" si="30"/>
        <v>58.714285714285715</v>
      </c>
      <c r="V38" s="16">
        <f t="shared" si="30"/>
        <v>51.285714285714292</v>
      </c>
      <c r="W38" s="16">
        <f t="shared" si="30"/>
        <v>1</v>
      </c>
      <c r="X38" s="16">
        <f t="shared" si="30"/>
        <v>10.857142857142858</v>
      </c>
      <c r="Y38" s="16">
        <f t="shared" si="30"/>
        <v>19.428571428571427</v>
      </c>
      <c r="Z38" s="16">
        <f t="shared" si="30"/>
        <v>2.714285714285714</v>
      </c>
      <c r="AA38" s="16">
        <f t="shared" si="30"/>
        <v>0.5714285714285714</v>
      </c>
      <c r="AB38" s="16">
        <f t="shared" si="30"/>
        <v>15.142857142857142</v>
      </c>
      <c r="AC38" s="16">
        <f t="shared" si="30"/>
        <v>33</v>
      </c>
      <c r="AD38" s="16">
        <f t="shared" si="30"/>
        <v>0</v>
      </c>
      <c r="AE38" s="32">
        <f t="shared" si="30"/>
        <v>191.71428571428569</v>
      </c>
      <c r="AF38" s="32">
        <f t="shared" si="30"/>
        <v>224.71428571428569</v>
      </c>
    </row>
    <row r="39" spans="2:32" ht="23.1" customHeight="1" x14ac:dyDescent="0.25">
      <c r="B39" s="24" t="s">
        <v>66</v>
      </c>
      <c r="C39" s="49">
        <f>AVERAGE('29.07 KYENJOJO-FORTPORTAL'!C39,'30.07 KYENJOJO-FORTPORTAL'!C39,'31.07 KYENJOJO-FORTPORTAL'!C39,'02.08 KYENJOJO-FORTPORTAL'!C39,'01.08 KYENJOJO-FORTPORTAL-24h'!C39,'03.08 KYENJOJO-FORTPORTAL-24h'!C39,'04.08 KYENJOJO-FORTP'!C39)</f>
        <v>1.1428571428571428</v>
      </c>
      <c r="D39" s="49">
        <f>AVERAGE('29.07 KYENJOJO-FORTPORTAL'!D39,'30.07 KYENJOJO-FORTPORTAL'!D39,'31.07 KYENJOJO-FORTPORTAL'!D39,'02.08 KYENJOJO-FORTPORTAL'!D39,'01.08 KYENJOJO-FORTPORTAL-24h'!D39,'03.08 KYENJOJO-FORTPORTAL-24h'!D39,'04.08 KYENJOJO-FORTP'!D39)</f>
        <v>0</v>
      </c>
      <c r="E39" s="49">
        <f>AVERAGE('29.07 KYENJOJO-FORTPORTAL'!E39,'30.07 KYENJOJO-FORTPORTAL'!E39,'31.07 KYENJOJO-FORTPORTAL'!E39,'02.08 KYENJOJO-FORTPORTAL'!E39,'01.08 KYENJOJO-FORTPORTAL-24h'!E39,'03.08 KYENJOJO-FORTPORTAL-24h'!E39,'04.08 KYENJOJO-FORTP'!E39)</f>
        <v>2.5714285714285716</v>
      </c>
      <c r="F39" s="49">
        <f>AVERAGE('29.07 KYENJOJO-FORTPORTAL'!F39,'30.07 KYENJOJO-FORTPORTAL'!F39,'31.07 KYENJOJO-FORTPORTAL'!F39,'02.08 KYENJOJO-FORTPORTAL'!F39,'01.08 KYENJOJO-FORTPORTAL-24h'!F39,'03.08 KYENJOJO-FORTPORTAL-24h'!F39,'04.08 KYENJOJO-FORTP'!F39)</f>
        <v>2</v>
      </c>
      <c r="G39" s="49">
        <f>AVERAGE('29.07 KYENJOJO-FORTPORTAL'!G39,'30.07 KYENJOJO-FORTPORTAL'!G39,'31.07 KYENJOJO-FORTPORTAL'!G39,'02.08 KYENJOJO-FORTPORTAL'!G39,'01.08 KYENJOJO-FORTPORTAL-24h'!G39,'03.08 KYENJOJO-FORTPORTAL-24h'!G39,'04.08 KYENJOJO-FORTP'!G39)</f>
        <v>0</v>
      </c>
      <c r="H39" s="49">
        <f>AVERAGE('29.07 KYENJOJO-FORTPORTAL'!H39,'30.07 KYENJOJO-FORTPORTAL'!H39,'31.07 KYENJOJO-FORTPORTAL'!H39,'02.08 KYENJOJO-FORTPORTAL'!H39,'01.08 KYENJOJO-FORTPORTAL-24h'!H39,'03.08 KYENJOJO-FORTPORTAL-24h'!H39,'04.08 KYENJOJO-FORTP'!H39)</f>
        <v>0.7142857142857143</v>
      </c>
      <c r="I39" s="49">
        <f>AVERAGE('29.07 KYENJOJO-FORTPORTAL'!I39,'30.07 KYENJOJO-FORTPORTAL'!I39,'31.07 KYENJOJO-FORTPORTAL'!I39,'02.08 KYENJOJO-FORTPORTAL'!I39,'01.08 KYENJOJO-FORTPORTAL-24h'!I39,'03.08 KYENJOJO-FORTPORTAL-24h'!I39,'04.08 KYENJOJO-FORTP'!I39)</f>
        <v>0.8571428571428571</v>
      </c>
      <c r="J39" s="49">
        <f>AVERAGE('29.07 KYENJOJO-FORTPORTAL'!J39,'30.07 KYENJOJO-FORTPORTAL'!J39,'31.07 KYENJOJO-FORTPORTAL'!J39,'02.08 KYENJOJO-FORTPORTAL'!J39,'01.08 KYENJOJO-FORTPORTAL-24h'!J39,'03.08 KYENJOJO-FORTPORTAL-24h'!J39,'04.08 KYENJOJO-FORTP'!J39)</f>
        <v>0.2857142857142857</v>
      </c>
      <c r="K39" s="49">
        <f>AVERAGE('29.07 KYENJOJO-FORTPORTAL'!K39,'30.07 KYENJOJO-FORTPORTAL'!K39,'31.07 KYENJOJO-FORTPORTAL'!K39,'02.08 KYENJOJO-FORTPORTAL'!K39,'01.08 KYENJOJO-FORTPORTAL-24h'!K39,'03.08 KYENJOJO-FORTPORTAL-24h'!K39,'04.08 KYENJOJO-FORTP'!K39)</f>
        <v>0</v>
      </c>
      <c r="L39" s="49">
        <f>AVERAGE('29.07 KYENJOJO-FORTPORTAL'!L39,'30.07 KYENJOJO-FORTPORTAL'!L39,'31.07 KYENJOJO-FORTPORTAL'!L39,'02.08 KYENJOJO-FORTPORTAL'!L39,'01.08 KYENJOJO-FORTPORTAL-24h'!L39,'03.08 KYENJOJO-FORTPORTAL-24h'!L39,'04.08 KYENJOJO-FORTP'!L39)</f>
        <v>0.42857142857142855</v>
      </c>
      <c r="M39" s="49">
        <f>AVERAGE('29.07 KYENJOJO-FORTPORTAL'!M39,'30.07 KYENJOJO-FORTPORTAL'!M39,'31.07 KYENJOJO-FORTPORTAL'!M39,'02.08 KYENJOJO-FORTPORTAL'!M39,'01.08 KYENJOJO-FORTPORTAL-24h'!M39,'03.08 KYENJOJO-FORTPORTAL-24h'!M39,'04.08 KYENJOJO-FORTP'!M39)</f>
        <v>1.5714285714285714</v>
      </c>
      <c r="N39" s="49">
        <f>AVERAGE('29.07 KYENJOJO-FORTPORTAL'!N39,'30.07 KYENJOJO-FORTPORTAL'!N39,'31.07 KYENJOJO-FORTPORTAL'!N39,'02.08 KYENJOJO-FORTPORTAL'!N39,'01.08 KYENJOJO-FORTPORTAL-24h'!N39,'03.08 KYENJOJO-FORTPORTAL-24h'!N39,'04.08 KYENJOJO-FORTP'!N39)</f>
        <v>0</v>
      </c>
      <c r="O39" s="15">
        <f t="shared" si="0"/>
        <v>8</v>
      </c>
      <c r="P39" s="15">
        <f t="shared" si="1"/>
        <v>9.5714285714285712</v>
      </c>
      <c r="R39" s="29" t="s">
        <v>87</v>
      </c>
      <c r="S39" s="16">
        <f t="shared" ref="S39:AF39" si="31">SUM(S19:S21)</f>
        <v>20.142857142857146</v>
      </c>
      <c r="T39" s="16">
        <f t="shared" si="31"/>
        <v>0</v>
      </c>
      <c r="U39" s="16">
        <f t="shared" si="31"/>
        <v>39.142857142857139</v>
      </c>
      <c r="V39" s="16">
        <f t="shared" si="31"/>
        <v>26.285714285714285</v>
      </c>
      <c r="W39" s="16">
        <f t="shared" si="31"/>
        <v>1.2857142857142856</v>
      </c>
      <c r="X39" s="16">
        <f t="shared" si="31"/>
        <v>5.1428571428571423</v>
      </c>
      <c r="Y39" s="16">
        <f t="shared" si="31"/>
        <v>14</v>
      </c>
      <c r="Z39" s="16">
        <f t="shared" si="31"/>
        <v>3.5714285714285712</v>
      </c>
      <c r="AA39" s="16">
        <f t="shared" si="31"/>
        <v>0.5714285714285714</v>
      </c>
      <c r="AB39" s="16">
        <f t="shared" si="31"/>
        <v>9.4285714285714288</v>
      </c>
      <c r="AC39" s="16">
        <f t="shared" si="31"/>
        <v>15.857142857142856</v>
      </c>
      <c r="AD39" s="16">
        <f t="shared" si="31"/>
        <v>0</v>
      </c>
      <c r="AE39" s="32">
        <f t="shared" si="31"/>
        <v>119.57142857142857</v>
      </c>
      <c r="AF39" s="32">
        <f t="shared" si="31"/>
        <v>135.42857142857142</v>
      </c>
    </row>
    <row r="40" spans="2:32" ht="23.1" customHeight="1" x14ac:dyDescent="0.25">
      <c r="B40" s="24" t="s">
        <v>67</v>
      </c>
      <c r="C40" s="49">
        <f>AVERAGE('29.07 KYENJOJO-FORTPORTAL'!C40,'30.07 KYENJOJO-FORTPORTAL'!C40,'31.07 KYENJOJO-FORTPORTAL'!C40,'02.08 KYENJOJO-FORTPORTAL'!C40,'01.08 KYENJOJO-FORTPORTAL-24h'!C40,'03.08 KYENJOJO-FORTPORTAL-24h'!C40,'04.08 KYENJOJO-FORTP'!C40)</f>
        <v>1.4285714285714286</v>
      </c>
      <c r="D40" s="49">
        <f>AVERAGE('29.07 KYENJOJO-FORTPORTAL'!D40,'30.07 KYENJOJO-FORTPORTAL'!D40,'31.07 KYENJOJO-FORTPORTAL'!D40,'02.08 KYENJOJO-FORTPORTAL'!D40,'01.08 KYENJOJO-FORTPORTAL-24h'!D40,'03.08 KYENJOJO-FORTPORTAL-24h'!D40,'04.08 KYENJOJO-FORTP'!D40)</f>
        <v>0</v>
      </c>
      <c r="E40" s="49">
        <f>AVERAGE('29.07 KYENJOJO-FORTPORTAL'!E40,'30.07 KYENJOJO-FORTPORTAL'!E40,'31.07 KYENJOJO-FORTPORTAL'!E40,'02.08 KYENJOJO-FORTPORTAL'!E40,'01.08 KYENJOJO-FORTPORTAL-24h'!E40,'03.08 KYENJOJO-FORTPORTAL-24h'!E40,'04.08 KYENJOJO-FORTP'!E40)</f>
        <v>3.2857142857142856</v>
      </c>
      <c r="F40" s="49">
        <f>AVERAGE('29.07 KYENJOJO-FORTPORTAL'!F40,'30.07 KYENJOJO-FORTPORTAL'!F40,'31.07 KYENJOJO-FORTPORTAL'!F40,'02.08 KYENJOJO-FORTPORTAL'!F40,'01.08 KYENJOJO-FORTPORTAL-24h'!F40,'03.08 KYENJOJO-FORTPORTAL-24h'!F40,'04.08 KYENJOJO-FORTP'!F40)</f>
        <v>2</v>
      </c>
      <c r="G40" s="49">
        <f>AVERAGE('29.07 KYENJOJO-FORTPORTAL'!G40,'30.07 KYENJOJO-FORTPORTAL'!G40,'31.07 KYENJOJO-FORTPORTAL'!G40,'02.08 KYENJOJO-FORTPORTAL'!G40,'01.08 KYENJOJO-FORTPORTAL-24h'!G40,'03.08 KYENJOJO-FORTPORTAL-24h'!G40,'04.08 KYENJOJO-FORTP'!G40)</f>
        <v>0.14285714285714285</v>
      </c>
      <c r="H40" s="49">
        <f>AVERAGE('29.07 KYENJOJO-FORTPORTAL'!H40,'30.07 KYENJOJO-FORTPORTAL'!H40,'31.07 KYENJOJO-FORTPORTAL'!H40,'02.08 KYENJOJO-FORTPORTAL'!H40,'01.08 KYENJOJO-FORTPORTAL-24h'!H40,'03.08 KYENJOJO-FORTPORTAL-24h'!H40,'04.08 KYENJOJO-FORTP'!H40)</f>
        <v>0</v>
      </c>
      <c r="I40" s="49">
        <f>AVERAGE('29.07 KYENJOJO-FORTPORTAL'!I40,'30.07 KYENJOJO-FORTPORTAL'!I40,'31.07 KYENJOJO-FORTPORTAL'!I40,'02.08 KYENJOJO-FORTPORTAL'!I40,'01.08 KYENJOJO-FORTPORTAL-24h'!I40,'03.08 KYENJOJO-FORTPORTAL-24h'!I40,'04.08 KYENJOJO-FORTP'!I40)</f>
        <v>1</v>
      </c>
      <c r="J40" s="49">
        <f>AVERAGE('29.07 KYENJOJO-FORTPORTAL'!J40,'30.07 KYENJOJO-FORTPORTAL'!J40,'31.07 KYENJOJO-FORTPORTAL'!J40,'02.08 KYENJOJO-FORTPORTAL'!J40,'01.08 KYENJOJO-FORTPORTAL-24h'!J40,'03.08 KYENJOJO-FORTPORTAL-24h'!J40,'04.08 KYENJOJO-FORTP'!J40)</f>
        <v>0.14285714285714285</v>
      </c>
      <c r="K40" s="49">
        <f>AVERAGE('29.07 KYENJOJO-FORTPORTAL'!K40,'30.07 KYENJOJO-FORTPORTAL'!K40,'31.07 KYENJOJO-FORTPORTAL'!K40,'02.08 KYENJOJO-FORTPORTAL'!K40,'01.08 KYENJOJO-FORTPORTAL-24h'!K40,'03.08 KYENJOJO-FORTPORTAL-24h'!K40,'04.08 KYENJOJO-FORTP'!K40)</f>
        <v>0</v>
      </c>
      <c r="L40" s="49">
        <f>AVERAGE('29.07 KYENJOJO-FORTPORTAL'!L40,'30.07 KYENJOJO-FORTPORTAL'!L40,'31.07 KYENJOJO-FORTPORTAL'!L40,'02.08 KYENJOJO-FORTPORTAL'!L40,'01.08 KYENJOJO-FORTPORTAL-24h'!L40,'03.08 KYENJOJO-FORTPORTAL-24h'!L40,'04.08 KYENJOJO-FORTP'!L40)</f>
        <v>0.42857142857142855</v>
      </c>
      <c r="M40" s="49">
        <f>AVERAGE('29.07 KYENJOJO-FORTPORTAL'!M40,'30.07 KYENJOJO-FORTPORTAL'!M40,'31.07 KYENJOJO-FORTPORTAL'!M40,'02.08 KYENJOJO-FORTPORTAL'!M40,'01.08 KYENJOJO-FORTPORTAL-24h'!M40,'03.08 KYENJOJO-FORTPORTAL-24h'!M40,'04.08 KYENJOJO-FORTP'!M40)</f>
        <v>1.5714285714285714</v>
      </c>
      <c r="N40" s="49">
        <f>AVERAGE('29.07 KYENJOJO-FORTPORTAL'!N40,'30.07 KYENJOJO-FORTPORTAL'!N40,'31.07 KYENJOJO-FORTPORTAL'!N40,'02.08 KYENJOJO-FORTPORTAL'!N40,'01.08 KYENJOJO-FORTPORTAL-24h'!N40,'03.08 KYENJOJO-FORTPORTAL-24h'!N40,'04.08 KYENJOJO-FORTP'!N40)</f>
        <v>0</v>
      </c>
      <c r="O40" s="15">
        <f t="shared" si="0"/>
        <v>8.4285714285714288</v>
      </c>
      <c r="P40" s="15">
        <f t="shared" si="1"/>
        <v>10</v>
      </c>
      <c r="R40" s="5" t="s">
        <v>17</v>
      </c>
      <c r="S40" s="16">
        <f t="shared" ref="S40:AF40" si="32">SUM(S10:S21)</f>
        <v>65.857142857142861</v>
      </c>
      <c r="T40" s="16">
        <f t="shared" si="32"/>
        <v>0</v>
      </c>
      <c r="U40" s="16">
        <f t="shared" si="32"/>
        <v>117</v>
      </c>
      <c r="V40" s="16">
        <f t="shared" si="32"/>
        <v>97.428571428571416</v>
      </c>
      <c r="W40" s="16">
        <f t="shared" si="32"/>
        <v>2.8571428571428568</v>
      </c>
      <c r="X40" s="16">
        <f t="shared" si="32"/>
        <v>18.142857142857142</v>
      </c>
      <c r="Y40" s="16">
        <f t="shared" si="32"/>
        <v>40.571428571428569</v>
      </c>
      <c r="Z40" s="16">
        <f t="shared" si="32"/>
        <v>7.2857142857142847</v>
      </c>
      <c r="AA40" s="16">
        <f t="shared" si="32"/>
        <v>2.4285714285714279</v>
      </c>
      <c r="AB40" s="16">
        <f t="shared" si="32"/>
        <v>33.999999999999993</v>
      </c>
      <c r="AC40" s="16">
        <f t="shared" si="32"/>
        <v>62.428571428571416</v>
      </c>
      <c r="AD40" s="16">
        <f t="shared" si="32"/>
        <v>0</v>
      </c>
      <c r="AE40" s="32">
        <f t="shared" si="32"/>
        <v>385.57142857142856</v>
      </c>
      <c r="AF40" s="32">
        <f t="shared" si="32"/>
        <v>447.99999999999994</v>
      </c>
    </row>
    <row r="41" spans="2:32" ht="23.1" customHeight="1" x14ac:dyDescent="0.25">
      <c r="B41" s="23" t="s">
        <v>68</v>
      </c>
      <c r="C41" s="49">
        <f>AVERAGE('29.07 KYENJOJO-FORTPORTAL'!C41,'30.07 KYENJOJO-FORTPORTAL'!C41,'31.07 KYENJOJO-FORTPORTAL'!C41,'02.08 KYENJOJO-FORTPORTAL'!C41,'01.08 KYENJOJO-FORTPORTAL-24h'!C41,'03.08 KYENJOJO-FORTPORTAL-24h'!C41,'04.08 KYENJOJO-FORTP'!C41)</f>
        <v>1.8571428571428572</v>
      </c>
      <c r="D41" s="49">
        <f>AVERAGE('29.07 KYENJOJO-FORTPORTAL'!D41,'30.07 KYENJOJO-FORTPORTAL'!D41,'31.07 KYENJOJO-FORTPORTAL'!D41,'02.08 KYENJOJO-FORTPORTAL'!D41,'01.08 KYENJOJO-FORTPORTAL-24h'!D41,'03.08 KYENJOJO-FORTPORTAL-24h'!D41,'04.08 KYENJOJO-FORTP'!D41)</f>
        <v>0</v>
      </c>
      <c r="E41" s="49">
        <f>AVERAGE('29.07 KYENJOJO-FORTPORTAL'!E41,'30.07 KYENJOJO-FORTPORTAL'!E41,'31.07 KYENJOJO-FORTPORTAL'!E41,'02.08 KYENJOJO-FORTPORTAL'!E41,'01.08 KYENJOJO-FORTPORTAL-24h'!E41,'03.08 KYENJOJO-FORTPORTAL-24h'!E41,'04.08 KYENJOJO-FORTP'!E41)</f>
        <v>3.2857142857142856</v>
      </c>
      <c r="F41" s="49">
        <f>AVERAGE('29.07 KYENJOJO-FORTPORTAL'!F41,'30.07 KYENJOJO-FORTPORTAL'!F41,'31.07 KYENJOJO-FORTPORTAL'!F41,'02.08 KYENJOJO-FORTPORTAL'!F41,'01.08 KYENJOJO-FORTPORTAL-24h'!F41,'03.08 KYENJOJO-FORTPORTAL-24h'!F41,'04.08 KYENJOJO-FORTP'!F41)</f>
        <v>1.7142857142857142</v>
      </c>
      <c r="G41" s="49">
        <f>AVERAGE('29.07 KYENJOJO-FORTPORTAL'!G41,'30.07 KYENJOJO-FORTPORTAL'!G41,'31.07 KYENJOJO-FORTPORTAL'!G41,'02.08 KYENJOJO-FORTPORTAL'!G41,'01.08 KYENJOJO-FORTPORTAL-24h'!G41,'03.08 KYENJOJO-FORTPORTAL-24h'!G41,'04.08 KYENJOJO-FORTP'!G41)</f>
        <v>0.14285714285714285</v>
      </c>
      <c r="H41" s="49">
        <f>AVERAGE('29.07 KYENJOJO-FORTPORTAL'!H41,'30.07 KYENJOJO-FORTPORTAL'!H41,'31.07 KYENJOJO-FORTPORTAL'!H41,'02.08 KYENJOJO-FORTPORTAL'!H41,'01.08 KYENJOJO-FORTPORTAL-24h'!H41,'03.08 KYENJOJO-FORTPORTAL-24h'!H41,'04.08 KYENJOJO-FORTP'!H41)</f>
        <v>0.42857142857142855</v>
      </c>
      <c r="I41" s="49">
        <f>AVERAGE('29.07 KYENJOJO-FORTPORTAL'!I41,'30.07 KYENJOJO-FORTPORTAL'!I41,'31.07 KYENJOJO-FORTPORTAL'!I41,'02.08 KYENJOJO-FORTPORTAL'!I41,'01.08 KYENJOJO-FORTPORTAL-24h'!I41,'03.08 KYENJOJO-FORTPORTAL-24h'!I41,'04.08 KYENJOJO-FORTP'!I41)</f>
        <v>1.1428571428571428</v>
      </c>
      <c r="J41" s="49">
        <f>AVERAGE('29.07 KYENJOJO-FORTPORTAL'!J41,'30.07 KYENJOJO-FORTPORTAL'!J41,'31.07 KYENJOJO-FORTPORTAL'!J41,'02.08 KYENJOJO-FORTPORTAL'!J41,'01.08 KYENJOJO-FORTPORTAL-24h'!J41,'03.08 KYENJOJO-FORTPORTAL-24h'!J41,'04.08 KYENJOJO-FORTP'!J41)</f>
        <v>0</v>
      </c>
      <c r="K41" s="49">
        <f>AVERAGE('29.07 KYENJOJO-FORTPORTAL'!K41,'30.07 KYENJOJO-FORTPORTAL'!K41,'31.07 KYENJOJO-FORTPORTAL'!K41,'02.08 KYENJOJO-FORTPORTAL'!K41,'01.08 KYENJOJO-FORTPORTAL-24h'!K41,'03.08 KYENJOJO-FORTPORTAL-24h'!K41,'04.08 KYENJOJO-FORTP'!K41)</f>
        <v>0</v>
      </c>
      <c r="L41" s="49">
        <f>AVERAGE('29.07 KYENJOJO-FORTPORTAL'!L41,'30.07 KYENJOJO-FORTPORTAL'!L41,'31.07 KYENJOJO-FORTPORTAL'!L41,'02.08 KYENJOJO-FORTPORTAL'!L41,'01.08 KYENJOJO-FORTPORTAL-24h'!L41,'03.08 KYENJOJO-FORTPORTAL-24h'!L41,'04.08 KYENJOJO-FORTP'!L41)</f>
        <v>0.8571428571428571</v>
      </c>
      <c r="M41" s="49">
        <f>AVERAGE('29.07 KYENJOJO-FORTPORTAL'!M41,'30.07 KYENJOJO-FORTPORTAL'!M41,'31.07 KYENJOJO-FORTPORTAL'!M41,'02.08 KYENJOJO-FORTPORTAL'!M41,'01.08 KYENJOJO-FORTPORTAL-24h'!M41,'03.08 KYENJOJO-FORTPORTAL-24h'!M41,'04.08 KYENJOJO-FORTP'!M41)</f>
        <v>1.1428571428571428</v>
      </c>
      <c r="N41" s="49">
        <f>AVERAGE('29.07 KYENJOJO-FORTPORTAL'!N41,'30.07 KYENJOJO-FORTPORTAL'!N41,'31.07 KYENJOJO-FORTPORTAL'!N41,'02.08 KYENJOJO-FORTPORTAL'!N41,'01.08 KYENJOJO-FORTPORTAL-24h'!N41,'03.08 KYENJOJO-FORTPORTAL-24h'!N41,'04.08 KYENJOJO-FORTP'!N41)</f>
        <v>0</v>
      </c>
      <c r="O41" s="15">
        <f t="shared" si="0"/>
        <v>9.4285714285714288</v>
      </c>
      <c r="P41" s="15">
        <f t="shared" si="1"/>
        <v>10.571428571428571</v>
      </c>
      <c r="R41" s="5" t="s">
        <v>174</v>
      </c>
      <c r="S41" s="16">
        <f>SUM(S10:S33)</f>
        <v>84.357142857142861</v>
      </c>
      <c r="T41" s="16">
        <f t="shared" ref="T41:AD41" si="33">SUM(T10:T33)</f>
        <v>0</v>
      </c>
      <c r="U41" s="16">
        <f t="shared" si="33"/>
        <v>140.5</v>
      </c>
      <c r="V41" s="16">
        <f t="shared" si="33"/>
        <v>114.42857142857142</v>
      </c>
      <c r="W41" s="16">
        <f t="shared" si="33"/>
        <v>4.3571428571428568</v>
      </c>
      <c r="X41" s="16">
        <f t="shared" si="33"/>
        <v>24.642857142857142</v>
      </c>
      <c r="Y41" s="16">
        <f t="shared" si="33"/>
        <v>115.57142857142857</v>
      </c>
      <c r="Z41" s="16">
        <f t="shared" si="33"/>
        <v>10.785714285714285</v>
      </c>
      <c r="AA41" s="16">
        <f t="shared" si="33"/>
        <v>4.9285714285714279</v>
      </c>
      <c r="AB41" s="16">
        <f t="shared" si="33"/>
        <v>58.499999999999993</v>
      </c>
      <c r="AC41" s="16">
        <f t="shared" si="33"/>
        <v>76.428571428571416</v>
      </c>
      <c r="AD41" s="16">
        <f t="shared" si="33"/>
        <v>0</v>
      </c>
      <c r="AE41" s="32">
        <f>SUM(AE10:AE33)</f>
        <v>558.07142857142856</v>
      </c>
      <c r="AF41" s="32">
        <f>SUM(AF10:AF33)</f>
        <v>634.5</v>
      </c>
    </row>
    <row r="42" spans="2:32" ht="23.1" customHeight="1" x14ac:dyDescent="0.25">
      <c r="B42" s="24" t="s">
        <v>69</v>
      </c>
      <c r="C42" s="49">
        <f>AVERAGE('29.07 KYENJOJO-FORTPORTAL'!C42,'30.07 KYENJOJO-FORTPORTAL'!C42,'31.07 KYENJOJO-FORTPORTAL'!C42,'02.08 KYENJOJO-FORTPORTAL'!C42,'01.08 KYENJOJO-FORTPORTAL-24h'!C42,'03.08 KYENJOJO-FORTPORTAL-24h'!C42,'04.08 KYENJOJO-FORTP'!C42)</f>
        <v>2.1428571428571428</v>
      </c>
      <c r="D42" s="49">
        <f>AVERAGE('29.07 KYENJOJO-FORTPORTAL'!D42,'30.07 KYENJOJO-FORTPORTAL'!D42,'31.07 KYENJOJO-FORTPORTAL'!D42,'02.08 KYENJOJO-FORTPORTAL'!D42,'01.08 KYENJOJO-FORTPORTAL-24h'!D42,'03.08 KYENJOJO-FORTPORTAL-24h'!D42,'04.08 KYENJOJO-FORTP'!D42)</f>
        <v>0</v>
      </c>
      <c r="E42" s="49">
        <f>AVERAGE('29.07 KYENJOJO-FORTPORTAL'!E42,'30.07 KYENJOJO-FORTPORTAL'!E42,'31.07 KYENJOJO-FORTPORTAL'!E42,'02.08 KYENJOJO-FORTPORTAL'!E42,'01.08 KYENJOJO-FORTPORTAL-24h'!E42,'03.08 KYENJOJO-FORTPORTAL-24h'!E42,'04.08 KYENJOJO-FORTP'!E42)</f>
        <v>2.4285714285714284</v>
      </c>
      <c r="F42" s="49">
        <f>AVERAGE('29.07 KYENJOJO-FORTPORTAL'!F42,'30.07 KYENJOJO-FORTPORTAL'!F42,'31.07 KYENJOJO-FORTPORTAL'!F42,'02.08 KYENJOJO-FORTPORTAL'!F42,'01.08 KYENJOJO-FORTPORTAL-24h'!F42,'03.08 KYENJOJO-FORTPORTAL-24h'!F42,'04.08 KYENJOJO-FORTP'!F42)</f>
        <v>2.2857142857142856</v>
      </c>
      <c r="G42" s="49">
        <f>AVERAGE('29.07 KYENJOJO-FORTPORTAL'!G42,'30.07 KYENJOJO-FORTPORTAL'!G42,'31.07 KYENJOJO-FORTPORTAL'!G42,'02.08 KYENJOJO-FORTPORTAL'!G42,'01.08 KYENJOJO-FORTPORTAL-24h'!G42,'03.08 KYENJOJO-FORTPORTAL-24h'!G42,'04.08 KYENJOJO-FORTP'!G42)</f>
        <v>0</v>
      </c>
      <c r="H42" s="49">
        <f>AVERAGE('29.07 KYENJOJO-FORTPORTAL'!H42,'30.07 KYENJOJO-FORTPORTAL'!H42,'31.07 KYENJOJO-FORTPORTAL'!H42,'02.08 KYENJOJO-FORTPORTAL'!H42,'01.08 KYENJOJO-FORTPORTAL-24h'!H42,'03.08 KYENJOJO-FORTPORTAL-24h'!H42,'04.08 KYENJOJO-FORTP'!H42)</f>
        <v>0.42857142857142855</v>
      </c>
      <c r="I42" s="49">
        <f>AVERAGE('29.07 KYENJOJO-FORTPORTAL'!I42,'30.07 KYENJOJO-FORTPORTAL'!I42,'31.07 KYENJOJO-FORTPORTAL'!I42,'02.08 KYENJOJO-FORTPORTAL'!I42,'01.08 KYENJOJO-FORTPORTAL-24h'!I42,'03.08 KYENJOJO-FORTPORTAL-24h'!I42,'04.08 KYENJOJO-FORTP'!I42)</f>
        <v>1</v>
      </c>
      <c r="J42" s="49">
        <f>AVERAGE('29.07 KYENJOJO-FORTPORTAL'!J42,'30.07 KYENJOJO-FORTPORTAL'!J42,'31.07 KYENJOJO-FORTPORTAL'!J42,'02.08 KYENJOJO-FORTPORTAL'!J42,'01.08 KYENJOJO-FORTPORTAL-24h'!J42,'03.08 KYENJOJO-FORTPORTAL-24h'!J42,'04.08 KYENJOJO-FORTP'!J42)</f>
        <v>0</v>
      </c>
      <c r="K42" s="49">
        <f>AVERAGE('29.07 KYENJOJO-FORTPORTAL'!K42,'30.07 KYENJOJO-FORTPORTAL'!K42,'31.07 KYENJOJO-FORTPORTAL'!K42,'02.08 KYENJOJO-FORTPORTAL'!K42,'01.08 KYENJOJO-FORTPORTAL-24h'!K42,'03.08 KYENJOJO-FORTPORTAL-24h'!K42,'04.08 KYENJOJO-FORTP'!K42)</f>
        <v>0</v>
      </c>
      <c r="L42" s="49">
        <f>AVERAGE('29.07 KYENJOJO-FORTPORTAL'!L42,'30.07 KYENJOJO-FORTPORTAL'!L42,'31.07 KYENJOJO-FORTPORTAL'!L42,'02.08 KYENJOJO-FORTPORTAL'!L42,'01.08 KYENJOJO-FORTPORTAL-24h'!L42,'03.08 KYENJOJO-FORTPORTAL-24h'!L42,'04.08 KYENJOJO-FORTP'!L42)</f>
        <v>1.2857142857142858</v>
      </c>
      <c r="M42" s="49">
        <f>AVERAGE('29.07 KYENJOJO-FORTPORTAL'!M42,'30.07 KYENJOJO-FORTPORTAL'!M42,'31.07 KYENJOJO-FORTPORTAL'!M42,'02.08 KYENJOJO-FORTPORTAL'!M42,'01.08 KYENJOJO-FORTPORTAL-24h'!M42,'03.08 KYENJOJO-FORTPORTAL-24h'!M42,'04.08 KYENJOJO-FORTP'!M42)</f>
        <v>1.5714285714285714</v>
      </c>
      <c r="N42" s="49">
        <f>AVERAGE('29.07 KYENJOJO-FORTPORTAL'!N42,'30.07 KYENJOJO-FORTPORTAL'!N42,'31.07 KYENJOJO-FORTPORTAL'!N42,'02.08 KYENJOJO-FORTPORTAL'!N42,'01.08 KYENJOJO-FORTPORTAL-24h'!N42,'03.08 KYENJOJO-FORTPORTAL-24h'!N42,'04.08 KYENJOJO-FORTP'!N42)</f>
        <v>0</v>
      </c>
      <c r="O42" s="15">
        <f t="shared" si="0"/>
        <v>9.5714285714285712</v>
      </c>
      <c r="P42" s="15">
        <f t="shared" si="1"/>
        <v>11.142857142857142</v>
      </c>
      <c r="R42" s="5" t="s">
        <v>160</v>
      </c>
      <c r="S42" s="48">
        <f>S41/S40</f>
        <v>1.2809110629067244</v>
      </c>
      <c r="T42" s="48" t="e">
        <f t="shared" ref="T42:AF42" si="34">T41/T40</f>
        <v>#DIV/0!</v>
      </c>
      <c r="U42" s="48">
        <f t="shared" si="34"/>
        <v>1.2008547008547008</v>
      </c>
      <c r="V42" s="48">
        <f t="shared" si="34"/>
        <v>1.1744868035190617</v>
      </c>
      <c r="W42" s="48">
        <f t="shared" si="34"/>
        <v>1.5250000000000001</v>
      </c>
      <c r="X42" s="48">
        <f t="shared" si="34"/>
        <v>1.3582677165354331</v>
      </c>
      <c r="Y42" s="48">
        <f t="shared" si="34"/>
        <v>2.848591549295775</v>
      </c>
      <c r="Z42" s="48">
        <f t="shared" si="34"/>
        <v>1.4803921568627452</v>
      </c>
      <c r="AA42" s="48">
        <f t="shared" si="34"/>
        <v>2.0294117647058827</v>
      </c>
      <c r="AB42" s="48">
        <f t="shared" si="34"/>
        <v>1.7205882352941178</v>
      </c>
      <c r="AC42" s="48">
        <f t="shared" si="34"/>
        <v>1.2242562929061784</v>
      </c>
      <c r="AD42" s="48" t="e">
        <f t="shared" si="34"/>
        <v>#DIV/0!</v>
      </c>
      <c r="AE42" s="51">
        <f t="shared" si="34"/>
        <v>1.4473879214523897</v>
      </c>
      <c r="AF42" s="51">
        <f t="shared" si="34"/>
        <v>1.416294642857143</v>
      </c>
    </row>
    <row r="43" spans="2:32" ht="23.1" customHeight="1" x14ac:dyDescent="0.25">
      <c r="B43" s="23" t="s">
        <v>70</v>
      </c>
      <c r="C43" s="49">
        <f>AVERAGE('29.07 KYENJOJO-FORTPORTAL'!C43,'30.07 KYENJOJO-FORTPORTAL'!C43,'31.07 KYENJOJO-FORTPORTAL'!C43,'02.08 KYENJOJO-FORTPORTAL'!C43,'01.08 KYENJOJO-FORTPORTAL-24h'!C43,'03.08 KYENJOJO-FORTPORTAL-24h'!C43,'04.08 KYENJOJO-FORTP'!C43)</f>
        <v>2</v>
      </c>
      <c r="D43" s="49">
        <f>AVERAGE('29.07 KYENJOJO-FORTPORTAL'!D43,'30.07 KYENJOJO-FORTPORTAL'!D43,'31.07 KYENJOJO-FORTPORTAL'!D43,'02.08 KYENJOJO-FORTPORTAL'!D43,'01.08 KYENJOJO-FORTPORTAL-24h'!D43,'03.08 KYENJOJO-FORTPORTAL-24h'!D43,'04.08 KYENJOJO-FORTP'!D43)</f>
        <v>0</v>
      </c>
      <c r="E43" s="49">
        <f>AVERAGE('29.07 KYENJOJO-FORTPORTAL'!E43,'30.07 KYENJOJO-FORTPORTAL'!E43,'31.07 KYENJOJO-FORTPORTAL'!E43,'02.08 KYENJOJO-FORTPORTAL'!E43,'01.08 KYENJOJO-FORTPORTAL-24h'!E43,'03.08 KYENJOJO-FORTPORTAL-24h'!E43,'04.08 KYENJOJO-FORTP'!E43)</f>
        <v>3.2857142857142856</v>
      </c>
      <c r="F43" s="49">
        <f>AVERAGE('29.07 KYENJOJO-FORTPORTAL'!F43,'30.07 KYENJOJO-FORTPORTAL'!F43,'31.07 KYENJOJO-FORTPORTAL'!F43,'02.08 KYENJOJO-FORTPORTAL'!F43,'01.08 KYENJOJO-FORTPORTAL-24h'!F43,'03.08 KYENJOJO-FORTPORTAL-24h'!F43,'04.08 KYENJOJO-FORTP'!F43)</f>
        <v>1.2857142857142858</v>
      </c>
      <c r="G43" s="49">
        <f>AVERAGE('29.07 KYENJOJO-FORTPORTAL'!G43,'30.07 KYENJOJO-FORTPORTAL'!G43,'31.07 KYENJOJO-FORTPORTAL'!G43,'02.08 KYENJOJO-FORTPORTAL'!G43,'01.08 KYENJOJO-FORTPORTAL-24h'!G43,'03.08 KYENJOJO-FORTPORTAL-24h'!G43,'04.08 KYENJOJO-FORTP'!G43)</f>
        <v>0</v>
      </c>
      <c r="H43" s="49">
        <f>AVERAGE('29.07 KYENJOJO-FORTPORTAL'!H43,'30.07 KYENJOJO-FORTPORTAL'!H43,'31.07 KYENJOJO-FORTPORTAL'!H43,'02.08 KYENJOJO-FORTPORTAL'!H43,'01.08 KYENJOJO-FORTPORTAL-24h'!H43,'03.08 KYENJOJO-FORTPORTAL-24h'!H43,'04.08 KYENJOJO-FORTP'!H43)</f>
        <v>0.5714285714285714</v>
      </c>
      <c r="I43" s="49">
        <f>AVERAGE('29.07 KYENJOJO-FORTPORTAL'!I43,'30.07 KYENJOJO-FORTPORTAL'!I43,'31.07 KYENJOJO-FORTPORTAL'!I43,'02.08 KYENJOJO-FORTPORTAL'!I43,'01.08 KYENJOJO-FORTPORTAL-24h'!I43,'03.08 KYENJOJO-FORTPORTAL-24h'!I43,'04.08 KYENJOJO-FORTP'!I43)</f>
        <v>1.2857142857142858</v>
      </c>
      <c r="J43" s="49">
        <f>AVERAGE('29.07 KYENJOJO-FORTPORTAL'!J43,'30.07 KYENJOJO-FORTPORTAL'!J43,'31.07 KYENJOJO-FORTPORTAL'!J43,'02.08 KYENJOJO-FORTPORTAL'!J43,'01.08 KYENJOJO-FORTPORTAL-24h'!J43,'03.08 KYENJOJO-FORTPORTAL-24h'!J43,'04.08 KYENJOJO-FORTP'!J43)</f>
        <v>0</v>
      </c>
      <c r="K43" s="49">
        <f>AVERAGE('29.07 KYENJOJO-FORTPORTAL'!K43,'30.07 KYENJOJO-FORTPORTAL'!K43,'31.07 KYENJOJO-FORTPORTAL'!K43,'02.08 KYENJOJO-FORTPORTAL'!K43,'01.08 KYENJOJO-FORTPORTAL-24h'!K43,'03.08 KYENJOJO-FORTPORTAL-24h'!K43,'04.08 KYENJOJO-FORTP'!K43)</f>
        <v>0</v>
      </c>
      <c r="L43" s="49">
        <f>AVERAGE('29.07 KYENJOJO-FORTPORTAL'!L43,'30.07 KYENJOJO-FORTPORTAL'!L43,'31.07 KYENJOJO-FORTPORTAL'!L43,'02.08 KYENJOJO-FORTPORTAL'!L43,'01.08 KYENJOJO-FORTPORTAL-24h'!L43,'03.08 KYENJOJO-FORTPORTAL-24h'!L43,'04.08 KYENJOJO-FORTP'!L43)</f>
        <v>0.8571428571428571</v>
      </c>
      <c r="M43" s="49">
        <f>AVERAGE('29.07 KYENJOJO-FORTPORTAL'!M43,'30.07 KYENJOJO-FORTPORTAL'!M43,'31.07 KYENJOJO-FORTPORTAL'!M43,'02.08 KYENJOJO-FORTPORTAL'!M43,'01.08 KYENJOJO-FORTPORTAL-24h'!M43,'03.08 KYENJOJO-FORTPORTAL-24h'!M43,'04.08 KYENJOJO-FORTP'!M43)</f>
        <v>1.8571428571428572</v>
      </c>
      <c r="N43" s="49">
        <f>AVERAGE('29.07 KYENJOJO-FORTPORTAL'!N43,'30.07 KYENJOJO-FORTPORTAL'!N43,'31.07 KYENJOJO-FORTPORTAL'!N43,'02.08 KYENJOJO-FORTPORTAL'!N43,'01.08 KYENJOJO-FORTPORTAL-24h'!N43,'03.08 KYENJOJO-FORTPORTAL-24h'!N43,'04.08 KYENJOJO-FORTP'!N43)</f>
        <v>0</v>
      </c>
      <c r="O43" s="15">
        <f t="shared" si="0"/>
        <v>9.2857142857142865</v>
      </c>
      <c r="P43" s="15">
        <f t="shared" si="1"/>
        <v>11.142857142857144</v>
      </c>
    </row>
    <row r="44" spans="2:32" ht="23.1" customHeight="1" x14ac:dyDescent="0.25">
      <c r="B44" s="25" t="s">
        <v>71</v>
      </c>
      <c r="C44" s="49">
        <f>AVERAGE('29.07 KYENJOJO-FORTPORTAL'!C44,'30.07 KYENJOJO-FORTPORTAL'!C44,'31.07 KYENJOJO-FORTPORTAL'!C44,'02.08 KYENJOJO-FORTPORTAL'!C44,'01.08 KYENJOJO-FORTPORTAL-24h'!C44,'03.08 KYENJOJO-FORTPORTAL-24h'!C44,'04.08 KYENJOJO-FORTP'!C44)</f>
        <v>1</v>
      </c>
      <c r="D44" s="49">
        <f>AVERAGE('29.07 KYENJOJO-FORTPORTAL'!D44,'30.07 KYENJOJO-FORTPORTAL'!D44,'31.07 KYENJOJO-FORTPORTAL'!D44,'02.08 KYENJOJO-FORTPORTAL'!D44,'01.08 KYENJOJO-FORTPORTAL-24h'!D44,'03.08 KYENJOJO-FORTPORTAL-24h'!D44,'04.08 KYENJOJO-FORTP'!D44)</f>
        <v>0</v>
      </c>
      <c r="E44" s="49">
        <f>AVERAGE('29.07 KYENJOJO-FORTPORTAL'!E44,'30.07 KYENJOJO-FORTPORTAL'!E44,'31.07 KYENJOJO-FORTPORTAL'!E44,'02.08 KYENJOJO-FORTPORTAL'!E44,'01.08 KYENJOJO-FORTPORTAL-24h'!E44,'03.08 KYENJOJO-FORTPORTAL-24h'!E44,'04.08 KYENJOJO-FORTP'!E44)</f>
        <v>2.7142857142857144</v>
      </c>
      <c r="F44" s="49">
        <f>AVERAGE('29.07 KYENJOJO-FORTPORTAL'!F44,'30.07 KYENJOJO-FORTPORTAL'!F44,'31.07 KYENJOJO-FORTPORTAL'!F44,'02.08 KYENJOJO-FORTPORTAL'!F44,'01.08 KYENJOJO-FORTPORTAL-24h'!F44,'03.08 KYENJOJO-FORTPORTAL-24h'!F44,'04.08 KYENJOJO-FORTP'!F44)</f>
        <v>2.8571428571428572</v>
      </c>
      <c r="G44" s="49">
        <f>AVERAGE('29.07 KYENJOJO-FORTPORTAL'!G44,'30.07 KYENJOJO-FORTPORTAL'!G44,'31.07 KYENJOJO-FORTPORTAL'!G44,'02.08 KYENJOJO-FORTPORTAL'!G44,'01.08 KYENJOJO-FORTPORTAL-24h'!G44,'03.08 KYENJOJO-FORTPORTAL-24h'!G44,'04.08 KYENJOJO-FORTP'!G44)</f>
        <v>0.14285714285714285</v>
      </c>
      <c r="H44" s="49">
        <f>AVERAGE('29.07 KYENJOJO-FORTPORTAL'!H44,'30.07 KYENJOJO-FORTPORTAL'!H44,'31.07 KYENJOJO-FORTPORTAL'!H44,'02.08 KYENJOJO-FORTPORTAL'!H44,'01.08 KYENJOJO-FORTPORTAL-24h'!H44,'03.08 KYENJOJO-FORTPORTAL-24h'!H44,'04.08 KYENJOJO-FORTP'!H44)</f>
        <v>0.7142857142857143</v>
      </c>
      <c r="I44" s="49">
        <f>AVERAGE('29.07 KYENJOJO-FORTPORTAL'!I44,'30.07 KYENJOJO-FORTPORTAL'!I44,'31.07 KYENJOJO-FORTPORTAL'!I44,'02.08 KYENJOJO-FORTPORTAL'!I44,'01.08 KYENJOJO-FORTPORTAL-24h'!I44,'03.08 KYENJOJO-FORTPORTAL-24h'!I44,'04.08 KYENJOJO-FORTP'!I44)</f>
        <v>0.14285714285714285</v>
      </c>
      <c r="J44" s="49">
        <f>AVERAGE('29.07 KYENJOJO-FORTPORTAL'!J44,'30.07 KYENJOJO-FORTPORTAL'!J44,'31.07 KYENJOJO-FORTPORTAL'!J44,'02.08 KYENJOJO-FORTPORTAL'!J44,'01.08 KYENJOJO-FORTPORTAL-24h'!J44,'03.08 KYENJOJO-FORTPORTAL-24h'!J44,'04.08 KYENJOJO-FORTP'!J44)</f>
        <v>0</v>
      </c>
      <c r="K44" s="49">
        <f>AVERAGE('29.07 KYENJOJO-FORTPORTAL'!K44,'30.07 KYENJOJO-FORTPORTAL'!K44,'31.07 KYENJOJO-FORTPORTAL'!K44,'02.08 KYENJOJO-FORTPORTAL'!K44,'01.08 KYENJOJO-FORTPORTAL-24h'!K44,'03.08 KYENJOJO-FORTPORTAL-24h'!K44,'04.08 KYENJOJO-FORTP'!K44)</f>
        <v>0</v>
      </c>
      <c r="L44" s="49">
        <f>AVERAGE('29.07 KYENJOJO-FORTPORTAL'!L44,'30.07 KYENJOJO-FORTPORTAL'!L44,'31.07 KYENJOJO-FORTPORTAL'!L44,'02.08 KYENJOJO-FORTPORTAL'!L44,'01.08 KYENJOJO-FORTPORTAL-24h'!L44,'03.08 KYENJOJO-FORTPORTAL-24h'!L44,'04.08 KYENJOJO-FORTP'!L44)</f>
        <v>0.2857142857142857</v>
      </c>
      <c r="M44" s="49">
        <f>AVERAGE('29.07 KYENJOJO-FORTPORTAL'!M44,'30.07 KYENJOJO-FORTPORTAL'!M44,'31.07 KYENJOJO-FORTPORTAL'!M44,'02.08 KYENJOJO-FORTPORTAL'!M44,'01.08 KYENJOJO-FORTPORTAL-24h'!M44,'03.08 KYENJOJO-FORTPORTAL-24h'!M44,'04.08 KYENJOJO-FORTP'!M44)</f>
        <v>0.8571428571428571</v>
      </c>
      <c r="N44" s="49">
        <f>AVERAGE('29.07 KYENJOJO-FORTPORTAL'!N44,'30.07 KYENJOJO-FORTPORTAL'!N44,'31.07 KYENJOJO-FORTPORTAL'!N44,'02.08 KYENJOJO-FORTPORTAL'!N44,'01.08 KYENJOJO-FORTPORTAL-24h'!N44,'03.08 KYENJOJO-FORTPORTAL-24h'!N44,'04.08 KYENJOJO-FORTP'!N44)</f>
        <v>0</v>
      </c>
      <c r="O44" s="15">
        <f t="shared" si="0"/>
        <v>7.8571428571428577</v>
      </c>
      <c r="P44" s="15">
        <f t="shared" si="1"/>
        <v>8.7142857142857153</v>
      </c>
    </row>
    <row r="45" spans="2:32" ht="23.1" customHeight="1" x14ac:dyDescent="0.25">
      <c r="B45" s="23" t="s">
        <v>72</v>
      </c>
      <c r="C45" s="49">
        <f>AVERAGE('29.07 KYENJOJO-FORTPORTAL'!C45,'30.07 KYENJOJO-FORTPORTAL'!C45,'31.07 KYENJOJO-FORTPORTAL'!C45,'02.08 KYENJOJO-FORTPORTAL'!C45,'01.08 KYENJOJO-FORTPORTAL-24h'!C45,'03.08 KYENJOJO-FORTPORTAL-24h'!C45,'04.08 KYENJOJO-FORTP'!C45)</f>
        <v>1.1428571428571428</v>
      </c>
      <c r="D45" s="49">
        <f>AVERAGE('29.07 KYENJOJO-FORTPORTAL'!D45,'30.07 KYENJOJO-FORTPORTAL'!D45,'31.07 KYENJOJO-FORTPORTAL'!D45,'02.08 KYENJOJO-FORTPORTAL'!D45,'01.08 KYENJOJO-FORTPORTAL-24h'!D45,'03.08 KYENJOJO-FORTPORTAL-24h'!D45,'04.08 KYENJOJO-FORTP'!D45)</f>
        <v>0</v>
      </c>
      <c r="E45" s="49">
        <f>AVERAGE('29.07 KYENJOJO-FORTPORTAL'!E45,'30.07 KYENJOJO-FORTPORTAL'!E45,'31.07 KYENJOJO-FORTPORTAL'!E45,'02.08 KYENJOJO-FORTPORTAL'!E45,'01.08 KYENJOJO-FORTPORTAL-24h'!E45,'03.08 KYENJOJO-FORTPORTAL-24h'!E45,'04.08 KYENJOJO-FORTP'!E45)</f>
        <v>2.8571428571428572</v>
      </c>
      <c r="F45" s="49">
        <f>AVERAGE('29.07 KYENJOJO-FORTPORTAL'!F45,'30.07 KYENJOJO-FORTPORTAL'!F45,'31.07 KYENJOJO-FORTPORTAL'!F45,'02.08 KYENJOJO-FORTPORTAL'!F45,'01.08 KYENJOJO-FORTPORTAL-24h'!F45,'03.08 KYENJOJO-FORTPORTAL-24h'!F45,'04.08 KYENJOJO-FORTP'!F45)</f>
        <v>1.5714285714285714</v>
      </c>
      <c r="G45" s="49">
        <f>AVERAGE('29.07 KYENJOJO-FORTPORTAL'!G45,'30.07 KYENJOJO-FORTPORTAL'!G45,'31.07 KYENJOJO-FORTPORTAL'!G45,'02.08 KYENJOJO-FORTPORTAL'!G45,'01.08 KYENJOJO-FORTPORTAL-24h'!G45,'03.08 KYENJOJO-FORTPORTAL-24h'!G45,'04.08 KYENJOJO-FORTP'!G45)</f>
        <v>0</v>
      </c>
      <c r="H45" s="49">
        <f>AVERAGE('29.07 KYENJOJO-FORTPORTAL'!H45,'30.07 KYENJOJO-FORTPORTAL'!H45,'31.07 KYENJOJO-FORTPORTAL'!H45,'02.08 KYENJOJO-FORTPORTAL'!H45,'01.08 KYENJOJO-FORTPORTAL-24h'!H45,'03.08 KYENJOJO-FORTPORTAL-24h'!H45,'04.08 KYENJOJO-FORTP'!H45)</f>
        <v>0.5714285714285714</v>
      </c>
      <c r="I45" s="49">
        <f>AVERAGE('29.07 KYENJOJO-FORTPORTAL'!I45,'30.07 KYENJOJO-FORTPORTAL'!I45,'31.07 KYENJOJO-FORTPORTAL'!I45,'02.08 KYENJOJO-FORTPORTAL'!I45,'01.08 KYENJOJO-FORTPORTAL-24h'!I45,'03.08 KYENJOJO-FORTPORTAL-24h'!I45,'04.08 KYENJOJO-FORTP'!I45)</f>
        <v>0.8571428571428571</v>
      </c>
      <c r="J45" s="49">
        <f>AVERAGE('29.07 KYENJOJO-FORTPORTAL'!J45,'30.07 KYENJOJO-FORTPORTAL'!J45,'31.07 KYENJOJO-FORTPORTAL'!J45,'02.08 KYENJOJO-FORTPORTAL'!J45,'01.08 KYENJOJO-FORTPORTAL-24h'!J45,'03.08 KYENJOJO-FORTPORTAL-24h'!J45,'04.08 KYENJOJO-FORTP'!J45)</f>
        <v>0.2857142857142857</v>
      </c>
      <c r="K45" s="49">
        <f>AVERAGE('29.07 KYENJOJO-FORTPORTAL'!K45,'30.07 KYENJOJO-FORTPORTAL'!K45,'31.07 KYENJOJO-FORTPORTAL'!K45,'02.08 KYENJOJO-FORTPORTAL'!K45,'01.08 KYENJOJO-FORTPORTAL-24h'!K45,'03.08 KYENJOJO-FORTPORTAL-24h'!K45,'04.08 KYENJOJO-FORTP'!K45)</f>
        <v>0</v>
      </c>
      <c r="L45" s="49">
        <f>AVERAGE('29.07 KYENJOJO-FORTPORTAL'!L45,'30.07 KYENJOJO-FORTPORTAL'!L45,'31.07 KYENJOJO-FORTPORTAL'!L45,'02.08 KYENJOJO-FORTPORTAL'!L45,'01.08 KYENJOJO-FORTPORTAL-24h'!L45,'03.08 KYENJOJO-FORTPORTAL-24h'!L45,'04.08 KYENJOJO-FORTP'!L45)</f>
        <v>0.2857142857142857</v>
      </c>
      <c r="M45" s="49">
        <f>AVERAGE('29.07 KYENJOJO-FORTPORTAL'!M45,'30.07 KYENJOJO-FORTPORTAL'!M45,'31.07 KYENJOJO-FORTPORTAL'!M45,'02.08 KYENJOJO-FORTPORTAL'!M45,'01.08 KYENJOJO-FORTPORTAL-24h'!M45,'03.08 KYENJOJO-FORTPORTAL-24h'!M45,'04.08 KYENJOJO-FORTP'!M45)</f>
        <v>1.7142857142857142</v>
      </c>
      <c r="N45" s="49">
        <f>AVERAGE('29.07 KYENJOJO-FORTPORTAL'!N45,'30.07 KYENJOJO-FORTPORTAL'!N45,'31.07 KYENJOJO-FORTPORTAL'!N45,'02.08 KYENJOJO-FORTPORTAL'!N45,'01.08 KYENJOJO-FORTPORTAL-24h'!N45,'03.08 KYENJOJO-FORTPORTAL-24h'!N45,'04.08 KYENJOJO-FORTP'!N45)</f>
        <v>0</v>
      </c>
      <c r="O45" s="15">
        <f t="shared" si="0"/>
        <v>7.5714285714285703</v>
      </c>
      <c r="P45" s="15">
        <f t="shared" si="1"/>
        <v>9.2857142857142847</v>
      </c>
    </row>
    <row r="46" spans="2:32" ht="23.1" customHeight="1" x14ac:dyDescent="0.25">
      <c r="B46" s="24" t="s">
        <v>73</v>
      </c>
      <c r="C46" s="49">
        <f>AVERAGE('29.07 KYENJOJO-FORTPORTAL'!C46,'30.07 KYENJOJO-FORTPORTAL'!C46,'31.07 KYENJOJO-FORTPORTAL'!C46,'02.08 KYENJOJO-FORTPORTAL'!C46,'01.08 KYENJOJO-FORTPORTAL-24h'!C46,'03.08 KYENJOJO-FORTPORTAL-24h'!C46,'04.08 KYENJOJO-FORTP'!C46)</f>
        <v>2.8571428571428572</v>
      </c>
      <c r="D46" s="49">
        <f>AVERAGE('29.07 KYENJOJO-FORTPORTAL'!D46,'30.07 KYENJOJO-FORTPORTAL'!D46,'31.07 KYENJOJO-FORTPORTAL'!D46,'02.08 KYENJOJO-FORTPORTAL'!D46,'01.08 KYENJOJO-FORTPORTAL-24h'!D46,'03.08 KYENJOJO-FORTPORTAL-24h'!D46,'04.08 KYENJOJO-FORTP'!D46)</f>
        <v>0</v>
      </c>
      <c r="E46" s="49">
        <f>AVERAGE('29.07 KYENJOJO-FORTPORTAL'!E46,'30.07 KYENJOJO-FORTPORTAL'!E46,'31.07 KYENJOJO-FORTPORTAL'!E46,'02.08 KYENJOJO-FORTPORTAL'!E46,'01.08 KYENJOJO-FORTPORTAL-24h'!E46,'03.08 KYENJOJO-FORTPORTAL-24h'!E46,'04.08 KYENJOJO-FORTP'!E46)</f>
        <v>3</v>
      </c>
      <c r="F46" s="49">
        <f>AVERAGE('29.07 KYENJOJO-FORTPORTAL'!F46,'30.07 KYENJOJO-FORTPORTAL'!F46,'31.07 KYENJOJO-FORTPORTAL'!F46,'02.08 KYENJOJO-FORTPORTAL'!F46,'01.08 KYENJOJO-FORTPORTAL-24h'!F46,'03.08 KYENJOJO-FORTPORTAL-24h'!F46,'04.08 KYENJOJO-FORTP'!F46)</f>
        <v>3.5714285714285716</v>
      </c>
      <c r="G46" s="49">
        <f>AVERAGE('29.07 KYENJOJO-FORTPORTAL'!G46,'30.07 KYENJOJO-FORTPORTAL'!G46,'31.07 KYENJOJO-FORTPORTAL'!G46,'02.08 KYENJOJO-FORTPORTAL'!G46,'01.08 KYENJOJO-FORTPORTAL-24h'!G46,'03.08 KYENJOJO-FORTPORTAL-24h'!G46,'04.08 KYENJOJO-FORTP'!G46)</f>
        <v>0</v>
      </c>
      <c r="H46" s="49">
        <f>AVERAGE('29.07 KYENJOJO-FORTPORTAL'!H46,'30.07 KYENJOJO-FORTPORTAL'!H46,'31.07 KYENJOJO-FORTPORTAL'!H46,'02.08 KYENJOJO-FORTPORTAL'!H46,'01.08 KYENJOJO-FORTPORTAL-24h'!H46,'03.08 KYENJOJO-FORTPORTAL-24h'!H46,'04.08 KYENJOJO-FORTP'!H46)</f>
        <v>0.14285714285714285</v>
      </c>
      <c r="I46" s="49">
        <f>AVERAGE('29.07 KYENJOJO-FORTPORTAL'!I46,'30.07 KYENJOJO-FORTPORTAL'!I46,'31.07 KYENJOJO-FORTPORTAL'!I46,'02.08 KYENJOJO-FORTPORTAL'!I46,'01.08 KYENJOJO-FORTPORTAL-24h'!I46,'03.08 KYENJOJO-FORTPORTAL-24h'!I46,'04.08 KYENJOJO-FORTP'!I46)</f>
        <v>1.7142857142857142</v>
      </c>
      <c r="J46" s="49">
        <f>AVERAGE('29.07 KYENJOJO-FORTPORTAL'!J46,'30.07 KYENJOJO-FORTPORTAL'!J46,'31.07 KYENJOJO-FORTPORTAL'!J46,'02.08 KYENJOJO-FORTPORTAL'!J46,'01.08 KYENJOJO-FORTPORTAL-24h'!J46,'03.08 KYENJOJO-FORTPORTAL-24h'!J46,'04.08 KYENJOJO-FORTP'!J46)</f>
        <v>0</v>
      </c>
      <c r="K46" s="49">
        <f>AVERAGE('29.07 KYENJOJO-FORTPORTAL'!K46,'30.07 KYENJOJO-FORTPORTAL'!K46,'31.07 KYENJOJO-FORTPORTAL'!K46,'02.08 KYENJOJO-FORTPORTAL'!K46,'01.08 KYENJOJO-FORTPORTAL-24h'!K46,'03.08 KYENJOJO-FORTPORTAL-24h'!K46,'04.08 KYENJOJO-FORTP'!K46)</f>
        <v>0.14285714285714285</v>
      </c>
      <c r="L46" s="49">
        <f>AVERAGE('29.07 KYENJOJO-FORTPORTAL'!L46,'30.07 KYENJOJO-FORTPORTAL'!L46,'31.07 KYENJOJO-FORTPORTAL'!L46,'02.08 KYENJOJO-FORTPORTAL'!L46,'01.08 KYENJOJO-FORTPORTAL-24h'!L46,'03.08 KYENJOJO-FORTPORTAL-24h'!L46,'04.08 KYENJOJO-FORTP'!L46)</f>
        <v>0.8571428571428571</v>
      </c>
      <c r="M46" s="49">
        <f>AVERAGE('29.07 KYENJOJO-FORTPORTAL'!M46,'30.07 KYENJOJO-FORTPORTAL'!M46,'31.07 KYENJOJO-FORTPORTAL'!M46,'02.08 KYENJOJO-FORTPORTAL'!M46,'01.08 KYENJOJO-FORTPORTAL-24h'!M46,'03.08 KYENJOJO-FORTPORTAL-24h'!M46,'04.08 KYENJOJO-FORTP'!M46)</f>
        <v>1.5714285714285714</v>
      </c>
      <c r="N46" s="49">
        <f>AVERAGE('29.07 KYENJOJO-FORTPORTAL'!N46,'30.07 KYENJOJO-FORTPORTAL'!N46,'31.07 KYENJOJO-FORTPORTAL'!N46,'02.08 KYENJOJO-FORTPORTAL'!N46,'01.08 KYENJOJO-FORTPORTAL-24h'!N46,'03.08 KYENJOJO-FORTPORTAL-24h'!N46,'04.08 KYENJOJO-FORTP'!N46)</f>
        <v>0</v>
      </c>
      <c r="O46" s="15">
        <f t="shared" si="0"/>
        <v>12.285714285714285</v>
      </c>
      <c r="P46" s="15">
        <f t="shared" si="1"/>
        <v>13.857142857142856</v>
      </c>
      <c r="R46" s="8"/>
      <c r="T46"/>
    </row>
    <row r="47" spans="2:32" ht="23.1" customHeight="1" x14ac:dyDescent="0.25">
      <c r="B47" s="24" t="s">
        <v>74</v>
      </c>
      <c r="C47" s="49">
        <f>AVERAGE('29.07 KYENJOJO-FORTPORTAL'!C47,'30.07 KYENJOJO-FORTPORTAL'!C47,'31.07 KYENJOJO-FORTPORTAL'!C47,'02.08 KYENJOJO-FORTPORTAL'!C47,'01.08 KYENJOJO-FORTPORTAL-24h'!C47,'03.08 KYENJOJO-FORTPORTAL-24h'!C47,'04.08 KYENJOJO-FORTP'!C47)</f>
        <v>2.1428571428571428</v>
      </c>
      <c r="D47" s="49">
        <f>AVERAGE('29.07 KYENJOJO-FORTPORTAL'!D47,'30.07 KYENJOJO-FORTPORTAL'!D47,'31.07 KYENJOJO-FORTPORTAL'!D47,'02.08 KYENJOJO-FORTPORTAL'!D47,'01.08 KYENJOJO-FORTPORTAL-24h'!D47,'03.08 KYENJOJO-FORTPORTAL-24h'!D47,'04.08 KYENJOJO-FORTP'!D47)</f>
        <v>0</v>
      </c>
      <c r="E47" s="49">
        <f>AVERAGE('29.07 KYENJOJO-FORTPORTAL'!E47,'30.07 KYENJOJO-FORTPORTAL'!E47,'31.07 KYENJOJO-FORTPORTAL'!E47,'02.08 KYENJOJO-FORTPORTAL'!E47,'01.08 KYENJOJO-FORTPORTAL-24h'!E47,'03.08 KYENJOJO-FORTPORTAL-24h'!E47,'04.08 KYENJOJO-FORTP'!E47)</f>
        <v>2</v>
      </c>
      <c r="F47" s="49">
        <f>AVERAGE('29.07 KYENJOJO-FORTPORTAL'!F47,'30.07 KYENJOJO-FORTPORTAL'!F47,'31.07 KYENJOJO-FORTPORTAL'!F47,'02.08 KYENJOJO-FORTPORTAL'!F47,'01.08 KYENJOJO-FORTPORTAL-24h'!F47,'03.08 KYENJOJO-FORTPORTAL-24h'!F47,'04.08 KYENJOJO-FORTP'!F47)</f>
        <v>2</v>
      </c>
      <c r="G47" s="49">
        <f>AVERAGE('29.07 KYENJOJO-FORTPORTAL'!G47,'30.07 KYENJOJO-FORTPORTAL'!G47,'31.07 KYENJOJO-FORTPORTAL'!G47,'02.08 KYENJOJO-FORTPORTAL'!G47,'01.08 KYENJOJO-FORTPORTAL-24h'!G47,'03.08 KYENJOJO-FORTPORTAL-24h'!G47,'04.08 KYENJOJO-FORTP'!G47)</f>
        <v>0</v>
      </c>
      <c r="H47" s="49">
        <f>AVERAGE('29.07 KYENJOJO-FORTPORTAL'!H47,'30.07 KYENJOJO-FORTPORTAL'!H47,'31.07 KYENJOJO-FORTPORTAL'!H47,'02.08 KYENJOJO-FORTPORTAL'!H47,'01.08 KYENJOJO-FORTPORTAL-24h'!H47,'03.08 KYENJOJO-FORTPORTAL-24h'!H47,'04.08 KYENJOJO-FORTP'!H47)</f>
        <v>0.2857142857142857</v>
      </c>
      <c r="I47" s="49">
        <f>AVERAGE('29.07 KYENJOJO-FORTPORTAL'!I47,'30.07 KYENJOJO-FORTPORTAL'!I47,'31.07 KYENJOJO-FORTPORTAL'!I47,'02.08 KYENJOJO-FORTPORTAL'!I47,'01.08 KYENJOJO-FORTPORTAL-24h'!I47,'03.08 KYENJOJO-FORTPORTAL-24h'!I47,'04.08 KYENJOJO-FORTP'!I47)</f>
        <v>2</v>
      </c>
      <c r="J47" s="49">
        <f>AVERAGE('29.07 KYENJOJO-FORTPORTAL'!J47,'30.07 KYENJOJO-FORTPORTAL'!J47,'31.07 KYENJOJO-FORTPORTAL'!J47,'02.08 KYENJOJO-FORTPORTAL'!J47,'01.08 KYENJOJO-FORTPORTAL-24h'!J47,'03.08 KYENJOJO-FORTPORTAL-24h'!J47,'04.08 KYENJOJO-FORTP'!J47)</f>
        <v>0.14285714285714285</v>
      </c>
      <c r="K47" s="49">
        <f>AVERAGE('29.07 KYENJOJO-FORTPORTAL'!K47,'30.07 KYENJOJO-FORTPORTAL'!K47,'31.07 KYENJOJO-FORTPORTAL'!K47,'02.08 KYENJOJO-FORTPORTAL'!K47,'01.08 KYENJOJO-FORTPORTAL-24h'!K47,'03.08 KYENJOJO-FORTPORTAL-24h'!K47,'04.08 KYENJOJO-FORTP'!K47)</f>
        <v>0</v>
      </c>
      <c r="L47" s="49">
        <f>AVERAGE('29.07 KYENJOJO-FORTPORTAL'!L47,'30.07 KYENJOJO-FORTPORTAL'!L47,'31.07 KYENJOJO-FORTPORTAL'!L47,'02.08 KYENJOJO-FORTPORTAL'!L47,'01.08 KYENJOJO-FORTPORTAL-24h'!L47,'03.08 KYENJOJO-FORTPORTAL-24h'!L47,'04.08 KYENJOJO-FORTP'!L47)</f>
        <v>0.7142857142857143</v>
      </c>
      <c r="M47" s="49">
        <f>AVERAGE('29.07 KYENJOJO-FORTPORTAL'!M47,'30.07 KYENJOJO-FORTPORTAL'!M47,'31.07 KYENJOJO-FORTPORTAL'!M47,'02.08 KYENJOJO-FORTPORTAL'!M47,'01.08 KYENJOJO-FORTPORTAL-24h'!M47,'03.08 KYENJOJO-FORTPORTAL-24h'!M47,'04.08 KYENJOJO-FORTP'!M47)</f>
        <v>2</v>
      </c>
      <c r="N47" s="49">
        <f>AVERAGE('29.07 KYENJOJO-FORTPORTAL'!N47,'30.07 KYENJOJO-FORTPORTAL'!N47,'31.07 KYENJOJO-FORTPORTAL'!N47,'02.08 KYENJOJO-FORTPORTAL'!N47,'01.08 KYENJOJO-FORTPORTAL-24h'!N47,'03.08 KYENJOJO-FORTPORTAL-24h'!N47,'04.08 KYENJOJO-FORTP'!N47)</f>
        <v>0</v>
      </c>
      <c r="O47" s="15">
        <f t="shared" si="0"/>
        <v>9.2857142857142829</v>
      </c>
      <c r="P47" s="15">
        <f t="shared" si="1"/>
        <v>11.285714285714283</v>
      </c>
      <c r="R47" s="8"/>
      <c r="T47"/>
    </row>
    <row r="48" spans="2:32" ht="23.1" customHeight="1" x14ac:dyDescent="0.25">
      <c r="B48" s="24" t="s">
        <v>75</v>
      </c>
      <c r="C48" s="49">
        <f>AVERAGE('29.07 KYENJOJO-FORTPORTAL'!C48,'30.07 KYENJOJO-FORTPORTAL'!C48,'31.07 KYENJOJO-FORTPORTAL'!C48,'02.08 KYENJOJO-FORTPORTAL'!C48,'01.08 KYENJOJO-FORTPORTAL-24h'!C48,'03.08 KYENJOJO-FORTPORTAL-24h'!C48,'04.08 KYENJOJO-FORTP'!C48)</f>
        <v>0.5714285714285714</v>
      </c>
      <c r="D48" s="49">
        <f>AVERAGE('29.07 KYENJOJO-FORTPORTAL'!D48,'30.07 KYENJOJO-FORTPORTAL'!D48,'31.07 KYENJOJO-FORTPORTAL'!D48,'02.08 KYENJOJO-FORTPORTAL'!D48,'01.08 KYENJOJO-FORTPORTAL-24h'!D48,'03.08 KYENJOJO-FORTPORTAL-24h'!D48,'04.08 KYENJOJO-FORTP'!D48)</f>
        <v>0</v>
      </c>
      <c r="E48" s="49">
        <f>AVERAGE('29.07 KYENJOJO-FORTPORTAL'!E48,'30.07 KYENJOJO-FORTPORTAL'!E48,'31.07 KYENJOJO-FORTPORTAL'!E48,'02.08 KYENJOJO-FORTPORTAL'!E48,'01.08 KYENJOJO-FORTPORTAL-24h'!E48,'03.08 KYENJOJO-FORTPORTAL-24h'!E48,'04.08 KYENJOJO-FORTP'!E48)</f>
        <v>3.1428571428571428</v>
      </c>
      <c r="F48" s="49">
        <f>AVERAGE('29.07 KYENJOJO-FORTPORTAL'!F48,'30.07 KYENJOJO-FORTPORTAL'!F48,'31.07 KYENJOJO-FORTPORTAL'!F48,'02.08 KYENJOJO-FORTPORTAL'!F48,'01.08 KYENJOJO-FORTPORTAL-24h'!F48,'03.08 KYENJOJO-FORTPORTAL-24h'!F48,'04.08 KYENJOJO-FORTP'!F48)</f>
        <v>2</v>
      </c>
      <c r="G48" s="49">
        <f>AVERAGE('29.07 KYENJOJO-FORTPORTAL'!G48,'30.07 KYENJOJO-FORTPORTAL'!G48,'31.07 KYENJOJO-FORTPORTAL'!G48,'02.08 KYENJOJO-FORTPORTAL'!G48,'01.08 KYENJOJO-FORTPORTAL-24h'!G48,'03.08 KYENJOJO-FORTPORTAL-24h'!G48,'04.08 KYENJOJO-FORTP'!G48)</f>
        <v>0.14285714285714285</v>
      </c>
      <c r="H48" s="49">
        <f>AVERAGE('29.07 KYENJOJO-FORTPORTAL'!H48,'30.07 KYENJOJO-FORTPORTAL'!H48,'31.07 KYENJOJO-FORTPORTAL'!H48,'02.08 KYENJOJO-FORTPORTAL'!H48,'01.08 KYENJOJO-FORTPORTAL-24h'!H48,'03.08 KYENJOJO-FORTPORTAL-24h'!H48,'04.08 KYENJOJO-FORTP'!H48)</f>
        <v>0.2857142857142857</v>
      </c>
      <c r="I48" s="49">
        <f>AVERAGE('29.07 KYENJOJO-FORTPORTAL'!I48,'30.07 KYENJOJO-FORTPORTAL'!I48,'31.07 KYENJOJO-FORTPORTAL'!I48,'02.08 KYENJOJO-FORTPORTAL'!I48,'01.08 KYENJOJO-FORTPORTAL-24h'!I48,'03.08 KYENJOJO-FORTPORTAL-24h'!I48,'04.08 KYENJOJO-FORTP'!I48)</f>
        <v>0.5714285714285714</v>
      </c>
      <c r="J48" s="49">
        <f>AVERAGE('29.07 KYENJOJO-FORTPORTAL'!J48,'30.07 KYENJOJO-FORTPORTAL'!J48,'31.07 KYENJOJO-FORTPORTAL'!J48,'02.08 KYENJOJO-FORTPORTAL'!J48,'01.08 KYENJOJO-FORTPORTAL-24h'!J48,'03.08 KYENJOJO-FORTPORTAL-24h'!J48,'04.08 KYENJOJO-FORTP'!J48)</f>
        <v>0</v>
      </c>
      <c r="K48" s="49">
        <f>AVERAGE('29.07 KYENJOJO-FORTPORTAL'!K48,'30.07 KYENJOJO-FORTPORTAL'!K48,'31.07 KYENJOJO-FORTPORTAL'!K48,'02.08 KYENJOJO-FORTPORTAL'!K48,'01.08 KYENJOJO-FORTPORTAL-24h'!K48,'03.08 KYENJOJO-FORTPORTAL-24h'!K48,'04.08 KYENJOJO-FORTP'!K48)</f>
        <v>0</v>
      </c>
      <c r="L48" s="49">
        <f>AVERAGE('29.07 KYENJOJO-FORTPORTAL'!L48,'30.07 KYENJOJO-FORTPORTAL'!L48,'31.07 KYENJOJO-FORTPORTAL'!L48,'02.08 KYENJOJO-FORTPORTAL'!L48,'01.08 KYENJOJO-FORTPORTAL-24h'!L48,'03.08 KYENJOJO-FORTPORTAL-24h'!L48,'04.08 KYENJOJO-FORTP'!L48)</f>
        <v>0.42857142857142855</v>
      </c>
      <c r="M48" s="49">
        <f>AVERAGE('29.07 KYENJOJO-FORTPORTAL'!M48,'30.07 KYENJOJO-FORTPORTAL'!M48,'31.07 KYENJOJO-FORTPORTAL'!M48,'02.08 KYENJOJO-FORTPORTAL'!M48,'01.08 KYENJOJO-FORTPORTAL-24h'!M48,'03.08 KYENJOJO-FORTPORTAL-24h'!M48,'04.08 KYENJOJO-FORTP'!M48)</f>
        <v>0.8571428571428571</v>
      </c>
      <c r="N48" s="49">
        <f>AVERAGE('29.07 KYENJOJO-FORTPORTAL'!N48,'30.07 KYENJOJO-FORTPORTAL'!N48,'31.07 KYENJOJO-FORTPORTAL'!N48,'02.08 KYENJOJO-FORTPORTAL'!N48,'01.08 KYENJOJO-FORTPORTAL-24h'!N48,'03.08 KYENJOJO-FORTPORTAL-24h'!N48,'04.08 KYENJOJO-FORTP'!N48)</f>
        <v>0</v>
      </c>
      <c r="O48" s="15">
        <f t="shared" si="0"/>
        <v>7.1428571428571432</v>
      </c>
      <c r="P48" s="15">
        <f t="shared" si="1"/>
        <v>8</v>
      </c>
      <c r="R48" s="8"/>
      <c r="T48"/>
    </row>
    <row r="49" spans="2:20" ht="23.1" customHeight="1" x14ac:dyDescent="0.25">
      <c r="B49" s="23" t="s">
        <v>76</v>
      </c>
      <c r="C49" s="49">
        <f>AVERAGE('29.07 KYENJOJO-FORTPORTAL'!C49,'30.07 KYENJOJO-FORTPORTAL'!C49,'31.07 KYENJOJO-FORTPORTAL'!C49,'02.08 KYENJOJO-FORTPORTAL'!C49,'01.08 KYENJOJO-FORTPORTAL-24h'!C49,'03.08 KYENJOJO-FORTPORTAL-24h'!C49,'04.08 KYENJOJO-FORTP'!C49)</f>
        <v>1.2857142857142858</v>
      </c>
      <c r="D49" s="49">
        <f>AVERAGE('29.07 KYENJOJO-FORTPORTAL'!D49,'30.07 KYENJOJO-FORTPORTAL'!D49,'31.07 KYENJOJO-FORTPORTAL'!D49,'02.08 KYENJOJO-FORTPORTAL'!D49,'01.08 KYENJOJO-FORTPORTAL-24h'!D49,'03.08 KYENJOJO-FORTPORTAL-24h'!D49,'04.08 KYENJOJO-FORTP'!D49)</f>
        <v>0</v>
      </c>
      <c r="E49" s="49">
        <f>AVERAGE('29.07 KYENJOJO-FORTPORTAL'!E49,'30.07 KYENJOJO-FORTPORTAL'!E49,'31.07 KYENJOJO-FORTPORTAL'!E49,'02.08 KYENJOJO-FORTPORTAL'!E49,'01.08 KYENJOJO-FORTPORTAL-24h'!E49,'03.08 KYENJOJO-FORTPORTAL-24h'!E49,'04.08 KYENJOJO-FORTP'!E49)</f>
        <v>2.1428571428571428</v>
      </c>
      <c r="F49" s="49">
        <f>AVERAGE('29.07 KYENJOJO-FORTPORTAL'!F49,'30.07 KYENJOJO-FORTPORTAL'!F49,'31.07 KYENJOJO-FORTPORTAL'!F49,'02.08 KYENJOJO-FORTPORTAL'!F49,'01.08 KYENJOJO-FORTPORTAL-24h'!F49,'03.08 KYENJOJO-FORTPORTAL-24h'!F49,'04.08 KYENJOJO-FORTP'!F49)</f>
        <v>1.1428571428571428</v>
      </c>
      <c r="G49" s="49">
        <f>AVERAGE('29.07 KYENJOJO-FORTPORTAL'!G49,'30.07 KYENJOJO-FORTPORTAL'!G49,'31.07 KYENJOJO-FORTPORTAL'!G49,'02.08 KYENJOJO-FORTPORTAL'!G49,'01.08 KYENJOJO-FORTPORTAL-24h'!G49,'03.08 KYENJOJO-FORTPORTAL-24h'!G49,'04.08 KYENJOJO-FORTP'!G49)</f>
        <v>0</v>
      </c>
      <c r="H49" s="49">
        <f>AVERAGE('29.07 KYENJOJO-FORTPORTAL'!H49,'30.07 KYENJOJO-FORTPORTAL'!H49,'31.07 KYENJOJO-FORTPORTAL'!H49,'02.08 KYENJOJO-FORTPORTAL'!H49,'01.08 KYENJOJO-FORTPORTAL-24h'!H49,'03.08 KYENJOJO-FORTPORTAL-24h'!H49,'04.08 KYENJOJO-FORTP'!H49)</f>
        <v>0.14285714285714285</v>
      </c>
      <c r="I49" s="49">
        <f>AVERAGE('29.07 KYENJOJO-FORTPORTAL'!I49,'30.07 KYENJOJO-FORTPORTAL'!I49,'31.07 KYENJOJO-FORTPORTAL'!I49,'02.08 KYENJOJO-FORTPORTAL'!I49,'01.08 KYENJOJO-FORTPORTAL-24h'!I49,'03.08 KYENJOJO-FORTPORTAL-24h'!I49,'04.08 KYENJOJO-FORTP'!I49)</f>
        <v>1</v>
      </c>
      <c r="J49" s="49">
        <f>AVERAGE('29.07 KYENJOJO-FORTPORTAL'!J49,'30.07 KYENJOJO-FORTPORTAL'!J49,'31.07 KYENJOJO-FORTPORTAL'!J49,'02.08 KYENJOJO-FORTPORTAL'!J49,'01.08 KYENJOJO-FORTPORTAL-24h'!J49,'03.08 KYENJOJO-FORTPORTAL-24h'!J49,'04.08 KYENJOJO-FORTP'!J49)</f>
        <v>0.2857142857142857</v>
      </c>
      <c r="K49" s="49">
        <f>AVERAGE('29.07 KYENJOJO-FORTPORTAL'!K49,'30.07 KYENJOJO-FORTPORTAL'!K49,'31.07 KYENJOJO-FORTPORTAL'!K49,'02.08 KYENJOJO-FORTPORTAL'!K49,'01.08 KYENJOJO-FORTPORTAL-24h'!K49,'03.08 KYENJOJO-FORTPORTAL-24h'!K49,'04.08 KYENJOJO-FORTP'!K49)</f>
        <v>0</v>
      </c>
      <c r="L49" s="49">
        <f>AVERAGE('29.07 KYENJOJO-FORTPORTAL'!L49,'30.07 KYENJOJO-FORTPORTAL'!L49,'31.07 KYENJOJO-FORTPORTAL'!L49,'02.08 KYENJOJO-FORTPORTAL'!L49,'01.08 KYENJOJO-FORTPORTAL-24h'!L49,'03.08 KYENJOJO-FORTPORTAL-24h'!L49,'04.08 KYENJOJO-FORTP'!L49)</f>
        <v>1.1428571428571428</v>
      </c>
      <c r="M49" s="49">
        <f>AVERAGE('29.07 KYENJOJO-FORTPORTAL'!M49,'30.07 KYENJOJO-FORTPORTAL'!M49,'31.07 KYENJOJO-FORTPORTAL'!M49,'02.08 KYENJOJO-FORTPORTAL'!M49,'01.08 KYENJOJO-FORTPORTAL-24h'!M49,'03.08 KYENJOJO-FORTPORTAL-24h'!M49,'04.08 KYENJOJO-FORTP'!M49)</f>
        <v>0.7142857142857143</v>
      </c>
      <c r="N49" s="49">
        <f>AVERAGE('29.07 KYENJOJO-FORTPORTAL'!N49,'30.07 KYENJOJO-FORTPORTAL'!N49,'31.07 KYENJOJO-FORTPORTAL'!N49,'02.08 KYENJOJO-FORTPORTAL'!N49,'01.08 KYENJOJO-FORTPORTAL-24h'!N49,'03.08 KYENJOJO-FORTPORTAL-24h'!N49,'04.08 KYENJOJO-FORTP'!N49)</f>
        <v>0</v>
      </c>
      <c r="O49" s="15">
        <f t="shared" si="0"/>
        <v>7.1428571428571423</v>
      </c>
      <c r="P49" s="15">
        <f t="shared" si="1"/>
        <v>7.8571428571428568</v>
      </c>
      <c r="R49" s="8"/>
      <c r="T49"/>
    </row>
    <row r="50" spans="2:20" ht="23.1" customHeight="1" x14ac:dyDescent="0.25">
      <c r="B50" s="24" t="s">
        <v>77</v>
      </c>
      <c r="C50" s="49">
        <f>AVERAGE('29.07 KYENJOJO-FORTPORTAL'!C50,'30.07 KYENJOJO-FORTPORTAL'!C50,'31.07 KYENJOJO-FORTPORTAL'!C50,'02.08 KYENJOJO-FORTPORTAL'!C50,'01.08 KYENJOJO-FORTPORTAL-24h'!C50,'03.08 KYENJOJO-FORTPORTAL-24h'!C50,'04.08 KYENJOJO-FORTP'!C50)</f>
        <v>1.2857142857142858</v>
      </c>
      <c r="D50" s="49">
        <f>AVERAGE('29.07 KYENJOJO-FORTPORTAL'!D50,'30.07 KYENJOJO-FORTPORTAL'!D50,'31.07 KYENJOJO-FORTPORTAL'!D50,'02.08 KYENJOJO-FORTPORTAL'!D50,'01.08 KYENJOJO-FORTPORTAL-24h'!D50,'03.08 KYENJOJO-FORTPORTAL-24h'!D50,'04.08 KYENJOJO-FORTP'!D50)</f>
        <v>0</v>
      </c>
      <c r="E50" s="49">
        <f>AVERAGE('29.07 KYENJOJO-FORTPORTAL'!E50,'30.07 KYENJOJO-FORTPORTAL'!E50,'31.07 KYENJOJO-FORTPORTAL'!E50,'02.08 KYENJOJO-FORTPORTAL'!E50,'01.08 KYENJOJO-FORTPORTAL-24h'!E50,'03.08 KYENJOJO-FORTPORTAL-24h'!E50,'04.08 KYENJOJO-FORTP'!E50)</f>
        <v>4</v>
      </c>
      <c r="F50" s="49">
        <f>AVERAGE('29.07 KYENJOJO-FORTPORTAL'!F50,'30.07 KYENJOJO-FORTPORTAL'!F50,'31.07 KYENJOJO-FORTPORTAL'!F50,'02.08 KYENJOJO-FORTPORTAL'!F50,'01.08 KYENJOJO-FORTPORTAL-24h'!F50,'03.08 KYENJOJO-FORTPORTAL-24h'!F50,'04.08 KYENJOJO-FORTP'!F50)</f>
        <v>2.5714285714285716</v>
      </c>
      <c r="G50" s="49">
        <f>AVERAGE('29.07 KYENJOJO-FORTPORTAL'!G50,'30.07 KYENJOJO-FORTPORTAL'!G50,'31.07 KYENJOJO-FORTPORTAL'!G50,'02.08 KYENJOJO-FORTPORTAL'!G50,'01.08 KYENJOJO-FORTPORTAL-24h'!G50,'03.08 KYENJOJO-FORTPORTAL-24h'!G50,'04.08 KYENJOJO-FORTP'!G50)</f>
        <v>0</v>
      </c>
      <c r="H50" s="49">
        <f>AVERAGE('29.07 KYENJOJO-FORTPORTAL'!H50,'30.07 KYENJOJO-FORTPORTAL'!H50,'31.07 KYENJOJO-FORTPORTAL'!H50,'02.08 KYENJOJO-FORTPORTAL'!H50,'01.08 KYENJOJO-FORTPORTAL-24h'!H50,'03.08 KYENJOJO-FORTPORTAL-24h'!H50,'04.08 KYENJOJO-FORTP'!H50)</f>
        <v>0.7142857142857143</v>
      </c>
      <c r="I50" s="49">
        <f>AVERAGE('29.07 KYENJOJO-FORTPORTAL'!I50,'30.07 KYENJOJO-FORTPORTAL'!I50,'31.07 KYENJOJO-FORTPORTAL'!I50,'02.08 KYENJOJO-FORTPORTAL'!I50,'01.08 KYENJOJO-FORTPORTAL-24h'!I50,'03.08 KYENJOJO-FORTPORTAL-24h'!I50,'04.08 KYENJOJO-FORTP'!I50)</f>
        <v>0.8571428571428571</v>
      </c>
      <c r="J50" s="49">
        <f>AVERAGE('29.07 KYENJOJO-FORTPORTAL'!J50,'30.07 KYENJOJO-FORTPORTAL'!J50,'31.07 KYENJOJO-FORTPORTAL'!J50,'02.08 KYENJOJO-FORTPORTAL'!J50,'01.08 KYENJOJO-FORTPORTAL-24h'!J50,'03.08 KYENJOJO-FORTPORTAL-24h'!J50,'04.08 KYENJOJO-FORTP'!J50)</f>
        <v>0</v>
      </c>
      <c r="K50" s="49">
        <f>AVERAGE('29.07 KYENJOJO-FORTPORTAL'!K50,'30.07 KYENJOJO-FORTPORTAL'!K50,'31.07 KYENJOJO-FORTPORTAL'!K50,'02.08 KYENJOJO-FORTPORTAL'!K50,'01.08 KYENJOJO-FORTPORTAL-24h'!K50,'03.08 KYENJOJO-FORTPORTAL-24h'!K50,'04.08 KYENJOJO-FORTP'!K50)</f>
        <v>0</v>
      </c>
      <c r="L50" s="49">
        <f>AVERAGE('29.07 KYENJOJO-FORTPORTAL'!L50,'30.07 KYENJOJO-FORTPORTAL'!L50,'31.07 KYENJOJO-FORTPORTAL'!L50,'02.08 KYENJOJO-FORTPORTAL'!L50,'01.08 KYENJOJO-FORTPORTAL-24h'!L50,'03.08 KYENJOJO-FORTPORTAL-24h'!L50,'04.08 KYENJOJO-FORTP'!L50)</f>
        <v>1.4285714285714286</v>
      </c>
      <c r="M50" s="49">
        <f>AVERAGE('29.07 KYENJOJO-FORTPORTAL'!M50,'30.07 KYENJOJO-FORTPORTAL'!M50,'31.07 KYENJOJO-FORTPORTAL'!M50,'02.08 KYENJOJO-FORTPORTAL'!M50,'01.08 KYENJOJO-FORTPORTAL-24h'!M50,'03.08 KYENJOJO-FORTPORTAL-24h'!M50,'04.08 KYENJOJO-FORTP'!M50)</f>
        <v>1.7142857142857142</v>
      </c>
      <c r="N50" s="49">
        <f>AVERAGE('29.07 KYENJOJO-FORTPORTAL'!N50,'30.07 KYENJOJO-FORTPORTAL'!N50,'31.07 KYENJOJO-FORTPORTAL'!N50,'02.08 KYENJOJO-FORTPORTAL'!N50,'01.08 KYENJOJO-FORTPORTAL-24h'!N50,'03.08 KYENJOJO-FORTPORTAL-24h'!N50,'04.08 KYENJOJO-FORTP'!N50)</f>
        <v>0</v>
      </c>
      <c r="O50" s="15">
        <f t="shared" si="0"/>
        <v>10.857142857142858</v>
      </c>
      <c r="P50" s="15">
        <f t="shared" si="1"/>
        <v>12.571428571428571</v>
      </c>
      <c r="R50" s="8"/>
      <c r="T50"/>
    </row>
    <row r="51" spans="2:20" ht="23.1" customHeight="1" x14ac:dyDescent="0.25">
      <c r="B51" s="24" t="s">
        <v>78</v>
      </c>
      <c r="C51" s="49">
        <f>AVERAGE('29.07 KYENJOJO-FORTPORTAL'!C51,'30.07 KYENJOJO-FORTPORTAL'!C51,'31.07 KYENJOJO-FORTPORTAL'!C51,'02.08 KYENJOJO-FORTPORTAL'!C51,'01.08 KYENJOJO-FORTPORTAL-24h'!C51,'03.08 KYENJOJO-FORTPORTAL-24h'!C51,'04.08 KYENJOJO-FORTP'!C51)</f>
        <v>2.2857142857142856</v>
      </c>
      <c r="D51" s="49">
        <f>AVERAGE('29.07 KYENJOJO-FORTPORTAL'!D51,'30.07 KYENJOJO-FORTPORTAL'!D51,'31.07 KYENJOJO-FORTPORTAL'!D51,'02.08 KYENJOJO-FORTPORTAL'!D51,'01.08 KYENJOJO-FORTPORTAL-24h'!D51,'03.08 KYENJOJO-FORTPORTAL-24h'!D51,'04.08 KYENJOJO-FORTP'!D51)</f>
        <v>0</v>
      </c>
      <c r="E51" s="49">
        <f>AVERAGE('29.07 KYENJOJO-FORTPORTAL'!E51,'30.07 KYENJOJO-FORTPORTAL'!E51,'31.07 KYENJOJO-FORTPORTAL'!E51,'02.08 KYENJOJO-FORTPORTAL'!E51,'01.08 KYENJOJO-FORTPORTAL-24h'!E51,'03.08 KYENJOJO-FORTPORTAL-24h'!E51,'04.08 KYENJOJO-FORTP'!E51)</f>
        <v>4</v>
      </c>
      <c r="F51" s="49">
        <f>AVERAGE('29.07 KYENJOJO-FORTPORTAL'!F51,'30.07 KYENJOJO-FORTPORTAL'!F51,'31.07 KYENJOJO-FORTPORTAL'!F51,'02.08 KYENJOJO-FORTPORTAL'!F51,'01.08 KYENJOJO-FORTPORTAL-24h'!F51,'03.08 KYENJOJO-FORTPORTAL-24h'!F51,'04.08 KYENJOJO-FORTP'!F51)</f>
        <v>2.4285714285714284</v>
      </c>
      <c r="G51" s="49">
        <f>AVERAGE('29.07 KYENJOJO-FORTPORTAL'!G51,'30.07 KYENJOJO-FORTPORTAL'!G51,'31.07 KYENJOJO-FORTPORTAL'!G51,'02.08 KYENJOJO-FORTPORTAL'!G51,'01.08 KYENJOJO-FORTPORTAL-24h'!G51,'03.08 KYENJOJO-FORTPORTAL-24h'!G51,'04.08 KYENJOJO-FORTP'!G51)</f>
        <v>0</v>
      </c>
      <c r="H51" s="49">
        <f>AVERAGE('29.07 KYENJOJO-FORTPORTAL'!H51,'30.07 KYENJOJO-FORTPORTAL'!H51,'31.07 KYENJOJO-FORTPORTAL'!H51,'02.08 KYENJOJO-FORTPORTAL'!H51,'01.08 KYENJOJO-FORTPORTAL-24h'!H51,'03.08 KYENJOJO-FORTPORTAL-24h'!H51,'04.08 KYENJOJO-FORTP'!H51)</f>
        <v>0.42857142857142855</v>
      </c>
      <c r="I51" s="49">
        <f>AVERAGE('29.07 KYENJOJO-FORTPORTAL'!I51,'30.07 KYENJOJO-FORTPORTAL'!I51,'31.07 KYENJOJO-FORTPORTAL'!I51,'02.08 KYENJOJO-FORTPORTAL'!I51,'01.08 KYENJOJO-FORTPORTAL-24h'!I51,'03.08 KYENJOJO-FORTPORTAL-24h'!I51,'04.08 KYENJOJO-FORTP'!I51)</f>
        <v>0.14285714285714285</v>
      </c>
      <c r="J51" s="49">
        <f>AVERAGE('29.07 KYENJOJO-FORTPORTAL'!J51,'30.07 KYENJOJO-FORTPORTAL'!J51,'31.07 KYENJOJO-FORTPORTAL'!J51,'02.08 KYENJOJO-FORTPORTAL'!J51,'01.08 KYENJOJO-FORTPORTAL-24h'!J51,'03.08 KYENJOJO-FORTPORTAL-24h'!J51,'04.08 KYENJOJO-FORTP'!J51)</f>
        <v>0</v>
      </c>
      <c r="K51" s="49">
        <f>AVERAGE('29.07 KYENJOJO-FORTPORTAL'!K51,'30.07 KYENJOJO-FORTPORTAL'!K51,'31.07 KYENJOJO-FORTPORTAL'!K51,'02.08 KYENJOJO-FORTPORTAL'!K51,'01.08 KYENJOJO-FORTPORTAL-24h'!K51,'03.08 KYENJOJO-FORTPORTAL-24h'!K51,'04.08 KYENJOJO-FORTP'!K51)</f>
        <v>0</v>
      </c>
      <c r="L51" s="49">
        <f>AVERAGE('29.07 KYENJOJO-FORTPORTAL'!L51,'30.07 KYENJOJO-FORTPORTAL'!L51,'31.07 KYENJOJO-FORTPORTAL'!L51,'02.08 KYENJOJO-FORTPORTAL'!L51,'01.08 KYENJOJO-FORTPORTAL-24h'!L51,'03.08 KYENJOJO-FORTPORTAL-24h'!L51,'04.08 KYENJOJO-FORTP'!L51)</f>
        <v>0.8571428571428571</v>
      </c>
      <c r="M51" s="49">
        <f>AVERAGE('29.07 KYENJOJO-FORTPORTAL'!M51,'30.07 KYENJOJO-FORTPORTAL'!M51,'31.07 KYENJOJO-FORTPORTAL'!M51,'02.08 KYENJOJO-FORTPORTAL'!M51,'01.08 KYENJOJO-FORTPORTAL-24h'!M51,'03.08 KYENJOJO-FORTPORTAL-24h'!M51,'04.08 KYENJOJO-FORTP'!M51)</f>
        <v>0.8571428571428571</v>
      </c>
      <c r="N51" s="49">
        <f>AVERAGE('29.07 KYENJOJO-FORTPORTAL'!N51,'30.07 KYENJOJO-FORTPORTAL'!N51,'31.07 KYENJOJO-FORTPORTAL'!N51,'02.08 KYENJOJO-FORTPORTAL'!N51,'01.08 KYENJOJO-FORTPORTAL-24h'!N51,'03.08 KYENJOJO-FORTPORTAL-24h'!N51,'04.08 KYENJOJO-FORTP'!N51)</f>
        <v>0</v>
      </c>
      <c r="O51" s="15">
        <f t="shared" si="0"/>
        <v>10.142857142857142</v>
      </c>
      <c r="P51" s="15">
        <f t="shared" si="1"/>
        <v>11</v>
      </c>
      <c r="R51" s="8"/>
      <c r="T51"/>
    </row>
    <row r="52" spans="2:20" ht="23.1" customHeight="1" x14ac:dyDescent="0.25">
      <c r="B52" s="24" t="s">
        <v>79</v>
      </c>
      <c r="C52" s="49">
        <f>AVERAGE('29.07 KYENJOJO-FORTPORTAL'!C52,'30.07 KYENJOJO-FORTPORTAL'!C52,'31.07 KYENJOJO-FORTPORTAL'!C52,'02.08 KYENJOJO-FORTPORTAL'!C52,'01.08 KYENJOJO-FORTPORTAL-24h'!C52,'03.08 KYENJOJO-FORTPORTAL-24h'!C52,'04.08 KYENJOJO-FORTP'!C52)</f>
        <v>3</v>
      </c>
      <c r="D52" s="49">
        <f>AVERAGE('29.07 KYENJOJO-FORTPORTAL'!D52,'30.07 KYENJOJO-FORTPORTAL'!D52,'31.07 KYENJOJO-FORTPORTAL'!D52,'02.08 KYENJOJO-FORTPORTAL'!D52,'01.08 KYENJOJO-FORTPORTAL-24h'!D52,'03.08 KYENJOJO-FORTPORTAL-24h'!D52,'04.08 KYENJOJO-FORTP'!D52)</f>
        <v>0</v>
      </c>
      <c r="E52" s="49">
        <f>AVERAGE('29.07 KYENJOJO-FORTPORTAL'!E52,'30.07 KYENJOJO-FORTPORTAL'!E52,'31.07 KYENJOJO-FORTPORTAL'!E52,'02.08 KYENJOJO-FORTPORTAL'!E52,'01.08 KYENJOJO-FORTPORTAL-24h'!E52,'03.08 KYENJOJO-FORTPORTAL-24h'!E52,'04.08 KYENJOJO-FORTP'!E52)</f>
        <v>4.5714285714285712</v>
      </c>
      <c r="F52" s="49">
        <f>AVERAGE('29.07 KYENJOJO-FORTPORTAL'!F52,'30.07 KYENJOJO-FORTPORTAL'!F52,'31.07 KYENJOJO-FORTPORTAL'!F52,'02.08 KYENJOJO-FORTPORTAL'!F52,'01.08 KYENJOJO-FORTPORTAL-24h'!F52,'03.08 KYENJOJO-FORTPORTAL-24h'!F52,'04.08 KYENJOJO-FORTP'!F52)</f>
        <v>2.5714285714285716</v>
      </c>
      <c r="G52" s="49">
        <f>AVERAGE('29.07 KYENJOJO-FORTPORTAL'!G52,'30.07 KYENJOJO-FORTPORTAL'!G52,'31.07 KYENJOJO-FORTPORTAL'!G52,'02.08 KYENJOJO-FORTPORTAL'!G52,'01.08 KYENJOJO-FORTPORTAL-24h'!G52,'03.08 KYENJOJO-FORTPORTAL-24h'!G52,'04.08 KYENJOJO-FORTP'!G52)</f>
        <v>0</v>
      </c>
      <c r="H52" s="49">
        <f>AVERAGE('29.07 KYENJOJO-FORTPORTAL'!H52,'30.07 KYENJOJO-FORTPORTAL'!H52,'31.07 KYENJOJO-FORTPORTAL'!H52,'02.08 KYENJOJO-FORTPORTAL'!H52,'01.08 KYENJOJO-FORTPORTAL-24h'!H52,'03.08 KYENJOJO-FORTPORTAL-24h'!H52,'04.08 KYENJOJO-FORTP'!H52)</f>
        <v>0</v>
      </c>
      <c r="I52" s="49">
        <f>AVERAGE('29.07 KYENJOJO-FORTPORTAL'!I52,'30.07 KYENJOJO-FORTPORTAL'!I52,'31.07 KYENJOJO-FORTPORTAL'!I52,'02.08 KYENJOJO-FORTPORTAL'!I52,'01.08 KYENJOJO-FORTPORTAL-24h'!I52,'03.08 KYENJOJO-FORTPORTAL-24h'!I52,'04.08 KYENJOJO-FORTP'!I52)</f>
        <v>0.5714285714285714</v>
      </c>
      <c r="J52" s="49">
        <f>AVERAGE('29.07 KYENJOJO-FORTPORTAL'!J52,'30.07 KYENJOJO-FORTPORTAL'!J52,'31.07 KYENJOJO-FORTPORTAL'!J52,'02.08 KYENJOJO-FORTPORTAL'!J52,'01.08 KYENJOJO-FORTPORTAL-24h'!J52,'03.08 KYENJOJO-FORTPORTAL-24h'!J52,'04.08 KYENJOJO-FORTP'!J52)</f>
        <v>0.42857142857142855</v>
      </c>
      <c r="K52" s="49">
        <f>AVERAGE('29.07 KYENJOJO-FORTPORTAL'!K52,'30.07 KYENJOJO-FORTPORTAL'!K52,'31.07 KYENJOJO-FORTPORTAL'!K52,'02.08 KYENJOJO-FORTPORTAL'!K52,'01.08 KYENJOJO-FORTPORTAL-24h'!K52,'03.08 KYENJOJO-FORTPORTAL-24h'!K52,'04.08 KYENJOJO-FORTP'!K52)</f>
        <v>0</v>
      </c>
      <c r="L52" s="49">
        <f>AVERAGE('29.07 KYENJOJO-FORTPORTAL'!L52,'30.07 KYENJOJO-FORTPORTAL'!L52,'31.07 KYENJOJO-FORTPORTAL'!L52,'02.08 KYENJOJO-FORTPORTAL'!L52,'01.08 KYENJOJO-FORTPORTAL-24h'!L52,'03.08 KYENJOJO-FORTPORTAL-24h'!L52,'04.08 KYENJOJO-FORTP'!L52)</f>
        <v>1.2857142857142858</v>
      </c>
      <c r="M52" s="49">
        <f>AVERAGE('29.07 KYENJOJO-FORTPORTAL'!M52,'30.07 KYENJOJO-FORTPORTAL'!M52,'31.07 KYENJOJO-FORTPORTAL'!M52,'02.08 KYENJOJO-FORTPORTAL'!M52,'01.08 KYENJOJO-FORTPORTAL-24h'!M52,'03.08 KYENJOJO-FORTPORTAL-24h'!M52,'04.08 KYENJOJO-FORTP'!M52)</f>
        <v>1.2857142857142858</v>
      </c>
      <c r="N52" s="49">
        <f>AVERAGE('29.07 KYENJOJO-FORTPORTAL'!N52,'30.07 KYENJOJO-FORTPORTAL'!N52,'31.07 KYENJOJO-FORTPORTAL'!N52,'02.08 KYENJOJO-FORTPORTAL'!N52,'01.08 KYENJOJO-FORTPORTAL-24h'!N52,'03.08 KYENJOJO-FORTPORTAL-24h'!N52,'04.08 KYENJOJO-FORTP'!N52)</f>
        <v>0</v>
      </c>
      <c r="O52" s="15">
        <f t="shared" si="0"/>
        <v>12.428571428571429</v>
      </c>
      <c r="P52" s="15">
        <f t="shared" si="1"/>
        <v>13.714285714285715</v>
      </c>
      <c r="R52" s="8"/>
      <c r="T52"/>
    </row>
    <row r="53" spans="2:20" ht="23.1" customHeight="1" x14ac:dyDescent="0.25">
      <c r="B53" s="23" t="s">
        <v>80</v>
      </c>
      <c r="C53" s="49">
        <f>AVERAGE('29.07 KYENJOJO-FORTPORTAL'!C53,'30.07 KYENJOJO-FORTPORTAL'!C53,'31.07 KYENJOJO-FORTPORTAL'!C53,'02.08 KYENJOJO-FORTPORTAL'!C53,'01.08 KYENJOJO-FORTPORTAL-24h'!C53,'03.08 KYENJOJO-FORTPORTAL-24h'!C53,'04.08 KYENJOJO-FORTP'!C53)</f>
        <v>1.4285714285714286</v>
      </c>
      <c r="D53" s="49">
        <f>AVERAGE('29.07 KYENJOJO-FORTPORTAL'!D53,'30.07 KYENJOJO-FORTPORTAL'!D53,'31.07 KYENJOJO-FORTPORTAL'!D53,'02.08 KYENJOJO-FORTPORTAL'!D53,'01.08 KYENJOJO-FORTPORTAL-24h'!D53,'03.08 KYENJOJO-FORTPORTAL-24h'!D53,'04.08 KYENJOJO-FORTP'!D53)</f>
        <v>0</v>
      </c>
      <c r="E53" s="49">
        <f>AVERAGE('29.07 KYENJOJO-FORTPORTAL'!E53,'30.07 KYENJOJO-FORTPORTAL'!E53,'31.07 KYENJOJO-FORTPORTAL'!E53,'02.08 KYENJOJO-FORTPORTAL'!E53,'01.08 KYENJOJO-FORTPORTAL-24h'!E53,'03.08 KYENJOJO-FORTPORTAL-24h'!E53,'04.08 KYENJOJO-FORTP'!E53)</f>
        <v>3.2857142857142856</v>
      </c>
      <c r="F53" s="49">
        <f>AVERAGE('29.07 KYENJOJO-FORTPORTAL'!F53,'30.07 KYENJOJO-FORTPORTAL'!F53,'31.07 KYENJOJO-FORTPORTAL'!F53,'02.08 KYENJOJO-FORTPORTAL'!F53,'01.08 KYENJOJO-FORTPORTAL-24h'!F53,'03.08 KYENJOJO-FORTPORTAL-24h'!F53,'04.08 KYENJOJO-FORTP'!F53)</f>
        <v>2.2857142857142856</v>
      </c>
      <c r="G53" s="49">
        <f>AVERAGE('29.07 KYENJOJO-FORTPORTAL'!G53,'30.07 KYENJOJO-FORTPORTAL'!G53,'31.07 KYENJOJO-FORTPORTAL'!G53,'02.08 KYENJOJO-FORTPORTAL'!G53,'01.08 KYENJOJO-FORTPORTAL-24h'!G53,'03.08 KYENJOJO-FORTPORTAL-24h'!G53,'04.08 KYENJOJO-FORTP'!G53)</f>
        <v>0</v>
      </c>
      <c r="H53" s="49">
        <f>AVERAGE('29.07 KYENJOJO-FORTPORTAL'!H53,'30.07 KYENJOJO-FORTPORTAL'!H53,'31.07 KYENJOJO-FORTPORTAL'!H53,'02.08 KYENJOJO-FORTPORTAL'!H53,'01.08 KYENJOJO-FORTPORTAL-24h'!H53,'03.08 KYENJOJO-FORTPORTAL-24h'!H53,'04.08 KYENJOJO-FORTP'!H53)</f>
        <v>1.1428571428571428</v>
      </c>
      <c r="I53" s="49">
        <f>AVERAGE('29.07 KYENJOJO-FORTPORTAL'!I53,'30.07 KYENJOJO-FORTPORTAL'!I53,'31.07 KYENJOJO-FORTPORTAL'!I53,'02.08 KYENJOJO-FORTPORTAL'!I53,'01.08 KYENJOJO-FORTPORTAL-24h'!I53,'03.08 KYENJOJO-FORTPORTAL-24h'!I53,'04.08 KYENJOJO-FORTP'!I53)</f>
        <v>1</v>
      </c>
      <c r="J53" s="49">
        <f>AVERAGE('29.07 KYENJOJO-FORTPORTAL'!J53,'30.07 KYENJOJO-FORTPORTAL'!J53,'31.07 KYENJOJO-FORTPORTAL'!J53,'02.08 KYENJOJO-FORTPORTAL'!J53,'01.08 KYENJOJO-FORTPORTAL-24h'!J53,'03.08 KYENJOJO-FORTPORTAL-24h'!J53,'04.08 KYENJOJO-FORTP'!J53)</f>
        <v>0.7142857142857143</v>
      </c>
      <c r="K53" s="49">
        <f>AVERAGE('29.07 KYENJOJO-FORTPORTAL'!K53,'30.07 KYENJOJO-FORTPORTAL'!K53,'31.07 KYENJOJO-FORTPORTAL'!K53,'02.08 KYENJOJO-FORTPORTAL'!K53,'01.08 KYENJOJO-FORTPORTAL-24h'!K53,'03.08 KYENJOJO-FORTPORTAL-24h'!K53,'04.08 KYENJOJO-FORTP'!K53)</f>
        <v>0</v>
      </c>
      <c r="L53" s="49">
        <f>AVERAGE('29.07 KYENJOJO-FORTPORTAL'!L53,'30.07 KYENJOJO-FORTPORTAL'!L53,'31.07 KYENJOJO-FORTPORTAL'!L53,'02.08 KYENJOJO-FORTPORTAL'!L53,'01.08 KYENJOJO-FORTPORTAL-24h'!L53,'03.08 KYENJOJO-FORTPORTAL-24h'!L53,'04.08 KYENJOJO-FORTP'!L53)</f>
        <v>0.7142857142857143</v>
      </c>
      <c r="M53" s="49">
        <f>AVERAGE('29.07 KYENJOJO-FORTPORTAL'!M53,'30.07 KYENJOJO-FORTPORTAL'!M53,'31.07 KYENJOJO-FORTPORTAL'!M53,'02.08 KYENJOJO-FORTPORTAL'!M53,'01.08 KYENJOJO-FORTPORTAL-24h'!M53,'03.08 KYENJOJO-FORTPORTAL-24h'!M53,'04.08 KYENJOJO-FORTP'!M53)</f>
        <v>1.7142857142857142</v>
      </c>
      <c r="N53" s="49">
        <f>AVERAGE('29.07 KYENJOJO-FORTPORTAL'!N53,'30.07 KYENJOJO-FORTPORTAL'!N53,'31.07 KYENJOJO-FORTPORTAL'!N53,'02.08 KYENJOJO-FORTPORTAL'!N53,'01.08 KYENJOJO-FORTPORTAL-24h'!N53,'03.08 KYENJOJO-FORTPORTAL-24h'!N53,'04.08 KYENJOJO-FORTP'!N53)</f>
        <v>0</v>
      </c>
      <c r="O53" s="15">
        <f t="shared" si="0"/>
        <v>10.571428571428569</v>
      </c>
      <c r="P53" s="15">
        <f t="shared" si="1"/>
        <v>12.285714285714283</v>
      </c>
      <c r="R53" s="8"/>
      <c r="T53"/>
    </row>
    <row r="54" spans="2:20" ht="23.1" customHeight="1" x14ac:dyDescent="0.25">
      <c r="B54" s="23" t="s">
        <v>81</v>
      </c>
      <c r="C54" s="49">
        <f>AVERAGE('29.07 KYENJOJO-FORTPORTAL'!C54,'30.07 KYENJOJO-FORTPORTAL'!C54,'31.07 KYENJOJO-FORTPORTAL'!C54,'02.08 KYENJOJO-FORTPORTAL'!C54,'01.08 KYENJOJO-FORTPORTAL-24h'!C54,'03.08 KYENJOJO-FORTPORTAL-24h'!C54,'04.08 KYENJOJO-FORTP'!C54)</f>
        <v>1.2857142857142858</v>
      </c>
      <c r="D54" s="49">
        <f>AVERAGE('29.07 KYENJOJO-FORTPORTAL'!D54,'30.07 KYENJOJO-FORTPORTAL'!D54,'31.07 KYENJOJO-FORTPORTAL'!D54,'02.08 KYENJOJO-FORTPORTAL'!D54,'01.08 KYENJOJO-FORTPORTAL-24h'!D54,'03.08 KYENJOJO-FORTPORTAL-24h'!D54,'04.08 KYENJOJO-FORTP'!D54)</f>
        <v>0</v>
      </c>
      <c r="E54" s="49">
        <f>AVERAGE('29.07 KYENJOJO-FORTPORTAL'!E54,'30.07 KYENJOJO-FORTPORTAL'!E54,'31.07 KYENJOJO-FORTPORTAL'!E54,'02.08 KYENJOJO-FORTPORTAL'!E54,'01.08 KYENJOJO-FORTPORTAL-24h'!E54,'03.08 KYENJOJO-FORTPORTAL-24h'!E54,'04.08 KYENJOJO-FORTP'!E54)</f>
        <v>4</v>
      </c>
      <c r="F54" s="49">
        <f>AVERAGE('29.07 KYENJOJO-FORTPORTAL'!F54,'30.07 KYENJOJO-FORTPORTAL'!F54,'31.07 KYENJOJO-FORTPORTAL'!F54,'02.08 KYENJOJO-FORTPORTAL'!F54,'01.08 KYENJOJO-FORTPORTAL-24h'!F54,'03.08 KYENJOJO-FORTPORTAL-24h'!F54,'04.08 KYENJOJO-FORTP'!F54)</f>
        <v>2.5714285714285716</v>
      </c>
      <c r="G54" s="49">
        <f>AVERAGE('29.07 KYENJOJO-FORTPORTAL'!G54,'30.07 KYENJOJO-FORTPORTAL'!G54,'31.07 KYENJOJO-FORTPORTAL'!G54,'02.08 KYENJOJO-FORTPORTAL'!G54,'01.08 KYENJOJO-FORTPORTAL-24h'!G54,'03.08 KYENJOJO-FORTPORTAL-24h'!G54,'04.08 KYENJOJO-FORTP'!G54)</f>
        <v>0.42857142857142855</v>
      </c>
      <c r="H54" s="49">
        <f>AVERAGE('29.07 KYENJOJO-FORTPORTAL'!H54,'30.07 KYENJOJO-FORTPORTAL'!H54,'31.07 KYENJOJO-FORTPORTAL'!H54,'02.08 KYENJOJO-FORTPORTAL'!H54,'01.08 KYENJOJO-FORTPORTAL-24h'!H54,'03.08 KYENJOJO-FORTPORTAL-24h'!H54,'04.08 KYENJOJO-FORTP'!H54)</f>
        <v>0.2857142857142857</v>
      </c>
      <c r="I54" s="49">
        <f>AVERAGE('29.07 KYENJOJO-FORTPORTAL'!I54,'30.07 KYENJOJO-FORTPORTAL'!I54,'31.07 KYENJOJO-FORTPORTAL'!I54,'02.08 KYENJOJO-FORTPORTAL'!I54,'01.08 KYENJOJO-FORTPORTAL-24h'!I54,'03.08 KYENJOJO-FORTPORTAL-24h'!I54,'04.08 KYENJOJO-FORTP'!I54)</f>
        <v>0.7142857142857143</v>
      </c>
      <c r="J54" s="49">
        <f>AVERAGE('29.07 KYENJOJO-FORTPORTAL'!J54,'30.07 KYENJOJO-FORTPORTAL'!J54,'31.07 KYENJOJO-FORTPORTAL'!J54,'02.08 KYENJOJO-FORTPORTAL'!J54,'01.08 KYENJOJO-FORTPORTAL-24h'!J54,'03.08 KYENJOJO-FORTPORTAL-24h'!J54,'04.08 KYENJOJO-FORTP'!J54)</f>
        <v>0.7142857142857143</v>
      </c>
      <c r="K54" s="49">
        <f>AVERAGE('29.07 KYENJOJO-FORTPORTAL'!K54,'30.07 KYENJOJO-FORTPORTAL'!K54,'31.07 KYENJOJO-FORTPORTAL'!K54,'02.08 KYENJOJO-FORTPORTAL'!K54,'01.08 KYENJOJO-FORTPORTAL-24h'!K54,'03.08 KYENJOJO-FORTPORTAL-24h'!K54,'04.08 KYENJOJO-FORTP'!K54)</f>
        <v>0.2857142857142857</v>
      </c>
      <c r="L54" s="49">
        <f>AVERAGE('29.07 KYENJOJO-FORTPORTAL'!L54,'30.07 KYENJOJO-FORTPORTAL'!L54,'31.07 KYENJOJO-FORTPORTAL'!L54,'02.08 KYENJOJO-FORTPORTAL'!L54,'01.08 KYENJOJO-FORTPORTAL-24h'!L54,'03.08 KYENJOJO-FORTPORTAL-24h'!L54,'04.08 KYENJOJO-FORTP'!L54)</f>
        <v>0.5714285714285714</v>
      </c>
      <c r="M54" s="49">
        <f>AVERAGE('29.07 KYENJOJO-FORTPORTAL'!M54,'30.07 KYENJOJO-FORTPORTAL'!M54,'31.07 KYENJOJO-FORTPORTAL'!M54,'02.08 KYENJOJO-FORTPORTAL'!M54,'01.08 KYENJOJO-FORTPORTAL-24h'!M54,'03.08 KYENJOJO-FORTPORTAL-24h'!M54,'04.08 KYENJOJO-FORTP'!M54)</f>
        <v>0.8571428571428571</v>
      </c>
      <c r="N54" s="49">
        <f>AVERAGE('29.07 KYENJOJO-FORTPORTAL'!N54,'30.07 KYENJOJO-FORTPORTAL'!N54,'31.07 KYENJOJO-FORTPORTAL'!N54,'02.08 KYENJOJO-FORTPORTAL'!N54,'01.08 KYENJOJO-FORTPORTAL-24h'!N54,'03.08 KYENJOJO-FORTPORTAL-24h'!N54,'04.08 KYENJOJO-FORTP'!N54)</f>
        <v>0</v>
      </c>
      <c r="O54" s="15">
        <f t="shared" si="0"/>
        <v>10.857142857142858</v>
      </c>
      <c r="P54" s="15">
        <f t="shared" si="1"/>
        <v>11.714285714285715</v>
      </c>
      <c r="R54" s="8"/>
      <c r="T54"/>
    </row>
    <row r="55" spans="2:20" ht="23.1" customHeight="1" x14ac:dyDescent="0.25">
      <c r="B55" s="23" t="s">
        <v>82</v>
      </c>
      <c r="C55" s="49">
        <f>AVERAGE('29.07 KYENJOJO-FORTPORTAL'!C55,'30.07 KYENJOJO-FORTPORTAL'!C55,'31.07 KYENJOJO-FORTPORTAL'!C55,'02.08 KYENJOJO-FORTPORTAL'!C55,'01.08 KYENJOJO-FORTPORTAL-24h'!C55,'03.08 KYENJOJO-FORTPORTAL-24h'!C55,'04.08 KYENJOJO-FORTP'!C55)</f>
        <v>1.1428571428571428</v>
      </c>
      <c r="D55" s="49">
        <f>AVERAGE('29.07 KYENJOJO-FORTPORTAL'!D55,'30.07 KYENJOJO-FORTPORTAL'!D55,'31.07 KYENJOJO-FORTPORTAL'!D55,'02.08 KYENJOJO-FORTPORTAL'!D55,'01.08 KYENJOJO-FORTPORTAL-24h'!D55,'03.08 KYENJOJO-FORTPORTAL-24h'!D55,'04.08 KYENJOJO-FORTP'!D55)</f>
        <v>0</v>
      </c>
      <c r="E55" s="49">
        <f>AVERAGE('29.07 KYENJOJO-FORTPORTAL'!E55,'30.07 KYENJOJO-FORTPORTAL'!E55,'31.07 KYENJOJO-FORTPORTAL'!E55,'02.08 KYENJOJO-FORTPORTAL'!E55,'01.08 KYENJOJO-FORTPORTAL-24h'!E55,'03.08 KYENJOJO-FORTPORTAL-24h'!E55,'04.08 KYENJOJO-FORTP'!E55)</f>
        <v>2.4285714285714284</v>
      </c>
      <c r="F55" s="49">
        <f>AVERAGE('29.07 KYENJOJO-FORTPORTAL'!F55,'30.07 KYENJOJO-FORTPORTAL'!F55,'31.07 KYENJOJO-FORTPORTAL'!F55,'02.08 KYENJOJO-FORTPORTAL'!F55,'01.08 KYENJOJO-FORTPORTAL-24h'!F55,'03.08 KYENJOJO-FORTPORTAL-24h'!F55,'04.08 KYENJOJO-FORTP'!F55)</f>
        <v>1.8571428571428572</v>
      </c>
      <c r="G55" s="49">
        <f>AVERAGE('29.07 KYENJOJO-FORTPORTAL'!G55,'30.07 KYENJOJO-FORTPORTAL'!G55,'31.07 KYENJOJO-FORTPORTAL'!G55,'02.08 KYENJOJO-FORTPORTAL'!G55,'01.08 KYENJOJO-FORTPORTAL-24h'!G55,'03.08 KYENJOJO-FORTPORTAL-24h'!G55,'04.08 KYENJOJO-FORTP'!G55)</f>
        <v>0.2857142857142857</v>
      </c>
      <c r="H55" s="49">
        <f>AVERAGE('29.07 KYENJOJO-FORTPORTAL'!H55,'30.07 KYENJOJO-FORTPORTAL'!H55,'31.07 KYENJOJO-FORTPORTAL'!H55,'02.08 KYENJOJO-FORTPORTAL'!H55,'01.08 KYENJOJO-FORTPORTAL-24h'!H55,'03.08 KYENJOJO-FORTPORTAL-24h'!H55,'04.08 KYENJOJO-FORTP'!H55)</f>
        <v>0.8571428571428571</v>
      </c>
      <c r="I55" s="49">
        <f>AVERAGE('29.07 KYENJOJO-FORTPORTAL'!I55,'30.07 KYENJOJO-FORTPORTAL'!I55,'31.07 KYENJOJO-FORTPORTAL'!I55,'02.08 KYENJOJO-FORTPORTAL'!I55,'01.08 KYENJOJO-FORTPORTAL-24h'!I55,'03.08 KYENJOJO-FORTPORTAL-24h'!I55,'04.08 KYENJOJO-FORTP'!I55)</f>
        <v>1.7142857142857142</v>
      </c>
      <c r="J55" s="49">
        <f>AVERAGE('29.07 KYENJOJO-FORTPORTAL'!J55,'30.07 KYENJOJO-FORTPORTAL'!J55,'31.07 KYENJOJO-FORTPORTAL'!J55,'02.08 KYENJOJO-FORTPORTAL'!J55,'01.08 KYENJOJO-FORTPORTAL-24h'!J55,'03.08 KYENJOJO-FORTPORTAL-24h'!J55,'04.08 KYENJOJO-FORTP'!J55)</f>
        <v>0.14285714285714285</v>
      </c>
      <c r="K55" s="49">
        <f>AVERAGE('29.07 KYENJOJO-FORTPORTAL'!K55,'30.07 KYENJOJO-FORTPORTAL'!K55,'31.07 KYENJOJO-FORTPORTAL'!K55,'02.08 KYENJOJO-FORTPORTAL'!K55,'01.08 KYENJOJO-FORTPORTAL-24h'!K55,'03.08 KYENJOJO-FORTPORTAL-24h'!K55,'04.08 KYENJOJO-FORTP'!K55)</f>
        <v>0</v>
      </c>
      <c r="L55" s="49">
        <f>AVERAGE('29.07 KYENJOJO-FORTPORTAL'!L55,'30.07 KYENJOJO-FORTPORTAL'!L55,'31.07 KYENJOJO-FORTPORTAL'!L55,'02.08 KYENJOJO-FORTPORTAL'!L55,'01.08 KYENJOJO-FORTPORTAL-24h'!L55,'03.08 KYENJOJO-FORTPORTAL-24h'!L55,'04.08 KYENJOJO-FORTP'!L55)</f>
        <v>0.5714285714285714</v>
      </c>
      <c r="M55" s="49">
        <f>AVERAGE('29.07 KYENJOJO-FORTPORTAL'!M55,'30.07 KYENJOJO-FORTPORTAL'!M55,'31.07 KYENJOJO-FORTPORTAL'!M55,'02.08 KYENJOJO-FORTPORTAL'!M55,'01.08 KYENJOJO-FORTPORTAL-24h'!M55,'03.08 KYENJOJO-FORTPORTAL-24h'!M55,'04.08 KYENJOJO-FORTP'!M55)</f>
        <v>1.7142857142857142</v>
      </c>
      <c r="N55" s="49">
        <f>AVERAGE('29.07 KYENJOJO-FORTPORTAL'!N55,'30.07 KYENJOJO-FORTPORTAL'!N55,'31.07 KYENJOJO-FORTPORTAL'!N55,'02.08 KYENJOJO-FORTPORTAL'!N55,'01.08 KYENJOJO-FORTPORTAL-24h'!N55,'03.08 KYENJOJO-FORTPORTAL-24h'!N55,'04.08 KYENJOJO-FORTP'!N55)</f>
        <v>0</v>
      </c>
      <c r="O55" s="15">
        <f t="shared" si="0"/>
        <v>8.9999999999999982</v>
      </c>
      <c r="P55" s="15">
        <f t="shared" si="1"/>
        <v>10.714285714285712</v>
      </c>
      <c r="R55" s="8"/>
      <c r="T55"/>
    </row>
    <row r="56" spans="2:20" ht="23.1" customHeight="1" x14ac:dyDescent="0.25">
      <c r="B56" s="23" t="s">
        <v>83</v>
      </c>
      <c r="C56" s="49">
        <f>AVERAGE('29.07 KYENJOJO-FORTPORTAL'!C56,'30.07 KYENJOJO-FORTPORTAL'!C56,'31.07 KYENJOJO-FORTPORTAL'!C56,'02.08 KYENJOJO-FORTPORTAL'!C56,'01.08 KYENJOJO-FORTPORTAL-24h'!C56,'03.08 KYENJOJO-FORTPORTAL-24h'!C56,'04.08 KYENJOJO-FORTP'!C56)</f>
        <v>1.7142857142857142</v>
      </c>
      <c r="D56" s="49">
        <f>AVERAGE('29.07 KYENJOJO-FORTPORTAL'!D56,'30.07 KYENJOJO-FORTPORTAL'!D56,'31.07 KYENJOJO-FORTPORTAL'!D56,'02.08 KYENJOJO-FORTPORTAL'!D56,'01.08 KYENJOJO-FORTPORTAL-24h'!D56,'03.08 KYENJOJO-FORTPORTAL-24h'!D56,'04.08 KYENJOJO-FORTP'!D56)</f>
        <v>0</v>
      </c>
      <c r="E56" s="49">
        <f>AVERAGE('29.07 KYENJOJO-FORTPORTAL'!E56,'30.07 KYENJOJO-FORTPORTAL'!E56,'31.07 KYENJOJO-FORTPORTAL'!E56,'02.08 KYENJOJO-FORTPORTAL'!E56,'01.08 KYENJOJO-FORTPORTAL-24h'!E56,'03.08 KYENJOJO-FORTPORTAL-24h'!E56,'04.08 KYENJOJO-FORTP'!E56)</f>
        <v>3.8571428571428572</v>
      </c>
      <c r="F56" s="49">
        <f>AVERAGE('29.07 KYENJOJO-FORTPORTAL'!F56,'30.07 KYENJOJO-FORTPORTAL'!F56,'31.07 KYENJOJO-FORTPORTAL'!F56,'02.08 KYENJOJO-FORTPORTAL'!F56,'01.08 KYENJOJO-FORTPORTAL-24h'!F56,'03.08 KYENJOJO-FORTPORTAL-24h'!F56,'04.08 KYENJOJO-FORTP'!F56)</f>
        <v>2.2857142857142856</v>
      </c>
      <c r="G56" s="49">
        <f>AVERAGE('29.07 KYENJOJO-FORTPORTAL'!G56,'30.07 KYENJOJO-FORTPORTAL'!G56,'31.07 KYENJOJO-FORTPORTAL'!G56,'02.08 KYENJOJO-FORTPORTAL'!G56,'01.08 KYENJOJO-FORTPORTAL-24h'!G56,'03.08 KYENJOJO-FORTPORTAL-24h'!G56,'04.08 KYENJOJO-FORTP'!G56)</f>
        <v>0.14285714285714285</v>
      </c>
      <c r="H56" s="49">
        <f>AVERAGE('29.07 KYENJOJO-FORTPORTAL'!H56,'30.07 KYENJOJO-FORTPORTAL'!H56,'31.07 KYENJOJO-FORTPORTAL'!H56,'02.08 KYENJOJO-FORTPORTAL'!H56,'01.08 KYENJOJO-FORTPORTAL-24h'!H56,'03.08 KYENJOJO-FORTPORTAL-24h'!H56,'04.08 KYENJOJO-FORTP'!H56)</f>
        <v>0.2857142857142857</v>
      </c>
      <c r="I56" s="49">
        <f>AVERAGE('29.07 KYENJOJO-FORTPORTAL'!I56,'30.07 KYENJOJO-FORTPORTAL'!I56,'31.07 KYENJOJO-FORTPORTAL'!I56,'02.08 KYENJOJO-FORTPORTAL'!I56,'01.08 KYENJOJO-FORTPORTAL-24h'!I56,'03.08 KYENJOJO-FORTPORTAL-24h'!I56,'04.08 KYENJOJO-FORTP'!I56)</f>
        <v>2.1428571428571428</v>
      </c>
      <c r="J56" s="49">
        <f>AVERAGE('29.07 KYENJOJO-FORTPORTAL'!J56,'30.07 KYENJOJO-FORTPORTAL'!J56,'31.07 KYENJOJO-FORTPORTAL'!J56,'02.08 KYENJOJO-FORTPORTAL'!J56,'01.08 KYENJOJO-FORTPORTAL-24h'!J56,'03.08 KYENJOJO-FORTPORTAL-24h'!J56,'04.08 KYENJOJO-FORTP'!J56)</f>
        <v>0.8571428571428571</v>
      </c>
      <c r="K56" s="49">
        <f>AVERAGE('29.07 KYENJOJO-FORTPORTAL'!K56,'30.07 KYENJOJO-FORTPORTAL'!K56,'31.07 KYENJOJO-FORTPORTAL'!K56,'02.08 KYENJOJO-FORTPORTAL'!K56,'01.08 KYENJOJO-FORTPORTAL-24h'!K56,'03.08 KYENJOJO-FORTPORTAL-24h'!K56,'04.08 KYENJOJO-FORTP'!K56)</f>
        <v>0.14285714285714285</v>
      </c>
      <c r="L56" s="49">
        <f>AVERAGE('29.07 KYENJOJO-FORTPORTAL'!L56,'30.07 KYENJOJO-FORTPORTAL'!L56,'31.07 KYENJOJO-FORTPORTAL'!L56,'02.08 KYENJOJO-FORTPORTAL'!L56,'01.08 KYENJOJO-FORTPORTAL-24h'!L56,'03.08 KYENJOJO-FORTPORTAL-24h'!L56,'04.08 KYENJOJO-FORTP'!L56)</f>
        <v>0.2857142857142857</v>
      </c>
      <c r="M56" s="49">
        <f>AVERAGE('29.07 KYENJOJO-FORTPORTAL'!M56,'30.07 KYENJOJO-FORTPORTAL'!M56,'31.07 KYENJOJO-FORTPORTAL'!M56,'02.08 KYENJOJO-FORTPORTAL'!M56,'01.08 KYENJOJO-FORTPORTAL-24h'!M56,'03.08 KYENJOJO-FORTPORTAL-24h'!M56,'04.08 KYENJOJO-FORTP'!M56)</f>
        <v>1</v>
      </c>
      <c r="N56" s="49">
        <f>AVERAGE('29.07 KYENJOJO-FORTPORTAL'!N56,'30.07 KYENJOJO-FORTPORTAL'!N56,'31.07 KYENJOJO-FORTPORTAL'!N56,'02.08 KYENJOJO-FORTPORTAL'!N56,'01.08 KYENJOJO-FORTPORTAL-24h'!N56,'03.08 KYENJOJO-FORTPORTAL-24h'!N56,'04.08 KYENJOJO-FORTP'!N56)</f>
        <v>0</v>
      </c>
      <c r="O56" s="15">
        <f t="shared" si="0"/>
        <v>11.714285714285715</v>
      </c>
      <c r="P56" s="15">
        <f t="shared" si="1"/>
        <v>12.714285714285715</v>
      </c>
      <c r="R56" s="8"/>
      <c r="T56"/>
    </row>
    <row r="57" spans="2:20" ht="23.1" customHeight="1" x14ac:dyDescent="0.25">
      <c r="B57" s="23" t="s">
        <v>84</v>
      </c>
      <c r="C57" s="49">
        <f>AVERAGE('29.07 KYENJOJO-FORTPORTAL'!C57,'30.07 KYENJOJO-FORTPORTAL'!C57,'31.07 KYENJOJO-FORTPORTAL'!C57,'02.08 KYENJOJO-FORTPORTAL'!C57,'01.08 KYENJOJO-FORTPORTAL-24h'!C57,'03.08 KYENJOJO-FORTPORTAL-24h'!C57,'04.08 KYENJOJO-FORTP'!C57)</f>
        <v>1.1428571428571428</v>
      </c>
      <c r="D57" s="49">
        <f>AVERAGE('29.07 KYENJOJO-FORTPORTAL'!D57,'30.07 KYENJOJO-FORTPORTAL'!D57,'31.07 KYENJOJO-FORTPORTAL'!D57,'02.08 KYENJOJO-FORTPORTAL'!D57,'01.08 KYENJOJO-FORTPORTAL-24h'!D57,'03.08 KYENJOJO-FORTPORTAL-24h'!D57,'04.08 KYENJOJO-FORTP'!D57)</f>
        <v>0</v>
      </c>
      <c r="E57" s="49">
        <f>AVERAGE('29.07 KYENJOJO-FORTPORTAL'!E57,'30.07 KYENJOJO-FORTPORTAL'!E57,'31.07 KYENJOJO-FORTPORTAL'!E57,'02.08 KYENJOJO-FORTPORTAL'!E57,'01.08 KYENJOJO-FORTPORTAL-24h'!E57,'03.08 KYENJOJO-FORTPORTAL-24h'!E57,'04.08 KYENJOJO-FORTP'!E57)</f>
        <v>2.7142857142857144</v>
      </c>
      <c r="F57" s="49">
        <f>AVERAGE('29.07 KYENJOJO-FORTPORTAL'!F57,'30.07 KYENJOJO-FORTPORTAL'!F57,'31.07 KYENJOJO-FORTPORTAL'!F57,'02.08 KYENJOJO-FORTPORTAL'!F57,'01.08 KYENJOJO-FORTPORTAL-24h'!F57,'03.08 KYENJOJO-FORTPORTAL-24h'!F57,'04.08 KYENJOJO-FORTP'!F57)</f>
        <v>1</v>
      </c>
      <c r="G57" s="49">
        <f>AVERAGE('29.07 KYENJOJO-FORTPORTAL'!G57,'30.07 KYENJOJO-FORTPORTAL'!G57,'31.07 KYENJOJO-FORTPORTAL'!G57,'02.08 KYENJOJO-FORTPORTAL'!G57,'01.08 KYENJOJO-FORTPORTAL-24h'!G57,'03.08 KYENJOJO-FORTPORTAL-24h'!G57,'04.08 KYENJOJO-FORTP'!G57)</f>
        <v>0.2857142857142857</v>
      </c>
      <c r="H57" s="49">
        <f>AVERAGE('29.07 KYENJOJO-FORTPORTAL'!H57,'30.07 KYENJOJO-FORTPORTAL'!H57,'31.07 KYENJOJO-FORTPORTAL'!H57,'02.08 KYENJOJO-FORTPORTAL'!H57,'01.08 KYENJOJO-FORTPORTAL-24h'!H57,'03.08 KYENJOJO-FORTPORTAL-24h'!H57,'04.08 KYENJOJO-FORTP'!H57)</f>
        <v>0.5714285714285714</v>
      </c>
      <c r="I57" s="49">
        <f>AVERAGE('29.07 KYENJOJO-FORTPORTAL'!I57,'30.07 KYENJOJO-FORTPORTAL'!I57,'31.07 KYENJOJO-FORTPORTAL'!I57,'02.08 KYENJOJO-FORTPORTAL'!I57,'01.08 KYENJOJO-FORTPORTAL-24h'!I57,'03.08 KYENJOJO-FORTPORTAL-24h'!I57,'04.08 KYENJOJO-FORTP'!I57)</f>
        <v>1.5714285714285714</v>
      </c>
      <c r="J57" s="49">
        <f>AVERAGE('29.07 KYENJOJO-FORTPORTAL'!J57,'30.07 KYENJOJO-FORTPORTAL'!J57,'31.07 KYENJOJO-FORTPORTAL'!J57,'02.08 KYENJOJO-FORTPORTAL'!J57,'01.08 KYENJOJO-FORTPORTAL-24h'!J57,'03.08 KYENJOJO-FORTPORTAL-24h'!J57,'04.08 KYENJOJO-FORTP'!J57)</f>
        <v>0.2857142857142857</v>
      </c>
      <c r="K57" s="49">
        <f>AVERAGE('29.07 KYENJOJO-FORTPORTAL'!K57,'30.07 KYENJOJO-FORTPORTAL'!K57,'31.07 KYENJOJO-FORTPORTAL'!K57,'02.08 KYENJOJO-FORTPORTAL'!K57,'01.08 KYENJOJO-FORTPORTAL-24h'!K57,'03.08 KYENJOJO-FORTPORTAL-24h'!K57,'04.08 KYENJOJO-FORTP'!K57)</f>
        <v>0</v>
      </c>
      <c r="L57" s="49">
        <f>AVERAGE('29.07 KYENJOJO-FORTPORTAL'!L57,'30.07 KYENJOJO-FORTPORTAL'!L57,'31.07 KYENJOJO-FORTPORTAL'!L57,'02.08 KYENJOJO-FORTPORTAL'!L57,'01.08 KYENJOJO-FORTPORTAL-24h'!L57,'03.08 KYENJOJO-FORTPORTAL-24h'!L57,'04.08 KYENJOJO-FORTP'!L57)</f>
        <v>0.5714285714285714</v>
      </c>
      <c r="M57" s="49">
        <f>AVERAGE('29.07 KYENJOJO-FORTPORTAL'!M57,'30.07 KYENJOJO-FORTPORTAL'!M57,'31.07 KYENJOJO-FORTPORTAL'!M57,'02.08 KYENJOJO-FORTPORTAL'!M57,'01.08 KYENJOJO-FORTPORTAL-24h'!M57,'03.08 KYENJOJO-FORTPORTAL-24h'!M57,'04.08 KYENJOJO-FORTP'!M57)</f>
        <v>1.5714285714285714</v>
      </c>
      <c r="N57" s="49">
        <f>AVERAGE('29.07 KYENJOJO-FORTPORTAL'!N57,'30.07 KYENJOJO-FORTPORTAL'!N57,'31.07 KYENJOJO-FORTPORTAL'!N57,'02.08 KYENJOJO-FORTPORTAL'!N57,'01.08 KYENJOJO-FORTPORTAL-24h'!N57,'03.08 KYENJOJO-FORTPORTAL-24h'!N57,'04.08 KYENJOJO-FORTP'!N57)</f>
        <v>0</v>
      </c>
      <c r="O57" s="15">
        <f t="shared" si="0"/>
        <v>8.1428571428571423</v>
      </c>
      <c r="P57" s="15">
        <f t="shared" si="1"/>
        <v>9.7142857142857135</v>
      </c>
      <c r="R57" s="8"/>
      <c r="T57"/>
    </row>
    <row r="58" spans="2:20" ht="23.1" customHeight="1" x14ac:dyDescent="0.25">
      <c r="B58" s="23" t="s">
        <v>99</v>
      </c>
      <c r="C58" s="49">
        <f>AVERAGE('01.08 KYENJOJO-FORTPORTAL-24h'!C58,'03.08 KYENJOJO-FORTPORTAL-24h'!C58)</f>
        <v>2</v>
      </c>
      <c r="D58" s="49">
        <f>AVERAGE('01.08 KYENJOJO-FORTPORTAL-24h'!D58,'03.08 KYENJOJO-FORTPORTAL-24h'!D58)</f>
        <v>0</v>
      </c>
      <c r="E58" s="49">
        <f>AVERAGE('01.08 KYENJOJO-FORTPORTAL-24h'!E58,'03.08 KYENJOJO-FORTPORTAL-24h'!E58)</f>
        <v>1</v>
      </c>
      <c r="F58" s="49">
        <f>AVERAGE('01.08 KYENJOJO-FORTPORTAL-24h'!F58,'03.08 KYENJOJO-FORTPORTAL-24h'!F58)</f>
        <v>1.5</v>
      </c>
      <c r="G58" s="49">
        <f>AVERAGE('01.08 KYENJOJO-FORTPORTAL-24h'!G58,'03.08 KYENJOJO-FORTPORTAL-24h'!G58)</f>
        <v>0</v>
      </c>
      <c r="H58" s="49">
        <f>AVERAGE('01.08 KYENJOJO-FORTPORTAL-24h'!H58,'03.08 KYENJOJO-FORTPORTAL-24h'!H58)</f>
        <v>0</v>
      </c>
      <c r="I58" s="49">
        <f>AVERAGE('01.08 KYENJOJO-FORTPORTAL-24h'!I58,'03.08 KYENJOJO-FORTPORTAL-24h'!I58)</f>
        <v>1.5</v>
      </c>
      <c r="J58" s="49">
        <f>AVERAGE('01.08 KYENJOJO-FORTPORTAL-24h'!J58,'03.08 KYENJOJO-FORTPORTAL-24h'!J58)</f>
        <v>0</v>
      </c>
      <c r="K58" s="49">
        <f>AVERAGE('01.08 KYENJOJO-FORTPORTAL-24h'!K58,'03.08 KYENJOJO-FORTPORTAL-24h'!K58)</f>
        <v>0</v>
      </c>
      <c r="L58" s="49">
        <f>AVERAGE('01.08 KYENJOJO-FORTPORTAL-24h'!L58,'03.08 KYENJOJO-FORTPORTAL-24h'!L58)</f>
        <v>1</v>
      </c>
      <c r="M58" s="49">
        <f>AVERAGE('01.08 KYENJOJO-FORTPORTAL-24h'!M58,'03.08 KYENJOJO-FORTPORTAL-24h'!M58)</f>
        <v>2.5</v>
      </c>
      <c r="N58" s="49">
        <f>AVERAGE('01.08 KYENJOJO-FORTPORTAL-24h'!N58,'03.08 KYENJOJO-FORTPORTAL-24h'!N58)</f>
        <v>0</v>
      </c>
      <c r="O58" s="15">
        <f t="shared" si="0"/>
        <v>7</v>
      </c>
      <c r="P58" s="15">
        <f t="shared" si="1"/>
        <v>9.5</v>
      </c>
      <c r="R58" s="8"/>
      <c r="T58"/>
    </row>
    <row r="59" spans="2:20" ht="23.1" customHeight="1" x14ac:dyDescent="0.25">
      <c r="B59" s="23" t="s">
        <v>100</v>
      </c>
      <c r="C59" s="49">
        <f>AVERAGE('01.08 KYENJOJO-FORTPORTAL-24h'!C59,'03.08 KYENJOJO-FORTPORTAL-24h'!C59)</f>
        <v>2</v>
      </c>
      <c r="D59" s="49">
        <f>AVERAGE('01.08 KYENJOJO-FORTPORTAL-24h'!D59,'03.08 KYENJOJO-FORTPORTAL-24h'!D59)</f>
        <v>0</v>
      </c>
      <c r="E59" s="49">
        <f>AVERAGE('01.08 KYENJOJO-FORTPORTAL-24h'!E59,'03.08 KYENJOJO-FORTPORTAL-24h'!E59)</f>
        <v>1.5</v>
      </c>
      <c r="F59" s="49">
        <f>AVERAGE('01.08 KYENJOJO-FORTPORTAL-24h'!F59,'03.08 KYENJOJO-FORTPORTAL-24h'!F59)</f>
        <v>0.5</v>
      </c>
      <c r="G59" s="49">
        <f>AVERAGE('01.08 KYENJOJO-FORTPORTAL-24h'!G59,'03.08 KYENJOJO-FORTPORTAL-24h'!G59)</f>
        <v>0</v>
      </c>
      <c r="H59" s="49">
        <f>AVERAGE('01.08 KYENJOJO-FORTPORTAL-24h'!H59,'03.08 KYENJOJO-FORTPORTAL-24h'!H59)</f>
        <v>0</v>
      </c>
      <c r="I59" s="49">
        <f>AVERAGE('01.08 KYENJOJO-FORTPORTAL-24h'!I59,'03.08 KYENJOJO-FORTPORTAL-24h'!I59)</f>
        <v>0.5</v>
      </c>
      <c r="J59" s="49">
        <f>AVERAGE('01.08 KYENJOJO-FORTPORTAL-24h'!J59,'03.08 KYENJOJO-FORTPORTAL-24h'!J59)</f>
        <v>0</v>
      </c>
      <c r="K59" s="49">
        <f>AVERAGE('01.08 KYENJOJO-FORTPORTAL-24h'!K59,'03.08 KYENJOJO-FORTPORTAL-24h'!K59)</f>
        <v>0</v>
      </c>
      <c r="L59" s="49">
        <f>AVERAGE('01.08 KYENJOJO-FORTPORTAL-24h'!L59,'03.08 KYENJOJO-FORTPORTAL-24h'!L59)</f>
        <v>0</v>
      </c>
      <c r="M59" s="49">
        <f>AVERAGE('01.08 KYENJOJO-FORTPORTAL-24h'!M59,'03.08 KYENJOJO-FORTPORTAL-24h'!M59)</f>
        <v>1</v>
      </c>
      <c r="N59" s="49">
        <f>AVERAGE('01.08 KYENJOJO-FORTPORTAL-24h'!N59,'03.08 KYENJOJO-FORTPORTAL-24h'!N59)</f>
        <v>0</v>
      </c>
      <c r="O59" s="15">
        <f t="shared" si="0"/>
        <v>4.5</v>
      </c>
      <c r="P59" s="15">
        <f t="shared" si="1"/>
        <v>5.5</v>
      </c>
      <c r="R59" s="8"/>
      <c r="T59"/>
    </row>
    <row r="60" spans="2:20" ht="23.1" customHeight="1" x14ac:dyDescent="0.25">
      <c r="B60" s="23" t="s">
        <v>101</v>
      </c>
      <c r="C60" s="49">
        <f>AVERAGE('01.08 KYENJOJO-FORTPORTAL-24h'!C60,'03.08 KYENJOJO-FORTPORTAL-24h'!C60)</f>
        <v>0.5</v>
      </c>
      <c r="D60" s="49">
        <f>AVERAGE('01.08 KYENJOJO-FORTPORTAL-24h'!D60,'03.08 KYENJOJO-FORTPORTAL-24h'!D60)</f>
        <v>0</v>
      </c>
      <c r="E60" s="49">
        <f>AVERAGE('01.08 KYENJOJO-FORTPORTAL-24h'!E60,'03.08 KYENJOJO-FORTPORTAL-24h'!E60)</f>
        <v>0.5</v>
      </c>
      <c r="F60" s="49">
        <f>AVERAGE('01.08 KYENJOJO-FORTPORTAL-24h'!F60,'03.08 KYENJOJO-FORTPORTAL-24h'!F60)</f>
        <v>0</v>
      </c>
      <c r="G60" s="49">
        <f>AVERAGE('01.08 KYENJOJO-FORTPORTAL-24h'!G60,'03.08 KYENJOJO-FORTPORTAL-24h'!G60)</f>
        <v>0</v>
      </c>
      <c r="H60" s="49">
        <f>AVERAGE('01.08 KYENJOJO-FORTPORTAL-24h'!H60,'03.08 KYENJOJO-FORTPORTAL-24h'!H60)</f>
        <v>0</v>
      </c>
      <c r="I60" s="49">
        <f>AVERAGE('01.08 KYENJOJO-FORTPORTAL-24h'!I60,'03.08 KYENJOJO-FORTPORTAL-24h'!I60)</f>
        <v>1</v>
      </c>
      <c r="J60" s="49">
        <f>AVERAGE('01.08 KYENJOJO-FORTPORTAL-24h'!J60,'03.08 KYENJOJO-FORTPORTAL-24h'!J60)</f>
        <v>0</v>
      </c>
      <c r="K60" s="49">
        <f>AVERAGE('01.08 KYENJOJO-FORTPORTAL-24h'!K60,'03.08 KYENJOJO-FORTPORTAL-24h'!K60)</f>
        <v>0</v>
      </c>
      <c r="L60" s="49">
        <f>AVERAGE('01.08 KYENJOJO-FORTPORTAL-24h'!L60,'03.08 KYENJOJO-FORTPORTAL-24h'!L60)</f>
        <v>0</v>
      </c>
      <c r="M60" s="49">
        <f>AVERAGE('01.08 KYENJOJO-FORTPORTAL-24h'!M60,'03.08 KYENJOJO-FORTPORTAL-24h'!M60)</f>
        <v>1</v>
      </c>
      <c r="N60" s="49">
        <f>AVERAGE('01.08 KYENJOJO-FORTPORTAL-24h'!N60,'03.08 KYENJOJO-FORTPORTAL-24h'!N60)</f>
        <v>0</v>
      </c>
      <c r="O60" s="15">
        <f t="shared" si="0"/>
        <v>2</v>
      </c>
      <c r="P60" s="15">
        <f t="shared" si="1"/>
        <v>3</v>
      </c>
      <c r="R60" s="8"/>
      <c r="T60"/>
    </row>
    <row r="61" spans="2:20" ht="23.1" customHeight="1" x14ac:dyDescent="0.25">
      <c r="B61" s="23" t="s">
        <v>102</v>
      </c>
      <c r="C61" s="49">
        <f>AVERAGE('01.08 KYENJOJO-FORTPORTAL-24h'!C61,'03.08 KYENJOJO-FORTPORTAL-24h'!C61)</f>
        <v>1.5</v>
      </c>
      <c r="D61" s="49">
        <f>AVERAGE('01.08 KYENJOJO-FORTPORTAL-24h'!D61,'03.08 KYENJOJO-FORTPORTAL-24h'!D61)</f>
        <v>0</v>
      </c>
      <c r="E61" s="49">
        <f>AVERAGE('01.08 KYENJOJO-FORTPORTAL-24h'!E61,'03.08 KYENJOJO-FORTPORTAL-24h'!E61)</f>
        <v>0.5</v>
      </c>
      <c r="F61" s="49">
        <f>AVERAGE('01.08 KYENJOJO-FORTPORTAL-24h'!F61,'03.08 KYENJOJO-FORTPORTAL-24h'!F61)</f>
        <v>1.5</v>
      </c>
      <c r="G61" s="49">
        <f>AVERAGE('01.08 KYENJOJO-FORTPORTAL-24h'!G61,'03.08 KYENJOJO-FORTPORTAL-24h'!G61)</f>
        <v>0</v>
      </c>
      <c r="H61" s="49">
        <f>AVERAGE('01.08 KYENJOJO-FORTPORTAL-24h'!H61,'03.08 KYENJOJO-FORTPORTAL-24h'!H61)</f>
        <v>0</v>
      </c>
      <c r="I61" s="49">
        <f>AVERAGE('01.08 KYENJOJO-FORTPORTAL-24h'!I61,'03.08 KYENJOJO-FORTPORTAL-24h'!I61)</f>
        <v>0.5</v>
      </c>
      <c r="J61" s="49">
        <f>AVERAGE('01.08 KYENJOJO-FORTPORTAL-24h'!J61,'03.08 KYENJOJO-FORTPORTAL-24h'!J61)</f>
        <v>0.5</v>
      </c>
      <c r="K61" s="49">
        <f>AVERAGE('01.08 KYENJOJO-FORTPORTAL-24h'!K61,'03.08 KYENJOJO-FORTPORTAL-24h'!K61)</f>
        <v>0</v>
      </c>
      <c r="L61" s="49">
        <f>AVERAGE('01.08 KYENJOJO-FORTPORTAL-24h'!L61,'03.08 KYENJOJO-FORTPORTAL-24h'!L61)</f>
        <v>1</v>
      </c>
      <c r="M61" s="49">
        <f>AVERAGE('01.08 KYENJOJO-FORTPORTAL-24h'!M61,'03.08 KYENJOJO-FORTPORTAL-24h'!M61)</f>
        <v>1.5</v>
      </c>
      <c r="N61" s="49">
        <f>AVERAGE('01.08 KYENJOJO-FORTPORTAL-24h'!N61,'03.08 KYENJOJO-FORTPORTAL-24h'!N61)</f>
        <v>0</v>
      </c>
      <c r="O61" s="15">
        <f t="shared" si="0"/>
        <v>5.5</v>
      </c>
      <c r="P61" s="15">
        <f t="shared" si="1"/>
        <v>7</v>
      </c>
      <c r="R61" s="8"/>
      <c r="T61"/>
    </row>
    <row r="62" spans="2:20" ht="23.1" customHeight="1" x14ac:dyDescent="0.25">
      <c r="B62" s="23" t="s">
        <v>107</v>
      </c>
      <c r="C62" s="49">
        <f>AVERAGE('01.08 KYENJOJO-FORTPORTAL-24h'!C62,'03.08 KYENJOJO-FORTPORTAL-24h'!C62)</f>
        <v>0</v>
      </c>
      <c r="D62" s="49">
        <f>AVERAGE('01.08 KYENJOJO-FORTPORTAL-24h'!D62,'03.08 KYENJOJO-FORTPORTAL-24h'!D62)</f>
        <v>0</v>
      </c>
      <c r="E62" s="49">
        <f>AVERAGE('01.08 KYENJOJO-FORTPORTAL-24h'!E62,'03.08 KYENJOJO-FORTPORTAL-24h'!E62)</f>
        <v>2.5</v>
      </c>
      <c r="F62" s="49">
        <f>AVERAGE('01.08 KYENJOJO-FORTPORTAL-24h'!F62,'03.08 KYENJOJO-FORTPORTAL-24h'!F62)</f>
        <v>1.5</v>
      </c>
      <c r="G62" s="49">
        <f>AVERAGE('01.08 KYENJOJO-FORTPORTAL-24h'!G62,'03.08 KYENJOJO-FORTPORTAL-24h'!G62)</f>
        <v>0</v>
      </c>
      <c r="H62" s="49">
        <f>AVERAGE('01.08 KYENJOJO-FORTPORTAL-24h'!H62,'03.08 KYENJOJO-FORTPORTAL-24h'!H62)</f>
        <v>1</v>
      </c>
      <c r="I62" s="49">
        <f>AVERAGE('01.08 KYENJOJO-FORTPORTAL-24h'!I62,'03.08 KYENJOJO-FORTPORTAL-24h'!I62)</f>
        <v>1.5</v>
      </c>
      <c r="J62" s="49">
        <f>AVERAGE('01.08 KYENJOJO-FORTPORTAL-24h'!J62,'03.08 KYENJOJO-FORTPORTAL-24h'!J62)</f>
        <v>0.5</v>
      </c>
      <c r="K62" s="49">
        <f>AVERAGE('01.08 KYENJOJO-FORTPORTAL-24h'!K62,'03.08 KYENJOJO-FORTPORTAL-24h'!K62)</f>
        <v>0</v>
      </c>
      <c r="L62" s="49">
        <f>AVERAGE('01.08 KYENJOJO-FORTPORTAL-24h'!L62,'03.08 KYENJOJO-FORTPORTAL-24h'!L62)</f>
        <v>0</v>
      </c>
      <c r="M62" s="49">
        <f>AVERAGE('01.08 KYENJOJO-FORTPORTAL-24h'!M62,'03.08 KYENJOJO-FORTPORTAL-24h'!M62)</f>
        <v>2</v>
      </c>
      <c r="N62" s="49">
        <f>AVERAGE('01.08 KYENJOJO-FORTPORTAL-24h'!N62,'03.08 KYENJOJO-FORTPORTAL-24h'!N62)</f>
        <v>0</v>
      </c>
      <c r="O62" s="15">
        <f t="shared" si="0"/>
        <v>7</v>
      </c>
      <c r="P62" s="15">
        <f t="shared" si="1"/>
        <v>9</v>
      </c>
      <c r="R62" s="8"/>
      <c r="T62"/>
    </row>
    <row r="63" spans="2:20" ht="23.1" customHeight="1" x14ac:dyDescent="0.25">
      <c r="B63" s="23" t="s">
        <v>108</v>
      </c>
      <c r="C63" s="49">
        <f>AVERAGE('01.08 KYENJOJO-FORTPORTAL-24h'!C63,'03.08 KYENJOJO-FORTPORTAL-24h'!C63)</f>
        <v>0</v>
      </c>
      <c r="D63" s="49">
        <f>AVERAGE('01.08 KYENJOJO-FORTPORTAL-24h'!D63,'03.08 KYENJOJO-FORTPORTAL-24h'!D63)</f>
        <v>0</v>
      </c>
      <c r="E63" s="49">
        <f>AVERAGE('01.08 KYENJOJO-FORTPORTAL-24h'!E63,'03.08 KYENJOJO-FORTPORTAL-24h'!E63)</f>
        <v>3</v>
      </c>
      <c r="F63" s="49">
        <f>AVERAGE('01.08 KYENJOJO-FORTPORTAL-24h'!F63,'03.08 KYENJOJO-FORTPORTAL-24h'!F63)</f>
        <v>2</v>
      </c>
      <c r="G63" s="49">
        <f>AVERAGE('01.08 KYENJOJO-FORTPORTAL-24h'!G63,'03.08 KYENJOJO-FORTPORTAL-24h'!G63)</f>
        <v>0</v>
      </c>
      <c r="H63" s="49">
        <f>AVERAGE('01.08 KYENJOJO-FORTPORTAL-24h'!H63,'03.08 KYENJOJO-FORTPORTAL-24h'!H63)</f>
        <v>0</v>
      </c>
      <c r="I63" s="49">
        <f>AVERAGE('01.08 KYENJOJO-FORTPORTAL-24h'!I63,'03.08 KYENJOJO-FORTPORTAL-24h'!I63)</f>
        <v>2</v>
      </c>
      <c r="J63" s="49">
        <f>AVERAGE('01.08 KYENJOJO-FORTPORTAL-24h'!J63,'03.08 KYENJOJO-FORTPORTAL-24h'!J63)</f>
        <v>0</v>
      </c>
      <c r="K63" s="49">
        <f>AVERAGE('01.08 KYENJOJO-FORTPORTAL-24h'!K63,'03.08 KYENJOJO-FORTPORTAL-24h'!K63)</f>
        <v>0</v>
      </c>
      <c r="L63" s="49">
        <f>AVERAGE('01.08 KYENJOJO-FORTPORTAL-24h'!L63,'03.08 KYENJOJO-FORTPORTAL-24h'!L63)</f>
        <v>0</v>
      </c>
      <c r="M63" s="49">
        <f>AVERAGE('01.08 KYENJOJO-FORTPORTAL-24h'!M63,'03.08 KYENJOJO-FORTPORTAL-24h'!M63)</f>
        <v>1</v>
      </c>
      <c r="N63" s="49">
        <f>AVERAGE('01.08 KYENJOJO-FORTPORTAL-24h'!N63,'03.08 KYENJOJO-FORTPORTAL-24h'!N63)</f>
        <v>0</v>
      </c>
      <c r="O63" s="15">
        <f t="shared" si="0"/>
        <v>7</v>
      </c>
      <c r="P63" s="15">
        <f t="shared" si="1"/>
        <v>8</v>
      </c>
      <c r="R63" s="8"/>
      <c r="T63"/>
    </row>
    <row r="64" spans="2:20" ht="23.1" customHeight="1" x14ac:dyDescent="0.25">
      <c r="B64" s="23" t="s">
        <v>109</v>
      </c>
      <c r="C64" s="49">
        <f>AVERAGE('01.08 KYENJOJO-FORTPORTAL-24h'!C64,'03.08 KYENJOJO-FORTPORTAL-24h'!C64)</f>
        <v>0.5</v>
      </c>
      <c r="D64" s="49">
        <f>AVERAGE('01.08 KYENJOJO-FORTPORTAL-24h'!D64,'03.08 KYENJOJO-FORTPORTAL-24h'!D64)</f>
        <v>0</v>
      </c>
      <c r="E64" s="49">
        <f>AVERAGE('01.08 KYENJOJO-FORTPORTAL-24h'!E64,'03.08 KYENJOJO-FORTPORTAL-24h'!E64)</f>
        <v>0.5</v>
      </c>
      <c r="F64" s="49">
        <f>AVERAGE('01.08 KYENJOJO-FORTPORTAL-24h'!F64,'03.08 KYENJOJO-FORTPORTAL-24h'!F64)</f>
        <v>0</v>
      </c>
      <c r="G64" s="49">
        <f>AVERAGE('01.08 KYENJOJO-FORTPORTAL-24h'!G64,'03.08 KYENJOJO-FORTPORTAL-24h'!G64)</f>
        <v>0</v>
      </c>
      <c r="H64" s="49">
        <f>AVERAGE('01.08 KYENJOJO-FORTPORTAL-24h'!H64,'03.08 KYENJOJO-FORTPORTAL-24h'!H64)</f>
        <v>0</v>
      </c>
      <c r="I64" s="49">
        <f>AVERAGE('01.08 KYENJOJO-FORTPORTAL-24h'!I64,'03.08 KYENJOJO-FORTPORTAL-24h'!I64)</f>
        <v>0</v>
      </c>
      <c r="J64" s="49">
        <f>AVERAGE('01.08 KYENJOJO-FORTPORTAL-24h'!J64,'03.08 KYENJOJO-FORTPORTAL-24h'!J64)</f>
        <v>0</v>
      </c>
      <c r="K64" s="49">
        <f>AVERAGE('01.08 KYENJOJO-FORTPORTAL-24h'!K64,'03.08 KYENJOJO-FORTPORTAL-24h'!K64)</f>
        <v>0</v>
      </c>
      <c r="L64" s="49">
        <f>AVERAGE('01.08 KYENJOJO-FORTPORTAL-24h'!L64,'03.08 KYENJOJO-FORTPORTAL-24h'!L64)</f>
        <v>0.5</v>
      </c>
      <c r="M64" s="49">
        <f>AVERAGE('01.08 KYENJOJO-FORTPORTAL-24h'!M64,'03.08 KYENJOJO-FORTPORTAL-24h'!M64)</f>
        <v>0.5</v>
      </c>
      <c r="N64" s="49">
        <f>AVERAGE('01.08 KYENJOJO-FORTPORTAL-24h'!N64,'03.08 KYENJOJO-FORTPORTAL-24h'!N64)</f>
        <v>0</v>
      </c>
      <c r="O64" s="15">
        <f t="shared" si="0"/>
        <v>1.5</v>
      </c>
      <c r="P64" s="15">
        <f t="shared" si="1"/>
        <v>2</v>
      </c>
      <c r="R64" s="8"/>
      <c r="T64"/>
    </row>
    <row r="65" spans="2:20" ht="23.1" customHeight="1" x14ac:dyDescent="0.25">
      <c r="B65" s="23" t="s">
        <v>158</v>
      </c>
      <c r="C65" s="49">
        <f>AVERAGE('01.08 KYENJOJO-FORTPORTAL-24h'!C65,'03.08 KYENJOJO-FORTPORTAL-24h'!C65)</f>
        <v>0.5</v>
      </c>
      <c r="D65" s="49">
        <f>AVERAGE('01.08 KYENJOJO-FORTPORTAL-24h'!D65,'03.08 KYENJOJO-FORTPORTAL-24h'!D65)</f>
        <v>0</v>
      </c>
      <c r="E65" s="49">
        <f>AVERAGE('01.08 KYENJOJO-FORTPORTAL-24h'!E65,'03.08 KYENJOJO-FORTPORTAL-24h'!E65)</f>
        <v>2.5</v>
      </c>
      <c r="F65" s="49">
        <f>AVERAGE('01.08 KYENJOJO-FORTPORTAL-24h'!F65,'03.08 KYENJOJO-FORTPORTAL-24h'!F65)</f>
        <v>1.5</v>
      </c>
      <c r="G65" s="49">
        <f>AVERAGE('01.08 KYENJOJO-FORTPORTAL-24h'!G65,'03.08 KYENJOJO-FORTPORTAL-24h'!G65)</f>
        <v>0.5</v>
      </c>
      <c r="H65" s="49">
        <f>AVERAGE('01.08 KYENJOJO-FORTPORTAL-24h'!H65,'03.08 KYENJOJO-FORTPORTAL-24h'!H65)</f>
        <v>0.5</v>
      </c>
      <c r="I65" s="49">
        <f>AVERAGE('01.08 KYENJOJO-FORTPORTAL-24h'!I65,'03.08 KYENJOJO-FORTPORTAL-24h'!I65)</f>
        <v>1.5</v>
      </c>
      <c r="J65" s="49">
        <f>AVERAGE('01.08 KYENJOJO-FORTPORTAL-24h'!J65,'03.08 KYENJOJO-FORTPORTAL-24h'!J65)</f>
        <v>0</v>
      </c>
      <c r="K65" s="49">
        <f>AVERAGE('01.08 KYENJOJO-FORTPORTAL-24h'!K65,'03.08 KYENJOJO-FORTPORTAL-24h'!K65)</f>
        <v>0</v>
      </c>
      <c r="L65" s="49">
        <f>AVERAGE('01.08 KYENJOJO-FORTPORTAL-24h'!L65,'03.08 KYENJOJO-FORTPORTAL-24h'!L65)</f>
        <v>2.5</v>
      </c>
      <c r="M65" s="49">
        <f>AVERAGE('01.08 KYENJOJO-FORTPORTAL-24h'!M65,'03.08 KYENJOJO-FORTPORTAL-24h'!M65)</f>
        <v>0.5</v>
      </c>
      <c r="N65" s="49">
        <f>AVERAGE('01.08 KYENJOJO-FORTPORTAL-24h'!N65,'03.08 KYENJOJO-FORTPORTAL-24h'!N65)</f>
        <v>0</v>
      </c>
      <c r="O65" s="15">
        <f t="shared" si="0"/>
        <v>9.5</v>
      </c>
      <c r="P65" s="15">
        <f t="shared" si="1"/>
        <v>10</v>
      </c>
      <c r="R65" s="8"/>
      <c r="T65"/>
    </row>
    <row r="66" spans="2:20" ht="23.1" customHeight="1" x14ac:dyDescent="0.25">
      <c r="B66" s="23" t="s">
        <v>103</v>
      </c>
      <c r="C66" s="49">
        <f>AVERAGE('01.08 KYENJOJO-FORTPORTAL-24h'!C66,'03.08 KYENJOJO-FORTPORTAL-24h'!C66)</f>
        <v>0.5</v>
      </c>
      <c r="D66" s="49">
        <f>AVERAGE('01.08 KYENJOJO-FORTPORTAL-24h'!D66,'03.08 KYENJOJO-FORTPORTAL-24h'!D66)</f>
        <v>0</v>
      </c>
      <c r="E66" s="49">
        <f>AVERAGE('01.08 KYENJOJO-FORTPORTAL-24h'!E66,'03.08 KYENJOJO-FORTPORTAL-24h'!E66)</f>
        <v>1</v>
      </c>
      <c r="F66" s="49">
        <f>AVERAGE('01.08 KYENJOJO-FORTPORTAL-24h'!F66,'03.08 KYENJOJO-FORTPORTAL-24h'!F66)</f>
        <v>0</v>
      </c>
      <c r="G66" s="49">
        <f>AVERAGE('01.08 KYENJOJO-FORTPORTAL-24h'!G66,'03.08 KYENJOJO-FORTPORTAL-24h'!G66)</f>
        <v>0</v>
      </c>
      <c r="H66" s="49">
        <f>AVERAGE('01.08 KYENJOJO-FORTPORTAL-24h'!H66,'03.08 KYENJOJO-FORTPORTAL-24h'!H66)</f>
        <v>0</v>
      </c>
      <c r="I66" s="49">
        <f>AVERAGE('01.08 KYENJOJO-FORTPORTAL-24h'!I66,'03.08 KYENJOJO-FORTPORTAL-24h'!I66)</f>
        <v>4.5</v>
      </c>
      <c r="J66" s="49">
        <f>AVERAGE('01.08 KYENJOJO-FORTPORTAL-24h'!J66,'03.08 KYENJOJO-FORTPORTAL-24h'!J66)</f>
        <v>0</v>
      </c>
      <c r="K66" s="49">
        <f>AVERAGE('01.08 KYENJOJO-FORTPORTAL-24h'!K66,'03.08 KYENJOJO-FORTPORTAL-24h'!K66)</f>
        <v>0</v>
      </c>
      <c r="L66" s="49">
        <f>AVERAGE('01.08 KYENJOJO-FORTPORTAL-24h'!L66,'03.08 KYENJOJO-FORTPORTAL-24h'!L66)</f>
        <v>1.5</v>
      </c>
      <c r="M66" s="49">
        <f>AVERAGE('01.08 KYENJOJO-FORTPORTAL-24h'!M66,'03.08 KYENJOJO-FORTPORTAL-24h'!M66)</f>
        <v>0.5</v>
      </c>
      <c r="N66" s="49">
        <f>AVERAGE('01.08 KYENJOJO-FORTPORTAL-24h'!N66,'03.08 KYENJOJO-FORTPORTAL-24h'!N66)</f>
        <v>0</v>
      </c>
      <c r="O66" s="15">
        <f t="shared" si="0"/>
        <v>7.5</v>
      </c>
      <c r="P66" s="15">
        <f t="shared" si="1"/>
        <v>8</v>
      </c>
      <c r="R66" s="8"/>
      <c r="T66"/>
    </row>
    <row r="67" spans="2:20" ht="23.1" customHeight="1" x14ac:dyDescent="0.25">
      <c r="B67" s="23" t="s">
        <v>104</v>
      </c>
      <c r="C67" s="49">
        <f>AVERAGE('01.08 KYENJOJO-FORTPORTAL-24h'!C67,'03.08 KYENJOJO-FORTPORTAL-24h'!C67)</f>
        <v>0</v>
      </c>
      <c r="D67" s="49">
        <f>AVERAGE('01.08 KYENJOJO-FORTPORTAL-24h'!D67,'03.08 KYENJOJO-FORTPORTAL-24h'!D67)</f>
        <v>0</v>
      </c>
      <c r="E67" s="49">
        <f>AVERAGE('01.08 KYENJOJO-FORTPORTAL-24h'!E67,'03.08 KYENJOJO-FORTPORTAL-24h'!E67)</f>
        <v>2</v>
      </c>
      <c r="F67" s="49">
        <f>AVERAGE('01.08 KYENJOJO-FORTPORTAL-24h'!F67,'03.08 KYENJOJO-FORTPORTAL-24h'!F67)</f>
        <v>0</v>
      </c>
      <c r="G67" s="49">
        <f>AVERAGE('01.08 KYENJOJO-FORTPORTAL-24h'!G67,'03.08 KYENJOJO-FORTPORTAL-24h'!G67)</f>
        <v>0</v>
      </c>
      <c r="H67" s="49">
        <f>AVERAGE('01.08 KYENJOJO-FORTPORTAL-24h'!H67,'03.08 KYENJOJO-FORTPORTAL-24h'!H67)</f>
        <v>0</v>
      </c>
      <c r="I67" s="49">
        <f>AVERAGE('01.08 KYENJOJO-FORTPORTAL-24h'!I67,'03.08 KYENJOJO-FORTPORTAL-24h'!I67)</f>
        <v>2.5</v>
      </c>
      <c r="J67" s="49">
        <f>AVERAGE('01.08 KYENJOJO-FORTPORTAL-24h'!J67,'03.08 KYENJOJO-FORTPORTAL-24h'!J67)</f>
        <v>0</v>
      </c>
      <c r="K67" s="49">
        <f>AVERAGE('01.08 KYENJOJO-FORTPORTAL-24h'!K67,'03.08 KYENJOJO-FORTPORTAL-24h'!K67)</f>
        <v>0</v>
      </c>
      <c r="L67" s="49">
        <f>AVERAGE('01.08 KYENJOJO-FORTPORTAL-24h'!L67,'03.08 KYENJOJO-FORTPORTAL-24h'!L67)</f>
        <v>0</v>
      </c>
      <c r="M67" s="49">
        <f>AVERAGE('01.08 KYENJOJO-FORTPORTAL-24h'!M67,'03.08 KYENJOJO-FORTPORTAL-24h'!M67)</f>
        <v>1</v>
      </c>
      <c r="N67" s="49">
        <f>AVERAGE('01.08 KYENJOJO-FORTPORTAL-24h'!N67,'03.08 KYENJOJO-FORTPORTAL-24h'!N67)</f>
        <v>0</v>
      </c>
      <c r="O67" s="15">
        <f t="shared" si="0"/>
        <v>4.5</v>
      </c>
      <c r="P67" s="15">
        <f t="shared" si="1"/>
        <v>5.5</v>
      </c>
      <c r="R67" s="8"/>
      <c r="T67"/>
    </row>
    <row r="68" spans="2:20" ht="23.1" customHeight="1" x14ac:dyDescent="0.25">
      <c r="B68" s="23" t="s">
        <v>105</v>
      </c>
      <c r="C68" s="49">
        <f>AVERAGE('01.08 KYENJOJO-FORTPORTAL-24h'!C68,'03.08 KYENJOJO-FORTPORTAL-24h'!C68)</f>
        <v>0</v>
      </c>
      <c r="D68" s="49">
        <f>AVERAGE('01.08 KYENJOJO-FORTPORTAL-24h'!D68,'03.08 KYENJOJO-FORTPORTAL-24h'!D68)</f>
        <v>0</v>
      </c>
      <c r="E68" s="49">
        <f>AVERAGE('01.08 KYENJOJO-FORTPORTAL-24h'!E68,'03.08 KYENJOJO-FORTPORTAL-24h'!E68)</f>
        <v>0</v>
      </c>
      <c r="F68" s="49">
        <f>AVERAGE('01.08 KYENJOJO-FORTPORTAL-24h'!F68,'03.08 KYENJOJO-FORTPORTAL-24h'!F68)</f>
        <v>0.5</v>
      </c>
      <c r="G68" s="49">
        <f>AVERAGE('01.08 KYENJOJO-FORTPORTAL-24h'!G68,'03.08 KYENJOJO-FORTPORTAL-24h'!G68)</f>
        <v>0</v>
      </c>
      <c r="H68" s="49">
        <f>AVERAGE('01.08 KYENJOJO-FORTPORTAL-24h'!H68,'03.08 KYENJOJO-FORTPORTAL-24h'!H68)</f>
        <v>0</v>
      </c>
      <c r="I68" s="49">
        <f>AVERAGE('01.08 KYENJOJO-FORTPORTAL-24h'!I68,'03.08 KYENJOJO-FORTPORTAL-24h'!I68)</f>
        <v>2.5</v>
      </c>
      <c r="J68" s="49">
        <f>AVERAGE('01.08 KYENJOJO-FORTPORTAL-24h'!J68,'03.08 KYENJOJO-FORTPORTAL-24h'!J68)</f>
        <v>0.5</v>
      </c>
      <c r="K68" s="49">
        <f>AVERAGE('01.08 KYENJOJO-FORTPORTAL-24h'!K68,'03.08 KYENJOJO-FORTPORTAL-24h'!K68)</f>
        <v>0</v>
      </c>
      <c r="L68" s="49">
        <f>AVERAGE('01.08 KYENJOJO-FORTPORTAL-24h'!L68,'03.08 KYENJOJO-FORTPORTAL-24h'!L68)</f>
        <v>1.5</v>
      </c>
      <c r="M68" s="49">
        <f>AVERAGE('01.08 KYENJOJO-FORTPORTAL-24h'!M68,'03.08 KYENJOJO-FORTPORTAL-24h'!M68)</f>
        <v>0</v>
      </c>
      <c r="N68" s="49">
        <f>AVERAGE('01.08 KYENJOJO-FORTPORTAL-24h'!N68,'03.08 KYENJOJO-FORTPORTAL-24h'!N68)</f>
        <v>0</v>
      </c>
      <c r="O68" s="15">
        <f t="shared" si="0"/>
        <v>5</v>
      </c>
      <c r="P68" s="15">
        <f t="shared" si="1"/>
        <v>5</v>
      </c>
      <c r="R68" s="8"/>
      <c r="T68"/>
    </row>
    <row r="69" spans="2:20" ht="23.1" customHeight="1" x14ac:dyDescent="0.25">
      <c r="B69" s="23" t="s">
        <v>106</v>
      </c>
      <c r="C69" s="49">
        <f>AVERAGE('01.08 KYENJOJO-FORTPORTAL-24h'!C69,'03.08 KYENJOJO-FORTPORTAL-24h'!C69)</f>
        <v>0.5</v>
      </c>
      <c r="D69" s="49">
        <f>AVERAGE('01.08 KYENJOJO-FORTPORTAL-24h'!D69,'03.08 KYENJOJO-FORTPORTAL-24h'!D69)</f>
        <v>0</v>
      </c>
      <c r="E69" s="49">
        <f>AVERAGE('01.08 KYENJOJO-FORTPORTAL-24h'!E69,'03.08 KYENJOJO-FORTPORTAL-24h'!E69)</f>
        <v>0.5</v>
      </c>
      <c r="F69" s="49">
        <f>AVERAGE('01.08 KYENJOJO-FORTPORTAL-24h'!F69,'03.08 KYENJOJO-FORTPORTAL-24h'!F69)</f>
        <v>1</v>
      </c>
      <c r="G69" s="49">
        <f>AVERAGE('01.08 KYENJOJO-FORTPORTAL-24h'!G69,'03.08 KYENJOJO-FORTPORTAL-24h'!G69)</f>
        <v>0</v>
      </c>
      <c r="H69" s="49">
        <f>AVERAGE('01.08 KYENJOJO-FORTPORTAL-24h'!H69,'03.08 KYENJOJO-FORTPORTAL-24h'!H69)</f>
        <v>0.5</v>
      </c>
      <c r="I69" s="49">
        <f>AVERAGE('01.08 KYENJOJO-FORTPORTAL-24h'!I69,'03.08 KYENJOJO-FORTPORTAL-24h'!I69)</f>
        <v>2</v>
      </c>
      <c r="J69" s="49">
        <f>AVERAGE('01.08 KYENJOJO-FORTPORTAL-24h'!J69,'03.08 KYENJOJO-FORTPORTAL-24h'!J69)</f>
        <v>0.5</v>
      </c>
      <c r="K69" s="49">
        <f>AVERAGE('01.08 KYENJOJO-FORTPORTAL-24h'!K69,'03.08 KYENJOJO-FORTPORTAL-24h'!K69)</f>
        <v>0</v>
      </c>
      <c r="L69" s="49">
        <f>AVERAGE('01.08 KYENJOJO-FORTPORTAL-24h'!L69,'03.08 KYENJOJO-FORTPORTAL-24h'!L69)</f>
        <v>1</v>
      </c>
      <c r="M69" s="49">
        <f>AVERAGE('01.08 KYENJOJO-FORTPORTAL-24h'!M69,'03.08 KYENJOJO-FORTPORTAL-24h'!M69)</f>
        <v>0</v>
      </c>
      <c r="N69" s="49">
        <f>AVERAGE('01.08 KYENJOJO-FORTPORTAL-24h'!N69,'03.08 KYENJOJO-FORTPORTAL-24h'!N69)</f>
        <v>0</v>
      </c>
      <c r="O69" s="15">
        <f t="shared" si="0"/>
        <v>6</v>
      </c>
      <c r="P69" s="15">
        <f t="shared" si="1"/>
        <v>6</v>
      </c>
      <c r="R69" s="8"/>
      <c r="T69"/>
    </row>
    <row r="70" spans="2:20" ht="23.1" customHeight="1" x14ac:dyDescent="0.25">
      <c r="B70" s="23" t="s">
        <v>110</v>
      </c>
      <c r="C70" s="49">
        <f>AVERAGE('01.08 KYENJOJO-FORTPORTAL-24h'!C70,'03.08 KYENJOJO-FORTPORTAL-24h'!C70)</f>
        <v>1</v>
      </c>
      <c r="D70" s="49">
        <f>AVERAGE('01.08 KYENJOJO-FORTPORTAL-24h'!D70,'03.08 KYENJOJO-FORTPORTAL-24h'!D70)</f>
        <v>0</v>
      </c>
      <c r="E70" s="49">
        <f>AVERAGE('01.08 KYENJOJO-FORTPORTAL-24h'!E70,'03.08 KYENJOJO-FORTPORTAL-24h'!E70)</f>
        <v>0</v>
      </c>
      <c r="F70" s="49">
        <f>AVERAGE('01.08 KYENJOJO-FORTPORTAL-24h'!F70,'03.08 KYENJOJO-FORTPORTAL-24h'!F70)</f>
        <v>0</v>
      </c>
      <c r="G70" s="49">
        <f>AVERAGE('01.08 KYENJOJO-FORTPORTAL-24h'!G70,'03.08 KYENJOJO-FORTPORTAL-24h'!G70)</f>
        <v>0</v>
      </c>
      <c r="H70" s="49">
        <f>AVERAGE('01.08 KYENJOJO-FORTPORTAL-24h'!H70,'03.08 KYENJOJO-FORTPORTAL-24h'!H70)</f>
        <v>0</v>
      </c>
      <c r="I70" s="49">
        <f>AVERAGE('01.08 KYENJOJO-FORTPORTAL-24h'!I70,'03.08 KYENJOJO-FORTPORTAL-24h'!I70)</f>
        <v>2.5</v>
      </c>
      <c r="J70" s="49">
        <f>AVERAGE('01.08 KYENJOJO-FORTPORTAL-24h'!J70,'03.08 KYENJOJO-FORTPORTAL-24h'!J70)</f>
        <v>0</v>
      </c>
      <c r="K70" s="49">
        <f>AVERAGE('01.08 KYENJOJO-FORTPORTAL-24h'!K70,'03.08 KYENJOJO-FORTPORTAL-24h'!K70)</f>
        <v>0</v>
      </c>
      <c r="L70" s="49">
        <f>AVERAGE('01.08 KYENJOJO-FORTPORTAL-24h'!L70,'03.08 KYENJOJO-FORTPORTAL-24h'!L70)</f>
        <v>1.5</v>
      </c>
      <c r="M70" s="49">
        <f>AVERAGE('01.08 KYENJOJO-FORTPORTAL-24h'!M70,'03.08 KYENJOJO-FORTPORTAL-24h'!M70)</f>
        <v>1</v>
      </c>
      <c r="N70" s="49">
        <f>AVERAGE('01.08 KYENJOJO-FORTPORTAL-24h'!N70,'03.08 KYENJOJO-FORTPORTAL-24h'!N70)</f>
        <v>0</v>
      </c>
      <c r="O70" s="15">
        <f t="shared" si="0"/>
        <v>5</v>
      </c>
      <c r="P70" s="15">
        <f t="shared" si="1"/>
        <v>6</v>
      </c>
      <c r="R70" s="8"/>
      <c r="T70"/>
    </row>
    <row r="71" spans="2:20" ht="23.1" customHeight="1" x14ac:dyDescent="0.25">
      <c r="B71" s="23" t="s">
        <v>111</v>
      </c>
      <c r="C71" s="49">
        <f>AVERAGE('01.08 KYENJOJO-FORTPORTAL-24h'!C71,'03.08 KYENJOJO-FORTPORTAL-24h'!C71)</f>
        <v>1.5</v>
      </c>
      <c r="D71" s="49">
        <f>AVERAGE('01.08 KYENJOJO-FORTPORTAL-24h'!D71,'03.08 KYENJOJO-FORTPORTAL-24h'!D71)</f>
        <v>0</v>
      </c>
      <c r="E71" s="49">
        <f>AVERAGE('01.08 KYENJOJO-FORTPORTAL-24h'!E71,'03.08 KYENJOJO-FORTPORTAL-24h'!E71)</f>
        <v>0</v>
      </c>
      <c r="F71" s="49">
        <f>AVERAGE('01.08 KYENJOJO-FORTPORTAL-24h'!F71,'03.08 KYENJOJO-FORTPORTAL-24h'!F71)</f>
        <v>0</v>
      </c>
      <c r="G71" s="49">
        <f>AVERAGE('01.08 KYENJOJO-FORTPORTAL-24h'!G71,'03.08 KYENJOJO-FORTPORTAL-24h'!G71)</f>
        <v>0</v>
      </c>
      <c r="H71" s="49">
        <f>AVERAGE('01.08 KYENJOJO-FORTPORTAL-24h'!H71,'03.08 KYENJOJO-FORTPORTAL-24h'!H71)</f>
        <v>0.5</v>
      </c>
      <c r="I71" s="49">
        <f>AVERAGE('01.08 KYENJOJO-FORTPORTAL-24h'!I71,'03.08 KYENJOJO-FORTPORTAL-24h'!I71)</f>
        <v>2</v>
      </c>
      <c r="J71" s="49">
        <f>AVERAGE('01.08 KYENJOJO-FORTPORTAL-24h'!J71,'03.08 KYENJOJO-FORTPORTAL-24h'!J71)</f>
        <v>0</v>
      </c>
      <c r="K71" s="49">
        <f>AVERAGE('01.08 KYENJOJO-FORTPORTAL-24h'!K71,'03.08 KYENJOJO-FORTPORTAL-24h'!K71)</f>
        <v>0.5</v>
      </c>
      <c r="L71" s="49">
        <f>AVERAGE('01.08 KYENJOJO-FORTPORTAL-24h'!L71,'03.08 KYENJOJO-FORTPORTAL-24h'!L71)</f>
        <v>2</v>
      </c>
      <c r="M71" s="49">
        <f>AVERAGE('01.08 KYENJOJO-FORTPORTAL-24h'!M71,'03.08 KYENJOJO-FORTPORTAL-24h'!M71)</f>
        <v>0</v>
      </c>
      <c r="N71" s="49">
        <f>AVERAGE('01.08 KYENJOJO-FORTPORTAL-24h'!N71,'03.08 KYENJOJO-FORTPORTAL-24h'!N71)</f>
        <v>0</v>
      </c>
      <c r="O71" s="15">
        <f t="shared" si="0"/>
        <v>6.5</v>
      </c>
      <c r="P71" s="15">
        <f t="shared" si="1"/>
        <v>6.5</v>
      </c>
      <c r="R71" s="8"/>
      <c r="T71"/>
    </row>
    <row r="72" spans="2:20" ht="23.1" customHeight="1" x14ac:dyDescent="0.25">
      <c r="B72" s="23" t="s">
        <v>112</v>
      </c>
      <c r="C72" s="49">
        <f>AVERAGE('01.08 KYENJOJO-FORTPORTAL-24h'!C72,'03.08 KYENJOJO-FORTPORTAL-24h'!C72)</f>
        <v>1</v>
      </c>
      <c r="D72" s="49">
        <f>AVERAGE('01.08 KYENJOJO-FORTPORTAL-24h'!D72,'03.08 KYENJOJO-FORTPORTAL-24h'!D72)</f>
        <v>0</v>
      </c>
      <c r="E72" s="49">
        <f>AVERAGE('01.08 KYENJOJO-FORTPORTAL-24h'!E72,'03.08 KYENJOJO-FORTPORTAL-24h'!E72)</f>
        <v>1</v>
      </c>
      <c r="F72" s="49">
        <f>AVERAGE('01.08 KYENJOJO-FORTPORTAL-24h'!F72,'03.08 KYENJOJO-FORTPORTAL-24h'!F72)</f>
        <v>0.5</v>
      </c>
      <c r="G72" s="49">
        <f>AVERAGE('01.08 KYENJOJO-FORTPORTAL-24h'!G72,'03.08 KYENJOJO-FORTPORTAL-24h'!G72)</f>
        <v>0</v>
      </c>
      <c r="H72" s="49">
        <f>AVERAGE('01.08 KYENJOJO-FORTPORTAL-24h'!H72,'03.08 KYENJOJO-FORTPORTAL-24h'!H72)</f>
        <v>0</v>
      </c>
      <c r="I72" s="49">
        <f>AVERAGE('01.08 KYENJOJO-FORTPORTAL-24h'!I72,'03.08 KYENJOJO-FORTPORTAL-24h'!I72)</f>
        <v>4</v>
      </c>
      <c r="J72" s="49">
        <f>AVERAGE('01.08 KYENJOJO-FORTPORTAL-24h'!J72,'03.08 KYENJOJO-FORTPORTAL-24h'!J72)</f>
        <v>0</v>
      </c>
      <c r="K72" s="49">
        <f>AVERAGE('01.08 KYENJOJO-FORTPORTAL-24h'!K72,'03.08 KYENJOJO-FORTPORTAL-24h'!K72)</f>
        <v>0</v>
      </c>
      <c r="L72" s="49">
        <f>AVERAGE('01.08 KYENJOJO-FORTPORTAL-24h'!L72,'03.08 KYENJOJO-FORTPORTAL-24h'!L72)</f>
        <v>0</v>
      </c>
      <c r="M72" s="49">
        <f>AVERAGE('01.08 KYENJOJO-FORTPORTAL-24h'!M72,'03.08 KYENJOJO-FORTPORTAL-24h'!M72)</f>
        <v>0</v>
      </c>
      <c r="N72" s="49">
        <f>AVERAGE('01.08 KYENJOJO-FORTPORTAL-24h'!N72,'03.08 KYENJOJO-FORTPORTAL-24h'!N72)</f>
        <v>0</v>
      </c>
      <c r="O72" s="15">
        <f t="shared" si="0"/>
        <v>6.5</v>
      </c>
      <c r="P72" s="15">
        <f t="shared" si="1"/>
        <v>6.5</v>
      </c>
      <c r="R72" s="8"/>
      <c r="T72"/>
    </row>
    <row r="73" spans="2:20" ht="23.1" customHeight="1" x14ac:dyDescent="0.25">
      <c r="B73" s="23" t="s">
        <v>113</v>
      </c>
      <c r="C73" s="49">
        <f>AVERAGE('01.08 KYENJOJO-FORTPORTAL-24h'!C73,'03.08 KYENJOJO-FORTPORTAL-24h'!C73)</f>
        <v>0.5</v>
      </c>
      <c r="D73" s="49">
        <f>AVERAGE('01.08 KYENJOJO-FORTPORTAL-24h'!D73,'03.08 KYENJOJO-FORTPORTAL-24h'!D73)</f>
        <v>0</v>
      </c>
      <c r="E73" s="49">
        <f>AVERAGE('01.08 KYENJOJO-FORTPORTAL-24h'!E73,'03.08 KYENJOJO-FORTPORTAL-24h'!E73)</f>
        <v>0</v>
      </c>
      <c r="F73" s="49">
        <f>AVERAGE('01.08 KYENJOJO-FORTPORTAL-24h'!F73,'03.08 KYENJOJO-FORTPORTAL-24h'!F73)</f>
        <v>2</v>
      </c>
      <c r="G73" s="49">
        <f>AVERAGE('01.08 KYENJOJO-FORTPORTAL-24h'!G73,'03.08 KYENJOJO-FORTPORTAL-24h'!G73)</f>
        <v>0.5</v>
      </c>
      <c r="H73" s="49">
        <f>AVERAGE('01.08 KYENJOJO-FORTPORTAL-24h'!H73,'03.08 KYENJOJO-FORTPORTAL-24h'!H73)</f>
        <v>0</v>
      </c>
      <c r="I73" s="49">
        <f>AVERAGE('01.08 KYENJOJO-FORTPORTAL-24h'!I73,'03.08 KYENJOJO-FORTPORTAL-24h'!I73)</f>
        <v>2</v>
      </c>
      <c r="J73" s="49">
        <f>AVERAGE('01.08 KYENJOJO-FORTPORTAL-24h'!J73,'03.08 KYENJOJO-FORTPORTAL-24h'!J73)</f>
        <v>0</v>
      </c>
      <c r="K73" s="49">
        <f>AVERAGE('01.08 KYENJOJO-FORTPORTAL-24h'!K73,'03.08 KYENJOJO-FORTPORTAL-24h'!K73)</f>
        <v>0</v>
      </c>
      <c r="L73" s="49">
        <f>AVERAGE('01.08 KYENJOJO-FORTPORTAL-24h'!L73,'03.08 KYENJOJO-FORTPORTAL-24h'!L73)</f>
        <v>1</v>
      </c>
      <c r="M73" s="49">
        <f>AVERAGE('01.08 KYENJOJO-FORTPORTAL-24h'!M73,'03.08 KYENJOJO-FORTPORTAL-24h'!M73)</f>
        <v>0</v>
      </c>
      <c r="N73" s="49">
        <f>AVERAGE('01.08 KYENJOJO-FORTPORTAL-24h'!N73,'03.08 KYENJOJO-FORTPORTAL-24h'!N73)</f>
        <v>0</v>
      </c>
      <c r="O73" s="15">
        <f t="shared" si="0"/>
        <v>6</v>
      </c>
      <c r="P73" s="15">
        <f t="shared" si="1"/>
        <v>6</v>
      </c>
      <c r="R73" s="8"/>
      <c r="T73"/>
    </row>
    <row r="74" spans="2:20" ht="23.1" customHeight="1" x14ac:dyDescent="0.25">
      <c r="B74" s="23" t="s">
        <v>114</v>
      </c>
      <c r="C74" s="49">
        <f>AVERAGE('01.08 KYENJOJO-FORTPORTAL-24h'!C74,'03.08 KYENJOJO-FORTPORTAL-24h'!C74)</f>
        <v>1.5</v>
      </c>
      <c r="D74" s="49">
        <f>AVERAGE('01.08 KYENJOJO-FORTPORTAL-24h'!D74,'03.08 KYENJOJO-FORTPORTAL-24h'!D74)</f>
        <v>0</v>
      </c>
      <c r="E74" s="49">
        <f>AVERAGE('01.08 KYENJOJO-FORTPORTAL-24h'!E74,'03.08 KYENJOJO-FORTPORTAL-24h'!E74)</f>
        <v>0</v>
      </c>
      <c r="F74" s="49">
        <f>AVERAGE('01.08 KYENJOJO-FORTPORTAL-24h'!F74,'03.08 KYENJOJO-FORTPORTAL-24h'!F74)</f>
        <v>0</v>
      </c>
      <c r="G74" s="49">
        <f>AVERAGE('01.08 KYENJOJO-FORTPORTAL-24h'!G74,'03.08 KYENJOJO-FORTPORTAL-24h'!G74)</f>
        <v>0</v>
      </c>
      <c r="H74" s="49">
        <f>AVERAGE('01.08 KYENJOJO-FORTPORTAL-24h'!H74,'03.08 KYENJOJO-FORTPORTAL-24h'!H74)</f>
        <v>0.5</v>
      </c>
      <c r="I74" s="49">
        <f>AVERAGE('01.08 KYENJOJO-FORTPORTAL-24h'!I74,'03.08 KYENJOJO-FORTPORTAL-24h'!I74)</f>
        <v>3</v>
      </c>
      <c r="J74" s="49">
        <f>AVERAGE('01.08 KYENJOJO-FORTPORTAL-24h'!J74,'03.08 KYENJOJO-FORTPORTAL-24h'!J74)</f>
        <v>0</v>
      </c>
      <c r="K74" s="49">
        <f>AVERAGE('01.08 KYENJOJO-FORTPORTAL-24h'!K74,'03.08 KYENJOJO-FORTPORTAL-24h'!K74)</f>
        <v>0</v>
      </c>
      <c r="L74" s="49">
        <f>AVERAGE('01.08 KYENJOJO-FORTPORTAL-24h'!L74,'03.08 KYENJOJO-FORTPORTAL-24h'!L74)</f>
        <v>0</v>
      </c>
      <c r="M74" s="49">
        <f>AVERAGE('01.08 KYENJOJO-FORTPORTAL-24h'!M74,'03.08 KYENJOJO-FORTPORTAL-24h'!M74)</f>
        <v>0</v>
      </c>
      <c r="N74" s="49">
        <f>AVERAGE('01.08 KYENJOJO-FORTPORTAL-24h'!N74,'03.08 KYENJOJO-FORTPORTAL-24h'!N74)</f>
        <v>0</v>
      </c>
      <c r="O74" s="15">
        <f t="shared" ref="O74:O105" si="35">SUM(C74:L74,N74)</f>
        <v>5</v>
      </c>
      <c r="P74" s="15">
        <f t="shared" ref="P74:P105" si="36">SUM(C74:N74)</f>
        <v>5</v>
      </c>
      <c r="R74" s="8"/>
      <c r="T74"/>
    </row>
    <row r="75" spans="2:20" ht="23.1" customHeight="1" x14ac:dyDescent="0.25">
      <c r="B75" s="23" t="s">
        <v>115</v>
      </c>
      <c r="C75" s="49">
        <f>AVERAGE('01.08 KYENJOJO-FORTPORTAL-24h'!C75,'03.08 KYENJOJO-FORTPORTAL-24h'!C75)</f>
        <v>1</v>
      </c>
      <c r="D75" s="49">
        <f>AVERAGE('01.08 KYENJOJO-FORTPORTAL-24h'!D75,'03.08 KYENJOJO-FORTPORTAL-24h'!D75)</f>
        <v>0</v>
      </c>
      <c r="E75" s="49">
        <f>AVERAGE('01.08 KYENJOJO-FORTPORTAL-24h'!E75,'03.08 KYENJOJO-FORTPORTAL-24h'!E75)</f>
        <v>0</v>
      </c>
      <c r="F75" s="49">
        <f>AVERAGE('01.08 KYENJOJO-FORTPORTAL-24h'!F75,'03.08 KYENJOJO-FORTPORTAL-24h'!F75)</f>
        <v>0.5</v>
      </c>
      <c r="G75" s="49">
        <f>AVERAGE('01.08 KYENJOJO-FORTPORTAL-24h'!G75,'03.08 KYENJOJO-FORTPORTAL-24h'!G75)</f>
        <v>0</v>
      </c>
      <c r="H75" s="49">
        <f>AVERAGE('01.08 KYENJOJO-FORTPORTAL-24h'!H75,'03.08 KYENJOJO-FORTPORTAL-24h'!H75)</f>
        <v>0</v>
      </c>
      <c r="I75" s="49">
        <f>AVERAGE('01.08 KYENJOJO-FORTPORTAL-24h'!I75,'03.08 KYENJOJO-FORTPORTAL-24h'!I75)</f>
        <v>2</v>
      </c>
      <c r="J75" s="49">
        <f>AVERAGE('01.08 KYENJOJO-FORTPORTAL-24h'!J75,'03.08 KYENJOJO-FORTPORTAL-24h'!J75)</f>
        <v>0</v>
      </c>
      <c r="K75" s="49">
        <f>AVERAGE('01.08 KYENJOJO-FORTPORTAL-24h'!K75,'03.08 KYENJOJO-FORTPORTAL-24h'!K75)</f>
        <v>0</v>
      </c>
      <c r="L75" s="49">
        <f>AVERAGE('01.08 KYENJOJO-FORTPORTAL-24h'!L75,'03.08 KYENJOJO-FORTPORTAL-24h'!L75)</f>
        <v>0</v>
      </c>
      <c r="M75" s="49">
        <f>AVERAGE('01.08 KYENJOJO-FORTPORTAL-24h'!M75,'03.08 KYENJOJO-FORTPORTAL-24h'!M75)</f>
        <v>0</v>
      </c>
      <c r="N75" s="49">
        <f>AVERAGE('01.08 KYENJOJO-FORTPORTAL-24h'!N75,'03.08 KYENJOJO-FORTPORTAL-24h'!N75)</f>
        <v>0</v>
      </c>
      <c r="O75" s="15">
        <f t="shared" si="35"/>
        <v>3.5</v>
      </c>
      <c r="P75" s="15">
        <f t="shared" si="36"/>
        <v>3.5</v>
      </c>
      <c r="R75" s="8"/>
      <c r="T75"/>
    </row>
    <row r="76" spans="2:20" ht="23.1" customHeight="1" x14ac:dyDescent="0.25">
      <c r="B76" s="23" t="s">
        <v>116</v>
      </c>
      <c r="C76" s="49">
        <f>AVERAGE('01.08 KYENJOJO-FORTPORTAL-24h'!C76,'03.08 KYENJOJO-FORTPORTAL-24h'!C76)</f>
        <v>0.5</v>
      </c>
      <c r="D76" s="49">
        <f>AVERAGE('01.08 KYENJOJO-FORTPORTAL-24h'!D76,'03.08 KYENJOJO-FORTPORTAL-24h'!D76)</f>
        <v>0</v>
      </c>
      <c r="E76" s="49">
        <f>AVERAGE('01.08 KYENJOJO-FORTPORTAL-24h'!E76,'03.08 KYENJOJO-FORTPORTAL-24h'!E76)</f>
        <v>0</v>
      </c>
      <c r="F76" s="49">
        <f>AVERAGE('01.08 KYENJOJO-FORTPORTAL-24h'!F76,'03.08 KYENJOJO-FORTPORTAL-24h'!F76)</f>
        <v>0</v>
      </c>
      <c r="G76" s="49">
        <f>AVERAGE('01.08 KYENJOJO-FORTPORTAL-24h'!G76,'03.08 KYENJOJO-FORTPORTAL-24h'!G76)</f>
        <v>0</v>
      </c>
      <c r="H76" s="49">
        <f>AVERAGE('01.08 KYENJOJO-FORTPORTAL-24h'!H76,'03.08 KYENJOJO-FORTPORTAL-24h'!H76)</f>
        <v>0</v>
      </c>
      <c r="I76" s="49">
        <f>AVERAGE('01.08 KYENJOJO-FORTPORTAL-24h'!I76,'03.08 KYENJOJO-FORTPORTAL-24h'!I76)</f>
        <v>2</v>
      </c>
      <c r="J76" s="49">
        <f>AVERAGE('01.08 KYENJOJO-FORTPORTAL-24h'!J76,'03.08 KYENJOJO-FORTPORTAL-24h'!J76)</f>
        <v>0</v>
      </c>
      <c r="K76" s="49">
        <f>AVERAGE('01.08 KYENJOJO-FORTPORTAL-24h'!K76,'03.08 KYENJOJO-FORTPORTAL-24h'!K76)</f>
        <v>0</v>
      </c>
      <c r="L76" s="49">
        <f>AVERAGE('01.08 KYENJOJO-FORTPORTAL-24h'!L76,'03.08 KYENJOJO-FORTPORTAL-24h'!L76)</f>
        <v>0.5</v>
      </c>
      <c r="M76" s="49">
        <f>AVERAGE('01.08 KYENJOJO-FORTPORTAL-24h'!M76,'03.08 KYENJOJO-FORTPORTAL-24h'!M76)</f>
        <v>0</v>
      </c>
      <c r="N76" s="49">
        <f>AVERAGE('01.08 KYENJOJO-FORTPORTAL-24h'!N76,'03.08 KYENJOJO-FORTPORTAL-24h'!N76)</f>
        <v>0</v>
      </c>
      <c r="O76" s="15">
        <f t="shared" si="35"/>
        <v>3</v>
      </c>
      <c r="P76" s="15">
        <f t="shared" si="36"/>
        <v>3</v>
      </c>
      <c r="R76" s="8"/>
      <c r="T76"/>
    </row>
    <row r="77" spans="2:20" ht="23.1" customHeight="1" x14ac:dyDescent="0.25">
      <c r="B77" s="23" t="s">
        <v>117</v>
      </c>
      <c r="C77" s="49">
        <f>AVERAGE('01.08 KYENJOJO-FORTPORTAL-24h'!C77,'03.08 KYENJOJO-FORTPORTAL-24h'!C77)</f>
        <v>0</v>
      </c>
      <c r="D77" s="49">
        <f>AVERAGE('01.08 KYENJOJO-FORTPORTAL-24h'!D77,'03.08 KYENJOJO-FORTPORTAL-24h'!D77)</f>
        <v>0</v>
      </c>
      <c r="E77" s="49">
        <f>AVERAGE('01.08 KYENJOJO-FORTPORTAL-24h'!E77,'03.08 KYENJOJO-FORTPORTAL-24h'!E77)</f>
        <v>0</v>
      </c>
      <c r="F77" s="49">
        <f>AVERAGE('01.08 KYENJOJO-FORTPORTAL-24h'!F77,'03.08 KYENJOJO-FORTPORTAL-24h'!F77)</f>
        <v>0</v>
      </c>
      <c r="G77" s="49">
        <f>AVERAGE('01.08 KYENJOJO-FORTPORTAL-24h'!G77,'03.08 KYENJOJO-FORTPORTAL-24h'!G77)</f>
        <v>0</v>
      </c>
      <c r="H77" s="49">
        <f>AVERAGE('01.08 KYENJOJO-FORTPORTAL-24h'!H77,'03.08 KYENJOJO-FORTPORTAL-24h'!H77)</f>
        <v>0.5</v>
      </c>
      <c r="I77" s="49">
        <f>AVERAGE('01.08 KYENJOJO-FORTPORTAL-24h'!I77,'03.08 KYENJOJO-FORTPORTAL-24h'!I77)</f>
        <v>2</v>
      </c>
      <c r="J77" s="49">
        <f>AVERAGE('01.08 KYENJOJO-FORTPORTAL-24h'!J77,'03.08 KYENJOJO-FORTPORTAL-24h'!J77)</f>
        <v>0.5</v>
      </c>
      <c r="K77" s="49">
        <f>AVERAGE('01.08 KYENJOJO-FORTPORTAL-24h'!K77,'03.08 KYENJOJO-FORTPORTAL-24h'!K77)</f>
        <v>0</v>
      </c>
      <c r="L77" s="49">
        <f>AVERAGE('01.08 KYENJOJO-FORTPORTAL-24h'!L77,'03.08 KYENJOJO-FORTPORTAL-24h'!L77)</f>
        <v>0.5</v>
      </c>
      <c r="M77" s="49">
        <f>AVERAGE('01.08 KYENJOJO-FORTPORTAL-24h'!M77,'03.08 KYENJOJO-FORTPORTAL-24h'!M77)</f>
        <v>0</v>
      </c>
      <c r="N77" s="49">
        <f>AVERAGE('01.08 KYENJOJO-FORTPORTAL-24h'!N77,'03.08 KYENJOJO-FORTPORTAL-24h'!N77)</f>
        <v>0</v>
      </c>
      <c r="O77" s="15">
        <f t="shared" si="35"/>
        <v>3.5</v>
      </c>
      <c r="P77" s="15">
        <f t="shared" si="36"/>
        <v>3.5</v>
      </c>
      <c r="R77" s="8"/>
      <c r="T77"/>
    </row>
    <row r="78" spans="2:20" ht="23.1" customHeight="1" x14ac:dyDescent="0.25">
      <c r="B78" s="24" t="s">
        <v>118</v>
      </c>
      <c r="C78" s="49">
        <f>AVERAGE('01.08 KYENJOJO-FORTPORTAL-24h'!C78,'03.08 KYENJOJO-FORTPORTAL-24h'!C78)</f>
        <v>0.5</v>
      </c>
      <c r="D78" s="49">
        <f>AVERAGE('01.08 KYENJOJO-FORTPORTAL-24h'!D78,'03.08 KYENJOJO-FORTPORTAL-24h'!D78)</f>
        <v>0</v>
      </c>
      <c r="E78" s="49">
        <f>AVERAGE('01.08 KYENJOJO-FORTPORTAL-24h'!E78,'03.08 KYENJOJO-FORTPORTAL-24h'!E78)</f>
        <v>0</v>
      </c>
      <c r="F78" s="49">
        <f>AVERAGE('01.08 KYENJOJO-FORTPORTAL-24h'!F78,'03.08 KYENJOJO-FORTPORTAL-24h'!F78)</f>
        <v>0</v>
      </c>
      <c r="G78" s="49">
        <f>AVERAGE('01.08 KYENJOJO-FORTPORTAL-24h'!G78,'03.08 KYENJOJO-FORTPORTAL-24h'!G78)</f>
        <v>0</v>
      </c>
      <c r="H78" s="49">
        <f>AVERAGE('01.08 KYENJOJO-FORTPORTAL-24h'!H78,'03.08 KYENJOJO-FORTPORTAL-24h'!H78)</f>
        <v>1</v>
      </c>
      <c r="I78" s="49">
        <f>AVERAGE('01.08 KYENJOJO-FORTPORTAL-24h'!I78,'03.08 KYENJOJO-FORTPORTAL-24h'!I78)</f>
        <v>1.5</v>
      </c>
      <c r="J78" s="49">
        <f>AVERAGE('01.08 KYENJOJO-FORTPORTAL-24h'!J78,'03.08 KYENJOJO-FORTPORTAL-24h'!J78)</f>
        <v>0</v>
      </c>
      <c r="K78" s="49">
        <f>AVERAGE('01.08 KYENJOJO-FORTPORTAL-24h'!K78,'03.08 KYENJOJO-FORTPORTAL-24h'!K78)</f>
        <v>0.5</v>
      </c>
      <c r="L78" s="49">
        <f>AVERAGE('01.08 KYENJOJO-FORTPORTAL-24h'!L78,'03.08 KYENJOJO-FORTPORTAL-24h'!L78)</f>
        <v>0.5</v>
      </c>
      <c r="M78" s="49">
        <f>AVERAGE('01.08 KYENJOJO-FORTPORTAL-24h'!M78,'03.08 KYENJOJO-FORTPORTAL-24h'!M78)</f>
        <v>0</v>
      </c>
      <c r="N78" s="49">
        <f>AVERAGE('01.08 KYENJOJO-FORTPORTAL-24h'!N78,'03.08 KYENJOJO-FORTPORTAL-24h'!N78)</f>
        <v>0</v>
      </c>
      <c r="O78" s="15">
        <f t="shared" si="35"/>
        <v>4</v>
      </c>
      <c r="P78" s="15">
        <f t="shared" si="36"/>
        <v>4</v>
      </c>
      <c r="R78" s="8"/>
      <c r="T78"/>
    </row>
    <row r="79" spans="2:20" ht="23.1" customHeight="1" x14ac:dyDescent="0.25">
      <c r="B79" s="23" t="s">
        <v>119</v>
      </c>
      <c r="C79" s="49">
        <f>AVERAGE('01.08 KYENJOJO-FORTPORTAL-24h'!C79,'03.08 KYENJOJO-FORTPORTAL-24h'!C79)</f>
        <v>0</v>
      </c>
      <c r="D79" s="49">
        <f>AVERAGE('01.08 KYENJOJO-FORTPORTAL-24h'!D79,'03.08 KYENJOJO-FORTPORTAL-24h'!D79)</f>
        <v>0</v>
      </c>
      <c r="E79" s="49">
        <f>AVERAGE('01.08 KYENJOJO-FORTPORTAL-24h'!E79,'03.08 KYENJOJO-FORTPORTAL-24h'!E79)</f>
        <v>1.5</v>
      </c>
      <c r="F79" s="49">
        <f>AVERAGE('01.08 KYENJOJO-FORTPORTAL-24h'!F79,'03.08 KYENJOJO-FORTPORTAL-24h'!F79)</f>
        <v>0</v>
      </c>
      <c r="G79" s="49">
        <f>AVERAGE('01.08 KYENJOJO-FORTPORTAL-24h'!G79,'03.08 KYENJOJO-FORTPORTAL-24h'!G79)</f>
        <v>0</v>
      </c>
      <c r="H79" s="49">
        <f>AVERAGE('01.08 KYENJOJO-FORTPORTAL-24h'!H79,'03.08 KYENJOJO-FORTPORTAL-24h'!H79)</f>
        <v>0</v>
      </c>
      <c r="I79" s="49">
        <f>AVERAGE('01.08 KYENJOJO-FORTPORTAL-24h'!I79,'03.08 KYENJOJO-FORTPORTAL-24h'!I79)</f>
        <v>2</v>
      </c>
      <c r="J79" s="49">
        <f>AVERAGE('01.08 KYENJOJO-FORTPORTAL-24h'!J79,'03.08 KYENJOJO-FORTPORTAL-24h'!J79)</f>
        <v>0</v>
      </c>
      <c r="K79" s="49">
        <f>AVERAGE('01.08 KYENJOJO-FORTPORTAL-24h'!K79,'03.08 KYENJOJO-FORTPORTAL-24h'!K79)</f>
        <v>0</v>
      </c>
      <c r="L79" s="49">
        <f>AVERAGE('01.08 KYENJOJO-FORTPORTAL-24h'!L79,'03.08 KYENJOJO-FORTPORTAL-24h'!L79)</f>
        <v>0</v>
      </c>
      <c r="M79" s="49">
        <f>AVERAGE('01.08 KYENJOJO-FORTPORTAL-24h'!M79,'03.08 KYENJOJO-FORTPORTAL-24h'!M79)</f>
        <v>0</v>
      </c>
      <c r="N79" s="49">
        <f>AVERAGE('01.08 KYENJOJO-FORTPORTAL-24h'!N79,'03.08 KYENJOJO-FORTPORTAL-24h'!N79)</f>
        <v>0</v>
      </c>
      <c r="O79" s="15">
        <f t="shared" si="35"/>
        <v>3.5</v>
      </c>
      <c r="P79" s="15">
        <f t="shared" si="36"/>
        <v>3.5</v>
      </c>
      <c r="R79" s="8"/>
      <c r="T79"/>
    </row>
    <row r="80" spans="2:20" ht="23.1" customHeight="1" x14ac:dyDescent="0.25">
      <c r="B80" s="25" t="s">
        <v>120</v>
      </c>
      <c r="C80" s="49">
        <f>AVERAGE('01.08 KYENJOJO-FORTPORTAL-24h'!C80,'03.08 KYENJOJO-FORTPORTAL-24h'!C80)</f>
        <v>0</v>
      </c>
      <c r="D80" s="49">
        <f>AVERAGE('01.08 KYENJOJO-FORTPORTAL-24h'!D80,'03.08 KYENJOJO-FORTPORTAL-24h'!D80)</f>
        <v>0</v>
      </c>
      <c r="E80" s="49">
        <f>AVERAGE('01.08 KYENJOJO-FORTPORTAL-24h'!E80,'03.08 KYENJOJO-FORTPORTAL-24h'!E80)</f>
        <v>0</v>
      </c>
      <c r="F80" s="49">
        <f>AVERAGE('01.08 KYENJOJO-FORTPORTAL-24h'!F80,'03.08 KYENJOJO-FORTPORTAL-24h'!F80)</f>
        <v>0.5</v>
      </c>
      <c r="G80" s="49">
        <f>AVERAGE('01.08 KYENJOJO-FORTPORTAL-24h'!G80,'03.08 KYENJOJO-FORTPORTAL-24h'!G80)</f>
        <v>0</v>
      </c>
      <c r="H80" s="49">
        <f>AVERAGE('01.08 KYENJOJO-FORTPORTAL-24h'!H80,'03.08 KYENJOJO-FORTPORTAL-24h'!H80)</f>
        <v>0</v>
      </c>
      <c r="I80" s="49">
        <f>AVERAGE('01.08 KYENJOJO-FORTPORTAL-24h'!I80,'03.08 KYENJOJO-FORTPORTAL-24h'!I80)</f>
        <v>3.5</v>
      </c>
      <c r="J80" s="49">
        <f>AVERAGE('01.08 KYENJOJO-FORTPORTAL-24h'!J80,'03.08 KYENJOJO-FORTPORTAL-24h'!J80)</f>
        <v>0</v>
      </c>
      <c r="K80" s="49">
        <f>AVERAGE('01.08 KYENJOJO-FORTPORTAL-24h'!K80,'03.08 KYENJOJO-FORTPORTAL-24h'!K80)</f>
        <v>0</v>
      </c>
      <c r="L80" s="49">
        <f>AVERAGE('01.08 KYENJOJO-FORTPORTAL-24h'!L80,'03.08 KYENJOJO-FORTPORTAL-24h'!L80)</f>
        <v>1</v>
      </c>
      <c r="M80" s="49">
        <f>AVERAGE('01.08 KYENJOJO-FORTPORTAL-24h'!M80,'03.08 KYENJOJO-FORTPORTAL-24h'!M80)</f>
        <v>0</v>
      </c>
      <c r="N80" s="49">
        <f>AVERAGE('01.08 KYENJOJO-FORTPORTAL-24h'!N80,'03.08 KYENJOJO-FORTPORTAL-24h'!N80)</f>
        <v>0</v>
      </c>
      <c r="O80" s="15">
        <f t="shared" si="35"/>
        <v>5</v>
      </c>
      <c r="P80" s="15">
        <f t="shared" si="36"/>
        <v>5</v>
      </c>
      <c r="R80" s="8"/>
      <c r="T80"/>
    </row>
    <row r="81" spans="2:20" ht="23.1" customHeight="1" x14ac:dyDescent="0.25">
      <c r="B81" s="23" t="s">
        <v>121</v>
      </c>
      <c r="C81" s="49">
        <f>AVERAGE('01.08 KYENJOJO-FORTPORTAL-24h'!C81,'03.08 KYENJOJO-FORTPORTAL-24h'!C81)</f>
        <v>0</v>
      </c>
      <c r="D81" s="49">
        <f>AVERAGE('01.08 KYENJOJO-FORTPORTAL-24h'!D81,'03.08 KYENJOJO-FORTPORTAL-24h'!D81)</f>
        <v>0</v>
      </c>
      <c r="E81" s="49">
        <f>AVERAGE('01.08 KYENJOJO-FORTPORTAL-24h'!E81,'03.08 KYENJOJO-FORTPORTAL-24h'!E81)</f>
        <v>0.5</v>
      </c>
      <c r="F81" s="49">
        <f>AVERAGE('01.08 KYENJOJO-FORTPORTAL-24h'!F81,'03.08 KYENJOJO-FORTPORTAL-24h'!F81)</f>
        <v>0</v>
      </c>
      <c r="G81" s="49">
        <f>AVERAGE('01.08 KYENJOJO-FORTPORTAL-24h'!G81,'03.08 KYENJOJO-FORTPORTAL-24h'!G81)</f>
        <v>0</v>
      </c>
      <c r="H81" s="49">
        <f>AVERAGE('01.08 KYENJOJO-FORTPORTAL-24h'!H81,'03.08 KYENJOJO-FORTPORTAL-24h'!H81)</f>
        <v>0.5</v>
      </c>
      <c r="I81" s="49">
        <f>AVERAGE('01.08 KYENJOJO-FORTPORTAL-24h'!I81,'03.08 KYENJOJO-FORTPORTAL-24h'!I81)</f>
        <v>3</v>
      </c>
      <c r="J81" s="49">
        <f>AVERAGE('01.08 KYENJOJO-FORTPORTAL-24h'!J81,'03.08 KYENJOJO-FORTPORTAL-24h'!J81)</f>
        <v>0</v>
      </c>
      <c r="K81" s="49">
        <f>AVERAGE('01.08 KYENJOJO-FORTPORTAL-24h'!K81,'03.08 KYENJOJO-FORTPORTAL-24h'!K81)</f>
        <v>0.5</v>
      </c>
      <c r="L81" s="49">
        <f>AVERAGE('01.08 KYENJOJO-FORTPORTAL-24h'!L81,'03.08 KYENJOJO-FORTPORTAL-24h'!L81)</f>
        <v>0.5</v>
      </c>
      <c r="M81" s="49">
        <f>AVERAGE('01.08 KYENJOJO-FORTPORTAL-24h'!M81,'03.08 KYENJOJO-FORTPORTAL-24h'!M81)</f>
        <v>0</v>
      </c>
      <c r="N81" s="49">
        <f>AVERAGE('01.08 KYENJOJO-FORTPORTAL-24h'!N81,'03.08 KYENJOJO-FORTPORTAL-24h'!N81)</f>
        <v>0</v>
      </c>
      <c r="O81" s="15">
        <f t="shared" si="35"/>
        <v>5</v>
      </c>
      <c r="P81" s="15">
        <f t="shared" si="36"/>
        <v>5</v>
      </c>
      <c r="R81" s="8"/>
      <c r="T81"/>
    </row>
    <row r="82" spans="2:20" ht="23.1" customHeight="1" x14ac:dyDescent="0.25">
      <c r="B82" s="24" t="s">
        <v>122</v>
      </c>
      <c r="C82" s="49">
        <f>AVERAGE('01.08 KYENJOJO-FORTPORTAL-24h'!C82,'03.08 KYENJOJO-FORTPORTAL-24h'!C82)</f>
        <v>0.5</v>
      </c>
      <c r="D82" s="49">
        <f>AVERAGE('01.08 KYENJOJO-FORTPORTAL-24h'!D82,'03.08 KYENJOJO-FORTPORTAL-24h'!D82)</f>
        <v>0</v>
      </c>
      <c r="E82" s="49">
        <f>AVERAGE('01.08 KYENJOJO-FORTPORTAL-24h'!E82,'03.08 KYENJOJO-FORTPORTAL-24h'!E82)</f>
        <v>0</v>
      </c>
      <c r="F82" s="49">
        <f>AVERAGE('01.08 KYENJOJO-FORTPORTAL-24h'!F82,'03.08 KYENJOJO-FORTPORTAL-24h'!F82)</f>
        <v>0</v>
      </c>
      <c r="G82" s="49">
        <f>AVERAGE('01.08 KYENJOJO-FORTPORTAL-24h'!G82,'03.08 KYENJOJO-FORTPORTAL-24h'!G82)</f>
        <v>0</v>
      </c>
      <c r="H82" s="49">
        <f>AVERAGE('01.08 KYENJOJO-FORTPORTAL-24h'!H82,'03.08 KYENJOJO-FORTPORTAL-24h'!H82)</f>
        <v>0.5</v>
      </c>
      <c r="I82" s="49">
        <f>AVERAGE('01.08 KYENJOJO-FORTPORTAL-24h'!I82,'03.08 KYENJOJO-FORTPORTAL-24h'!I82)</f>
        <v>2.5</v>
      </c>
      <c r="J82" s="49">
        <f>AVERAGE('01.08 KYENJOJO-FORTPORTAL-24h'!J82,'03.08 KYENJOJO-FORTPORTAL-24h'!J82)</f>
        <v>0</v>
      </c>
      <c r="K82" s="49">
        <f>AVERAGE('01.08 KYENJOJO-FORTPORTAL-24h'!K82,'03.08 KYENJOJO-FORTPORTAL-24h'!K82)</f>
        <v>0.5</v>
      </c>
      <c r="L82" s="49">
        <f>AVERAGE('01.08 KYENJOJO-FORTPORTAL-24h'!L82,'03.08 KYENJOJO-FORTPORTAL-24h'!L82)</f>
        <v>0.5</v>
      </c>
      <c r="M82" s="49">
        <f>AVERAGE('01.08 KYENJOJO-FORTPORTAL-24h'!M82,'03.08 KYENJOJO-FORTPORTAL-24h'!M82)</f>
        <v>0</v>
      </c>
      <c r="N82" s="49">
        <f>AVERAGE('01.08 KYENJOJO-FORTPORTAL-24h'!N82,'03.08 KYENJOJO-FORTPORTAL-24h'!N82)</f>
        <v>0</v>
      </c>
      <c r="O82" s="15">
        <f t="shared" si="35"/>
        <v>4.5</v>
      </c>
      <c r="P82" s="15">
        <f t="shared" si="36"/>
        <v>4.5</v>
      </c>
      <c r="R82" s="8"/>
      <c r="T82"/>
    </row>
    <row r="83" spans="2:20" ht="23.1" customHeight="1" x14ac:dyDescent="0.25">
      <c r="B83" s="23" t="s">
        <v>123</v>
      </c>
      <c r="C83" s="49">
        <f>AVERAGE('01.08 KYENJOJO-FORTPORTAL-24h'!C83,'03.08 KYENJOJO-FORTPORTAL-24h'!C83)</f>
        <v>0</v>
      </c>
      <c r="D83" s="49">
        <f>AVERAGE('01.08 KYENJOJO-FORTPORTAL-24h'!D83,'03.08 KYENJOJO-FORTPORTAL-24h'!D83)</f>
        <v>0</v>
      </c>
      <c r="E83" s="49">
        <f>AVERAGE('01.08 KYENJOJO-FORTPORTAL-24h'!E83,'03.08 KYENJOJO-FORTPORTAL-24h'!E83)</f>
        <v>1</v>
      </c>
      <c r="F83" s="49">
        <f>AVERAGE('01.08 KYENJOJO-FORTPORTAL-24h'!F83,'03.08 KYENJOJO-FORTPORTAL-24h'!F83)</f>
        <v>0</v>
      </c>
      <c r="G83" s="49">
        <f>AVERAGE('01.08 KYENJOJO-FORTPORTAL-24h'!G83,'03.08 KYENJOJO-FORTPORTAL-24h'!G83)</f>
        <v>0</v>
      </c>
      <c r="H83" s="49">
        <f>AVERAGE('01.08 KYENJOJO-FORTPORTAL-24h'!H83,'03.08 KYENJOJO-FORTPORTAL-24h'!H83)</f>
        <v>0</v>
      </c>
      <c r="I83" s="49">
        <f>AVERAGE('01.08 KYENJOJO-FORTPORTAL-24h'!I83,'03.08 KYENJOJO-FORTPORTAL-24h'!I83)</f>
        <v>1.5</v>
      </c>
      <c r="J83" s="49">
        <f>AVERAGE('01.08 KYENJOJO-FORTPORTAL-24h'!J83,'03.08 KYENJOJO-FORTPORTAL-24h'!J83)</f>
        <v>0</v>
      </c>
      <c r="K83" s="49">
        <f>AVERAGE('01.08 KYENJOJO-FORTPORTAL-24h'!K83,'03.08 KYENJOJO-FORTPORTAL-24h'!K83)</f>
        <v>0</v>
      </c>
      <c r="L83" s="49">
        <f>AVERAGE('01.08 KYENJOJO-FORTPORTAL-24h'!L83,'03.08 KYENJOJO-FORTPORTAL-24h'!L83)</f>
        <v>0</v>
      </c>
      <c r="M83" s="49">
        <f>AVERAGE('01.08 KYENJOJO-FORTPORTAL-24h'!M83,'03.08 KYENJOJO-FORTPORTAL-24h'!M83)</f>
        <v>0</v>
      </c>
      <c r="N83" s="49">
        <f>AVERAGE('01.08 KYENJOJO-FORTPORTAL-24h'!N83,'03.08 KYENJOJO-FORTPORTAL-24h'!N83)</f>
        <v>0</v>
      </c>
      <c r="O83" s="15">
        <f t="shared" si="35"/>
        <v>2.5</v>
      </c>
      <c r="P83" s="15">
        <f t="shared" si="36"/>
        <v>2.5</v>
      </c>
      <c r="R83" s="8"/>
      <c r="T83"/>
    </row>
    <row r="84" spans="2:20" ht="23.1" customHeight="1" x14ac:dyDescent="0.25">
      <c r="B84" s="25" t="s">
        <v>124</v>
      </c>
      <c r="C84" s="49">
        <f>AVERAGE('01.08 KYENJOJO-FORTPORTAL-24h'!C84,'03.08 KYENJOJO-FORTPORTAL-24h'!C84)</f>
        <v>0</v>
      </c>
      <c r="D84" s="49">
        <f>AVERAGE('01.08 KYENJOJO-FORTPORTAL-24h'!D84,'03.08 KYENJOJO-FORTPORTAL-24h'!D84)</f>
        <v>0</v>
      </c>
      <c r="E84" s="49">
        <f>AVERAGE('01.08 KYENJOJO-FORTPORTAL-24h'!E84,'03.08 KYENJOJO-FORTPORTAL-24h'!E84)</f>
        <v>0</v>
      </c>
      <c r="F84" s="49">
        <f>AVERAGE('01.08 KYENJOJO-FORTPORTAL-24h'!F84,'03.08 KYENJOJO-FORTPORTAL-24h'!F84)</f>
        <v>0</v>
      </c>
      <c r="G84" s="49">
        <f>AVERAGE('01.08 KYENJOJO-FORTPORTAL-24h'!G84,'03.08 KYENJOJO-FORTPORTAL-24h'!G84)</f>
        <v>0</v>
      </c>
      <c r="H84" s="49">
        <f>AVERAGE('01.08 KYENJOJO-FORTPORTAL-24h'!H84,'03.08 KYENJOJO-FORTPORTAL-24h'!H84)</f>
        <v>0</v>
      </c>
      <c r="I84" s="49">
        <f>AVERAGE('01.08 KYENJOJO-FORTPORTAL-24h'!I84,'03.08 KYENJOJO-FORTPORTAL-24h'!I84)</f>
        <v>3.5</v>
      </c>
      <c r="J84" s="49">
        <f>AVERAGE('01.08 KYENJOJO-FORTPORTAL-24h'!J84,'03.08 KYENJOJO-FORTPORTAL-24h'!J84)</f>
        <v>0</v>
      </c>
      <c r="K84" s="49">
        <f>AVERAGE('01.08 KYENJOJO-FORTPORTAL-24h'!K84,'03.08 KYENJOJO-FORTPORTAL-24h'!K84)</f>
        <v>0</v>
      </c>
      <c r="L84" s="49">
        <f>AVERAGE('01.08 KYENJOJO-FORTPORTAL-24h'!L84,'03.08 KYENJOJO-FORTPORTAL-24h'!L84)</f>
        <v>1</v>
      </c>
      <c r="M84" s="49">
        <f>AVERAGE('01.08 KYENJOJO-FORTPORTAL-24h'!M84,'03.08 KYENJOJO-FORTPORTAL-24h'!M84)</f>
        <v>0</v>
      </c>
      <c r="N84" s="49">
        <f>AVERAGE('01.08 KYENJOJO-FORTPORTAL-24h'!N84,'03.08 KYENJOJO-FORTPORTAL-24h'!N84)</f>
        <v>0</v>
      </c>
      <c r="O84" s="15">
        <f t="shared" si="35"/>
        <v>4.5</v>
      </c>
      <c r="P84" s="15">
        <f t="shared" si="36"/>
        <v>4.5</v>
      </c>
      <c r="R84" s="8"/>
      <c r="T84"/>
    </row>
    <row r="85" spans="2:20" ht="23.1" customHeight="1" x14ac:dyDescent="0.25">
      <c r="B85" s="23" t="s">
        <v>125</v>
      </c>
      <c r="C85" s="49">
        <f>AVERAGE('01.08 KYENJOJO-FORTPORTAL-24h'!C85,'03.08 KYENJOJO-FORTPORTAL-24h'!C85)</f>
        <v>0</v>
      </c>
      <c r="D85" s="49">
        <f>AVERAGE('01.08 KYENJOJO-FORTPORTAL-24h'!D85,'03.08 KYENJOJO-FORTPORTAL-24h'!D85)</f>
        <v>0</v>
      </c>
      <c r="E85" s="49">
        <f>AVERAGE('01.08 KYENJOJO-FORTPORTAL-24h'!E85,'03.08 KYENJOJO-FORTPORTAL-24h'!E85)</f>
        <v>0.5</v>
      </c>
      <c r="F85" s="49">
        <f>AVERAGE('01.08 KYENJOJO-FORTPORTAL-24h'!F85,'03.08 KYENJOJO-FORTPORTAL-24h'!F85)</f>
        <v>0</v>
      </c>
      <c r="G85" s="49">
        <f>AVERAGE('01.08 KYENJOJO-FORTPORTAL-24h'!G85,'03.08 KYENJOJO-FORTPORTAL-24h'!G85)</f>
        <v>0</v>
      </c>
      <c r="H85" s="49">
        <f>AVERAGE('01.08 KYENJOJO-FORTPORTAL-24h'!H85,'03.08 KYENJOJO-FORTPORTAL-24h'!H85)</f>
        <v>0.5</v>
      </c>
      <c r="I85" s="49">
        <f>AVERAGE('01.08 KYENJOJO-FORTPORTAL-24h'!I85,'03.08 KYENJOJO-FORTPORTAL-24h'!I85)</f>
        <v>1.5</v>
      </c>
      <c r="J85" s="49">
        <f>AVERAGE('01.08 KYENJOJO-FORTPORTAL-24h'!J85,'03.08 KYENJOJO-FORTPORTAL-24h'!J85)</f>
        <v>0</v>
      </c>
      <c r="K85" s="49">
        <f>AVERAGE('01.08 KYENJOJO-FORTPORTAL-24h'!K85,'03.08 KYENJOJO-FORTPORTAL-24h'!K85)</f>
        <v>0.5</v>
      </c>
      <c r="L85" s="49">
        <f>AVERAGE('01.08 KYENJOJO-FORTPORTAL-24h'!L85,'03.08 KYENJOJO-FORTPORTAL-24h'!L85)</f>
        <v>0</v>
      </c>
      <c r="M85" s="49">
        <f>AVERAGE('01.08 KYENJOJO-FORTPORTAL-24h'!M85,'03.08 KYENJOJO-FORTPORTAL-24h'!M85)</f>
        <v>0</v>
      </c>
      <c r="N85" s="49">
        <f>AVERAGE('01.08 KYENJOJO-FORTPORTAL-24h'!N85,'03.08 KYENJOJO-FORTPORTAL-24h'!N85)</f>
        <v>0</v>
      </c>
      <c r="O85" s="15">
        <f t="shared" si="35"/>
        <v>3</v>
      </c>
      <c r="P85" s="15">
        <f t="shared" si="36"/>
        <v>3</v>
      </c>
      <c r="R85" s="8"/>
      <c r="T85"/>
    </row>
    <row r="86" spans="2:20" ht="23.1" customHeight="1" x14ac:dyDescent="0.25">
      <c r="B86" s="24" t="s">
        <v>126</v>
      </c>
      <c r="C86" s="49">
        <f>AVERAGE('01.08 KYENJOJO-FORTPORTAL-24h'!C86,'03.08 KYENJOJO-FORTPORTAL-24h'!C86)</f>
        <v>0</v>
      </c>
      <c r="D86" s="49">
        <f>AVERAGE('01.08 KYENJOJO-FORTPORTAL-24h'!D86,'03.08 KYENJOJO-FORTPORTAL-24h'!D86)</f>
        <v>0</v>
      </c>
      <c r="E86" s="49">
        <f>AVERAGE('01.08 KYENJOJO-FORTPORTAL-24h'!E86,'03.08 KYENJOJO-FORTPORTAL-24h'!E86)</f>
        <v>0</v>
      </c>
      <c r="F86" s="49">
        <f>AVERAGE('01.08 KYENJOJO-FORTPORTAL-24h'!F86,'03.08 KYENJOJO-FORTPORTAL-24h'!F86)</f>
        <v>0</v>
      </c>
      <c r="G86" s="49">
        <f>AVERAGE('01.08 KYENJOJO-FORTPORTAL-24h'!G86,'03.08 KYENJOJO-FORTPORTAL-24h'!G86)</f>
        <v>0</v>
      </c>
      <c r="H86" s="49">
        <f>AVERAGE('01.08 KYENJOJO-FORTPORTAL-24h'!H86,'03.08 KYENJOJO-FORTPORTAL-24h'!H86)</f>
        <v>0</v>
      </c>
      <c r="I86" s="49">
        <f>AVERAGE('01.08 KYENJOJO-FORTPORTAL-24h'!I86,'03.08 KYENJOJO-FORTPORTAL-24h'!I86)</f>
        <v>0</v>
      </c>
      <c r="J86" s="49">
        <f>AVERAGE('01.08 KYENJOJO-FORTPORTAL-24h'!J86,'03.08 KYENJOJO-FORTPORTAL-24h'!J86)</f>
        <v>0</v>
      </c>
      <c r="K86" s="49">
        <f>AVERAGE('01.08 KYENJOJO-FORTPORTAL-24h'!K86,'03.08 KYENJOJO-FORTPORTAL-24h'!K86)</f>
        <v>0</v>
      </c>
      <c r="L86" s="49">
        <f>AVERAGE('01.08 KYENJOJO-FORTPORTAL-24h'!L86,'03.08 KYENJOJO-FORTPORTAL-24h'!L86)</f>
        <v>0</v>
      </c>
      <c r="M86" s="49">
        <f>AVERAGE('01.08 KYENJOJO-FORTPORTAL-24h'!M86,'03.08 KYENJOJO-FORTPORTAL-24h'!M86)</f>
        <v>0</v>
      </c>
      <c r="N86" s="49">
        <f>AVERAGE('01.08 KYENJOJO-FORTPORTAL-24h'!N86,'03.08 KYENJOJO-FORTPORTAL-24h'!N86)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AVERAGE('01.08 KYENJOJO-FORTPORTAL-24h'!C87,'03.08 KYENJOJO-FORTPORTAL-24h'!C87)</f>
        <v>0</v>
      </c>
      <c r="D87" s="49">
        <f>AVERAGE('01.08 KYENJOJO-FORTPORTAL-24h'!D87,'03.08 KYENJOJO-FORTPORTAL-24h'!D87)</f>
        <v>0</v>
      </c>
      <c r="E87" s="49">
        <f>AVERAGE('01.08 KYENJOJO-FORTPORTAL-24h'!E87,'03.08 KYENJOJO-FORTPORTAL-24h'!E87)</f>
        <v>0.5</v>
      </c>
      <c r="F87" s="49">
        <f>AVERAGE('01.08 KYENJOJO-FORTPORTAL-24h'!F87,'03.08 KYENJOJO-FORTPORTAL-24h'!F87)</f>
        <v>0</v>
      </c>
      <c r="G87" s="49">
        <f>AVERAGE('01.08 KYENJOJO-FORTPORTAL-24h'!G87,'03.08 KYENJOJO-FORTPORTAL-24h'!G87)</f>
        <v>0</v>
      </c>
      <c r="H87" s="49">
        <f>AVERAGE('01.08 KYENJOJO-FORTPORTAL-24h'!H87,'03.08 KYENJOJO-FORTPORTAL-24h'!H87)</f>
        <v>0</v>
      </c>
      <c r="I87" s="49">
        <f>AVERAGE('01.08 KYENJOJO-FORTPORTAL-24h'!I87,'03.08 KYENJOJO-FORTPORTAL-24h'!I87)</f>
        <v>1</v>
      </c>
      <c r="J87" s="49">
        <f>AVERAGE('01.08 KYENJOJO-FORTPORTAL-24h'!J87,'03.08 KYENJOJO-FORTPORTAL-24h'!J87)</f>
        <v>0</v>
      </c>
      <c r="K87" s="49">
        <f>AVERAGE('01.08 KYENJOJO-FORTPORTAL-24h'!K87,'03.08 KYENJOJO-FORTPORTAL-24h'!K87)</f>
        <v>0</v>
      </c>
      <c r="L87" s="49">
        <f>AVERAGE('01.08 KYENJOJO-FORTPORTAL-24h'!L87,'03.08 KYENJOJO-FORTPORTAL-24h'!L87)</f>
        <v>2.5</v>
      </c>
      <c r="M87" s="49">
        <f>AVERAGE('01.08 KYENJOJO-FORTPORTAL-24h'!M87,'03.08 KYENJOJO-FORTPORTAL-24h'!M87)</f>
        <v>0</v>
      </c>
      <c r="N87" s="49">
        <f>AVERAGE('01.08 KYENJOJO-FORTPORTAL-24h'!N87,'03.08 KYENJOJO-FORTPORTAL-24h'!N87)</f>
        <v>0</v>
      </c>
      <c r="O87" s="15">
        <f t="shared" si="35"/>
        <v>4</v>
      </c>
      <c r="P87" s="15">
        <f t="shared" si="36"/>
        <v>4</v>
      </c>
      <c r="R87" s="8"/>
      <c r="T87"/>
    </row>
    <row r="88" spans="2:20" ht="23.1" customHeight="1" x14ac:dyDescent="0.25">
      <c r="B88" s="25" t="s">
        <v>128</v>
      </c>
      <c r="C88" s="49">
        <f>AVERAGE('01.08 KYENJOJO-FORTPORTAL-24h'!C88,'03.08 KYENJOJO-FORTPORTAL-24h'!C88)</f>
        <v>0</v>
      </c>
      <c r="D88" s="49">
        <f>AVERAGE('01.08 KYENJOJO-FORTPORTAL-24h'!D88,'03.08 KYENJOJO-FORTPORTAL-24h'!D88)</f>
        <v>0</v>
      </c>
      <c r="E88" s="49">
        <f>AVERAGE('01.08 KYENJOJO-FORTPORTAL-24h'!E88,'03.08 KYENJOJO-FORTPORTAL-24h'!E88)</f>
        <v>0</v>
      </c>
      <c r="F88" s="49">
        <f>AVERAGE('01.08 KYENJOJO-FORTPORTAL-24h'!F88,'03.08 KYENJOJO-FORTPORTAL-24h'!F88)</f>
        <v>0</v>
      </c>
      <c r="G88" s="49">
        <f>AVERAGE('01.08 KYENJOJO-FORTPORTAL-24h'!G88,'03.08 KYENJOJO-FORTPORTAL-24h'!G88)</f>
        <v>0</v>
      </c>
      <c r="H88" s="49">
        <f>AVERAGE('01.08 KYENJOJO-FORTPORTAL-24h'!H88,'03.08 KYENJOJO-FORTPORTAL-24h'!H88)</f>
        <v>0</v>
      </c>
      <c r="I88" s="49">
        <f>AVERAGE('01.08 KYENJOJO-FORTPORTAL-24h'!I88,'03.08 KYENJOJO-FORTPORTAL-24h'!I88)</f>
        <v>1.5</v>
      </c>
      <c r="J88" s="49">
        <f>AVERAGE('01.08 KYENJOJO-FORTPORTAL-24h'!J88,'03.08 KYENJOJO-FORTPORTAL-24h'!J88)</f>
        <v>0</v>
      </c>
      <c r="K88" s="49">
        <f>AVERAGE('01.08 KYENJOJO-FORTPORTAL-24h'!K88,'03.08 KYENJOJO-FORTPORTAL-24h'!K88)</f>
        <v>0</v>
      </c>
      <c r="L88" s="49">
        <f>AVERAGE('01.08 KYENJOJO-FORTPORTAL-24h'!L88,'03.08 KYENJOJO-FORTPORTAL-24h'!L88)</f>
        <v>1</v>
      </c>
      <c r="M88" s="49">
        <f>AVERAGE('01.08 KYENJOJO-FORTPORTAL-24h'!M88,'03.08 KYENJOJO-FORTPORTAL-24h'!M88)</f>
        <v>0</v>
      </c>
      <c r="N88" s="49">
        <f>AVERAGE('01.08 KYENJOJO-FORTPORTAL-24h'!N88,'03.08 KYENJOJO-FORTPORTAL-24h'!N88)</f>
        <v>0</v>
      </c>
      <c r="O88" s="15">
        <f t="shared" si="35"/>
        <v>2.5</v>
      </c>
      <c r="P88" s="15">
        <f t="shared" si="36"/>
        <v>2.5</v>
      </c>
      <c r="R88" s="8"/>
      <c r="T88"/>
    </row>
    <row r="89" spans="2:20" ht="23.1" customHeight="1" x14ac:dyDescent="0.25">
      <c r="B89" s="23" t="s">
        <v>129</v>
      </c>
      <c r="C89" s="49">
        <f>AVERAGE('01.08 KYENJOJO-FORTPORTAL-24h'!C89,'03.08 KYENJOJO-FORTPORTAL-24h'!C89)</f>
        <v>0</v>
      </c>
      <c r="D89" s="49">
        <f>AVERAGE('01.08 KYENJOJO-FORTPORTAL-24h'!D89,'03.08 KYENJOJO-FORTPORTAL-24h'!D89)</f>
        <v>0</v>
      </c>
      <c r="E89" s="49">
        <f>AVERAGE('01.08 KYENJOJO-FORTPORTAL-24h'!E89,'03.08 KYENJOJO-FORTPORTAL-24h'!E89)</f>
        <v>0</v>
      </c>
      <c r="F89" s="49">
        <f>AVERAGE('01.08 KYENJOJO-FORTPORTAL-24h'!F89,'03.08 KYENJOJO-FORTPORTAL-24h'!F89)</f>
        <v>0</v>
      </c>
      <c r="G89" s="49">
        <f>AVERAGE('01.08 KYENJOJO-FORTPORTAL-24h'!G89,'03.08 KYENJOJO-FORTPORTAL-24h'!G89)</f>
        <v>0</v>
      </c>
      <c r="H89" s="49">
        <f>AVERAGE('01.08 KYENJOJO-FORTPORTAL-24h'!H89,'03.08 KYENJOJO-FORTPORTAL-24h'!H89)</f>
        <v>0</v>
      </c>
      <c r="I89" s="49">
        <f>AVERAGE('01.08 KYENJOJO-FORTPORTAL-24h'!I89,'03.08 KYENJOJO-FORTPORTAL-24h'!I89)</f>
        <v>0</v>
      </c>
      <c r="J89" s="49">
        <f>AVERAGE('01.08 KYENJOJO-FORTPORTAL-24h'!J89,'03.08 KYENJOJO-FORTPORTAL-24h'!J89)</f>
        <v>0</v>
      </c>
      <c r="K89" s="49">
        <f>AVERAGE('01.08 KYENJOJO-FORTPORTAL-24h'!K89,'03.08 KYENJOJO-FORTPORTAL-24h'!K89)</f>
        <v>0</v>
      </c>
      <c r="L89" s="49">
        <f>AVERAGE('01.08 KYENJOJO-FORTPORTAL-24h'!L89,'03.08 KYENJOJO-FORTPORTAL-24h'!L89)</f>
        <v>0</v>
      </c>
      <c r="M89" s="49">
        <f>AVERAGE('01.08 KYENJOJO-FORTPORTAL-24h'!M89,'03.08 KYENJOJO-FORTPORTAL-24h'!M89)</f>
        <v>0</v>
      </c>
      <c r="N89" s="49">
        <f>AVERAGE('01.08 KYENJOJO-FORTPORTAL-24h'!N89,'03.08 KYENJOJO-FORTPORTAL-24h'!N89)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AVERAGE('01.08 KYENJOJO-FORTPORTAL-24h'!C90,'03.08 KYENJOJO-FORTPORTAL-24h'!C90)</f>
        <v>0</v>
      </c>
      <c r="D90" s="49">
        <f>AVERAGE('01.08 KYENJOJO-FORTPORTAL-24h'!D90,'03.08 KYENJOJO-FORTPORTAL-24h'!D90)</f>
        <v>0</v>
      </c>
      <c r="E90" s="49">
        <f>AVERAGE('01.08 KYENJOJO-FORTPORTAL-24h'!E90,'03.08 KYENJOJO-FORTPORTAL-24h'!E90)</f>
        <v>0</v>
      </c>
      <c r="F90" s="49">
        <f>AVERAGE('01.08 KYENJOJO-FORTPORTAL-24h'!F90,'03.08 KYENJOJO-FORTPORTAL-24h'!F90)</f>
        <v>0</v>
      </c>
      <c r="G90" s="49">
        <f>AVERAGE('01.08 KYENJOJO-FORTPORTAL-24h'!G90,'03.08 KYENJOJO-FORTPORTAL-24h'!G90)</f>
        <v>0</v>
      </c>
      <c r="H90" s="49">
        <f>AVERAGE('01.08 KYENJOJO-FORTPORTAL-24h'!H90,'03.08 KYENJOJO-FORTPORTAL-24h'!H90)</f>
        <v>0.5</v>
      </c>
      <c r="I90" s="49">
        <f>AVERAGE('01.08 KYENJOJO-FORTPORTAL-24h'!I90,'03.08 KYENJOJO-FORTPORTAL-24h'!I90)</f>
        <v>2</v>
      </c>
      <c r="J90" s="49">
        <f>AVERAGE('01.08 KYENJOJO-FORTPORTAL-24h'!J90,'03.08 KYENJOJO-FORTPORTAL-24h'!J90)</f>
        <v>0</v>
      </c>
      <c r="K90" s="49">
        <f>AVERAGE('01.08 KYENJOJO-FORTPORTAL-24h'!K90,'03.08 KYENJOJO-FORTPORTAL-24h'!K90)</f>
        <v>0</v>
      </c>
      <c r="L90" s="49">
        <f>AVERAGE('01.08 KYENJOJO-FORTPORTAL-24h'!L90,'03.08 KYENJOJO-FORTPORTAL-24h'!L90)</f>
        <v>0</v>
      </c>
      <c r="M90" s="49">
        <f>AVERAGE('01.08 KYENJOJO-FORTPORTAL-24h'!M90,'03.08 KYENJOJO-FORTPORTAL-24h'!M90)</f>
        <v>0</v>
      </c>
      <c r="N90" s="49">
        <f>AVERAGE('01.08 KYENJOJO-FORTPORTAL-24h'!N90,'03.08 KYENJOJO-FORTPORTAL-24h'!N90)</f>
        <v>0</v>
      </c>
      <c r="O90" s="15">
        <f t="shared" si="35"/>
        <v>2.5</v>
      </c>
      <c r="P90" s="15">
        <f t="shared" si="36"/>
        <v>2.5</v>
      </c>
      <c r="R90" s="8"/>
      <c r="T90"/>
    </row>
    <row r="91" spans="2:20" ht="23.1" customHeight="1" x14ac:dyDescent="0.25">
      <c r="B91" s="23" t="s">
        <v>131</v>
      </c>
      <c r="C91" s="49">
        <f>AVERAGE('01.08 KYENJOJO-FORTPORTAL-24h'!C91,'03.08 KYENJOJO-FORTPORTAL-24h'!C91)</f>
        <v>0.5</v>
      </c>
      <c r="D91" s="49">
        <f>AVERAGE('01.08 KYENJOJO-FORTPORTAL-24h'!D91,'03.08 KYENJOJO-FORTPORTAL-24h'!D91)</f>
        <v>0</v>
      </c>
      <c r="E91" s="49">
        <f>AVERAGE('01.08 KYENJOJO-FORTPORTAL-24h'!E91,'03.08 KYENJOJO-FORTPORTAL-24h'!E91)</f>
        <v>0.5</v>
      </c>
      <c r="F91" s="49">
        <f>AVERAGE('01.08 KYENJOJO-FORTPORTAL-24h'!F91,'03.08 KYENJOJO-FORTPORTAL-24h'!F91)</f>
        <v>0</v>
      </c>
      <c r="G91" s="49">
        <f>AVERAGE('01.08 KYENJOJO-FORTPORTAL-24h'!G91,'03.08 KYENJOJO-FORTPORTAL-24h'!G91)</f>
        <v>0</v>
      </c>
      <c r="H91" s="49">
        <f>AVERAGE('01.08 KYENJOJO-FORTPORTAL-24h'!H91,'03.08 KYENJOJO-FORTPORTAL-24h'!H91)</f>
        <v>0</v>
      </c>
      <c r="I91" s="49">
        <f>AVERAGE('01.08 KYENJOJO-FORTPORTAL-24h'!I91,'03.08 KYENJOJO-FORTPORTAL-24h'!I91)</f>
        <v>2</v>
      </c>
      <c r="J91" s="49">
        <f>AVERAGE('01.08 KYENJOJO-FORTPORTAL-24h'!J91,'03.08 KYENJOJO-FORTPORTAL-24h'!J91)</f>
        <v>0</v>
      </c>
      <c r="K91" s="49">
        <f>AVERAGE('01.08 KYENJOJO-FORTPORTAL-24h'!K91,'03.08 KYENJOJO-FORTPORTAL-24h'!K91)</f>
        <v>0</v>
      </c>
      <c r="L91" s="49">
        <f>AVERAGE('01.08 KYENJOJO-FORTPORTAL-24h'!L91,'03.08 KYENJOJO-FORTPORTAL-24h'!L91)</f>
        <v>0</v>
      </c>
      <c r="M91" s="49">
        <f>AVERAGE('01.08 KYENJOJO-FORTPORTAL-24h'!M91,'03.08 KYENJOJO-FORTPORTAL-24h'!M91)</f>
        <v>0</v>
      </c>
      <c r="N91" s="49">
        <f>AVERAGE('01.08 KYENJOJO-FORTPORTAL-24h'!N91,'03.08 KYENJOJO-FORTPORTAL-24h'!N91)</f>
        <v>0</v>
      </c>
      <c r="O91" s="15">
        <f t="shared" si="35"/>
        <v>3</v>
      </c>
      <c r="P91" s="15">
        <f t="shared" si="36"/>
        <v>3</v>
      </c>
      <c r="R91" s="8"/>
      <c r="T91"/>
    </row>
    <row r="92" spans="2:20" ht="23.1" customHeight="1" x14ac:dyDescent="0.25">
      <c r="B92" s="25" t="s">
        <v>132</v>
      </c>
      <c r="C92" s="49">
        <f>AVERAGE('01.08 KYENJOJO-FORTPORTAL-24h'!C92,'03.08 KYENJOJO-FORTPORTAL-24h'!C92)</f>
        <v>0</v>
      </c>
      <c r="D92" s="49">
        <f>AVERAGE('01.08 KYENJOJO-FORTPORTAL-24h'!D92,'03.08 KYENJOJO-FORTPORTAL-24h'!D92)</f>
        <v>0</v>
      </c>
      <c r="E92" s="49">
        <f>AVERAGE('01.08 KYENJOJO-FORTPORTAL-24h'!E92,'03.08 KYENJOJO-FORTPORTAL-24h'!E92)</f>
        <v>0</v>
      </c>
      <c r="F92" s="49">
        <f>AVERAGE('01.08 KYENJOJO-FORTPORTAL-24h'!F92,'03.08 KYENJOJO-FORTPORTAL-24h'!F92)</f>
        <v>0</v>
      </c>
      <c r="G92" s="49">
        <f>AVERAGE('01.08 KYENJOJO-FORTPORTAL-24h'!G92,'03.08 KYENJOJO-FORTPORTAL-24h'!G92)</f>
        <v>0</v>
      </c>
      <c r="H92" s="49">
        <f>AVERAGE('01.08 KYENJOJO-FORTPORTAL-24h'!H92,'03.08 KYENJOJO-FORTPORTAL-24h'!H92)</f>
        <v>0</v>
      </c>
      <c r="I92" s="49">
        <f>AVERAGE('01.08 KYENJOJO-FORTPORTAL-24h'!I92,'03.08 KYENJOJO-FORTPORTAL-24h'!I92)</f>
        <v>0</v>
      </c>
      <c r="J92" s="49">
        <f>AVERAGE('01.08 KYENJOJO-FORTPORTAL-24h'!J92,'03.08 KYENJOJO-FORTPORTAL-24h'!J92)</f>
        <v>0</v>
      </c>
      <c r="K92" s="49">
        <f>AVERAGE('01.08 KYENJOJO-FORTPORTAL-24h'!K92,'03.08 KYENJOJO-FORTPORTAL-24h'!K92)</f>
        <v>0</v>
      </c>
      <c r="L92" s="49">
        <f>AVERAGE('01.08 KYENJOJO-FORTPORTAL-24h'!L92,'03.08 KYENJOJO-FORTPORTAL-24h'!L92)</f>
        <v>0</v>
      </c>
      <c r="M92" s="49">
        <f>AVERAGE('01.08 KYENJOJO-FORTPORTAL-24h'!M92,'03.08 KYENJOJO-FORTPORTAL-24h'!M92)</f>
        <v>0</v>
      </c>
      <c r="N92" s="49">
        <f>AVERAGE('01.08 KYENJOJO-FORTPORTAL-24h'!N92,'03.08 KYENJOJO-FORTPORTAL-24h'!N92)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AVERAGE('01.08 KYENJOJO-FORTPORTAL-24h'!C93,'03.08 KYENJOJO-FORTPORTAL-24h'!C93)</f>
        <v>0.5</v>
      </c>
      <c r="D93" s="49">
        <f>AVERAGE('01.08 KYENJOJO-FORTPORTAL-24h'!D93,'03.08 KYENJOJO-FORTPORTAL-24h'!D93)</f>
        <v>0</v>
      </c>
      <c r="E93" s="49">
        <f>AVERAGE('01.08 KYENJOJO-FORTPORTAL-24h'!E93,'03.08 KYENJOJO-FORTPORTAL-24h'!E93)</f>
        <v>0</v>
      </c>
      <c r="F93" s="49">
        <f>AVERAGE('01.08 KYENJOJO-FORTPORTAL-24h'!F93,'03.08 KYENJOJO-FORTPORTAL-24h'!F93)</f>
        <v>0</v>
      </c>
      <c r="G93" s="49">
        <f>AVERAGE('01.08 KYENJOJO-FORTPORTAL-24h'!G93,'03.08 KYENJOJO-FORTPORTAL-24h'!G93)</f>
        <v>0</v>
      </c>
      <c r="H93" s="49">
        <f>AVERAGE('01.08 KYENJOJO-FORTPORTAL-24h'!H93,'03.08 KYENJOJO-FORTPORTAL-24h'!H93)</f>
        <v>0</v>
      </c>
      <c r="I93" s="49">
        <f>AVERAGE('01.08 KYENJOJO-FORTPORTAL-24h'!I93,'03.08 KYENJOJO-FORTPORTAL-24h'!I93)</f>
        <v>0.5</v>
      </c>
      <c r="J93" s="49">
        <f>AVERAGE('01.08 KYENJOJO-FORTPORTAL-24h'!J93,'03.08 KYENJOJO-FORTPORTAL-24h'!J93)</f>
        <v>0</v>
      </c>
      <c r="K93" s="49">
        <f>AVERAGE('01.08 KYENJOJO-FORTPORTAL-24h'!K93,'03.08 KYENJOJO-FORTPORTAL-24h'!K93)</f>
        <v>0</v>
      </c>
      <c r="L93" s="49">
        <f>AVERAGE('01.08 KYENJOJO-FORTPORTAL-24h'!L93,'03.08 KYENJOJO-FORTPORTAL-24h'!L93)</f>
        <v>0</v>
      </c>
      <c r="M93" s="49">
        <f>AVERAGE('01.08 KYENJOJO-FORTPORTAL-24h'!M93,'03.08 KYENJOJO-FORTPORTAL-24h'!M93)</f>
        <v>0</v>
      </c>
      <c r="N93" s="49">
        <f>AVERAGE('01.08 KYENJOJO-FORTPORTAL-24h'!N93,'03.08 KYENJOJO-FORTPORTAL-24h'!N93)</f>
        <v>0</v>
      </c>
      <c r="O93" s="15">
        <f t="shared" si="35"/>
        <v>1</v>
      </c>
      <c r="P93" s="15">
        <f t="shared" si="36"/>
        <v>1</v>
      </c>
      <c r="R93" s="8"/>
      <c r="T93"/>
    </row>
    <row r="94" spans="2:20" ht="23.1" customHeight="1" x14ac:dyDescent="0.25">
      <c r="B94" s="24" t="s">
        <v>134</v>
      </c>
      <c r="C94" s="49">
        <f>AVERAGE('01.08 KYENJOJO-FORTPORTAL-24h'!C94,'03.08 KYENJOJO-FORTPORTAL-24h'!C94)</f>
        <v>0</v>
      </c>
      <c r="D94" s="49">
        <f>AVERAGE('01.08 KYENJOJO-FORTPORTAL-24h'!D94,'03.08 KYENJOJO-FORTPORTAL-24h'!D94)</f>
        <v>0</v>
      </c>
      <c r="E94" s="49">
        <f>AVERAGE('01.08 KYENJOJO-FORTPORTAL-24h'!E94,'03.08 KYENJOJO-FORTPORTAL-24h'!E94)</f>
        <v>0</v>
      </c>
      <c r="F94" s="49">
        <f>AVERAGE('01.08 KYENJOJO-FORTPORTAL-24h'!F94,'03.08 KYENJOJO-FORTPORTAL-24h'!F94)</f>
        <v>0.5</v>
      </c>
      <c r="G94" s="49">
        <f>AVERAGE('01.08 KYENJOJO-FORTPORTAL-24h'!G94,'03.08 KYENJOJO-FORTPORTAL-24h'!G94)</f>
        <v>0.5</v>
      </c>
      <c r="H94" s="49">
        <f>AVERAGE('01.08 KYENJOJO-FORTPORTAL-24h'!H94,'03.08 KYENJOJO-FORTPORTAL-24h'!H94)</f>
        <v>0</v>
      </c>
      <c r="I94" s="49">
        <f>AVERAGE('01.08 KYENJOJO-FORTPORTAL-24h'!I94,'03.08 KYENJOJO-FORTPORTAL-24h'!I94)</f>
        <v>0.5</v>
      </c>
      <c r="J94" s="49">
        <f>AVERAGE('01.08 KYENJOJO-FORTPORTAL-24h'!J94,'03.08 KYENJOJO-FORTPORTAL-24h'!J94)</f>
        <v>0</v>
      </c>
      <c r="K94" s="49">
        <f>AVERAGE('01.08 KYENJOJO-FORTPORTAL-24h'!K94,'03.08 KYENJOJO-FORTPORTAL-24h'!K94)</f>
        <v>0</v>
      </c>
      <c r="L94" s="49">
        <f>AVERAGE('01.08 KYENJOJO-FORTPORTAL-24h'!L94,'03.08 KYENJOJO-FORTPORTAL-24h'!L94)</f>
        <v>0</v>
      </c>
      <c r="M94" s="49">
        <f>AVERAGE('01.08 KYENJOJO-FORTPORTAL-24h'!M94,'03.08 KYENJOJO-FORTPORTAL-24h'!M94)</f>
        <v>0</v>
      </c>
      <c r="N94" s="49">
        <f>AVERAGE('01.08 KYENJOJO-FORTPORTAL-24h'!N94,'03.08 KYENJOJO-FORTPORTAL-24h'!N94)</f>
        <v>0</v>
      </c>
      <c r="O94" s="15">
        <f t="shared" si="35"/>
        <v>1.5</v>
      </c>
      <c r="P94" s="15">
        <f t="shared" si="36"/>
        <v>1.5</v>
      </c>
      <c r="R94" s="8"/>
      <c r="T94"/>
    </row>
    <row r="95" spans="2:20" ht="23.1" customHeight="1" x14ac:dyDescent="0.25">
      <c r="B95" s="23" t="s">
        <v>135</v>
      </c>
      <c r="C95" s="49">
        <f>AVERAGE('01.08 KYENJOJO-FORTPORTAL-24h'!C95,'03.08 KYENJOJO-FORTPORTAL-24h'!C95)</f>
        <v>0</v>
      </c>
      <c r="D95" s="49">
        <f>AVERAGE('01.08 KYENJOJO-FORTPORTAL-24h'!D95,'03.08 KYENJOJO-FORTPORTAL-24h'!D95)</f>
        <v>0</v>
      </c>
      <c r="E95" s="49">
        <f>AVERAGE('01.08 KYENJOJO-FORTPORTAL-24h'!E95,'03.08 KYENJOJO-FORTPORTAL-24h'!E95)</f>
        <v>0</v>
      </c>
      <c r="F95" s="49">
        <f>AVERAGE('01.08 KYENJOJO-FORTPORTAL-24h'!F95,'03.08 KYENJOJO-FORTPORTAL-24h'!F95)</f>
        <v>0</v>
      </c>
      <c r="G95" s="49">
        <f>AVERAGE('01.08 KYENJOJO-FORTPORTAL-24h'!G95,'03.08 KYENJOJO-FORTPORTAL-24h'!G95)</f>
        <v>0</v>
      </c>
      <c r="H95" s="49">
        <f>AVERAGE('01.08 KYENJOJO-FORTPORTAL-24h'!H95,'03.08 KYENJOJO-FORTPORTAL-24h'!H95)</f>
        <v>0</v>
      </c>
      <c r="I95" s="49">
        <f>AVERAGE('01.08 KYENJOJO-FORTPORTAL-24h'!I95,'03.08 KYENJOJO-FORTPORTAL-24h'!I95)</f>
        <v>0</v>
      </c>
      <c r="J95" s="49">
        <f>AVERAGE('01.08 KYENJOJO-FORTPORTAL-24h'!J95,'03.08 KYENJOJO-FORTPORTAL-24h'!J95)</f>
        <v>0</v>
      </c>
      <c r="K95" s="49">
        <f>AVERAGE('01.08 KYENJOJO-FORTPORTAL-24h'!K95,'03.08 KYENJOJO-FORTPORTAL-24h'!K95)</f>
        <v>0</v>
      </c>
      <c r="L95" s="49">
        <f>AVERAGE('01.08 KYENJOJO-FORTPORTAL-24h'!L95,'03.08 KYENJOJO-FORTPORTAL-24h'!L95)</f>
        <v>0</v>
      </c>
      <c r="M95" s="49">
        <f>AVERAGE('01.08 KYENJOJO-FORTPORTAL-24h'!M95,'03.08 KYENJOJO-FORTPORTAL-24h'!M95)</f>
        <v>0</v>
      </c>
      <c r="N95" s="49">
        <f>AVERAGE('01.08 KYENJOJO-FORTPORTAL-24h'!N95,'03.08 KYENJOJO-FORTPORTAL-24h'!N95)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AVERAGE('01.08 KYENJOJO-FORTPORTAL-24h'!C96,'03.08 KYENJOJO-FORTPORTAL-24h'!C96)</f>
        <v>0</v>
      </c>
      <c r="D96" s="49">
        <f>AVERAGE('01.08 KYENJOJO-FORTPORTAL-24h'!D96,'03.08 KYENJOJO-FORTPORTAL-24h'!D96)</f>
        <v>0</v>
      </c>
      <c r="E96" s="49">
        <f>AVERAGE('01.08 KYENJOJO-FORTPORTAL-24h'!E96,'03.08 KYENJOJO-FORTPORTAL-24h'!E96)</f>
        <v>0</v>
      </c>
      <c r="F96" s="49">
        <f>AVERAGE('01.08 KYENJOJO-FORTPORTAL-24h'!F96,'03.08 KYENJOJO-FORTPORTAL-24h'!F96)</f>
        <v>0</v>
      </c>
      <c r="G96" s="49">
        <f>AVERAGE('01.08 KYENJOJO-FORTPORTAL-24h'!G96,'03.08 KYENJOJO-FORTPORTAL-24h'!G96)</f>
        <v>0</v>
      </c>
      <c r="H96" s="49">
        <f>AVERAGE('01.08 KYENJOJO-FORTPORTAL-24h'!H96,'03.08 KYENJOJO-FORTPORTAL-24h'!H96)</f>
        <v>0</v>
      </c>
      <c r="I96" s="49">
        <f>AVERAGE('01.08 KYENJOJO-FORTPORTAL-24h'!I96,'03.08 KYENJOJO-FORTPORTAL-24h'!I96)</f>
        <v>0.5</v>
      </c>
      <c r="J96" s="49">
        <f>AVERAGE('01.08 KYENJOJO-FORTPORTAL-24h'!J96,'03.08 KYENJOJO-FORTPORTAL-24h'!J96)</f>
        <v>0</v>
      </c>
      <c r="K96" s="49">
        <f>AVERAGE('01.08 KYENJOJO-FORTPORTAL-24h'!K96,'03.08 KYENJOJO-FORTPORTAL-24h'!K96)</f>
        <v>0</v>
      </c>
      <c r="L96" s="49">
        <f>AVERAGE('01.08 KYENJOJO-FORTPORTAL-24h'!L96,'03.08 KYENJOJO-FORTPORTAL-24h'!L96)</f>
        <v>1</v>
      </c>
      <c r="M96" s="49">
        <f>AVERAGE('01.08 KYENJOJO-FORTPORTAL-24h'!M96,'03.08 KYENJOJO-FORTPORTAL-24h'!M96)</f>
        <v>0</v>
      </c>
      <c r="N96" s="49">
        <f>AVERAGE('01.08 KYENJOJO-FORTPORTAL-24h'!N96,'03.08 KYENJOJO-FORTPORTAL-24h'!N96)</f>
        <v>0</v>
      </c>
      <c r="O96" s="15">
        <f t="shared" si="35"/>
        <v>1.5</v>
      </c>
      <c r="P96" s="15">
        <f t="shared" si="36"/>
        <v>1.5</v>
      </c>
      <c r="R96" s="8"/>
      <c r="T96"/>
    </row>
    <row r="97" spans="2:20" ht="23.1" customHeight="1" x14ac:dyDescent="0.25">
      <c r="B97" s="23" t="s">
        <v>137</v>
      </c>
      <c r="C97" s="49">
        <f>AVERAGE('01.08 KYENJOJO-FORTPORTAL-24h'!C97,'03.08 KYENJOJO-FORTPORTAL-24h'!C97)</f>
        <v>0</v>
      </c>
      <c r="D97" s="49">
        <f>AVERAGE('01.08 KYENJOJO-FORTPORTAL-24h'!D97,'03.08 KYENJOJO-FORTPORTAL-24h'!D97)</f>
        <v>0</v>
      </c>
      <c r="E97" s="49">
        <f>AVERAGE('01.08 KYENJOJO-FORTPORTAL-24h'!E97,'03.08 KYENJOJO-FORTPORTAL-24h'!E97)</f>
        <v>0</v>
      </c>
      <c r="F97" s="49">
        <f>AVERAGE('01.08 KYENJOJO-FORTPORTAL-24h'!F97,'03.08 KYENJOJO-FORTPORTAL-24h'!F97)</f>
        <v>0</v>
      </c>
      <c r="G97" s="49">
        <f>AVERAGE('01.08 KYENJOJO-FORTPORTAL-24h'!G97,'03.08 KYENJOJO-FORTPORTAL-24h'!G97)</f>
        <v>0</v>
      </c>
      <c r="H97" s="49">
        <f>AVERAGE('01.08 KYENJOJO-FORTPORTAL-24h'!H97,'03.08 KYENJOJO-FORTPORTAL-24h'!H97)</f>
        <v>0</v>
      </c>
      <c r="I97" s="49">
        <f>AVERAGE('01.08 KYENJOJO-FORTPORTAL-24h'!I97,'03.08 KYENJOJO-FORTPORTAL-24h'!I97)</f>
        <v>0.5</v>
      </c>
      <c r="J97" s="49">
        <f>AVERAGE('01.08 KYENJOJO-FORTPORTAL-24h'!J97,'03.08 KYENJOJO-FORTPORTAL-24h'!J97)</f>
        <v>0</v>
      </c>
      <c r="K97" s="49">
        <f>AVERAGE('01.08 KYENJOJO-FORTPORTAL-24h'!K97,'03.08 KYENJOJO-FORTPORTAL-24h'!K97)</f>
        <v>0</v>
      </c>
      <c r="L97" s="49">
        <f>AVERAGE('01.08 KYENJOJO-FORTPORTAL-24h'!L97,'03.08 KYENJOJO-FORTPORTAL-24h'!L97)</f>
        <v>0.5</v>
      </c>
      <c r="M97" s="49">
        <f>AVERAGE('01.08 KYENJOJO-FORTPORTAL-24h'!M97,'03.08 KYENJOJO-FORTPORTAL-24h'!M97)</f>
        <v>0</v>
      </c>
      <c r="N97" s="49">
        <f>AVERAGE('01.08 KYENJOJO-FORTPORTAL-24h'!N97,'03.08 KYENJOJO-FORTPORTAL-24h'!N97)</f>
        <v>0</v>
      </c>
      <c r="O97" s="15">
        <f t="shared" si="35"/>
        <v>1</v>
      </c>
      <c r="P97" s="15">
        <f t="shared" si="36"/>
        <v>1</v>
      </c>
      <c r="R97" s="8"/>
      <c r="T97"/>
    </row>
    <row r="98" spans="2:20" ht="23.1" customHeight="1" x14ac:dyDescent="0.25">
      <c r="B98" s="24" t="s">
        <v>138</v>
      </c>
      <c r="C98" s="49">
        <f>AVERAGE('01.08 KYENJOJO-FORTPORTAL-24h'!C98,'03.08 KYENJOJO-FORTPORTAL-24h'!C98)</f>
        <v>0</v>
      </c>
      <c r="D98" s="49">
        <f>AVERAGE('01.08 KYENJOJO-FORTPORTAL-24h'!D98,'03.08 KYENJOJO-FORTPORTAL-24h'!D98)</f>
        <v>0</v>
      </c>
      <c r="E98" s="49">
        <f>AVERAGE('01.08 KYENJOJO-FORTPORTAL-24h'!E98,'03.08 KYENJOJO-FORTPORTAL-24h'!E98)</f>
        <v>0</v>
      </c>
      <c r="F98" s="49">
        <f>AVERAGE('01.08 KYENJOJO-FORTPORTAL-24h'!F98,'03.08 KYENJOJO-FORTPORTAL-24h'!F98)</f>
        <v>0.5</v>
      </c>
      <c r="G98" s="49">
        <f>AVERAGE('01.08 KYENJOJO-FORTPORTAL-24h'!G98,'03.08 KYENJOJO-FORTPORTAL-24h'!G98)</f>
        <v>0</v>
      </c>
      <c r="H98" s="49">
        <f>AVERAGE('01.08 KYENJOJO-FORTPORTAL-24h'!H98,'03.08 KYENJOJO-FORTPORTAL-24h'!H98)</f>
        <v>0</v>
      </c>
      <c r="I98" s="49">
        <f>AVERAGE('01.08 KYENJOJO-FORTPORTAL-24h'!I98,'03.08 KYENJOJO-FORTPORTAL-24h'!I98)</f>
        <v>0.5</v>
      </c>
      <c r="J98" s="49">
        <f>AVERAGE('01.08 KYENJOJO-FORTPORTAL-24h'!J98,'03.08 KYENJOJO-FORTPORTAL-24h'!J98)</f>
        <v>0</v>
      </c>
      <c r="K98" s="49">
        <f>AVERAGE('01.08 KYENJOJO-FORTPORTAL-24h'!K98,'03.08 KYENJOJO-FORTPORTAL-24h'!K98)</f>
        <v>0</v>
      </c>
      <c r="L98" s="49">
        <f>AVERAGE('01.08 KYENJOJO-FORTPORTAL-24h'!L98,'03.08 KYENJOJO-FORTPORTAL-24h'!L98)</f>
        <v>0</v>
      </c>
      <c r="M98" s="49">
        <f>AVERAGE('01.08 KYENJOJO-FORTPORTAL-24h'!M98,'03.08 KYENJOJO-FORTPORTAL-24h'!M98)</f>
        <v>0</v>
      </c>
      <c r="N98" s="49">
        <f>AVERAGE('01.08 KYENJOJO-FORTPORTAL-24h'!N98,'03.08 KYENJOJO-FORTPORTAL-24h'!N98)</f>
        <v>0</v>
      </c>
      <c r="O98" s="15">
        <f t="shared" si="35"/>
        <v>1</v>
      </c>
      <c r="P98" s="15">
        <f t="shared" si="36"/>
        <v>1</v>
      </c>
      <c r="R98" s="8"/>
      <c r="T98"/>
    </row>
    <row r="99" spans="2:20" ht="23.1" customHeight="1" x14ac:dyDescent="0.25">
      <c r="B99" s="23" t="s">
        <v>139</v>
      </c>
      <c r="C99" s="49">
        <f>AVERAGE('01.08 KYENJOJO-FORTPORTAL-24h'!C99,'03.08 KYENJOJO-FORTPORTAL-24h'!C99)</f>
        <v>0</v>
      </c>
      <c r="D99" s="49">
        <f>AVERAGE('01.08 KYENJOJO-FORTPORTAL-24h'!D99,'03.08 KYENJOJO-FORTPORTAL-24h'!D99)</f>
        <v>0</v>
      </c>
      <c r="E99" s="49">
        <f>AVERAGE('01.08 KYENJOJO-FORTPORTAL-24h'!E99,'03.08 KYENJOJO-FORTPORTAL-24h'!E99)</f>
        <v>0</v>
      </c>
      <c r="F99" s="49">
        <f>AVERAGE('01.08 KYENJOJO-FORTPORTAL-24h'!F99,'03.08 KYENJOJO-FORTPORTAL-24h'!F99)</f>
        <v>0</v>
      </c>
      <c r="G99" s="49">
        <f>AVERAGE('01.08 KYENJOJO-FORTPORTAL-24h'!G99,'03.08 KYENJOJO-FORTPORTAL-24h'!G99)</f>
        <v>0</v>
      </c>
      <c r="H99" s="49">
        <f>AVERAGE('01.08 KYENJOJO-FORTPORTAL-24h'!H99,'03.08 KYENJOJO-FORTPORTAL-24h'!H99)</f>
        <v>0</v>
      </c>
      <c r="I99" s="49">
        <f>AVERAGE('01.08 KYENJOJO-FORTPORTAL-24h'!I99,'03.08 KYENJOJO-FORTPORTAL-24h'!I99)</f>
        <v>1</v>
      </c>
      <c r="J99" s="49">
        <f>AVERAGE('01.08 KYENJOJO-FORTPORTAL-24h'!J99,'03.08 KYENJOJO-FORTPORTAL-24h'!J99)</f>
        <v>0</v>
      </c>
      <c r="K99" s="49">
        <f>AVERAGE('01.08 KYENJOJO-FORTPORTAL-24h'!K99,'03.08 KYENJOJO-FORTPORTAL-24h'!K99)</f>
        <v>0</v>
      </c>
      <c r="L99" s="49">
        <f>AVERAGE('01.08 KYENJOJO-FORTPORTAL-24h'!L99,'03.08 KYENJOJO-FORTPORTAL-24h'!L99)</f>
        <v>0</v>
      </c>
      <c r="M99" s="49">
        <f>AVERAGE('01.08 KYENJOJO-FORTPORTAL-24h'!M99,'03.08 KYENJOJO-FORTPORTAL-24h'!M99)</f>
        <v>0</v>
      </c>
      <c r="N99" s="49">
        <f>AVERAGE('01.08 KYENJOJO-FORTPORTAL-24h'!N99,'03.08 KYENJOJO-FORTPORTAL-24h'!N99)</f>
        <v>0</v>
      </c>
      <c r="O99" s="15">
        <f t="shared" si="35"/>
        <v>1</v>
      </c>
      <c r="P99" s="15">
        <f t="shared" si="36"/>
        <v>1</v>
      </c>
      <c r="R99" s="8"/>
      <c r="T99"/>
    </row>
    <row r="100" spans="2:20" ht="23.1" customHeight="1" x14ac:dyDescent="0.25">
      <c r="B100" s="25" t="s">
        <v>140</v>
      </c>
      <c r="C100" s="49">
        <f>AVERAGE('01.08 KYENJOJO-FORTPORTAL-24h'!C100,'03.08 KYENJOJO-FORTPORTAL-24h'!C100)</f>
        <v>0</v>
      </c>
      <c r="D100" s="49">
        <f>AVERAGE('01.08 KYENJOJO-FORTPORTAL-24h'!D100,'03.08 KYENJOJO-FORTPORTAL-24h'!D100)</f>
        <v>0</v>
      </c>
      <c r="E100" s="49">
        <f>AVERAGE('01.08 KYENJOJO-FORTPORTAL-24h'!E100,'03.08 KYENJOJO-FORTPORTAL-24h'!E100)</f>
        <v>0.5</v>
      </c>
      <c r="F100" s="49">
        <f>AVERAGE('01.08 KYENJOJO-FORTPORTAL-24h'!F100,'03.08 KYENJOJO-FORTPORTAL-24h'!F100)</f>
        <v>0.5</v>
      </c>
      <c r="G100" s="49">
        <f>AVERAGE('01.08 KYENJOJO-FORTPORTAL-24h'!G100,'03.08 KYENJOJO-FORTPORTAL-24h'!G100)</f>
        <v>0</v>
      </c>
      <c r="H100" s="49">
        <f>AVERAGE('01.08 KYENJOJO-FORTPORTAL-24h'!H100,'03.08 KYENJOJO-FORTPORTAL-24h'!H100)</f>
        <v>0</v>
      </c>
      <c r="I100" s="49">
        <f>AVERAGE('01.08 KYENJOJO-FORTPORTAL-24h'!I100,'03.08 KYENJOJO-FORTPORTAL-24h'!I100)</f>
        <v>2</v>
      </c>
      <c r="J100" s="49">
        <f>AVERAGE('01.08 KYENJOJO-FORTPORTAL-24h'!J100,'03.08 KYENJOJO-FORTPORTAL-24h'!J100)</f>
        <v>0</v>
      </c>
      <c r="K100" s="49">
        <f>AVERAGE('01.08 KYENJOJO-FORTPORTAL-24h'!K100,'03.08 KYENJOJO-FORTPORTAL-24h'!K100)</f>
        <v>0</v>
      </c>
      <c r="L100" s="49">
        <f>AVERAGE('01.08 KYENJOJO-FORTPORTAL-24h'!L100,'03.08 KYENJOJO-FORTPORTAL-24h'!L100)</f>
        <v>0.5</v>
      </c>
      <c r="M100" s="49">
        <f>AVERAGE('01.08 KYENJOJO-FORTPORTAL-24h'!M100,'03.08 KYENJOJO-FORTPORTAL-24h'!M100)</f>
        <v>0</v>
      </c>
      <c r="N100" s="49">
        <f>AVERAGE('01.08 KYENJOJO-FORTPORTAL-24h'!N100,'03.08 KYENJOJO-FORTPORTAL-24h'!N100)</f>
        <v>0</v>
      </c>
      <c r="O100" s="15">
        <f t="shared" si="35"/>
        <v>3.5</v>
      </c>
      <c r="P100" s="15">
        <f t="shared" si="36"/>
        <v>3.5</v>
      </c>
      <c r="R100" s="8"/>
      <c r="T100"/>
    </row>
    <row r="101" spans="2:20" ht="23.1" customHeight="1" x14ac:dyDescent="0.25">
      <c r="B101" s="23" t="s">
        <v>141</v>
      </c>
      <c r="C101" s="49">
        <f>AVERAGE('01.08 KYENJOJO-FORTPORTAL-24h'!C101,'03.08 KYENJOJO-FORTPORTAL-24h'!C101)</f>
        <v>0</v>
      </c>
      <c r="D101" s="49">
        <f>AVERAGE('01.08 KYENJOJO-FORTPORTAL-24h'!D101,'03.08 KYENJOJO-FORTPORTAL-24h'!D101)</f>
        <v>0</v>
      </c>
      <c r="E101" s="49">
        <f>AVERAGE('01.08 KYENJOJO-FORTPORTAL-24h'!E101,'03.08 KYENJOJO-FORTPORTAL-24h'!E101)</f>
        <v>0</v>
      </c>
      <c r="F101" s="49">
        <f>AVERAGE('01.08 KYENJOJO-FORTPORTAL-24h'!F101,'03.08 KYENJOJO-FORTPORTAL-24h'!F101)</f>
        <v>0</v>
      </c>
      <c r="G101" s="49">
        <f>AVERAGE('01.08 KYENJOJO-FORTPORTAL-24h'!G101,'03.08 KYENJOJO-FORTPORTAL-24h'!G101)</f>
        <v>0</v>
      </c>
      <c r="H101" s="49">
        <f>AVERAGE('01.08 KYENJOJO-FORTPORTAL-24h'!H101,'03.08 KYENJOJO-FORTPORTAL-24h'!H101)</f>
        <v>0</v>
      </c>
      <c r="I101" s="49">
        <f>AVERAGE('01.08 KYENJOJO-FORTPORTAL-24h'!I101,'03.08 KYENJOJO-FORTPORTAL-24h'!I101)</f>
        <v>1</v>
      </c>
      <c r="J101" s="49">
        <f>AVERAGE('01.08 KYENJOJO-FORTPORTAL-24h'!J101,'03.08 KYENJOJO-FORTPORTAL-24h'!J101)</f>
        <v>0</v>
      </c>
      <c r="K101" s="49">
        <f>AVERAGE('01.08 KYENJOJO-FORTPORTAL-24h'!K101,'03.08 KYENJOJO-FORTPORTAL-24h'!K101)</f>
        <v>0</v>
      </c>
      <c r="L101" s="49">
        <f>AVERAGE('01.08 KYENJOJO-FORTPORTAL-24h'!L101,'03.08 KYENJOJO-FORTPORTAL-24h'!L101)</f>
        <v>0</v>
      </c>
      <c r="M101" s="49">
        <f>AVERAGE('01.08 KYENJOJO-FORTPORTAL-24h'!M101,'03.08 KYENJOJO-FORTPORTAL-24h'!M101)</f>
        <v>0</v>
      </c>
      <c r="N101" s="49">
        <f>AVERAGE('01.08 KYENJOJO-FORTPORTAL-24h'!N101,'03.08 KYENJOJO-FORTPORTAL-24h'!N101)</f>
        <v>0</v>
      </c>
      <c r="O101" s="15">
        <f t="shared" si="35"/>
        <v>1</v>
      </c>
      <c r="P101" s="15">
        <f t="shared" si="36"/>
        <v>1</v>
      </c>
      <c r="R101" s="8"/>
      <c r="T101"/>
    </row>
    <row r="102" spans="2:20" ht="23.1" customHeight="1" x14ac:dyDescent="0.25">
      <c r="B102" s="24" t="s">
        <v>142</v>
      </c>
      <c r="C102" s="49">
        <f>AVERAGE('01.08 KYENJOJO-FORTPORTAL-24h'!C102,'03.08 KYENJOJO-FORTPORTAL-24h'!C102)</f>
        <v>1</v>
      </c>
      <c r="D102" s="49">
        <f>AVERAGE('01.08 KYENJOJO-FORTPORTAL-24h'!D102,'03.08 KYENJOJO-FORTPORTAL-24h'!D102)</f>
        <v>0</v>
      </c>
      <c r="E102" s="49">
        <f>AVERAGE('01.08 KYENJOJO-FORTPORTAL-24h'!E102,'03.08 KYENJOJO-FORTPORTAL-24h'!E102)</f>
        <v>1</v>
      </c>
      <c r="F102" s="49">
        <f>AVERAGE('01.08 KYENJOJO-FORTPORTAL-24h'!F102,'03.08 KYENJOJO-FORTPORTAL-24h'!F102)</f>
        <v>1</v>
      </c>
      <c r="G102" s="49">
        <f>AVERAGE('01.08 KYENJOJO-FORTPORTAL-24h'!G102,'03.08 KYENJOJO-FORTPORTAL-24h'!G102)</f>
        <v>0</v>
      </c>
      <c r="H102" s="49">
        <f>AVERAGE('01.08 KYENJOJO-FORTPORTAL-24h'!H102,'03.08 KYENJOJO-FORTPORTAL-24h'!H102)</f>
        <v>0</v>
      </c>
      <c r="I102" s="49">
        <f>AVERAGE('01.08 KYENJOJO-FORTPORTAL-24h'!I102,'03.08 KYENJOJO-FORTPORTAL-24h'!I102)</f>
        <v>0.5</v>
      </c>
      <c r="J102" s="49">
        <f>AVERAGE('01.08 KYENJOJO-FORTPORTAL-24h'!J102,'03.08 KYENJOJO-FORTPORTAL-24h'!J102)</f>
        <v>0.5</v>
      </c>
      <c r="K102" s="49">
        <f>AVERAGE('01.08 KYENJOJO-FORTPORTAL-24h'!K102,'03.08 KYENJOJO-FORTPORTAL-24h'!K102)</f>
        <v>0</v>
      </c>
      <c r="L102" s="49">
        <f>AVERAGE('01.08 KYENJOJO-FORTPORTAL-24h'!L102,'03.08 KYENJOJO-FORTPORTAL-24h'!L102)</f>
        <v>0.5</v>
      </c>
      <c r="M102" s="49">
        <f>AVERAGE('01.08 KYENJOJO-FORTPORTAL-24h'!M102,'03.08 KYENJOJO-FORTPORTAL-24h'!M102)</f>
        <v>0.5</v>
      </c>
      <c r="N102" s="49">
        <f>AVERAGE('01.08 KYENJOJO-FORTPORTAL-24h'!N102,'03.08 KYENJOJO-FORTPORTAL-24h'!N102)</f>
        <v>0</v>
      </c>
      <c r="O102" s="15">
        <f t="shared" si="35"/>
        <v>4.5</v>
      </c>
      <c r="P102" s="15">
        <f t="shared" si="36"/>
        <v>5</v>
      </c>
      <c r="R102" s="8"/>
      <c r="T102"/>
    </row>
    <row r="103" spans="2:20" ht="23.1" customHeight="1" x14ac:dyDescent="0.25">
      <c r="B103" s="23" t="s">
        <v>143</v>
      </c>
      <c r="C103" s="49">
        <f>AVERAGE('01.08 KYENJOJO-FORTPORTAL-24h'!C103,'03.08 KYENJOJO-FORTPORTAL-24h'!C103)</f>
        <v>0</v>
      </c>
      <c r="D103" s="49">
        <f>AVERAGE('01.08 KYENJOJO-FORTPORTAL-24h'!D103,'03.08 KYENJOJO-FORTPORTAL-24h'!D103)</f>
        <v>0</v>
      </c>
      <c r="E103" s="49">
        <f>AVERAGE('01.08 KYENJOJO-FORTPORTAL-24h'!E103,'03.08 KYENJOJO-FORTPORTAL-24h'!E103)</f>
        <v>0.5</v>
      </c>
      <c r="F103" s="49">
        <f>AVERAGE('01.08 KYENJOJO-FORTPORTAL-24h'!F103,'03.08 KYENJOJO-FORTPORTAL-24h'!F103)</f>
        <v>0</v>
      </c>
      <c r="G103" s="49">
        <f>AVERAGE('01.08 KYENJOJO-FORTPORTAL-24h'!G103,'03.08 KYENJOJO-FORTPORTAL-24h'!G103)</f>
        <v>0</v>
      </c>
      <c r="H103" s="49">
        <f>AVERAGE('01.08 KYENJOJO-FORTPORTAL-24h'!H103,'03.08 KYENJOJO-FORTPORTAL-24h'!H103)</f>
        <v>0</v>
      </c>
      <c r="I103" s="49">
        <f>AVERAGE('01.08 KYENJOJO-FORTPORTAL-24h'!I103,'03.08 KYENJOJO-FORTPORTAL-24h'!I103)</f>
        <v>0.5</v>
      </c>
      <c r="J103" s="49">
        <f>AVERAGE('01.08 KYENJOJO-FORTPORTAL-24h'!J103,'03.08 KYENJOJO-FORTPORTAL-24h'!J103)</f>
        <v>0</v>
      </c>
      <c r="K103" s="49">
        <f>AVERAGE('01.08 KYENJOJO-FORTPORTAL-24h'!K103,'03.08 KYENJOJO-FORTPORTAL-24h'!K103)</f>
        <v>0</v>
      </c>
      <c r="L103" s="49">
        <f>AVERAGE('01.08 KYENJOJO-FORTPORTAL-24h'!L103,'03.08 KYENJOJO-FORTPORTAL-24h'!L103)</f>
        <v>0.5</v>
      </c>
      <c r="M103" s="49">
        <f>AVERAGE('01.08 KYENJOJO-FORTPORTAL-24h'!M103,'03.08 KYENJOJO-FORTPORTAL-24h'!M103)</f>
        <v>0.5</v>
      </c>
      <c r="N103" s="49">
        <f>AVERAGE('01.08 KYENJOJO-FORTPORTAL-24h'!N103,'03.08 KYENJOJO-FORTPORTAL-24h'!N103)</f>
        <v>0</v>
      </c>
      <c r="O103" s="15">
        <f t="shared" si="35"/>
        <v>1.5</v>
      </c>
      <c r="P103" s="15">
        <f t="shared" si="36"/>
        <v>2</v>
      </c>
      <c r="R103" s="8"/>
      <c r="T103"/>
    </row>
    <row r="104" spans="2:20" ht="23.1" customHeight="1" x14ac:dyDescent="0.25">
      <c r="B104" s="25" t="s">
        <v>144</v>
      </c>
      <c r="C104" s="49">
        <f>AVERAGE('01.08 KYENJOJO-FORTPORTAL-24h'!C104,'03.08 KYENJOJO-FORTPORTAL-24h'!C104)</f>
        <v>0</v>
      </c>
      <c r="D104" s="49">
        <f>AVERAGE('01.08 KYENJOJO-FORTPORTAL-24h'!D104,'03.08 KYENJOJO-FORTPORTAL-24h'!D104)</f>
        <v>0</v>
      </c>
      <c r="E104" s="49">
        <f>AVERAGE('01.08 KYENJOJO-FORTPORTAL-24h'!E104,'03.08 KYENJOJO-FORTPORTAL-24h'!E104)</f>
        <v>0.5</v>
      </c>
      <c r="F104" s="49">
        <f>AVERAGE('01.08 KYENJOJO-FORTPORTAL-24h'!F104,'03.08 KYENJOJO-FORTPORTAL-24h'!F104)</f>
        <v>1</v>
      </c>
      <c r="G104" s="49">
        <f>AVERAGE('01.08 KYENJOJO-FORTPORTAL-24h'!G104,'03.08 KYENJOJO-FORTPORTAL-24h'!G104)</f>
        <v>0</v>
      </c>
      <c r="H104" s="49">
        <f>AVERAGE('01.08 KYENJOJO-FORTPORTAL-24h'!H104,'03.08 KYENJOJO-FORTPORTAL-24h'!H104)</f>
        <v>0</v>
      </c>
      <c r="I104" s="49">
        <f>AVERAGE('01.08 KYENJOJO-FORTPORTAL-24h'!I104,'03.08 KYENJOJO-FORTPORTAL-24h'!I104)</f>
        <v>1.5</v>
      </c>
      <c r="J104" s="49">
        <f>AVERAGE('01.08 KYENJOJO-FORTPORTAL-24h'!J104,'03.08 KYENJOJO-FORTPORTAL-24h'!J104)</f>
        <v>0.5</v>
      </c>
      <c r="K104" s="49">
        <f>AVERAGE('01.08 KYENJOJO-FORTPORTAL-24h'!K104,'03.08 KYENJOJO-FORTPORTAL-24h'!K104)</f>
        <v>0</v>
      </c>
      <c r="L104" s="49">
        <f>AVERAGE('01.08 KYENJOJO-FORTPORTAL-24h'!L104,'03.08 KYENJOJO-FORTPORTAL-24h'!L104)</f>
        <v>0</v>
      </c>
      <c r="M104" s="49">
        <f>AVERAGE('01.08 KYENJOJO-FORTPORTAL-24h'!M104,'03.08 KYENJOJO-FORTPORTAL-24h'!M104)</f>
        <v>0.5</v>
      </c>
      <c r="N104" s="49">
        <f>AVERAGE('01.08 KYENJOJO-FORTPORTAL-24h'!N104,'03.08 KYENJOJO-FORTPORTAL-24h'!N104)</f>
        <v>0</v>
      </c>
      <c r="O104" s="15">
        <f t="shared" si="35"/>
        <v>3.5</v>
      </c>
      <c r="P104" s="15">
        <f t="shared" si="36"/>
        <v>4</v>
      </c>
      <c r="R104" s="8"/>
      <c r="T104"/>
    </row>
    <row r="105" spans="2:20" ht="23.1" customHeight="1" x14ac:dyDescent="0.25">
      <c r="B105" s="23" t="s">
        <v>145</v>
      </c>
      <c r="C105" s="49">
        <f>AVERAGE('01.08 KYENJOJO-FORTPORTAL-24h'!C105,'03.08 KYENJOJO-FORTPORTAL-24h'!C105)</f>
        <v>0.5</v>
      </c>
      <c r="D105" s="49">
        <f>AVERAGE('01.08 KYENJOJO-FORTPORTAL-24h'!D105,'03.08 KYENJOJO-FORTPORTAL-24h'!D105)</f>
        <v>0</v>
      </c>
      <c r="E105" s="49">
        <f>AVERAGE('01.08 KYENJOJO-FORTPORTAL-24h'!E105,'03.08 KYENJOJO-FORTPORTAL-24h'!E105)</f>
        <v>0</v>
      </c>
      <c r="F105" s="49">
        <f>AVERAGE('01.08 KYENJOJO-FORTPORTAL-24h'!F105,'03.08 KYENJOJO-FORTPORTAL-24h'!F105)</f>
        <v>0</v>
      </c>
      <c r="G105" s="49">
        <f>AVERAGE('01.08 KYENJOJO-FORTPORTAL-24h'!G105,'03.08 KYENJOJO-FORTPORTAL-24h'!G105)</f>
        <v>0</v>
      </c>
      <c r="H105" s="49">
        <f>AVERAGE('01.08 KYENJOJO-FORTPORTAL-24h'!H105,'03.08 KYENJOJO-FORTPORTAL-24h'!H105)</f>
        <v>0</v>
      </c>
      <c r="I105" s="49">
        <f>AVERAGE('01.08 KYENJOJO-FORTPORTAL-24h'!I105,'03.08 KYENJOJO-FORTPORTAL-24h'!I105)</f>
        <v>1</v>
      </c>
      <c r="J105" s="49">
        <f>AVERAGE('01.08 KYENJOJO-FORTPORTAL-24h'!J105,'03.08 KYENJOJO-FORTPORTAL-24h'!J105)</f>
        <v>0</v>
      </c>
      <c r="K105" s="49">
        <f>AVERAGE('01.08 KYENJOJO-FORTPORTAL-24h'!K105,'03.08 KYENJOJO-FORTPORTAL-24h'!K105)</f>
        <v>0</v>
      </c>
      <c r="L105" s="49">
        <f>AVERAGE('01.08 KYENJOJO-FORTPORTAL-24h'!L105,'03.08 KYENJOJO-FORTPORTAL-24h'!L105)</f>
        <v>0</v>
      </c>
      <c r="M105" s="49">
        <f>AVERAGE('01.08 KYENJOJO-FORTPORTAL-24h'!M105,'03.08 KYENJOJO-FORTPORTAL-24h'!M105)</f>
        <v>0</v>
      </c>
      <c r="N105" s="49">
        <f>AVERAGE('01.08 KYENJOJO-FORTPORTAL-24h'!N105,'03.08 KYENJOJO-FORTPORTAL-24h'!N105)</f>
        <v>0</v>
      </c>
      <c r="O105" s="15">
        <f t="shared" si="35"/>
        <v>1.5</v>
      </c>
      <c r="P105" s="15">
        <f t="shared" si="36"/>
        <v>1.5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84.357142857142861</v>
      </c>
      <c r="D106" s="16">
        <f t="shared" ref="D106:P106" si="37">SUM(D10:D105)</f>
        <v>0</v>
      </c>
      <c r="E106" s="16">
        <f t="shared" si="37"/>
        <v>140.5</v>
      </c>
      <c r="F106" s="16">
        <f t="shared" si="37"/>
        <v>114.42857142857144</v>
      </c>
      <c r="G106" s="16">
        <f t="shared" si="37"/>
        <v>4.3571428571428559</v>
      </c>
      <c r="H106" s="16">
        <f t="shared" si="37"/>
        <v>24.642857142857142</v>
      </c>
      <c r="I106" s="16">
        <f t="shared" si="37"/>
        <v>115.57142857142858</v>
      </c>
      <c r="J106" s="16">
        <f t="shared" si="37"/>
        <v>10.785714285714285</v>
      </c>
      <c r="K106" s="16">
        <f t="shared" si="37"/>
        <v>4.9285714285714279</v>
      </c>
      <c r="L106" s="16">
        <f t="shared" si="37"/>
        <v>58.499999999999993</v>
      </c>
      <c r="M106" s="16">
        <f t="shared" si="37"/>
        <v>76.428571428571402</v>
      </c>
      <c r="N106" s="16">
        <f t="shared" si="37"/>
        <v>0</v>
      </c>
      <c r="O106" s="16">
        <f t="shared" si="37"/>
        <v>558.07142857142856</v>
      </c>
      <c r="P106" s="16">
        <f t="shared" si="37"/>
        <v>634.5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0.13295057975909041</v>
      </c>
      <c r="D107" s="43">
        <f t="shared" si="38"/>
        <v>0</v>
      </c>
      <c r="E107" s="43">
        <f t="shared" si="38"/>
        <v>0.2214342001576044</v>
      </c>
      <c r="F107" s="43">
        <f t="shared" si="38"/>
        <v>0.18034447821681868</v>
      </c>
      <c r="G107" s="43">
        <f t="shared" si="38"/>
        <v>6.8670494202409072E-3</v>
      </c>
      <c r="H107" s="43">
        <f t="shared" si="38"/>
        <v>3.8838230327592031E-2</v>
      </c>
      <c r="I107" s="43">
        <f t="shared" si="38"/>
        <v>0.18214567150737365</v>
      </c>
      <c r="J107" s="43">
        <f t="shared" si="38"/>
        <v>1.6998761679612742E-2</v>
      </c>
      <c r="K107" s="43">
        <f t="shared" si="38"/>
        <v>7.7676460655184045E-3</v>
      </c>
      <c r="L107" s="43">
        <f t="shared" si="38"/>
        <v>9.2198581560283682E-2</v>
      </c>
      <c r="M107" s="43">
        <f t="shared" si="38"/>
        <v>0.1204548013058651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0.15115832586714451</v>
      </c>
      <c r="D108" s="44">
        <f t="shared" ref="D108:N108" si="39">D106/$O$106</f>
        <v>0</v>
      </c>
      <c r="E108" s="44">
        <f t="shared" si="39"/>
        <v>0.2517598873672085</v>
      </c>
      <c r="F108" s="44">
        <f t="shared" si="39"/>
        <v>0.20504287725585565</v>
      </c>
      <c r="G108" s="44">
        <f t="shared" si="39"/>
        <v>7.8075003199795196E-3</v>
      </c>
      <c r="H108" s="44">
        <f t="shared" si="39"/>
        <v>4.4157173940867787E-2</v>
      </c>
      <c r="I108" s="44">
        <f t="shared" si="39"/>
        <v>0.20709074619224371</v>
      </c>
      <c r="J108" s="44">
        <f t="shared" si="39"/>
        <v>1.932676308716242E-2</v>
      </c>
      <c r="K108" s="44">
        <f t="shared" si="39"/>
        <v>8.8314347881735568E-3</v>
      </c>
      <c r="L108" s="44">
        <f t="shared" si="39"/>
        <v>0.10482529118136438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3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H63" zoomScale="60" workbookViewId="0">
      <selection activeCell="AD58" sqref="AD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FORTPORTAL-KYENJOJO'!C3:G3</f>
        <v>C4 - STN107-FORTPORTAL-KYENJONJO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164</v>
      </c>
      <c r="E5" s="66"/>
      <c r="F5" s="41" t="s">
        <v>1</v>
      </c>
      <c r="G5" s="63" t="str">
        <f>'04.08 FORTPORTAL-KYENJOJO'!G5:H5</f>
        <v>xxx</v>
      </c>
      <c r="H5" s="64"/>
      <c r="I5" s="14"/>
      <c r="J5" s="2" t="s">
        <v>5</v>
      </c>
      <c r="K5" s="63" t="str">
        <f>'04.08 FORTPORTAL-KYENJOJO'!K5:L5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'04.08 FORTPORTAL-KYENJOJO'!D6:E6</f>
        <v>FORTPORTAL</v>
      </c>
      <c r="E6" s="64"/>
      <c r="F6" s="2" t="s">
        <v>2</v>
      </c>
      <c r="G6" s="63" t="str">
        <f>'04.08 FORTPORTAL-KYENJOJO'!G6:H6</f>
        <v>KYENJOJO</v>
      </c>
      <c r="H6" s="64"/>
      <c r="J6" s="2" t="s">
        <v>21</v>
      </c>
      <c r="K6" s="63" t="str">
        <f>'04.08 FORTPORTAL-KYENJOJO'!K6:L6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FORTPORTAL-KYENJOJO'!C10,'30.07 FORTPORAL-KYENJOJO'!C10,'31.07 FORTPORTAL-KYENJOJO'!C10,'02.08 FORTPORTAL-KYENJOJO'!C10,'01.08 FORTPORTAL-KYENJOJO 2-24h'!C10,'03.08 FORTPORTAL-KYENJOJO-24h'!C10,'04.08 FORTPORTAL-KYENJOJO'!C10)</f>
        <v>0.7142857142857143</v>
      </c>
      <c r="D10" s="49">
        <f>AVERAGE('29.07 FORTPORTAL-KYENJOJO'!D10,'30.07 FORTPORAL-KYENJOJO'!D10,'31.07 FORTPORTAL-KYENJOJO'!D10,'02.08 FORTPORTAL-KYENJOJO'!D10,'01.08 FORTPORTAL-KYENJOJO 2-24h'!D10,'03.08 FORTPORTAL-KYENJOJO-24h'!D10,'04.08 FORTPORTAL-KYENJOJO'!D10)</f>
        <v>0</v>
      </c>
      <c r="E10" s="49">
        <f>AVERAGE('29.07 FORTPORTAL-KYENJOJO'!E10,'30.07 FORTPORAL-KYENJOJO'!E10,'31.07 FORTPORTAL-KYENJOJO'!E10,'02.08 FORTPORTAL-KYENJOJO'!E10,'01.08 FORTPORTAL-KYENJOJO 2-24h'!E10,'03.08 FORTPORTAL-KYENJOJO-24h'!E10,'04.08 FORTPORTAL-KYENJOJO'!E10)</f>
        <v>0.8571428571428571</v>
      </c>
      <c r="F10" s="49">
        <f>AVERAGE('29.07 FORTPORTAL-KYENJOJO'!F10,'30.07 FORTPORAL-KYENJOJO'!F10,'31.07 FORTPORTAL-KYENJOJO'!F10,'02.08 FORTPORTAL-KYENJOJO'!F10,'01.08 FORTPORTAL-KYENJOJO 2-24h'!F10,'03.08 FORTPORTAL-KYENJOJO-24h'!F10,'04.08 FORTPORTAL-KYENJOJO'!F10)</f>
        <v>2.5714285714285716</v>
      </c>
      <c r="G10" s="49">
        <f>AVERAGE('29.07 FORTPORTAL-KYENJOJO'!G10,'30.07 FORTPORAL-KYENJOJO'!G10,'31.07 FORTPORTAL-KYENJOJO'!G10,'02.08 FORTPORTAL-KYENJOJO'!G10,'01.08 FORTPORTAL-KYENJOJO 2-24h'!G10,'03.08 FORTPORTAL-KYENJOJO-24h'!G10,'04.08 FORTPORTAL-KYENJOJO'!G10)</f>
        <v>0</v>
      </c>
      <c r="H10" s="49">
        <f>AVERAGE('29.07 FORTPORTAL-KYENJOJO'!H10,'30.07 FORTPORAL-KYENJOJO'!H10,'31.07 FORTPORTAL-KYENJOJO'!H10,'02.08 FORTPORTAL-KYENJOJO'!H10,'01.08 FORTPORTAL-KYENJOJO 2-24h'!H10,'03.08 FORTPORTAL-KYENJOJO-24h'!H10,'04.08 FORTPORTAL-KYENJOJO'!H10)</f>
        <v>0</v>
      </c>
      <c r="I10" s="49">
        <f>AVERAGE('29.07 FORTPORTAL-KYENJOJO'!I10,'30.07 FORTPORAL-KYENJOJO'!I10,'31.07 FORTPORTAL-KYENJOJO'!I10,'02.08 FORTPORTAL-KYENJOJO'!I10,'01.08 FORTPORTAL-KYENJOJO 2-24h'!I10,'03.08 FORTPORTAL-KYENJOJO-24h'!I10,'04.08 FORTPORTAL-KYENJOJO'!I10)</f>
        <v>0.8571428571428571</v>
      </c>
      <c r="J10" s="49">
        <f>AVERAGE('29.07 FORTPORTAL-KYENJOJO'!J10,'30.07 FORTPORAL-KYENJOJO'!J10,'31.07 FORTPORTAL-KYENJOJO'!J10,'02.08 FORTPORTAL-KYENJOJO'!J10,'01.08 FORTPORTAL-KYENJOJO 2-24h'!J10,'03.08 FORTPORTAL-KYENJOJO-24h'!J10,'04.08 FORTPORTAL-KYENJOJO'!J10)</f>
        <v>0.14285714285714285</v>
      </c>
      <c r="K10" s="49">
        <f>AVERAGE('29.07 FORTPORTAL-KYENJOJO'!K10,'30.07 FORTPORAL-KYENJOJO'!K10,'31.07 FORTPORTAL-KYENJOJO'!K10,'02.08 FORTPORTAL-KYENJOJO'!K10,'01.08 FORTPORTAL-KYENJOJO 2-24h'!K10,'03.08 FORTPORTAL-KYENJOJO-24h'!K10,'04.08 FORTPORTAL-KYENJOJO'!K10)</f>
        <v>0</v>
      </c>
      <c r="L10" s="49">
        <f>AVERAGE('29.07 FORTPORTAL-KYENJOJO'!L10,'30.07 FORTPORAL-KYENJOJO'!L10,'31.07 FORTPORTAL-KYENJOJO'!L10,'02.08 FORTPORTAL-KYENJOJO'!L10,'01.08 FORTPORTAL-KYENJOJO 2-24h'!L10,'03.08 FORTPORTAL-KYENJOJO-24h'!L10,'04.08 FORTPORTAL-KYENJOJO'!L10)</f>
        <v>0.8571428571428571</v>
      </c>
      <c r="M10" s="49">
        <f>AVERAGE('29.07 FORTPORTAL-KYENJOJO'!M10,'30.07 FORTPORAL-KYENJOJO'!M10,'31.07 FORTPORTAL-KYENJOJO'!M10,'02.08 FORTPORTAL-KYENJOJO'!M10,'01.08 FORTPORTAL-KYENJOJO 2-24h'!M10,'03.08 FORTPORTAL-KYENJOJO-24h'!M10,'04.08 FORTPORTAL-KYENJOJO'!M10)</f>
        <v>1.8571428571428572</v>
      </c>
      <c r="N10" s="49">
        <f>AVERAGE('29.07 FORTPORTAL-KYENJOJO'!N10,'30.07 FORTPORAL-KYENJOJO'!N10,'31.07 FORTPORTAL-KYENJOJO'!N10,'02.08 FORTPORTAL-KYENJOJO'!N10,'01.08 FORTPORTAL-KYENJOJO 2-24h'!N10,'03.08 FORTPORTAL-KYENJOJO-24h'!N10,'04.08 FORTPORTAL-KYENJOJO'!N10)</f>
        <v>0</v>
      </c>
      <c r="O10" s="15">
        <f t="shared" ref="O10:O73" si="0">SUM(C10:L10,N10)</f>
        <v>6</v>
      </c>
      <c r="P10" s="15">
        <f t="shared" ref="P10:P73" si="1">SUM(C10:N10)</f>
        <v>7.8571428571428577</v>
      </c>
      <c r="R10" s="1" t="s">
        <v>6</v>
      </c>
      <c r="S10" s="17">
        <f t="shared" ref="S10:AF10" si="2">SUM(C10:C13)</f>
        <v>3.4285714285714288</v>
      </c>
      <c r="T10" s="17">
        <f t="shared" si="2"/>
        <v>0</v>
      </c>
      <c r="U10" s="17">
        <f t="shared" si="2"/>
        <v>3.4285714285714284</v>
      </c>
      <c r="V10" s="17">
        <f t="shared" si="2"/>
        <v>6.1428571428571423</v>
      </c>
      <c r="W10" s="17">
        <f t="shared" si="2"/>
        <v>0.14285714285714285</v>
      </c>
      <c r="X10" s="17">
        <f t="shared" si="2"/>
        <v>0.71428571428571419</v>
      </c>
      <c r="Y10" s="17">
        <f t="shared" si="2"/>
        <v>3</v>
      </c>
      <c r="Z10" s="17">
        <f t="shared" si="2"/>
        <v>0.85714285714285698</v>
      </c>
      <c r="AA10" s="17">
        <f t="shared" si="2"/>
        <v>0.5714285714285714</v>
      </c>
      <c r="AB10" s="17">
        <f t="shared" si="2"/>
        <v>2.2857142857142856</v>
      </c>
      <c r="AC10" s="17">
        <f t="shared" si="2"/>
        <v>4.8571428571428577</v>
      </c>
      <c r="AD10" s="17">
        <f t="shared" si="2"/>
        <v>0</v>
      </c>
      <c r="AE10" s="31">
        <f t="shared" si="2"/>
        <v>20.571428571428573</v>
      </c>
      <c r="AF10" s="31">
        <f t="shared" si="2"/>
        <v>25.428571428571431</v>
      </c>
    </row>
    <row r="11" spans="2:32" s="6" customFormat="1" ht="23.1" customHeight="1" x14ac:dyDescent="0.25">
      <c r="B11" s="23" t="s">
        <v>38</v>
      </c>
      <c r="C11" s="49">
        <f>AVERAGE('29.07 FORTPORTAL-KYENJOJO'!C11,'30.07 FORTPORAL-KYENJOJO'!C11,'31.07 FORTPORTAL-KYENJOJO'!C11,'02.08 FORTPORTAL-KYENJOJO'!C11,'01.08 FORTPORTAL-KYENJOJO 2-24h'!C11,'03.08 FORTPORTAL-KYENJOJO-24h'!C11,'04.08 FORTPORTAL-KYENJOJO'!C11)</f>
        <v>1</v>
      </c>
      <c r="D11" s="49">
        <f>AVERAGE('29.07 FORTPORTAL-KYENJOJO'!D11,'30.07 FORTPORAL-KYENJOJO'!D11,'31.07 FORTPORTAL-KYENJOJO'!D11,'02.08 FORTPORTAL-KYENJOJO'!D11,'01.08 FORTPORTAL-KYENJOJO 2-24h'!D11,'03.08 FORTPORTAL-KYENJOJO-24h'!D11,'04.08 FORTPORTAL-KYENJOJO'!D11)</f>
        <v>0</v>
      </c>
      <c r="E11" s="49">
        <f>AVERAGE('29.07 FORTPORTAL-KYENJOJO'!E11,'30.07 FORTPORAL-KYENJOJO'!E11,'31.07 FORTPORTAL-KYENJOJO'!E11,'02.08 FORTPORTAL-KYENJOJO'!E11,'01.08 FORTPORTAL-KYENJOJO 2-24h'!E11,'03.08 FORTPORTAL-KYENJOJO-24h'!E11,'04.08 FORTPORTAL-KYENJOJO'!E11)</f>
        <v>0.7142857142857143</v>
      </c>
      <c r="F11" s="49">
        <f>AVERAGE('29.07 FORTPORTAL-KYENJOJO'!F11,'30.07 FORTPORAL-KYENJOJO'!F11,'31.07 FORTPORTAL-KYENJOJO'!F11,'02.08 FORTPORTAL-KYENJOJO'!F11,'01.08 FORTPORTAL-KYENJOJO 2-24h'!F11,'03.08 FORTPORTAL-KYENJOJO-24h'!F11,'04.08 FORTPORTAL-KYENJOJO'!F11)</f>
        <v>1.2857142857142858</v>
      </c>
      <c r="G11" s="49">
        <f>AVERAGE('29.07 FORTPORTAL-KYENJOJO'!G11,'30.07 FORTPORAL-KYENJOJO'!G11,'31.07 FORTPORTAL-KYENJOJO'!G11,'02.08 FORTPORTAL-KYENJOJO'!G11,'01.08 FORTPORTAL-KYENJOJO 2-24h'!G11,'03.08 FORTPORTAL-KYENJOJO-24h'!G11,'04.08 FORTPORTAL-KYENJOJO'!G11)</f>
        <v>0</v>
      </c>
      <c r="H11" s="49">
        <f>AVERAGE('29.07 FORTPORTAL-KYENJOJO'!H11,'30.07 FORTPORAL-KYENJOJO'!H11,'31.07 FORTPORTAL-KYENJOJO'!H11,'02.08 FORTPORTAL-KYENJOJO'!H11,'01.08 FORTPORTAL-KYENJOJO 2-24h'!H11,'03.08 FORTPORTAL-KYENJOJO-24h'!H11,'04.08 FORTPORTAL-KYENJOJO'!H11)</f>
        <v>0</v>
      </c>
      <c r="I11" s="49">
        <f>AVERAGE('29.07 FORTPORTAL-KYENJOJO'!I11,'30.07 FORTPORAL-KYENJOJO'!I11,'31.07 FORTPORTAL-KYENJOJO'!I11,'02.08 FORTPORTAL-KYENJOJO'!I11,'01.08 FORTPORTAL-KYENJOJO 2-24h'!I11,'03.08 FORTPORTAL-KYENJOJO-24h'!I11,'04.08 FORTPORTAL-KYENJOJO'!I11)</f>
        <v>0.5714285714285714</v>
      </c>
      <c r="J11" s="49">
        <f>AVERAGE('29.07 FORTPORTAL-KYENJOJO'!J11,'30.07 FORTPORAL-KYENJOJO'!J11,'31.07 FORTPORTAL-KYENJOJO'!J11,'02.08 FORTPORTAL-KYENJOJO'!J11,'01.08 FORTPORTAL-KYENJOJO 2-24h'!J11,'03.08 FORTPORTAL-KYENJOJO-24h'!J11,'04.08 FORTPORTAL-KYENJOJO'!J11)</f>
        <v>0.2857142857142857</v>
      </c>
      <c r="K11" s="49">
        <f>AVERAGE('29.07 FORTPORTAL-KYENJOJO'!K11,'30.07 FORTPORAL-KYENJOJO'!K11,'31.07 FORTPORTAL-KYENJOJO'!K11,'02.08 FORTPORTAL-KYENJOJO'!K11,'01.08 FORTPORTAL-KYENJOJO 2-24h'!K11,'03.08 FORTPORTAL-KYENJOJO-24h'!K11,'04.08 FORTPORTAL-KYENJOJO'!K11)</f>
        <v>0.42857142857142855</v>
      </c>
      <c r="L11" s="49">
        <f>AVERAGE('29.07 FORTPORTAL-KYENJOJO'!L11,'30.07 FORTPORAL-KYENJOJO'!L11,'31.07 FORTPORTAL-KYENJOJO'!L11,'02.08 FORTPORTAL-KYENJOJO'!L11,'01.08 FORTPORTAL-KYENJOJO 2-24h'!L11,'03.08 FORTPORTAL-KYENJOJO-24h'!L11,'04.08 FORTPORTAL-KYENJOJO'!L11)</f>
        <v>0.8571428571428571</v>
      </c>
      <c r="M11" s="49">
        <f>AVERAGE('29.07 FORTPORTAL-KYENJOJO'!M11,'30.07 FORTPORAL-KYENJOJO'!M11,'31.07 FORTPORTAL-KYENJOJO'!M11,'02.08 FORTPORTAL-KYENJOJO'!M11,'01.08 FORTPORTAL-KYENJOJO 2-24h'!M11,'03.08 FORTPORTAL-KYENJOJO-24h'!M11,'04.08 FORTPORTAL-KYENJOJO'!M11)</f>
        <v>0.8571428571428571</v>
      </c>
      <c r="N11" s="49">
        <f>AVERAGE('29.07 FORTPORTAL-KYENJOJO'!N11,'30.07 FORTPORAL-KYENJOJO'!N11,'31.07 FORTPORTAL-KYENJOJO'!N11,'02.08 FORTPORTAL-KYENJOJO'!N11,'01.08 FORTPORTAL-KYENJOJO 2-24h'!N11,'03.08 FORTPORTAL-KYENJOJO-24h'!N11,'04.08 FORTPORTAL-KYENJOJO'!N11)</f>
        <v>0</v>
      </c>
      <c r="O11" s="15">
        <f t="shared" si="0"/>
        <v>5.1428571428571423</v>
      </c>
      <c r="P11" s="15">
        <f t="shared" si="1"/>
        <v>5.9999999999999991</v>
      </c>
      <c r="R11" s="1" t="s">
        <v>7</v>
      </c>
      <c r="S11" s="17">
        <f t="shared" ref="S11:AF11" si="3">SUM(C14:C17)</f>
        <v>3.7142857142857144</v>
      </c>
      <c r="T11" s="17">
        <f t="shared" si="3"/>
        <v>0</v>
      </c>
      <c r="U11" s="17">
        <f t="shared" si="3"/>
        <v>7</v>
      </c>
      <c r="V11" s="17">
        <f t="shared" si="3"/>
        <v>8.1428571428571423</v>
      </c>
      <c r="W11" s="17">
        <f t="shared" si="3"/>
        <v>0</v>
      </c>
      <c r="X11" s="17">
        <f t="shared" si="3"/>
        <v>0.5714285714285714</v>
      </c>
      <c r="Y11" s="17">
        <f t="shared" si="3"/>
        <v>2.8571428571428572</v>
      </c>
      <c r="Z11" s="17">
        <f t="shared" si="3"/>
        <v>0.71428571428571419</v>
      </c>
      <c r="AA11" s="17">
        <f t="shared" si="3"/>
        <v>0.2857142857142857</v>
      </c>
      <c r="AB11" s="17">
        <f t="shared" si="3"/>
        <v>0.85714285714285698</v>
      </c>
      <c r="AC11" s="17">
        <f t="shared" si="3"/>
        <v>4.2857142857142856</v>
      </c>
      <c r="AD11" s="17">
        <f t="shared" si="3"/>
        <v>0</v>
      </c>
      <c r="AE11" s="31">
        <f t="shared" si="3"/>
        <v>24.142857142857146</v>
      </c>
      <c r="AF11" s="31">
        <f t="shared" si="3"/>
        <v>28.428571428571434</v>
      </c>
    </row>
    <row r="12" spans="2:32" ht="23.1" customHeight="1" x14ac:dyDescent="0.25">
      <c r="B12" s="23" t="s">
        <v>39</v>
      </c>
      <c r="C12" s="49">
        <f>AVERAGE('29.07 FORTPORTAL-KYENJOJO'!C12,'30.07 FORTPORAL-KYENJOJO'!C12,'31.07 FORTPORTAL-KYENJOJO'!C12,'02.08 FORTPORTAL-KYENJOJO'!C12,'01.08 FORTPORTAL-KYENJOJO 2-24h'!C12,'03.08 FORTPORTAL-KYENJOJO-24h'!C12,'04.08 FORTPORTAL-KYENJOJO'!C12)</f>
        <v>0.7142857142857143</v>
      </c>
      <c r="D12" s="49">
        <f>AVERAGE('29.07 FORTPORTAL-KYENJOJO'!D12,'30.07 FORTPORAL-KYENJOJO'!D12,'31.07 FORTPORTAL-KYENJOJO'!D12,'02.08 FORTPORTAL-KYENJOJO'!D12,'01.08 FORTPORTAL-KYENJOJO 2-24h'!D12,'03.08 FORTPORTAL-KYENJOJO-24h'!D12,'04.08 FORTPORTAL-KYENJOJO'!D12)</f>
        <v>0</v>
      </c>
      <c r="E12" s="49">
        <f>AVERAGE('29.07 FORTPORTAL-KYENJOJO'!E12,'30.07 FORTPORAL-KYENJOJO'!E12,'31.07 FORTPORTAL-KYENJOJO'!E12,'02.08 FORTPORTAL-KYENJOJO'!E12,'01.08 FORTPORTAL-KYENJOJO 2-24h'!E12,'03.08 FORTPORTAL-KYENJOJO-24h'!E12,'04.08 FORTPORTAL-KYENJOJO'!E12)</f>
        <v>1</v>
      </c>
      <c r="F12" s="49">
        <f>AVERAGE('29.07 FORTPORTAL-KYENJOJO'!F12,'30.07 FORTPORAL-KYENJOJO'!F12,'31.07 FORTPORTAL-KYENJOJO'!F12,'02.08 FORTPORTAL-KYENJOJO'!F12,'01.08 FORTPORTAL-KYENJOJO 2-24h'!F12,'03.08 FORTPORTAL-KYENJOJO-24h'!F12,'04.08 FORTPORTAL-KYENJOJO'!F12)</f>
        <v>1.1428571428571428</v>
      </c>
      <c r="G12" s="49">
        <f>AVERAGE('29.07 FORTPORTAL-KYENJOJO'!G12,'30.07 FORTPORAL-KYENJOJO'!G12,'31.07 FORTPORTAL-KYENJOJO'!G12,'02.08 FORTPORTAL-KYENJOJO'!G12,'01.08 FORTPORTAL-KYENJOJO 2-24h'!G12,'03.08 FORTPORTAL-KYENJOJO-24h'!G12,'04.08 FORTPORTAL-KYENJOJO'!G12)</f>
        <v>0</v>
      </c>
      <c r="H12" s="49">
        <f>AVERAGE('29.07 FORTPORTAL-KYENJOJO'!H12,'30.07 FORTPORAL-KYENJOJO'!H12,'31.07 FORTPORTAL-KYENJOJO'!H12,'02.08 FORTPORTAL-KYENJOJO'!H12,'01.08 FORTPORTAL-KYENJOJO 2-24h'!H12,'03.08 FORTPORTAL-KYENJOJO-24h'!H12,'04.08 FORTPORTAL-KYENJOJO'!H12)</f>
        <v>0.42857142857142855</v>
      </c>
      <c r="I12" s="49">
        <f>AVERAGE('29.07 FORTPORTAL-KYENJOJO'!I12,'30.07 FORTPORAL-KYENJOJO'!I12,'31.07 FORTPORTAL-KYENJOJO'!I12,'02.08 FORTPORTAL-KYENJOJO'!I12,'01.08 FORTPORTAL-KYENJOJO 2-24h'!I12,'03.08 FORTPORTAL-KYENJOJO-24h'!I12,'04.08 FORTPORTAL-KYENJOJO'!I12)</f>
        <v>1</v>
      </c>
      <c r="J12" s="49">
        <f>AVERAGE('29.07 FORTPORTAL-KYENJOJO'!J12,'30.07 FORTPORAL-KYENJOJO'!J12,'31.07 FORTPORTAL-KYENJOJO'!J12,'02.08 FORTPORTAL-KYENJOJO'!J12,'01.08 FORTPORTAL-KYENJOJO 2-24h'!J12,'03.08 FORTPORTAL-KYENJOJO-24h'!J12,'04.08 FORTPORTAL-KYENJOJO'!J12)</f>
        <v>0.2857142857142857</v>
      </c>
      <c r="K12" s="49">
        <f>AVERAGE('29.07 FORTPORTAL-KYENJOJO'!K12,'30.07 FORTPORAL-KYENJOJO'!K12,'31.07 FORTPORTAL-KYENJOJO'!K12,'02.08 FORTPORTAL-KYENJOJO'!K12,'01.08 FORTPORTAL-KYENJOJO 2-24h'!K12,'03.08 FORTPORTAL-KYENJOJO-24h'!K12,'04.08 FORTPORTAL-KYENJOJO'!K12)</f>
        <v>0.14285714285714285</v>
      </c>
      <c r="L12" s="49">
        <f>AVERAGE('29.07 FORTPORTAL-KYENJOJO'!L12,'30.07 FORTPORAL-KYENJOJO'!L12,'31.07 FORTPORTAL-KYENJOJO'!L12,'02.08 FORTPORTAL-KYENJOJO'!L12,'01.08 FORTPORTAL-KYENJOJO 2-24h'!L12,'03.08 FORTPORTAL-KYENJOJO-24h'!L12,'04.08 FORTPORTAL-KYENJOJO'!L12)</f>
        <v>0</v>
      </c>
      <c r="M12" s="49">
        <f>AVERAGE('29.07 FORTPORTAL-KYENJOJO'!M12,'30.07 FORTPORAL-KYENJOJO'!M12,'31.07 FORTPORTAL-KYENJOJO'!M12,'02.08 FORTPORTAL-KYENJOJO'!M12,'01.08 FORTPORTAL-KYENJOJO 2-24h'!M12,'03.08 FORTPORTAL-KYENJOJO-24h'!M12,'04.08 FORTPORTAL-KYENJOJO'!M12)</f>
        <v>0.8571428571428571</v>
      </c>
      <c r="N12" s="49">
        <f>AVERAGE('29.07 FORTPORTAL-KYENJOJO'!N12,'30.07 FORTPORAL-KYENJOJO'!N12,'31.07 FORTPORTAL-KYENJOJO'!N12,'02.08 FORTPORTAL-KYENJOJO'!N12,'01.08 FORTPORTAL-KYENJOJO 2-24h'!N12,'03.08 FORTPORTAL-KYENJOJO-24h'!N12,'04.08 FORTPORTAL-KYENJOJO'!N12)</f>
        <v>0</v>
      </c>
      <c r="O12" s="15">
        <f t="shared" si="0"/>
        <v>4.7142857142857144</v>
      </c>
      <c r="P12" s="15">
        <f t="shared" si="1"/>
        <v>5.5714285714285712</v>
      </c>
      <c r="R12" s="1" t="s">
        <v>8</v>
      </c>
      <c r="S12" s="17">
        <f t="shared" ref="S12:AF12" si="4">SUM(C18:C21)</f>
        <v>5.4285714285714288</v>
      </c>
      <c r="T12" s="17">
        <f t="shared" si="4"/>
        <v>0</v>
      </c>
      <c r="U12" s="17">
        <f t="shared" si="4"/>
        <v>9.8571428571428577</v>
      </c>
      <c r="V12" s="17">
        <f t="shared" si="4"/>
        <v>6.5714285714285712</v>
      </c>
      <c r="W12" s="17">
        <f t="shared" si="4"/>
        <v>0.14285714285714285</v>
      </c>
      <c r="X12" s="17">
        <f t="shared" si="4"/>
        <v>0.71428571428571419</v>
      </c>
      <c r="Y12" s="17">
        <f t="shared" si="4"/>
        <v>2.5714285714285712</v>
      </c>
      <c r="Z12" s="17">
        <f t="shared" si="4"/>
        <v>0.42857142857142855</v>
      </c>
      <c r="AA12" s="17">
        <f t="shared" si="4"/>
        <v>0.14285714285714285</v>
      </c>
      <c r="AB12" s="17">
        <f t="shared" si="4"/>
        <v>2.4285714285714284</v>
      </c>
      <c r="AC12" s="17">
        <f t="shared" si="4"/>
        <v>3.8571428571428577</v>
      </c>
      <c r="AD12" s="17">
        <f t="shared" si="4"/>
        <v>0</v>
      </c>
      <c r="AE12" s="31">
        <f t="shared" si="4"/>
        <v>28.285714285714285</v>
      </c>
      <c r="AF12" s="31">
        <f t="shared" si="4"/>
        <v>32.142857142857146</v>
      </c>
    </row>
    <row r="13" spans="2:32" ht="23.1" customHeight="1" x14ac:dyDescent="0.25">
      <c r="B13" s="23" t="s">
        <v>40</v>
      </c>
      <c r="C13" s="49">
        <f>AVERAGE('29.07 FORTPORTAL-KYENJOJO'!C13,'30.07 FORTPORAL-KYENJOJO'!C13,'31.07 FORTPORTAL-KYENJOJO'!C13,'02.08 FORTPORTAL-KYENJOJO'!C13,'01.08 FORTPORTAL-KYENJOJO 2-24h'!C13,'03.08 FORTPORTAL-KYENJOJO-24h'!C13,'04.08 FORTPORTAL-KYENJOJO'!C13)</f>
        <v>1</v>
      </c>
      <c r="D13" s="49">
        <f>AVERAGE('29.07 FORTPORTAL-KYENJOJO'!D13,'30.07 FORTPORAL-KYENJOJO'!D13,'31.07 FORTPORTAL-KYENJOJO'!D13,'02.08 FORTPORTAL-KYENJOJO'!D13,'01.08 FORTPORTAL-KYENJOJO 2-24h'!D13,'03.08 FORTPORTAL-KYENJOJO-24h'!D13,'04.08 FORTPORTAL-KYENJOJO'!D13)</f>
        <v>0</v>
      </c>
      <c r="E13" s="49">
        <f>AVERAGE('29.07 FORTPORTAL-KYENJOJO'!E13,'30.07 FORTPORAL-KYENJOJO'!E13,'31.07 FORTPORTAL-KYENJOJO'!E13,'02.08 FORTPORTAL-KYENJOJO'!E13,'01.08 FORTPORTAL-KYENJOJO 2-24h'!E13,'03.08 FORTPORTAL-KYENJOJO-24h'!E13,'04.08 FORTPORTAL-KYENJOJO'!E13)</f>
        <v>0.8571428571428571</v>
      </c>
      <c r="F13" s="49">
        <f>AVERAGE('29.07 FORTPORTAL-KYENJOJO'!F13,'30.07 FORTPORAL-KYENJOJO'!F13,'31.07 FORTPORTAL-KYENJOJO'!F13,'02.08 FORTPORTAL-KYENJOJO'!F13,'01.08 FORTPORTAL-KYENJOJO 2-24h'!F13,'03.08 FORTPORTAL-KYENJOJO-24h'!F13,'04.08 FORTPORTAL-KYENJOJO'!F13)</f>
        <v>1.1428571428571428</v>
      </c>
      <c r="G13" s="49">
        <f>AVERAGE('29.07 FORTPORTAL-KYENJOJO'!G13,'30.07 FORTPORAL-KYENJOJO'!G13,'31.07 FORTPORTAL-KYENJOJO'!G13,'02.08 FORTPORTAL-KYENJOJO'!G13,'01.08 FORTPORTAL-KYENJOJO 2-24h'!G13,'03.08 FORTPORTAL-KYENJOJO-24h'!G13,'04.08 FORTPORTAL-KYENJOJO'!G13)</f>
        <v>0.14285714285714285</v>
      </c>
      <c r="H13" s="49">
        <f>AVERAGE('29.07 FORTPORTAL-KYENJOJO'!H13,'30.07 FORTPORAL-KYENJOJO'!H13,'31.07 FORTPORTAL-KYENJOJO'!H13,'02.08 FORTPORTAL-KYENJOJO'!H13,'01.08 FORTPORTAL-KYENJOJO 2-24h'!H13,'03.08 FORTPORTAL-KYENJOJO-24h'!H13,'04.08 FORTPORTAL-KYENJOJO'!H13)</f>
        <v>0.2857142857142857</v>
      </c>
      <c r="I13" s="49">
        <f>AVERAGE('29.07 FORTPORTAL-KYENJOJO'!I13,'30.07 FORTPORAL-KYENJOJO'!I13,'31.07 FORTPORTAL-KYENJOJO'!I13,'02.08 FORTPORTAL-KYENJOJO'!I13,'01.08 FORTPORTAL-KYENJOJO 2-24h'!I13,'03.08 FORTPORTAL-KYENJOJO-24h'!I13,'04.08 FORTPORTAL-KYENJOJO'!I13)</f>
        <v>0.5714285714285714</v>
      </c>
      <c r="J13" s="49">
        <f>AVERAGE('29.07 FORTPORTAL-KYENJOJO'!J13,'30.07 FORTPORAL-KYENJOJO'!J13,'31.07 FORTPORTAL-KYENJOJO'!J13,'02.08 FORTPORTAL-KYENJOJO'!J13,'01.08 FORTPORTAL-KYENJOJO 2-24h'!J13,'03.08 FORTPORTAL-KYENJOJO-24h'!J13,'04.08 FORTPORTAL-KYENJOJO'!J13)</f>
        <v>0.14285714285714285</v>
      </c>
      <c r="K13" s="49">
        <f>AVERAGE('29.07 FORTPORTAL-KYENJOJO'!K13,'30.07 FORTPORAL-KYENJOJO'!K13,'31.07 FORTPORTAL-KYENJOJO'!K13,'02.08 FORTPORTAL-KYENJOJO'!K13,'01.08 FORTPORTAL-KYENJOJO 2-24h'!K13,'03.08 FORTPORTAL-KYENJOJO-24h'!K13,'04.08 FORTPORTAL-KYENJOJO'!K13)</f>
        <v>0</v>
      </c>
      <c r="L13" s="49">
        <f>AVERAGE('29.07 FORTPORTAL-KYENJOJO'!L13,'30.07 FORTPORAL-KYENJOJO'!L13,'31.07 FORTPORTAL-KYENJOJO'!L13,'02.08 FORTPORTAL-KYENJOJO'!L13,'01.08 FORTPORTAL-KYENJOJO 2-24h'!L13,'03.08 FORTPORTAL-KYENJOJO-24h'!L13,'04.08 FORTPORTAL-KYENJOJO'!L13)</f>
        <v>0.5714285714285714</v>
      </c>
      <c r="M13" s="49">
        <f>AVERAGE('29.07 FORTPORTAL-KYENJOJO'!M13,'30.07 FORTPORAL-KYENJOJO'!M13,'31.07 FORTPORTAL-KYENJOJO'!M13,'02.08 FORTPORTAL-KYENJOJO'!M13,'01.08 FORTPORTAL-KYENJOJO 2-24h'!M13,'03.08 FORTPORTAL-KYENJOJO-24h'!M13,'04.08 FORTPORTAL-KYENJOJO'!M13)</f>
        <v>1.2857142857142858</v>
      </c>
      <c r="N13" s="49">
        <f>AVERAGE('29.07 FORTPORTAL-KYENJOJO'!N13,'30.07 FORTPORAL-KYENJOJO'!N13,'31.07 FORTPORTAL-KYENJOJO'!N13,'02.08 FORTPORTAL-KYENJOJO'!N13,'01.08 FORTPORTAL-KYENJOJO 2-24h'!N13,'03.08 FORTPORTAL-KYENJOJO-24h'!N13,'04.08 FORTPORTAL-KYENJOJO'!N13)</f>
        <v>0</v>
      </c>
      <c r="O13" s="15">
        <f t="shared" si="0"/>
        <v>4.7142857142857144</v>
      </c>
      <c r="P13" s="15">
        <f t="shared" si="1"/>
        <v>6</v>
      </c>
      <c r="R13" s="1" t="s">
        <v>9</v>
      </c>
      <c r="S13" s="17">
        <f t="shared" ref="S13:AF13" si="5">SUM(C22:C25)</f>
        <v>5.7142857142857144</v>
      </c>
      <c r="T13" s="17">
        <f t="shared" si="5"/>
        <v>0</v>
      </c>
      <c r="U13" s="17">
        <f t="shared" si="5"/>
        <v>14.857142857142858</v>
      </c>
      <c r="V13" s="17">
        <f t="shared" si="5"/>
        <v>10.142857142857142</v>
      </c>
      <c r="W13" s="17">
        <f t="shared" si="5"/>
        <v>0</v>
      </c>
      <c r="X13" s="17">
        <f t="shared" si="5"/>
        <v>1.2857142857142856</v>
      </c>
      <c r="Y13" s="17">
        <f t="shared" si="5"/>
        <v>4</v>
      </c>
      <c r="Z13" s="17">
        <f t="shared" si="5"/>
        <v>1</v>
      </c>
      <c r="AA13" s="17">
        <f t="shared" si="5"/>
        <v>0.2857142857142857</v>
      </c>
      <c r="AB13" s="17">
        <f t="shared" si="5"/>
        <v>1.7142857142857144</v>
      </c>
      <c r="AC13" s="17">
        <f t="shared" si="5"/>
        <v>5.1428571428571423</v>
      </c>
      <c r="AD13" s="17">
        <f t="shared" si="5"/>
        <v>0.14285714285714285</v>
      </c>
      <c r="AE13" s="31">
        <f t="shared" si="5"/>
        <v>39.142857142857146</v>
      </c>
      <c r="AF13" s="31">
        <f t="shared" si="5"/>
        <v>44.285714285714285</v>
      </c>
    </row>
    <row r="14" spans="2:32" ht="23.1" customHeight="1" x14ac:dyDescent="0.25">
      <c r="B14" s="23" t="s">
        <v>41</v>
      </c>
      <c r="C14" s="49">
        <f>AVERAGE('29.07 FORTPORTAL-KYENJOJO'!C14,'30.07 FORTPORAL-KYENJOJO'!C14,'31.07 FORTPORTAL-KYENJOJO'!C14,'02.08 FORTPORTAL-KYENJOJO'!C14,'01.08 FORTPORTAL-KYENJOJO 2-24h'!C14,'03.08 FORTPORTAL-KYENJOJO-24h'!C14,'04.08 FORTPORTAL-KYENJOJO'!C14)</f>
        <v>1.5714285714285714</v>
      </c>
      <c r="D14" s="49">
        <f>AVERAGE('29.07 FORTPORTAL-KYENJOJO'!D14,'30.07 FORTPORAL-KYENJOJO'!D14,'31.07 FORTPORTAL-KYENJOJO'!D14,'02.08 FORTPORTAL-KYENJOJO'!D14,'01.08 FORTPORTAL-KYENJOJO 2-24h'!D14,'03.08 FORTPORTAL-KYENJOJO-24h'!D14,'04.08 FORTPORTAL-KYENJOJO'!D14)</f>
        <v>0</v>
      </c>
      <c r="E14" s="49">
        <f>AVERAGE('29.07 FORTPORTAL-KYENJOJO'!E14,'30.07 FORTPORAL-KYENJOJO'!E14,'31.07 FORTPORTAL-KYENJOJO'!E14,'02.08 FORTPORTAL-KYENJOJO'!E14,'01.08 FORTPORTAL-KYENJOJO 2-24h'!E14,'03.08 FORTPORTAL-KYENJOJO-24h'!E14,'04.08 FORTPORTAL-KYENJOJO'!E14)</f>
        <v>1.5714285714285714</v>
      </c>
      <c r="F14" s="49">
        <f>AVERAGE('29.07 FORTPORTAL-KYENJOJO'!F14,'30.07 FORTPORAL-KYENJOJO'!F14,'31.07 FORTPORTAL-KYENJOJO'!F14,'02.08 FORTPORTAL-KYENJOJO'!F14,'01.08 FORTPORTAL-KYENJOJO 2-24h'!F14,'03.08 FORTPORTAL-KYENJOJO-24h'!F14,'04.08 FORTPORTAL-KYENJOJO'!F14)</f>
        <v>2.1428571428571428</v>
      </c>
      <c r="G14" s="49">
        <f>AVERAGE('29.07 FORTPORTAL-KYENJOJO'!G14,'30.07 FORTPORAL-KYENJOJO'!G14,'31.07 FORTPORTAL-KYENJOJO'!G14,'02.08 FORTPORTAL-KYENJOJO'!G14,'01.08 FORTPORTAL-KYENJOJO 2-24h'!G14,'03.08 FORTPORTAL-KYENJOJO-24h'!G14,'04.08 FORTPORTAL-KYENJOJO'!G14)</f>
        <v>0</v>
      </c>
      <c r="H14" s="49">
        <f>AVERAGE('29.07 FORTPORTAL-KYENJOJO'!H14,'30.07 FORTPORAL-KYENJOJO'!H14,'31.07 FORTPORTAL-KYENJOJO'!H14,'02.08 FORTPORTAL-KYENJOJO'!H14,'01.08 FORTPORTAL-KYENJOJO 2-24h'!H14,'03.08 FORTPORTAL-KYENJOJO-24h'!H14,'04.08 FORTPORTAL-KYENJOJO'!H14)</f>
        <v>0.14285714285714285</v>
      </c>
      <c r="I14" s="49">
        <f>AVERAGE('29.07 FORTPORTAL-KYENJOJO'!I14,'30.07 FORTPORAL-KYENJOJO'!I14,'31.07 FORTPORTAL-KYENJOJO'!I14,'02.08 FORTPORTAL-KYENJOJO'!I14,'01.08 FORTPORTAL-KYENJOJO 2-24h'!I14,'03.08 FORTPORTAL-KYENJOJO-24h'!I14,'04.08 FORTPORTAL-KYENJOJO'!I14)</f>
        <v>0.5714285714285714</v>
      </c>
      <c r="J14" s="49">
        <f>AVERAGE('29.07 FORTPORTAL-KYENJOJO'!J14,'30.07 FORTPORAL-KYENJOJO'!J14,'31.07 FORTPORTAL-KYENJOJO'!J14,'02.08 FORTPORTAL-KYENJOJO'!J14,'01.08 FORTPORTAL-KYENJOJO 2-24h'!J14,'03.08 FORTPORTAL-KYENJOJO-24h'!J14,'04.08 FORTPORTAL-KYENJOJO'!J14)</f>
        <v>0.14285714285714285</v>
      </c>
      <c r="K14" s="49">
        <f>AVERAGE('29.07 FORTPORTAL-KYENJOJO'!K14,'30.07 FORTPORAL-KYENJOJO'!K14,'31.07 FORTPORTAL-KYENJOJO'!K14,'02.08 FORTPORTAL-KYENJOJO'!K14,'01.08 FORTPORTAL-KYENJOJO 2-24h'!K14,'03.08 FORTPORTAL-KYENJOJO-24h'!K14,'04.08 FORTPORTAL-KYENJOJO'!K14)</f>
        <v>0</v>
      </c>
      <c r="L14" s="49">
        <f>AVERAGE('29.07 FORTPORTAL-KYENJOJO'!L14,'30.07 FORTPORAL-KYENJOJO'!L14,'31.07 FORTPORTAL-KYENJOJO'!L14,'02.08 FORTPORTAL-KYENJOJO'!L14,'01.08 FORTPORTAL-KYENJOJO 2-24h'!L14,'03.08 FORTPORTAL-KYENJOJO-24h'!L14,'04.08 FORTPORTAL-KYENJOJO'!L14)</f>
        <v>0.2857142857142857</v>
      </c>
      <c r="M14" s="49">
        <f>AVERAGE('29.07 FORTPORTAL-KYENJOJO'!M14,'30.07 FORTPORAL-KYENJOJO'!M14,'31.07 FORTPORTAL-KYENJOJO'!M14,'02.08 FORTPORTAL-KYENJOJO'!M14,'01.08 FORTPORTAL-KYENJOJO 2-24h'!M14,'03.08 FORTPORTAL-KYENJOJO-24h'!M14,'04.08 FORTPORTAL-KYENJOJO'!M14)</f>
        <v>1</v>
      </c>
      <c r="N14" s="49">
        <f>AVERAGE('29.07 FORTPORTAL-KYENJOJO'!N14,'30.07 FORTPORAL-KYENJOJO'!N14,'31.07 FORTPORTAL-KYENJOJO'!N14,'02.08 FORTPORTAL-KYENJOJO'!N14,'01.08 FORTPORTAL-KYENJOJO 2-24h'!N14,'03.08 FORTPORTAL-KYENJOJO-24h'!N14,'04.08 FORTPORTAL-KYENJOJO'!N14)</f>
        <v>0</v>
      </c>
      <c r="O14" s="15">
        <f t="shared" si="0"/>
        <v>6.4285714285714288</v>
      </c>
      <c r="P14" s="15">
        <f t="shared" si="1"/>
        <v>7.4285714285714288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12.285714285714285</v>
      </c>
      <c r="V14" s="17">
        <f t="shared" si="6"/>
        <v>7.7142857142857135</v>
      </c>
      <c r="W14" s="17">
        <f t="shared" si="6"/>
        <v>0.14285714285714285</v>
      </c>
      <c r="X14" s="17">
        <f t="shared" si="6"/>
        <v>0.71428571428571419</v>
      </c>
      <c r="Y14" s="17">
        <f t="shared" si="6"/>
        <v>2.2857142857142856</v>
      </c>
      <c r="Z14" s="17">
        <f t="shared" si="6"/>
        <v>0.2857142857142857</v>
      </c>
      <c r="AA14" s="17">
        <f t="shared" si="6"/>
        <v>0</v>
      </c>
      <c r="AB14" s="17">
        <f t="shared" si="6"/>
        <v>1.714285714285714</v>
      </c>
      <c r="AC14" s="17">
        <f t="shared" si="6"/>
        <v>6.5714285714285712</v>
      </c>
      <c r="AD14" s="17">
        <f t="shared" si="6"/>
        <v>0</v>
      </c>
      <c r="AE14" s="31">
        <f t="shared" si="6"/>
        <v>29.142857142857146</v>
      </c>
      <c r="AF14" s="31">
        <f t="shared" si="6"/>
        <v>35.714285714285715</v>
      </c>
    </row>
    <row r="15" spans="2:32" ht="23.1" customHeight="1" x14ac:dyDescent="0.25">
      <c r="B15" s="23" t="s">
        <v>42</v>
      </c>
      <c r="C15" s="49">
        <f>AVERAGE('29.07 FORTPORTAL-KYENJOJO'!C15,'30.07 FORTPORAL-KYENJOJO'!C15,'31.07 FORTPORTAL-KYENJOJO'!C15,'02.08 FORTPORTAL-KYENJOJO'!C15,'01.08 FORTPORTAL-KYENJOJO 2-24h'!C15,'03.08 FORTPORTAL-KYENJOJO-24h'!C15,'04.08 FORTPORTAL-KYENJOJO'!C15)</f>
        <v>0.5714285714285714</v>
      </c>
      <c r="D15" s="49">
        <f>AVERAGE('29.07 FORTPORTAL-KYENJOJO'!D15,'30.07 FORTPORAL-KYENJOJO'!D15,'31.07 FORTPORTAL-KYENJOJO'!D15,'02.08 FORTPORTAL-KYENJOJO'!D15,'01.08 FORTPORTAL-KYENJOJO 2-24h'!D15,'03.08 FORTPORTAL-KYENJOJO-24h'!D15,'04.08 FORTPORTAL-KYENJOJO'!D15)</f>
        <v>0</v>
      </c>
      <c r="E15" s="49">
        <f>AVERAGE('29.07 FORTPORTAL-KYENJOJO'!E15,'30.07 FORTPORAL-KYENJOJO'!E15,'31.07 FORTPORTAL-KYENJOJO'!E15,'02.08 FORTPORTAL-KYENJOJO'!E15,'01.08 FORTPORTAL-KYENJOJO 2-24h'!E15,'03.08 FORTPORTAL-KYENJOJO-24h'!E15,'04.08 FORTPORTAL-KYENJOJO'!E15)</f>
        <v>1.8571428571428572</v>
      </c>
      <c r="F15" s="49">
        <f>AVERAGE('29.07 FORTPORTAL-KYENJOJO'!F15,'30.07 FORTPORAL-KYENJOJO'!F15,'31.07 FORTPORTAL-KYENJOJO'!F15,'02.08 FORTPORTAL-KYENJOJO'!F15,'01.08 FORTPORTAL-KYENJOJO 2-24h'!F15,'03.08 FORTPORTAL-KYENJOJO-24h'!F15,'04.08 FORTPORTAL-KYENJOJO'!F15)</f>
        <v>1.5714285714285714</v>
      </c>
      <c r="G15" s="49">
        <f>AVERAGE('29.07 FORTPORTAL-KYENJOJO'!G15,'30.07 FORTPORAL-KYENJOJO'!G15,'31.07 FORTPORTAL-KYENJOJO'!G15,'02.08 FORTPORTAL-KYENJOJO'!G15,'01.08 FORTPORTAL-KYENJOJO 2-24h'!G15,'03.08 FORTPORTAL-KYENJOJO-24h'!G15,'04.08 FORTPORTAL-KYENJOJO'!G15)</f>
        <v>0</v>
      </c>
      <c r="H15" s="49">
        <f>AVERAGE('29.07 FORTPORTAL-KYENJOJO'!H15,'30.07 FORTPORAL-KYENJOJO'!H15,'31.07 FORTPORTAL-KYENJOJO'!H15,'02.08 FORTPORTAL-KYENJOJO'!H15,'01.08 FORTPORTAL-KYENJOJO 2-24h'!H15,'03.08 FORTPORTAL-KYENJOJO-24h'!H15,'04.08 FORTPORTAL-KYENJOJO'!H15)</f>
        <v>0</v>
      </c>
      <c r="I15" s="49">
        <f>AVERAGE('29.07 FORTPORTAL-KYENJOJO'!I15,'30.07 FORTPORAL-KYENJOJO'!I15,'31.07 FORTPORTAL-KYENJOJO'!I15,'02.08 FORTPORTAL-KYENJOJO'!I15,'01.08 FORTPORTAL-KYENJOJO 2-24h'!I15,'03.08 FORTPORTAL-KYENJOJO-24h'!I15,'04.08 FORTPORTAL-KYENJOJO'!I15)</f>
        <v>0.7142857142857143</v>
      </c>
      <c r="J15" s="49">
        <f>AVERAGE('29.07 FORTPORTAL-KYENJOJO'!J15,'30.07 FORTPORAL-KYENJOJO'!J15,'31.07 FORTPORTAL-KYENJOJO'!J15,'02.08 FORTPORTAL-KYENJOJO'!J15,'01.08 FORTPORTAL-KYENJOJO 2-24h'!J15,'03.08 FORTPORTAL-KYENJOJO-24h'!J15,'04.08 FORTPORTAL-KYENJOJO'!J15)</f>
        <v>0.2857142857142857</v>
      </c>
      <c r="K15" s="49">
        <f>AVERAGE('29.07 FORTPORTAL-KYENJOJO'!K15,'30.07 FORTPORAL-KYENJOJO'!K15,'31.07 FORTPORTAL-KYENJOJO'!K15,'02.08 FORTPORTAL-KYENJOJO'!K15,'01.08 FORTPORTAL-KYENJOJO 2-24h'!K15,'03.08 FORTPORTAL-KYENJOJO-24h'!K15,'04.08 FORTPORTAL-KYENJOJO'!K15)</f>
        <v>0.14285714285714285</v>
      </c>
      <c r="L15" s="49">
        <f>AVERAGE('29.07 FORTPORTAL-KYENJOJO'!L15,'30.07 FORTPORAL-KYENJOJO'!L15,'31.07 FORTPORTAL-KYENJOJO'!L15,'02.08 FORTPORTAL-KYENJOJO'!L15,'01.08 FORTPORTAL-KYENJOJO 2-24h'!L15,'03.08 FORTPORTAL-KYENJOJO-24h'!L15,'04.08 FORTPORTAL-KYENJOJO'!L15)</f>
        <v>0</v>
      </c>
      <c r="M15" s="49">
        <f>AVERAGE('29.07 FORTPORTAL-KYENJOJO'!M15,'30.07 FORTPORAL-KYENJOJO'!M15,'31.07 FORTPORTAL-KYENJOJO'!M15,'02.08 FORTPORTAL-KYENJOJO'!M15,'01.08 FORTPORTAL-KYENJOJO 2-24h'!M15,'03.08 FORTPORTAL-KYENJOJO-24h'!M15,'04.08 FORTPORTAL-KYENJOJO'!M15)</f>
        <v>1</v>
      </c>
      <c r="N15" s="49">
        <f>AVERAGE('29.07 FORTPORTAL-KYENJOJO'!N15,'30.07 FORTPORAL-KYENJOJO'!N15,'31.07 FORTPORTAL-KYENJOJO'!N15,'02.08 FORTPORTAL-KYENJOJO'!N15,'01.08 FORTPORTAL-KYENJOJO 2-24h'!N15,'03.08 FORTPORTAL-KYENJOJO-24h'!N15,'04.08 FORTPORTAL-KYENJOJO'!N15)</f>
        <v>0</v>
      </c>
      <c r="O15" s="15">
        <f t="shared" si="0"/>
        <v>5.1428571428571432</v>
      </c>
      <c r="P15" s="15">
        <f t="shared" si="1"/>
        <v>6.1428571428571432</v>
      </c>
      <c r="R15" s="1" t="s">
        <v>11</v>
      </c>
      <c r="S15" s="17">
        <f t="shared" ref="S15:AF15" si="7">SUM(C30:C33)</f>
        <v>5</v>
      </c>
      <c r="T15" s="17">
        <f t="shared" si="7"/>
        <v>0</v>
      </c>
      <c r="U15" s="17">
        <f t="shared" si="7"/>
        <v>10.285714285714286</v>
      </c>
      <c r="V15" s="17">
        <f t="shared" si="7"/>
        <v>9.5714285714285694</v>
      </c>
      <c r="W15" s="17">
        <f t="shared" si="7"/>
        <v>0.42857142857142855</v>
      </c>
      <c r="X15" s="17">
        <f t="shared" si="7"/>
        <v>1.4285714285714284</v>
      </c>
      <c r="Y15" s="17">
        <f t="shared" si="7"/>
        <v>3</v>
      </c>
      <c r="Z15" s="17">
        <f t="shared" si="7"/>
        <v>1.1428571428571428</v>
      </c>
      <c r="AA15" s="17">
        <f t="shared" si="7"/>
        <v>0</v>
      </c>
      <c r="AB15" s="17">
        <f t="shared" si="7"/>
        <v>1.5714285714285712</v>
      </c>
      <c r="AC15" s="17">
        <f t="shared" si="7"/>
        <v>3.4285714285714284</v>
      </c>
      <c r="AD15" s="17">
        <f t="shared" si="7"/>
        <v>0</v>
      </c>
      <c r="AE15" s="31">
        <f t="shared" si="7"/>
        <v>32.428571428571431</v>
      </c>
      <c r="AF15" s="31">
        <f t="shared" si="7"/>
        <v>35.857142857142861</v>
      </c>
    </row>
    <row r="16" spans="2:32" ht="23.1" customHeight="1" x14ac:dyDescent="0.25">
      <c r="B16" s="23" t="s">
        <v>43</v>
      </c>
      <c r="C16" s="49">
        <f>AVERAGE('29.07 FORTPORTAL-KYENJOJO'!C16,'30.07 FORTPORAL-KYENJOJO'!C16,'31.07 FORTPORTAL-KYENJOJO'!C16,'02.08 FORTPORTAL-KYENJOJO'!C16,'01.08 FORTPORTAL-KYENJOJO 2-24h'!C16,'03.08 FORTPORTAL-KYENJOJO-24h'!C16,'04.08 FORTPORTAL-KYENJOJO'!C16)</f>
        <v>1</v>
      </c>
      <c r="D16" s="49">
        <f>AVERAGE('29.07 FORTPORTAL-KYENJOJO'!D16,'30.07 FORTPORAL-KYENJOJO'!D16,'31.07 FORTPORTAL-KYENJOJO'!D16,'02.08 FORTPORTAL-KYENJOJO'!D16,'01.08 FORTPORTAL-KYENJOJO 2-24h'!D16,'03.08 FORTPORTAL-KYENJOJO-24h'!D16,'04.08 FORTPORTAL-KYENJOJO'!D16)</f>
        <v>0</v>
      </c>
      <c r="E16" s="49">
        <f>AVERAGE('29.07 FORTPORTAL-KYENJOJO'!E16,'30.07 FORTPORAL-KYENJOJO'!E16,'31.07 FORTPORTAL-KYENJOJO'!E16,'02.08 FORTPORTAL-KYENJOJO'!E16,'01.08 FORTPORTAL-KYENJOJO 2-24h'!E16,'03.08 FORTPORTAL-KYENJOJO-24h'!E16,'04.08 FORTPORTAL-KYENJOJO'!E16)</f>
        <v>1.4285714285714286</v>
      </c>
      <c r="F16" s="49">
        <f>AVERAGE('29.07 FORTPORTAL-KYENJOJO'!F16,'30.07 FORTPORAL-KYENJOJO'!F16,'31.07 FORTPORTAL-KYENJOJO'!F16,'02.08 FORTPORTAL-KYENJOJO'!F16,'01.08 FORTPORTAL-KYENJOJO 2-24h'!F16,'03.08 FORTPORTAL-KYENJOJO-24h'!F16,'04.08 FORTPORTAL-KYENJOJO'!F16)</f>
        <v>2.8571428571428572</v>
      </c>
      <c r="G16" s="49">
        <f>AVERAGE('29.07 FORTPORTAL-KYENJOJO'!G16,'30.07 FORTPORAL-KYENJOJO'!G16,'31.07 FORTPORTAL-KYENJOJO'!G16,'02.08 FORTPORTAL-KYENJOJO'!G16,'01.08 FORTPORTAL-KYENJOJO 2-24h'!G16,'03.08 FORTPORTAL-KYENJOJO-24h'!G16,'04.08 FORTPORTAL-KYENJOJO'!G16)</f>
        <v>0</v>
      </c>
      <c r="H16" s="49">
        <f>AVERAGE('29.07 FORTPORTAL-KYENJOJO'!H16,'30.07 FORTPORAL-KYENJOJO'!H16,'31.07 FORTPORTAL-KYENJOJO'!H16,'02.08 FORTPORTAL-KYENJOJO'!H16,'01.08 FORTPORTAL-KYENJOJO 2-24h'!H16,'03.08 FORTPORTAL-KYENJOJO-24h'!H16,'04.08 FORTPORTAL-KYENJOJO'!H16)</f>
        <v>0.2857142857142857</v>
      </c>
      <c r="I16" s="49">
        <f>AVERAGE('29.07 FORTPORTAL-KYENJOJO'!I16,'30.07 FORTPORAL-KYENJOJO'!I16,'31.07 FORTPORTAL-KYENJOJO'!I16,'02.08 FORTPORTAL-KYENJOJO'!I16,'01.08 FORTPORTAL-KYENJOJO 2-24h'!I16,'03.08 FORTPORTAL-KYENJOJO-24h'!I16,'04.08 FORTPORTAL-KYENJOJO'!I16)</f>
        <v>0.7142857142857143</v>
      </c>
      <c r="J16" s="49">
        <f>AVERAGE('29.07 FORTPORTAL-KYENJOJO'!J16,'30.07 FORTPORAL-KYENJOJO'!J16,'31.07 FORTPORTAL-KYENJOJO'!J16,'02.08 FORTPORTAL-KYENJOJO'!J16,'01.08 FORTPORTAL-KYENJOJO 2-24h'!J16,'03.08 FORTPORTAL-KYENJOJO-24h'!J16,'04.08 FORTPORTAL-KYENJOJO'!J16)</f>
        <v>0</v>
      </c>
      <c r="K16" s="49">
        <f>AVERAGE('29.07 FORTPORTAL-KYENJOJO'!K16,'30.07 FORTPORAL-KYENJOJO'!K16,'31.07 FORTPORTAL-KYENJOJO'!K16,'02.08 FORTPORTAL-KYENJOJO'!K16,'01.08 FORTPORTAL-KYENJOJO 2-24h'!K16,'03.08 FORTPORTAL-KYENJOJO-24h'!K16,'04.08 FORTPORTAL-KYENJOJO'!K16)</f>
        <v>0.14285714285714285</v>
      </c>
      <c r="L16" s="49">
        <f>AVERAGE('29.07 FORTPORTAL-KYENJOJO'!L16,'30.07 FORTPORAL-KYENJOJO'!L16,'31.07 FORTPORTAL-KYENJOJO'!L16,'02.08 FORTPORTAL-KYENJOJO'!L16,'01.08 FORTPORTAL-KYENJOJO 2-24h'!L16,'03.08 FORTPORTAL-KYENJOJO-24h'!L16,'04.08 FORTPORTAL-KYENJOJO'!L16)</f>
        <v>0.42857142857142855</v>
      </c>
      <c r="M16" s="49">
        <f>AVERAGE('29.07 FORTPORTAL-KYENJOJO'!M16,'30.07 FORTPORAL-KYENJOJO'!M16,'31.07 FORTPORTAL-KYENJOJO'!M16,'02.08 FORTPORTAL-KYENJOJO'!M16,'01.08 FORTPORTAL-KYENJOJO 2-24h'!M16,'03.08 FORTPORTAL-KYENJOJO-24h'!M16,'04.08 FORTPORTAL-KYENJOJO'!M16)</f>
        <v>1.1428571428571428</v>
      </c>
      <c r="N16" s="49">
        <f>AVERAGE('29.07 FORTPORTAL-KYENJOJO'!N16,'30.07 FORTPORAL-KYENJOJO'!N16,'31.07 FORTPORTAL-KYENJOJO'!N16,'02.08 FORTPORTAL-KYENJOJO'!N16,'01.08 FORTPORTAL-KYENJOJO 2-24h'!N16,'03.08 FORTPORTAL-KYENJOJO-24h'!N16,'04.08 FORTPORTAL-KYENJOJO'!N16)</f>
        <v>0</v>
      </c>
      <c r="O16" s="15">
        <f t="shared" si="0"/>
        <v>6.8571428571428585</v>
      </c>
      <c r="P16" s="15">
        <f t="shared" si="1"/>
        <v>8.0000000000000018</v>
      </c>
      <c r="R16" s="1" t="s">
        <v>12</v>
      </c>
      <c r="S16" s="17">
        <f t="shared" ref="S16:AF16" si="8">SUM(C34:C37)</f>
        <v>5.5714285714285703</v>
      </c>
      <c r="T16" s="17">
        <f t="shared" si="8"/>
        <v>0</v>
      </c>
      <c r="U16" s="17">
        <f t="shared" si="8"/>
        <v>10.571428571428571</v>
      </c>
      <c r="V16" s="17">
        <f t="shared" si="8"/>
        <v>9.2857142857142847</v>
      </c>
      <c r="W16" s="17">
        <f t="shared" si="8"/>
        <v>0</v>
      </c>
      <c r="X16" s="17">
        <f t="shared" si="8"/>
        <v>1.4285714285714284</v>
      </c>
      <c r="Y16" s="17">
        <f t="shared" si="8"/>
        <v>3.4285714285714284</v>
      </c>
      <c r="Z16" s="17">
        <f t="shared" si="8"/>
        <v>0.2857142857142857</v>
      </c>
      <c r="AA16" s="17">
        <f t="shared" si="8"/>
        <v>0.14285714285714285</v>
      </c>
      <c r="AB16" s="17">
        <f t="shared" si="8"/>
        <v>1.1428571428571428</v>
      </c>
      <c r="AC16" s="17">
        <f t="shared" si="8"/>
        <v>3.8571428571428572</v>
      </c>
      <c r="AD16" s="17">
        <f t="shared" si="8"/>
        <v>0</v>
      </c>
      <c r="AE16" s="31">
        <f t="shared" si="8"/>
        <v>31.857142857142858</v>
      </c>
      <c r="AF16" s="31">
        <f t="shared" si="8"/>
        <v>35.714285714285715</v>
      </c>
    </row>
    <row r="17" spans="2:32" ht="23.1" customHeight="1" x14ac:dyDescent="0.25">
      <c r="B17" s="23" t="s">
        <v>44</v>
      </c>
      <c r="C17" s="49">
        <f>AVERAGE('29.07 FORTPORTAL-KYENJOJO'!C17,'30.07 FORTPORAL-KYENJOJO'!C17,'31.07 FORTPORTAL-KYENJOJO'!C17,'02.08 FORTPORTAL-KYENJOJO'!C17,'01.08 FORTPORTAL-KYENJOJO 2-24h'!C17,'03.08 FORTPORTAL-KYENJOJO-24h'!C17,'04.08 FORTPORTAL-KYENJOJO'!C17)</f>
        <v>0.5714285714285714</v>
      </c>
      <c r="D17" s="49">
        <f>AVERAGE('29.07 FORTPORTAL-KYENJOJO'!D17,'30.07 FORTPORAL-KYENJOJO'!D17,'31.07 FORTPORTAL-KYENJOJO'!D17,'02.08 FORTPORTAL-KYENJOJO'!D17,'01.08 FORTPORTAL-KYENJOJO 2-24h'!D17,'03.08 FORTPORTAL-KYENJOJO-24h'!D17,'04.08 FORTPORTAL-KYENJOJO'!D17)</f>
        <v>0</v>
      </c>
      <c r="E17" s="49">
        <f>AVERAGE('29.07 FORTPORTAL-KYENJOJO'!E17,'30.07 FORTPORAL-KYENJOJO'!E17,'31.07 FORTPORTAL-KYENJOJO'!E17,'02.08 FORTPORTAL-KYENJOJO'!E17,'01.08 FORTPORTAL-KYENJOJO 2-24h'!E17,'03.08 FORTPORTAL-KYENJOJO-24h'!E17,'04.08 FORTPORTAL-KYENJOJO'!E17)</f>
        <v>2.1428571428571428</v>
      </c>
      <c r="F17" s="49">
        <f>AVERAGE('29.07 FORTPORTAL-KYENJOJO'!F17,'30.07 FORTPORAL-KYENJOJO'!F17,'31.07 FORTPORTAL-KYENJOJO'!F17,'02.08 FORTPORTAL-KYENJOJO'!F17,'01.08 FORTPORTAL-KYENJOJO 2-24h'!F17,'03.08 FORTPORTAL-KYENJOJO-24h'!F17,'04.08 FORTPORTAL-KYENJOJO'!F17)</f>
        <v>1.5714285714285714</v>
      </c>
      <c r="G17" s="49">
        <f>AVERAGE('29.07 FORTPORTAL-KYENJOJO'!G17,'30.07 FORTPORAL-KYENJOJO'!G17,'31.07 FORTPORTAL-KYENJOJO'!G17,'02.08 FORTPORTAL-KYENJOJO'!G17,'01.08 FORTPORTAL-KYENJOJO 2-24h'!G17,'03.08 FORTPORTAL-KYENJOJO-24h'!G17,'04.08 FORTPORTAL-KYENJOJO'!G17)</f>
        <v>0</v>
      </c>
      <c r="H17" s="49">
        <f>AVERAGE('29.07 FORTPORTAL-KYENJOJO'!H17,'30.07 FORTPORAL-KYENJOJO'!H17,'31.07 FORTPORTAL-KYENJOJO'!H17,'02.08 FORTPORTAL-KYENJOJO'!H17,'01.08 FORTPORTAL-KYENJOJO 2-24h'!H17,'03.08 FORTPORTAL-KYENJOJO-24h'!H17,'04.08 FORTPORTAL-KYENJOJO'!H17)</f>
        <v>0.14285714285714285</v>
      </c>
      <c r="I17" s="49">
        <f>AVERAGE('29.07 FORTPORTAL-KYENJOJO'!I17,'30.07 FORTPORAL-KYENJOJO'!I17,'31.07 FORTPORTAL-KYENJOJO'!I17,'02.08 FORTPORTAL-KYENJOJO'!I17,'01.08 FORTPORTAL-KYENJOJO 2-24h'!I17,'03.08 FORTPORTAL-KYENJOJO-24h'!I17,'04.08 FORTPORTAL-KYENJOJO'!I17)</f>
        <v>0.8571428571428571</v>
      </c>
      <c r="J17" s="49">
        <f>AVERAGE('29.07 FORTPORTAL-KYENJOJO'!J17,'30.07 FORTPORAL-KYENJOJO'!J17,'31.07 FORTPORTAL-KYENJOJO'!J17,'02.08 FORTPORTAL-KYENJOJO'!J17,'01.08 FORTPORTAL-KYENJOJO 2-24h'!J17,'03.08 FORTPORTAL-KYENJOJO-24h'!J17,'04.08 FORTPORTAL-KYENJOJO'!J17)</f>
        <v>0.2857142857142857</v>
      </c>
      <c r="K17" s="49">
        <f>AVERAGE('29.07 FORTPORTAL-KYENJOJO'!K17,'30.07 FORTPORAL-KYENJOJO'!K17,'31.07 FORTPORTAL-KYENJOJO'!K17,'02.08 FORTPORTAL-KYENJOJO'!K17,'01.08 FORTPORTAL-KYENJOJO 2-24h'!K17,'03.08 FORTPORTAL-KYENJOJO-24h'!K17,'04.08 FORTPORTAL-KYENJOJO'!K17)</f>
        <v>0</v>
      </c>
      <c r="L17" s="49">
        <f>AVERAGE('29.07 FORTPORTAL-KYENJOJO'!L17,'30.07 FORTPORAL-KYENJOJO'!L17,'31.07 FORTPORTAL-KYENJOJO'!L17,'02.08 FORTPORTAL-KYENJOJO'!L17,'01.08 FORTPORTAL-KYENJOJO 2-24h'!L17,'03.08 FORTPORTAL-KYENJOJO-24h'!L17,'04.08 FORTPORTAL-KYENJOJO'!L17)</f>
        <v>0.14285714285714285</v>
      </c>
      <c r="M17" s="49">
        <f>AVERAGE('29.07 FORTPORTAL-KYENJOJO'!M17,'30.07 FORTPORAL-KYENJOJO'!M17,'31.07 FORTPORTAL-KYENJOJO'!M17,'02.08 FORTPORTAL-KYENJOJO'!M17,'01.08 FORTPORTAL-KYENJOJO 2-24h'!M17,'03.08 FORTPORTAL-KYENJOJO-24h'!M17,'04.08 FORTPORTAL-KYENJOJO'!M17)</f>
        <v>1.1428571428571428</v>
      </c>
      <c r="N17" s="49">
        <f>AVERAGE('29.07 FORTPORTAL-KYENJOJO'!N17,'30.07 FORTPORAL-KYENJOJO'!N17,'31.07 FORTPORTAL-KYENJOJO'!N17,'02.08 FORTPORTAL-KYENJOJO'!N17,'01.08 FORTPORTAL-KYENJOJO 2-24h'!N17,'03.08 FORTPORTAL-KYENJOJO-24h'!N17,'04.08 FORTPORTAL-KYENJOJO'!N17)</f>
        <v>0</v>
      </c>
      <c r="O17" s="15">
        <f t="shared" si="0"/>
        <v>5.7142857142857144</v>
      </c>
      <c r="P17" s="15">
        <f t="shared" si="1"/>
        <v>6.8571428571428577</v>
      </c>
      <c r="R17" s="1" t="s">
        <v>13</v>
      </c>
      <c r="S17" s="17">
        <f t="shared" ref="S17:AF17" si="9">SUM(C38:C41)</f>
        <v>3.5714285714285712</v>
      </c>
      <c r="T17" s="17">
        <f t="shared" si="9"/>
        <v>0</v>
      </c>
      <c r="U17" s="17">
        <f t="shared" si="9"/>
        <v>7.8571428571428568</v>
      </c>
      <c r="V17" s="17">
        <f t="shared" si="9"/>
        <v>7.8571428571428568</v>
      </c>
      <c r="W17" s="17">
        <f t="shared" si="9"/>
        <v>0.2857142857142857</v>
      </c>
      <c r="X17" s="17">
        <f t="shared" si="9"/>
        <v>2.5714285714285712</v>
      </c>
      <c r="Y17" s="17">
        <f t="shared" si="9"/>
        <v>4.4285714285714279</v>
      </c>
      <c r="Z17" s="17">
        <f t="shared" si="9"/>
        <v>0.2857142857142857</v>
      </c>
      <c r="AA17" s="17">
        <f t="shared" si="9"/>
        <v>0.2857142857142857</v>
      </c>
      <c r="AB17" s="17">
        <f t="shared" si="9"/>
        <v>2.4285714285714288</v>
      </c>
      <c r="AC17" s="17">
        <f t="shared" si="9"/>
        <v>5.4285714285714288</v>
      </c>
      <c r="AD17" s="17">
        <f t="shared" si="9"/>
        <v>0</v>
      </c>
      <c r="AE17" s="31">
        <f t="shared" si="9"/>
        <v>29.571428571428569</v>
      </c>
      <c r="AF17" s="31">
        <f t="shared" si="9"/>
        <v>35</v>
      </c>
    </row>
    <row r="18" spans="2:32" ht="23.1" customHeight="1" x14ac:dyDescent="0.25">
      <c r="B18" s="23" t="s">
        <v>45</v>
      </c>
      <c r="C18" s="49">
        <f>AVERAGE('29.07 FORTPORTAL-KYENJOJO'!C18,'30.07 FORTPORAL-KYENJOJO'!C18,'31.07 FORTPORTAL-KYENJOJO'!C18,'02.08 FORTPORTAL-KYENJOJO'!C18,'01.08 FORTPORTAL-KYENJOJO 2-24h'!C18,'03.08 FORTPORTAL-KYENJOJO-24h'!C18,'04.08 FORTPORTAL-KYENJOJO'!C18)</f>
        <v>1.4285714285714286</v>
      </c>
      <c r="D18" s="49">
        <f>AVERAGE('29.07 FORTPORTAL-KYENJOJO'!D18,'30.07 FORTPORAL-KYENJOJO'!D18,'31.07 FORTPORTAL-KYENJOJO'!D18,'02.08 FORTPORTAL-KYENJOJO'!D18,'01.08 FORTPORTAL-KYENJOJO 2-24h'!D18,'03.08 FORTPORTAL-KYENJOJO-24h'!D18,'04.08 FORTPORTAL-KYENJOJO'!D18)</f>
        <v>0</v>
      </c>
      <c r="E18" s="49">
        <f>AVERAGE('29.07 FORTPORTAL-KYENJOJO'!E18,'30.07 FORTPORAL-KYENJOJO'!E18,'31.07 FORTPORTAL-KYENJOJO'!E18,'02.08 FORTPORTAL-KYENJOJO'!E18,'01.08 FORTPORTAL-KYENJOJO 2-24h'!E18,'03.08 FORTPORTAL-KYENJOJO-24h'!E18,'04.08 FORTPORTAL-KYENJOJO'!E18)</f>
        <v>2.2857142857142856</v>
      </c>
      <c r="F18" s="49">
        <f>AVERAGE('29.07 FORTPORTAL-KYENJOJO'!F18,'30.07 FORTPORAL-KYENJOJO'!F18,'31.07 FORTPORTAL-KYENJOJO'!F18,'02.08 FORTPORTAL-KYENJOJO'!F18,'01.08 FORTPORTAL-KYENJOJO 2-24h'!F18,'03.08 FORTPORTAL-KYENJOJO-24h'!F18,'04.08 FORTPORTAL-KYENJOJO'!F18)</f>
        <v>1.8571428571428572</v>
      </c>
      <c r="G18" s="49">
        <f>AVERAGE('29.07 FORTPORTAL-KYENJOJO'!G18,'30.07 FORTPORAL-KYENJOJO'!G18,'31.07 FORTPORTAL-KYENJOJO'!G18,'02.08 FORTPORTAL-KYENJOJO'!G18,'01.08 FORTPORTAL-KYENJOJO 2-24h'!G18,'03.08 FORTPORTAL-KYENJOJO-24h'!G18,'04.08 FORTPORTAL-KYENJOJO'!G18)</f>
        <v>0</v>
      </c>
      <c r="H18" s="49">
        <f>AVERAGE('29.07 FORTPORTAL-KYENJOJO'!H18,'30.07 FORTPORAL-KYENJOJO'!H18,'31.07 FORTPORTAL-KYENJOJO'!H18,'02.08 FORTPORTAL-KYENJOJO'!H18,'01.08 FORTPORTAL-KYENJOJO 2-24h'!H18,'03.08 FORTPORTAL-KYENJOJO-24h'!H18,'04.08 FORTPORTAL-KYENJOJO'!H18)</f>
        <v>0.2857142857142857</v>
      </c>
      <c r="I18" s="49">
        <f>AVERAGE('29.07 FORTPORTAL-KYENJOJO'!I18,'30.07 FORTPORAL-KYENJOJO'!I18,'31.07 FORTPORTAL-KYENJOJO'!I18,'02.08 FORTPORTAL-KYENJOJO'!I18,'01.08 FORTPORTAL-KYENJOJO 2-24h'!I18,'03.08 FORTPORTAL-KYENJOJO-24h'!I18,'04.08 FORTPORTAL-KYENJOJO'!I18)</f>
        <v>0.5714285714285714</v>
      </c>
      <c r="J18" s="49">
        <f>AVERAGE('29.07 FORTPORTAL-KYENJOJO'!J18,'30.07 FORTPORAL-KYENJOJO'!J18,'31.07 FORTPORTAL-KYENJOJO'!J18,'02.08 FORTPORTAL-KYENJOJO'!J18,'01.08 FORTPORTAL-KYENJOJO 2-24h'!J18,'03.08 FORTPORTAL-KYENJOJO-24h'!J18,'04.08 FORTPORTAL-KYENJOJO'!J18)</f>
        <v>0</v>
      </c>
      <c r="K18" s="49">
        <f>AVERAGE('29.07 FORTPORTAL-KYENJOJO'!K18,'30.07 FORTPORAL-KYENJOJO'!K18,'31.07 FORTPORTAL-KYENJOJO'!K18,'02.08 FORTPORTAL-KYENJOJO'!K18,'01.08 FORTPORTAL-KYENJOJO 2-24h'!K18,'03.08 FORTPORTAL-KYENJOJO-24h'!K18,'04.08 FORTPORTAL-KYENJOJO'!K18)</f>
        <v>0</v>
      </c>
      <c r="L18" s="49">
        <f>AVERAGE('29.07 FORTPORTAL-KYENJOJO'!L18,'30.07 FORTPORAL-KYENJOJO'!L18,'31.07 FORTPORTAL-KYENJOJO'!L18,'02.08 FORTPORTAL-KYENJOJO'!L18,'01.08 FORTPORTAL-KYENJOJO 2-24h'!L18,'03.08 FORTPORTAL-KYENJOJO-24h'!L18,'04.08 FORTPORTAL-KYENJOJO'!L18)</f>
        <v>0.5714285714285714</v>
      </c>
      <c r="M18" s="49">
        <f>AVERAGE('29.07 FORTPORTAL-KYENJOJO'!M18,'30.07 FORTPORAL-KYENJOJO'!M18,'31.07 FORTPORTAL-KYENJOJO'!M18,'02.08 FORTPORTAL-KYENJOJO'!M18,'01.08 FORTPORTAL-KYENJOJO 2-24h'!M18,'03.08 FORTPORTAL-KYENJOJO-24h'!M18,'04.08 FORTPORTAL-KYENJOJO'!M18)</f>
        <v>1.1428571428571428</v>
      </c>
      <c r="N18" s="49">
        <f>AVERAGE('29.07 FORTPORTAL-KYENJOJO'!N18,'30.07 FORTPORAL-KYENJOJO'!N18,'31.07 FORTPORTAL-KYENJOJO'!N18,'02.08 FORTPORTAL-KYENJOJO'!N18,'01.08 FORTPORTAL-KYENJOJO 2-24h'!N18,'03.08 FORTPORTAL-KYENJOJO-24h'!N18,'04.08 FORTPORTAL-KYENJOJO'!N18)</f>
        <v>0</v>
      </c>
      <c r="O18" s="15">
        <f t="shared" si="0"/>
        <v>6.9999999999999991</v>
      </c>
      <c r="P18" s="15">
        <f t="shared" si="1"/>
        <v>8.1428571428571423</v>
      </c>
      <c r="R18" s="1" t="s">
        <v>14</v>
      </c>
      <c r="S18" s="17">
        <f t="shared" ref="S18:AF18" si="10">SUM(C42:C45)</f>
        <v>5.1428571428571423</v>
      </c>
      <c r="T18" s="17">
        <f t="shared" si="10"/>
        <v>0</v>
      </c>
      <c r="U18" s="17">
        <f t="shared" si="10"/>
        <v>10</v>
      </c>
      <c r="V18" s="17">
        <f t="shared" si="10"/>
        <v>8.2857142857142865</v>
      </c>
      <c r="W18" s="17">
        <f t="shared" si="10"/>
        <v>0.2857142857142857</v>
      </c>
      <c r="X18" s="17">
        <f t="shared" si="10"/>
        <v>1.7142857142857144</v>
      </c>
      <c r="Y18" s="17">
        <f t="shared" si="10"/>
        <v>2.714285714285714</v>
      </c>
      <c r="Z18" s="17">
        <f t="shared" si="10"/>
        <v>0</v>
      </c>
      <c r="AA18" s="17">
        <f t="shared" si="10"/>
        <v>0.14285714285714285</v>
      </c>
      <c r="AB18" s="17">
        <f t="shared" si="10"/>
        <v>1</v>
      </c>
      <c r="AC18" s="17">
        <f t="shared" si="10"/>
        <v>4.7142857142857144</v>
      </c>
      <c r="AD18" s="17">
        <f t="shared" si="10"/>
        <v>0</v>
      </c>
      <c r="AE18" s="31">
        <f t="shared" si="10"/>
        <v>29.285714285714285</v>
      </c>
      <c r="AF18" s="31">
        <f t="shared" si="10"/>
        <v>34</v>
      </c>
    </row>
    <row r="19" spans="2:32" ht="23.1" customHeight="1" x14ac:dyDescent="0.25">
      <c r="B19" s="23" t="s">
        <v>46</v>
      </c>
      <c r="C19" s="49">
        <f>AVERAGE('29.07 FORTPORTAL-KYENJOJO'!C19,'30.07 FORTPORAL-KYENJOJO'!C19,'31.07 FORTPORTAL-KYENJOJO'!C19,'02.08 FORTPORTAL-KYENJOJO'!C19,'01.08 FORTPORTAL-KYENJOJO 2-24h'!C19,'03.08 FORTPORTAL-KYENJOJO-24h'!C19,'04.08 FORTPORTAL-KYENJOJO'!C19)</f>
        <v>1</v>
      </c>
      <c r="D19" s="49">
        <f>AVERAGE('29.07 FORTPORTAL-KYENJOJO'!D19,'30.07 FORTPORAL-KYENJOJO'!D19,'31.07 FORTPORTAL-KYENJOJO'!D19,'02.08 FORTPORTAL-KYENJOJO'!D19,'01.08 FORTPORTAL-KYENJOJO 2-24h'!D19,'03.08 FORTPORTAL-KYENJOJO-24h'!D19,'04.08 FORTPORTAL-KYENJOJO'!D19)</f>
        <v>0</v>
      </c>
      <c r="E19" s="49">
        <f>AVERAGE('29.07 FORTPORTAL-KYENJOJO'!E19,'30.07 FORTPORAL-KYENJOJO'!E19,'31.07 FORTPORTAL-KYENJOJO'!E19,'02.08 FORTPORTAL-KYENJOJO'!E19,'01.08 FORTPORTAL-KYENJOJO 2-24h'!E19,'03.08 FORTPORTAL-KYENJOJO-24h'!E19,'04.08 FORTPORTAL-KYENJOJO'!E19)</f>
        <v>1.8571428571428572</v>
      </c>
      <c r="F19" s="49">
        <f>AVERAGE('29.07 FORTPORTAL-KYENJOJO'!F19,'30.07 FORTPORAL-KYENJOJO'!F19,'31.07 FORTPORTAL-KYENJOJO'!F19,'02.08 FORTPORTAL-KYENJOJO'!F19,'01.08 FORTPORTAL-KYENJOJO 2-24h'!F19,'03.08 FORTPORTAL-KYENJOJO-24h'!F19,'04.08 FORTPORTAL-KYENJOJO'!F19)</f>
        <v>2</v>
      </c>
      <c r="G19" s="49">
        <f>AVERAGE('29.07 FORTPORTAL-KYENJOJO'!G19,'30.07 FORTPORAL-KYENJOJO'!G19,'31.07 FORTPORTAL-KYENJOJO'!G19,'02.08 FORTPORTAL-KYENJOJO'!G19,'01.08 FORTPORTAL-KYENJOJO 2-24h'!G19,'03.08 FORTPORTAL-KYENJOJO-24h'!G19,'04.08 FORTPORTAL-KYENJOJO'!G19)</f>
        <v>0</v>
      </c>
      <c r="H19" s="49">
        <f>AVERAGE('29.07 FORTPORTAL-KYENJOJO'!H19,'30.07 FORTPORAL-KYENJOJO'!H19,'31.07 FORTPORTAL-KYENJOJO'!H19,'02.08 FORTPORTAL-KYENJOJO'!H19,'01.08 FORTPORTAL-KYENJOJO 2-24h'!H19,'03.08 FORTPORTAL-KYENJOJO-24h'!H19,'04.08 FORTPORTAL-KYENJOJO'!H19)</f>
        <v>0</v>
      </c>
      <c r="I19" s="49">
        <f>AVERAGE('29.07 FORTPORTAL-KYENJOJO'!I19,'30.07 FORTPORAL-KYENJOJO'!I19,'31.07 FORTPORTAL-KYENJOJO'!I19,'02.08 FORTPORTAL-KYENJOJO'!I19,'01.08 FORTPORTAL-KYENJOJO 2-24h'!I19,'03.08 FORTPORTAL-KYENJOJO-24h'!I19,'04.08 FORTPORTAL-KYENJOJO'!I19)</f>
        <v>1</v>
      </c>
      <c r="J19" s="49">
        <f>AVERAGE('29.07 FORTPORTAL-KYENJOJO'!J19,'30.07 FORTPORAL-KYENJOJO'!J19,'31.07 FORTPORTAL-KYENJOJO'!J19,'02.08 FORTPORTAL-KYENJOJO'!J19,'01.08 FORTPORTAL-KYENJOJO 2-24h'!J19,'03.08 FORTPORTAL-KYENJOJO-24h'!J19,'04.08 FORTPORTAL-KYENJOJO'!J19)</f>
        <v>0</v>
      </c>
      <c r="K19" s="49">
        <f>AVERAGE('29.07 FORTPORTAL-KYENJOJO'!K19,'30.07 FORTPORAL-KYENJOJO'!K19,'31.07 FORTPORTAL-KYENJOJO'!K19,'02.08 FORTPORTAL-KYENJOJO'!K19,'01.08 FORTPORTAL-KYENJOJO 2-24h'!K19,'03.08 FORTPORTAL-KYENJOJO-24h'!K19,'04.08 FORTPORTAL-KYENJOJO'!K19)</f>
        <v>0</v>
      </c>
      <c r="L19" s="49">
        <f>AVERAGE('29.07 FORTPORTAL-KYENJOJO'!L19,'30.07 FORTPORAL-KYENJOJO'!L19,'31.07 FORTPORTAL-KYENJOJO'!L19,'02.08 FORTPORTAL-KYENJOJO'!L19,'01.08 FORTPORTAL-KYENJOJO 2-24h'!L19,'03.08 FORTPORTAL-KYENJOJO-24h'!L19,'04.08 FORTPORTAL-KYENJOJO'!L19)</f>
        <v>1</v>
      </c>
      <c r="M19" s="49">
        <f>AVERAGE('29.07 FORTPORTAL-KYENJOJO'!M19,'30.07 FORTPORAL-KYENJOJO'!M19,'31.07 FORTPORTAL-KYENJOJO'!M19,'02.08 FORTPORTAL-KYENJOJO'!M19,'01.08 FORTPORTAL-KYENJOJO 2-24h'!M19,'03.08 FORTPORTAL-KYENJOJO-24h'!M19,'04.08 FORTPORTAL-KYENJOJO'!M19)</f>
        <v>0.7142857142857143</v>
      </c>
      <c r="N19" s="49">
        <f>AVERAGE('29.07 FORTPORTAL-KYENJOJO'!N19,'30.07 FORTPORAL-KYENJOJO'!N19,'31.07 FORTPORTAL-KYENJOJO'!N19,'02.08 FORTPORTAL-KYENJOJO'!N19,'01.08 FORTPORTAL-KYENJOJO 2-24h'!N19,'03.08 FORTPORTAL-KYENJOJO-24h'!N19,'04.08 FORTPORTAL-KYENJOJO'!N19)</f>
        <v>0</v>
      </c>
      <c r="O19" s="15">
        <f t="shared" si="0"/>
        <v>6.8571428571428577</v>
      </c>
      <c r="P19" s="15">
        <f t="shared" si="1"/>
        <v>7.5714285714285721</v>
      </c>
      <c r="R19" s="1" t="s">
        <v>15</v>
      </c>
      <c r="S19" s="17">
        <f t="shared" ref="S19:AF19" si="11">SUM(C46:C49)</f>
        <v>4.7142857142857144</v>
      </c>
      <c r="T19" s="17">
        <f t="shared" si="11"/>
        <v>0</v>
      </c>
      <c r="U19" s="17">
        <f t="shared" si="11"/>
        <v>11.571428571428571</v>
      </c>
      <c r="V19" s="17">
        <f t="shared" si="11"/>
        <v>8.2857142857142865</v>
      </c>
      <c r="W19" s="17">
        <f t="shared" si="11"/>
        <v>0.2857142857142857</v>
      </c>
      <c r="X19" s="17">
        <f t="shared" si="11"/>
        <v>2</v>
      </c>
      <c r="Y19" s="17">
        <f t="shared" si="11"/>
        <v>3.2857142857142856</v>
      </c>
      <c r="Z19" s="17">
        <f t="shared" si="11"/>
        <v>0</v>
      </c>
      <c r="AA19" s="17">
        <f t="shared" si="11"/>
        <v>0.14285714285714285</v>
      </c>
      <c r="AB19" s="17">
        <f t="shared" si="11"/>
        <v>2</v>
      </c>
      <c r="AC19" s="17">
        <f t="shared" si="11"/>
        <v>4.5714285714285712</v>
      </c>
      <c r="AD19" s="17">
        <f t="shared" si="11"/>
        <v>0.2857142857142857</v>
      </c>
      <c r="AE19" s="31">
        <f t="shared" si="11"/>
        <v>32.571428571428569</v>
      </c>
      <c r="AF19" s="31">
        <f t="shared" si="11"/>
        <v>37.142857142857146</v>
      </c>
    </row>
    <row r="20" spans="2:32" ht="23.1" customHeight="1" x14ac:dyDescent="0.25">
      <c r="B20" s="23" t="s">
        <v>47</v>
      </c>
      <c r="C20" s="49">
        <f>AVERAGE('29.07 FORTPORTAL-KYENJOJO'!C20,'30.07 FORTPORAL-KYENJOJO'!C20,'31.07 FORTPORTAL-KYENJOJO'!C20,'02.08 FORTPORTAL-KYENJOJO'!C20,'01.08 FORTPORTAL-KYENJOJO 2-24h'!C20,'03.08 FORTPORTAL-KYENJOJO-24h'!C20,'04.08 FORTPORTAL-KYENJOJO'!C20)</f>
        <v>2</v>
      </c>
      <c r="D20" s="49">
        <f>AVERAGE('29.07 FORTPORTAL-KYENJOJO'!D20,'30.07 FORTPORAL-KYENJOJO'!D20,'31.07 FORTPORTAL-KYENJOJO'!D20,'02.08 FORTPORTAL-KYENJOJO'!D20,'01.08 FORTPORTAL-KYENJOJO 2-24h'!D20,'03.08 FORTPORTAL-KYENJOJO-24h'!D20,'04.08 FORTPORTAL-KYENJOJO'!D20)</f>
        <v>0</v>
      </c>
      <c r="E20" s="49">
        <f>AVERAGE('29.07 FORTPORTAL-KYENJOJO'!E20,'30.07 FORTPORAL-KYENJOJO'!E20,'31.07 FORTPORTAL-KYENJOJO'!E20,'02.08 FORTPORTAL-KYENJOJO'!E20,'01.08 FORTPORTAL-KYENJOJO 2-24h'!E20,'03.08 FORTPORTAL-KYENJOJO-24h'!E20,'04.08 FORTPORTAL-KYENJOJO'!E20)</f>
        <v>2.7142857142857144</v>
      </c>
      <c r="F20" s="49">
        <f>AVERAGE('29.07 FORTPORTAL-KYENJOJO'!F20,'30.07 FORTPORAL-KYENJOJO'!F20,'31.07 FORTPORTAL-KYENJOJO'!F20,'02.08 FORTPORTAL-KYENJOJO'!F20,'01.08 FORTPORTAL-KYENJOJO 2-24h'!F20,'03.08 FORTPORTAL-KYENJOJO-24h'!F20,'04.08 FORTPORTAL-KYENJOJO'!F20)</f>
        <v>1.1428571428571428</v>
      </c>
      <c r="G20" s="49">
        <f>AVERAGE('29.07 FORTPORTAL-KYENJOJO'!G20,'30.07 FORTPORAL-KYENJOJO'!G20,'31.07 FORTPORTAL-KYENJOJO'!G20,'02.08 FORTPORTAL-KYENJOJO'!G20,'01.08 FORTPORTAL-KYENJOJO 2-24h'!G20,'03.08 FORTPORTAL-KYENJOJO-24h'!G20,'04.08 FORTPORTAL-KYENJOJO'!G20)</f>
        <v>0</v>
      </c>
      <c r="H20" s="49">
        <f>AVERAGE('29.07 FORTPORTAL-KYENJOJO'!H20,'30.07 FORTPORAL-KYENJOJO'!H20,'31.07 FORTPORTAL-KYENJOJO'!H20,'02.08 FORTPORTAL-KYENJOJO'!H20,'01.08 FORTPORTAL-KYENJOJO 2-24h'!H20,'03.08 FORTPORTAL-KYENJOJO-24h'!H20,'04.08 FORTPORTAL-KYENJOJO'!H20)</f>
        <v>0.14285714285714285</v>
      </c>
      <c r="I20" s="49">
        <f>AVERAGE('29.07 FORTPORTAL-KYENJOJO'!I20,'30.07 FORTPORAL-KYENJOJO'!I20,'31.07 FORTPORTAL-KYENJOJO'!I20,'02.08 FORTPORTAL-KYENJOJO'!I20,'01.08 FORTPORTAL-KYENJOJO 2-24h'!I20,'03.08 FORTPORTAL-KYENJOJO-24h'!I20,'04.08 FORTPORTAL-KYENJOJO'!I20)</f>
        <v>0.5714285714285714</v>
      </c>
      <c r="J20" s="49">
        <f>AVERAGE('29.07 FORTPORTAL-KYENJOJO'!J20,'30.07 FORTPORAL-KYENJOJO'!J20,'31.07 FORTPORTAL-KYENJOJO'!J20,'02.08 FORTPORTAL-KYENJOJO'!J20,'01.08 FORTPORTAL-KYENJOJO 2-24h'!J20,'03.08 FORTPORTAL-KYENJOJO-24h'!J20,'04.08 FORTPORTAL-KYENJOJO'!J20)</f>
        <v>0.14285714285714285</v>
      </c>
      <c r="K20" s="49">
        <f>AVERAGE('29.07 FORTPORTAL-KYENJOJO'!K20,'30.07 FORTPORAL-KYENJOJO'!K20,'31.07 FORTPORTAL-KYENJOJO'!K20,'02.08 FORTPORTAL-KYENJOJO'!K20,'01.08 FORTPORTAL-KYENJOJO 2-24h'!K20,'03.08 FORTPORTAL-KYENJOJO-24h'!K20,'04.08 FORTPORTAL-KYENJOJO'!K20)</f>
        <v>0</v>
      </c>
      <c r="L20" s="49">
        <f>AVERAGE('29.07 FORTPORTAL-KYENJOJO'!L20,'30.07 FORTPORAL-KYENJOJO'!L20,'31.07 FORTPORTAL-KYENJOJO'!L20,'02.08 FORTPORTAL-KYENJOJO'!L20,'01.08 FORTPORTAL-KYENJOJO 2-24h'!L20,'03.08 FORTPORTAL-KYENJOJO-24h'!L20,'04.08 FORTPORTAL-KYENJOJO'!L20)</f>
        <v>0.42857142857142855</v>
      </c>
      <c r="M20" s="49">
        <f>AVERAGE('29.07 FORTPORTAL-KYENJOJO'!M20,'30.07 FORTPORAL-KYENJOJO'!M20,'31.07 FORTPORTAL-KYENJOJO'!M20,'02.08 FORTPORTAL-KYENJOJO'!M20,'01.08 FORTPORTAL-KYENJOJO 2-24h'!M20,'03.08 FORTPORTAL-KYENJOJO-24h'!M20,'04.08 FORTPORTAL-KYENJOJO'!M20)</f>
        <v>1.2857142857142858</v>
      </c>
      <c r="N20" s="49">
        <f>AVERAGE('29.07 FORTPORTAL-KYENJOJO'!N20,'30.07 FORTPORAL-KYENJOJO'!N20,'31.07 FORTPORTAL-KYENJOJO'!N20,'02.08 FORTPORTAL-KYENJOJO'!N20,'01.08 FORTPORTAL-KYENJOJO 2-24h'!N20,'03.08 FORTPORTAL-KYENJOJO-24h'!N20,'04.08 FORTPORTAL-KYENJOJO'!N20)</f>
        <v>0</v>
      </c>
      <c r="O20" s="15">
        <f t="shared" si="0"/>
        <v>7.1428571428571441</v>
      </c>
      <c r="P20" s="15">
        <f t="shared" si="1"/>
        <v>8.4285714285714306</v>
      </c>
      <c r="R20" s="1" t="s">
        <v>16</v>
      </c>
      <c r="S20" s="17">
        <f t="shared" ref="S20:AF20" si="12">SUM(C50:C53)</f>
        <v>5.7142857142857135</v>
      </c>
      <c r="T20" s="17">
        <f t="shared" si="12"/>
        <v>0</v>
      </c>
      <c r="U20" s="17">
        <f t="shared" si="12"/>
        <v>11.428571428571429</v>
      </c>
      <c r="V20" s="17">
        <f t="shared" si="12"/>
        <v>8.1428571428571423</v>
      </c>
      <c r="W20" s="17">
        <f t="shared" si="12"/>
        <v>0.71428571428571419</v>
      </c>
      <c r="X20" s="17">
        <f t="shared" si="12"/>
        <v>2</v>
      </c>
      <c r="Y20" s="17">
        <f t="shared" si="12"/>
        <v>5.1428571428571423</v>
      </c>
      <c r="Z20" s="17">
        <f t="shared" si="12"/>
        <v>0</v>
      </c>
      <c r="AA20" s="17">
        <f t="shared" si="12"/>
        <v>0</v>
      </c>
      <c r="AB20" s="17">
        <f t="shared" si="12"/>
        <v>1.5714285714285714</v>
      </c>
      <c r="AC20" s="17">
        <f t="shared" si="12"/>
        <v>6.1428571428571432</v>
      </c>
      <c r="AD20" s="17">
        <f t="shared" si="12"/>
        <v>0</v>
      </c>
      <c r="AE20" s="31">
        <f t="shared" si="12"/>
        <v>34.714285714285715</v>
      </c>
      <c r="AF20" s="31">
        <f t="shared" si="12"/>
        <v>40.857142857142861</v>
      </c>
    </row>
    <row r="21" spans="2:32" ht="23.1" customHeight="1" x14ac:dyDescent="0.25">
      <c r="B21" s="23" t="s">
        <v>48</v>
      </c>
      <c r="C21" s="49">
        <f>AVERAGE('29.07 FORTPORTAL-KYENJOJO'!C21,'30.07 FORTPORAL-KYENJOJO'!C21,'31.07 FORTPORTAL-KYENJOJO'!C21,'02.08 FORTPORTAL-KYENJOJO'!C21,'01.08 FORTPORTAL-KYENJOJO 2-24h'!C21,'03.08 FORTPORTAL-KYENJOJO-24h'!C21,'04.08 FORTPORTAL-KYENJOJO'!C21)</f>
        <v>1</v>
      </c>
      <c r="D21" s="49">
        <f>AVERAGE('29.07 FORTPORTAL-KYENJOJO'!D21,'30.07 FORTPORAL-KYENJOJO'!D21,'31.07 FORTPORTAL-KYENJOJO'!D21,'02.08 FORTPORTAL-KYENJOJO'!D21,'01.08 FORTPORTAL-KYENJOJO 2-24h'!D21,'03.08 FORTPORTAL-KYENJOJO-24h'!D21,'04.08 FORTPORTAL-KYENJOJO'!D21)</f>
        <v>0</v>
      </c>
      <c r="E21" s="49">
        <f>AVERAGE('29.07 FORTPORTAL-KYENJOJO'!E21,'30.07 FORTPORAL-KYENJOJO'!E21,'31.07 FORTPORTAL-KYENJOJO'!E21,'02.08 FORTPORTAL-KYENJOJO'!E21,'01.08 FORTPORTAL-KYENJOJO 2-24h'!E21,'03.08 FORTPORTAL-KYENJOJO-24h'!E21,'04.08 FORTPORTAL-KYENJOJO'!E21)</f>
        <v>3</v>
      </c>
      <c r="F21" s="49">
        <f>AVERAGE('29.07 FORTPORTAL-KYENJOJO'!F21,'30.07 FORTPORAL-KYENJOJO'!F21,'31.07 FORTPORTAL-KYENJOJO'!F21,'02.08 FORTPORTAL-KYENJOJO'!F21,'01.08 FORTPORTAL-KYENJOJO 2-24h'!F21,'03.08 FORTPORTAL-KYENJOJO-24h'!F21,'04.08 FORTPORTAL-KYENJOJO'!F21)</f>
        <v>1.5714285714285714</v>
      </c>
      <c r="G21" s="49">
        <f>AVERAGE('29.07 FORTPORTAL-KYENJOJO'!G21,'30.07 FORTPORAL-KYENJOJO'!G21,'31.07 FORTPORTAL-KYENJOJO'!G21,'02.08 FORTPORTAL-KYENJOJO'!G21,'01.08 FORTPORTAL-KYENJOJO 2-24h'!G21,'03.08 FORTPORTAL-KYENJOJO-24h'!G21,'04.08 FORTPORTAL-KYENJOJO'!G21)</f>
        <v>0.14285714285714285</v>
      </c>
      <c r="H21" s="49">
        <f>AVERAGE('29.07 FORTPORTAL-KYENJOJO'!H21,'30.07 FORTPORAL-KYENJOJO'!H21,'31.07 FORTPORTAL-KYENJOJO'!H21,'02.08 FORTPORTAL-KYENJOJO'!H21,'01.08 FORTPORTAL-KYENJOJO 2-24h'!H21,'03.08 FORTPORTAL-KYENJOJO-24h'!H21,'04.08 FORTPORTAL-KYENJOJO'!H21)</f>
        <v>0.2857142857142857</v>
      </c>
      <c r="I21" s="49">
        <f>AVERAGE('29.07 FORTPORTAL-KYENJOJO'!I21,'30.07 FORTPORAL-KYENJOJO'!I21,'31.07 FORTPORTAL-KYENJOJO'!I21,'02.08 FORTPORTAL-KYENJOJO'!I21,'01.08 FORTPORTAL-KYENJOJO 2-24h'!I21,'03.08 FORTPORTAL-KYENJOJO-24h'!I21,'04.08 FORTPORTAL-KYENJOJO'!I21)</f>
        <v>0.42857142857142855</v>
      </c>
      <c r="J21" s="49">
        <f>AVERAGE('29.07 FORTPORTAL-KYENJOJO'!J21,'30.07 FORTPORAL-KYENJOJO'!J21,'31.07 FORTPORTAL-KYENJOJO'!J21,'02.08 FORTPORTAL-KYENJOJO'!J21,'01.08 FORTPORTAL-KYENJOJO 2-24h'!J21,'03.08 FORTPORTAL-KYENJOJO-24h'!J21,'04.08 FORTPORTAL-KYENJOJO'!J21)</f>
        <v>0.2857142857142857</v>
      </c>
      <c r="K21" s="49">
        <f>AVERAGE('29.07 FORTPORTAL-KYENJOJO'!K21,'30.07 FORTPORAL-KYENJOJO'!K21,'31.07 FORTPORTAL-KYENJOJO'!K21,'02.08 FORTPORTAL-KYENJOJO'!K21,'01.08 FORTPORTAL-KYENJOJO 2-24h'!K21,'03.08 FORTPORTAL-KYENJOJO-24h'!K21,'04.08 FORTPORTAL-KYENJOJO'!K21)</f>
        <v>0.14285714285714285</v>
      </c>
      <c r="L21" s="49">
        <f>AVERAGE('29.07 FORTPORTAL-KYENJOJO'!L21,'30.07 FORTPORAL-KYENJOJO'!L21,'31.07 FORTPORTAL-KYENJOJO'!L21,'02.08 FORTPORTAL-KYENJOJO'!L21,'01.08 FORTPORTAL-KYENJOJO 2-24h'!L21,'03.08 FORTPORTAL-KYENJOJO-24h'!L21,'04.08 FORTPORTAL-KYENJOJO'!L21)</f>
        <v>0.42857142857142855</v>
      </c>
      <c r="M21" s="49">
        <f>AVERAGE('29.07 FORTPORTAL-KYENJOJO'!M21,'30.07 FORTPORAL-KYENJOJO'!M21,'31.07 FORTPORTAL-KYENJOJO'!M21,'02.08 FORTPORTAL-KYENJOJO'!M21,'01.08 FORTPORTAL-KYENJOJO 2-24h'!M21,'03.08 FORTPORTAL-KYENJOJO-24h'!M21,'04.08 FORTPORTAL-KYENJOJO'!M21)</f>
        <v>0.7142857142857143</v>
      </c>
      <c r="N21" s="49">
        <f>AVERAGE('29.07 FORTPORTAL-KYENJOJO'!N21,'30.07 FORTPORAL-KYENJOJO'!N21,'31.07 FORTPORTAL-KYENJOJO'!N21,'02.08 FORTPORTAL-KYENJOJO'!N21,'01.08 FORTPORTAL-KYENJOJO 2-24h'!N21,'03.08 FORTPORTAL-KYENJOJO-24h'!N21,'04.08 FORTPORTAL-KYENJOJO'!N21)</f>
        <v>0</v>
      </c>
      <c r="O21" s="15">
        <f t="shared" si="0"/>
        <v>7.2857142857142865</v>
      </c>
      <c r="P21" s="15">
        <f t="shared" si="1"/>
        <v>8</v>
      </c>
      <c r="R21" s="36" t="s">
        <v>20</v>
      </c>
      <c r="S21" s="34">
        <f t="shared" ref="S21:AF21" si="13">SUM(C54:C57)</f>
        <v>5.5714285714285721</v>
      </c>
      <c r="T21" s="17">
        <f t="shared" si="13"/>
        <v>0</v>
      </c>
      <c r="U21" s="17">
        <f t="shared" si="13"/>
        <v>8.8571428571428577</v>
      </c>
      <c r="V21" s="17">
        <f t="shared" si="13"/>
        <v>6.2857142857142856</v>
      </c>
      <c r="W21" s="17">
        <f t="shared" si="13"/>
        <v>0.14285714285714285</v>
      </c>
      <c r="X21" s="17">
        <f t="shared" si="13"/>
        <v>1.8571428571428572</v>
      </c>
      <c r="Y21" s="17">
        <f t="shared" si="13"/>
        <v>5.1428571428571423</v>
      </c>
      <c r="Z21" s="17">
        <f t="shared" si="13"/>
        <v>0.14285714285714285</v>
      </c>
      <c r="AA21" s="17">
        <f t="shared" si="13"/>
        <v>0.2857142857142857</v>
      </c>
      <c r="AB21" s="17">
        <f t="shared" si="13"/>
        <v>1.8571428571428572</v>
      </c>
      <c r="AC21" s="17">
        <f t="shared" si="13"/>
        <v>4.8571428571428568</v>
      </c>
      <c r="AD21" s="17">
        <f t="shared" si="13"/>
        <v>0</v>
      </c>
      <c r="AE21" s="31">
        <f t="shared" si="13"/>
        <v>30.142857142857142</v>
      </c>
      <c r="AF21" s="31">
        <f t="shared" si="13"/>
        <v>35</v>
      </c>
    </row>
    <row r="22" spans="2:32" ht="23.1" customHeight="1" x14ac:dyDescent="0.25">
      <c r="B22" s="23" t="s">
        <v>49</v>
      </c>
      <c r="C22" s="49">
        <f>AVERAGE('29.07 FORTPORTAL-KYENJOJO'!C22,'30.07 FORTPORAL-KYENJOJO'!C22,'31.07 FORTPORTAL-KYENJOJO'!C22,'02.08 FORTPORTAL-KYENJOJO'!C22,'01.08 FORTPORTAL-KYENJOJO 2-24h'!C22,'03.08 FORTPORTAL-KYENJOJO-24h'!C22,'04.08 FORTPORTAL-KYENJOJO'!C22)</f>
        <v>1.7142857142857142</v>
      </c>
      <c r="D22" s="49">
        <f>AVERAGE('29.07 FORTPORTAL-KYENJOJO'!D22,'30.07 FORTPORAL-KYENJOJO'!D22,'31.07 FORTPORTAL-KYENJOJO'!D22,'02.08 FORTPORTAL-KYENJOJO'!D22,'01.08 FORTPORTAL-KYENJOJO 2-24h'!D22,'03.08 FORTPORTAL-KYENJOJO-24h'!D22,'04.08 FORTPORTAL-KYENJOJO'!D22)</f>
        <v>0</v>
      </c>
      <c r="E22" s="49">
        <f>AVERAGE('29.07 FORTPORTAL-KYENJOJO'!E22,'30.07 FORTPORAL-KYENJOJO'!E22,'31.07 FORTPORTAL-KYENJOJO'!E22,'02.08 FORTPORTAL-KYENJOJO'!E22,'01.08 FORTPORTAL-KYENJOJO 2-24h'!E22,'03.08 FORTPORTAL-KYENJOJO-24h'!E22,'04.08 FORTPORTAL-KYENJOJO'!E22)</f>
        <v>4</v>
      </c>
      <c r="F22" s="49">
        <f>AVERAGE('29.07 FORTPORTAL-KYENJOJO'!F22,'30.07 FORTPORAL-KYENJOJO'!F22,'31.07 FORTPORTAL-KYENJOJO'!F22,'02.08 FORTPORTAL-KYENJOJO'!F22,'01.08 FORTPORTAL-KYENJOJO 2-24h'!F22,'03.08 FORTPORTAL-KYENJOJO-24h'!F22,'04.08 FORTPORTAL-KYENJOJO'!F22)</f>
        <v>2.1428571428571428</v>
      </c>
      <c r="G22" s="49">
        <f>AVERAGE('29.07 FORTPORTAL-KYENJOJO'!G22,'30.07 FORTPORAL-KYENJOJO'!G22,'31.07 FORTPORTAL-KYENJOJO'!G22,'02.08 FORTPORTAL-KYENJOJO'!G22,'01.08 FORTPORTAL-KYENJOJO 2-24h'!G22,'03.08 FORTPORTAL-KYENJOJO-24h'!G22,'04.08 FORTPORTAL-KYENJOJO'!G22)</f>
        <v>0</v>
      </c>
      <c r="H22" s="49">
        <f>AVERAGE('29.07 FORTPORTAL-KYENJOJO'!H22,'30.07 FORTPORAL-KYENJOJO'!H22,'31.07 FORTPORTAL-KYENJOJO'!H22,'02.08 FORTPORTAL-KYENJOJO'!H22,'01.08 FORTPORTAL-KYENJOJO 2-24h'!H22,'03.08 FORTPORTAL-KYENJOJO-24h'!H22,'04.08 FORTPORTAL-KYENJOJO'!H22)</f>
        <v>0.14285714285714285</v>
      </c>
      <c r="I22" s="49">
        <f>AVERAGE('29.07 FORTPORTAL-KYENJOJO'!I22,'30.07 FORTPORAL-KYENJOJO'!I22,'31.07 FORTPORTAL-KYENJOJO'!I22,'02.08 FORTPORTAL-KYENJOJO'!I22,'01.08 FORTPORTAL-KYENJOJO 2-24h'!I22,'03.08 FORTPORTAL-KYENJOJO-24h'!I22,'04.08 FORTPORTAL-KYENJOJO'!I22)</f>
        <v>1.1428571428571428</v>
      </c>
      <c r="J22" s="49">
        <f>AVERAGE('29.07 FORTPORTAL-KYENJOJO'!J22,'30.07 FORTPORAL-KYENJOJO'!J22,'31.07 FORTPORTAL-KYENJOJO'!J22,'02.08 FORTPORTAL-KYENJOJO'!J22,'01.08 FORTPORTAL-KYENJOJO 2-24h'!J22,'03.08 FORTPORTAL-KYENJOJO-24h'!J22,'04.08 FORTPORTAL-KYENJOJO'!J22)</f>
        <v>0.2857142857142857</v>
      </c>
      <c r="K22" s="49">
        <f>AVERAGE('29.07 FORTPORTAL-KYENJOJO'!K22,'30.07 FORTPORAL-KYENJOJO'!K22,'31.07 FORTPORTAL-KYENJOJO'!K22,'02.08 FORTPORTAL-KYENJOJO'!K22,'01.08 FORTPORTAL-KYENJOJO 2-24h'!K22,'03.08 FORTPORTAL-KYENJOJO-24h'!K22,'04.08 FORTPORTAL-KYENJOJO'!K22)</f>
        <v>0</v>
      </c>
      <c r="L22" s="49">
        <f>AVERAGE('29.07 FORTPORTAL-KYENJOJO'!L22,'30.07 FORTPORAL-KYENJOJO'!L22,'31.07 FORTPORTAL-KYENJOJO'!L22,'02.08 FORTPORTAL-KYENJOJO'!L22,'01.08 FORTPORTAL-KYENJOJO 2-24h'!L22,'03.08 FORTPORTAL-KYENJOJO-24h'!L22,'04.08 FORTPORTAL-KYENJOJO'!L22)</f>
        <v>0.2857142857142857</v>
      </c>
      <c r="M22" s="49">
        <f>AVERAGE('29.07 FORTPORTAL-KYENJOJO'!M22,'30.07 FORTPORAL-KYENJOJO'!M22,'31.07 FORTPORTAL-KYENJOJO'!M22,'02.08 FORTPORTAL-KYENJOJO'!M22,'01.08 FORTPORTAL-KYENJOJO 2-24h'!M22,'03.08 FORTPORTAL-KYENJOJO-24h'!M22,'04.08 FORTPORTAL-KYENJOJO'!M22)</f>
        <v>1</v>
      </c>
      <c r="N22" s="49">
        <f>AVERAGE('29.07 FORTPORTAL-KYENJOJO'!N22,'30.07 FORTPORAL-KYENJOJO'!N22,'31.07 FORTPORTAL-KYENJOJO'!N22,'02.08 FORTPORTAL-KYENJOJO'!N22,'01.08 FORTPORTAL-KYENJOJO 2-24h'!N22,'03.08 FORTPORTAL-KYENJOJO-24h'!N22,'04.08 FORTPORTAL-KYENJOJO'!N22)</f>
        <v>0</v>
      </c>
      <c r="O22" s="15">
        <f t="shared" si="0"/>
        <v>9.7142857142857153</v>
      </c>
      <c r="P22" s="15">
        <f t="shared" si="1"/>
        <v>10.714285714285715</v>
      </c>
      <c r="R22" s="1" t="s">
        <v>146</v>
      </c>
      <c r="S22" s="34">
        <f>SUM(C58:C61)</f>
        <v>2.5</v>
      </c>
      <c r="T22" s="34">
        <f t="shared" ref="T22:AF22" si="14">SUM(D58:D61)</f>
        <v>0</v>
      </c>
      <c r="U22" s="34">
        <f t="shared" si="14"/>
        <v>4</v>
      </c>
      <c r="V22" s="34">
        <f t="shared" si="14"/>
        <v>3</v>
      </c>
      <c r="W22" s="34">
        <f t="shared" si="14"/>
        <v>0.5</v>
      </c>
      <c r="X22" s="34">
        <f t="shared" si="14"/>
        <v>0</v>
      </c>
      <c r="Y22" s="34">
        <f t="shared" si="14"/>
        <v>3</v>
      </c>
      <c r="Z22" s="34">
        <f t="shared" si="14"/>
        <v>0.5</v>
      </c>
      <c r="AA22" s="34">
        <f t="shared" si="14"/>
        <v>0.5</v>
      </c>
      <c r="AB22" s="34">
        <f t="shared" si="14"/>
        <v>4</v>
      </c>
      <c r="AC22" s="34">
        <f t="shared" si="14"/>
        <v>1</v>
      </c>
      <c r="AD22" s="34">
        <f t="shared" si="14"/>
        <v>0</v>
      </c>
      <c r="AE22" s="31">
        <f t="shared" si="14"/>
        <v>18</v>
      </c>
      <c r="AF22" s="31">
        <f t="shared" si="14"/>
        <v>19</v>
      </c>
    </row>
    <row r="23" spans="2:32" ht="23.1" customHeight="1" x14ac:dyDescent="0.25">
      <c r="B23" s="23" t="s">
        <v>50</v>
      </c>
      <c r="C23" s="49">
        <f>AVERAGE('29.07 FORTPORTAL-KYENJOJO'!C23,'30.07 FORTPORAL-KYENJOJO'!C23,'31.07 FORTPORTAL-KYENJOJO'!C23,'02.08 FORTPORTAL-KYENJOJO'!C23,'01.08 FORTPORTAL-KYENJOJO 2-24h'!C23,'03.08 FORTPORTAL-KYENJOJO-24h'!C23,'04.08 FORTPORTAL-KYENJOJO'!C23)</f>
        <v>1.2857142857142858</v>
      </c>
      <c r="D23" s="49">
        <f>AVERAGE('29.07 FORTPORTAL-KYENJOJO'!D23,'30.07 FORTPORAL-KYENJOJO'!D23,'31.07 FORTPORTAL-KYENJOJO'!D23,'02.08 FORTPORTAL-KYENJOJO'!D23,'01.08 FORTPORTAL-KYENJOJO 2-24h'!D23,'03.08 FORTPORTAL-KYENJOJO-24h'!D23,'04.08 FORTPORTAL-KYENJOJO'!D23)</f>
        <v>0</v>
      </c>
      <c r="E23" s="49">
        <f>AVERAGE('29.07 FORTPORTAL-KYENJOJO'!E23,'30.07 FORTPORAL-KYENJOJO'!E23,'31.07 FORTPORTAL-KYENJOJO'!E23,'02.08 FORTPORTAL-KYENJOJO'!E23,'01.08 FORTPORTAL-KYENJOJO 2-24h'!E23,'03.08 FORTPORTAL-KYENJOJO-24h'!E23,'04.08 FORTPORTAL-KYENJOJO'!E23)</f>
        <v>3.1428571428571428</v>
      </c>
      <c r="F23" s="49">
        <f>AVERAGE('29.07 FORTPORTAL-KYENJOJO'!F23,'30.07 FORTPORAL-KYENJOJO'!F23,'31.07 FORTPORTAL-KYENJOJO'!F23,'02.08 FORTPORTAL-KYENJOJO'!F23,'01.08 FORTPORTAL-KYENJOJO 2-24h'!F23,'03.08 FORTPORTAL-KYENJOJO-24h'!F23,'04.08 FORTPORTAL-KYENJOJO'!F23)</f>
        <v>1.8571428571428572</v>
      </c>
      <c r="G23" s="49">
        <f>AVERAGE('29.07 FORTPORTAL-KYENJOJO'!G23,'30.07 FORTPORAL-KYENJOJO'!G23,'31.07 FORTPORTAL-KYENJOJO'!G23,'02.08 FORTPORTAL-KYENJOJO'!G23,'01.08 FORTPORTAL-KYENJOJO 2-24h'!G23,'03.08 FORTPORTAL-KYENJOJO-24h'!G23,'04.08 FORTPORTAL-KYENJOJO'!G23)</f>
        <v>0</v>
      </c>
      <c r="H23" s="49">
        <f>AVERAGE('29.07 FORTPORTAL-KYENJOJO'!H23,'30.07 FORTPORAL-KYENJOJO'!H23,'31.07 FORTPORTAL-KYENJOJO'!H23,'02.08 FORTPORTAL-KYENJOJO'!H23,'01.08 FORTPORTAL-KYENJOJO 2-24h'!H23,'03.08 FORTPORTAL-KYENJOJO-24h'!H23,'04.08 FORTPORTAL-KYENJOJO'!H23)</f>
        <v>0.2857142857142857</v>
      </c>
      <c r="I23" s="49">
        <f>AVERAGE('29.07 FORTPORTAL-KYENJOJO'!I23,'30.07 FORTPORAL-KYENJOJO'!I23,'31.07 FORTPORTAL-KYENJOJO'!I23,'02.08 FORTPORTAL-KYENJOJO'!I23,'01.08 FORTPORTAL-KYENJOJO 2-24h'!I23,'03.08 FORTPORTAL-KYENJOJO-24h'!I23,'04.08 FORTPORTAL-KYENJOJO'!I23)</f>
        <v>0.7142857142857143</v>
      </c>
      <c r="J23" s="49">
        <f>AVERAGE('29.07 FORTPORTAL-KYENJOJO'!J23,'30.07 FORTPORAL-KYENJOJO'!J23,'31.07 FORTPORTAL-KYENJOJO'!J23,'02.08 FORTPORTAL-KYENJOJO'!J23,'01.08 FORTPORTAL-KYENJOJO 2-24h'!J23,'03.08 FORTPORTAL-KYENJOJO-24h'!J23,'04.08 FORTPORTAL-KYENJOJO'!J23)</f>
        <v>0.14285714285714285</v>
      </c>
      <c r="K23" s="49">
        <f>AVERAGE('29.07 FORTPORTAL-KYENJOJO'!K23,'30.07 FORTPORAL-KYENJOJO'!K23,'31.07 FORTPORTAL-KYENJOJO'!K23,'02.08 FORTPORTAL-KYENJOJO'!K23,'01.08 FORTPORTAL-KYENJOJO 2-24h'!K23,'03.08 FORTPORTAL-KYENJOJO-24h'!K23,'04.08 FORTPORTAL-KYENJOJO'!K23)</f>
        <v>0.14285714285714285</v>
      </c>
      <c r="L23" s="49">
        <f>AVERAGE('29.07 FORTPORTAL-KYENJOJO'!L23,'30.07 FORTPORAL-KYENJOJO'!L23,'31.07 FORTPORTAL-KYENJOJO'!L23,'02.08 FORTPORTAL-KYENJOJO'!L23,'01.08 FORTPORTAL-KYENJOJO 2-24h'!L23,'03.08 FORTPORTAL-KYENJOJO-24h'!L23,'04.08 FORTPORTAL-KYENJOJO'!L23)</f>
        <v>0.14285714285714285</v>
      </c>
      <c r="M23" s="49">
        <f>AVERAGE('29.07 FORTPORTAL-KYENJOJO'!M23,'30.07 FORTPORAL-KYENJOJO'!M23,'31.07 FORTPORTAL-KYENJOJO'!M23,'02.08 FORTPORTAL-KYENJOJO'!M23,'01.08 FORTPORTAL-KYENJOJO 2-24h'!M23,'03.08 FORTPORTAL-KYENJOJO-24h'!M23,'04.08 FORTPORTAL-KYENJOJO'!M23)</f>
        <v>1</v>
      </c>
      <c r="N23" s="49">
        <f>AVERAGE('29.07 FORTPORTAL-KYENJOJO'!N23,'30.07 FORTPORAL-KYENJOJO'!N23,'31.07 FORTPORTAL-KYENJOJO'!N23,'02.08 FORTPORTAL-KYENJOJO'!N23,'01.08 FORTPORTAL-KYENJOJO 2-24h'!N23,'03.08 FORTPORTAL-KYENJOJO-24h'!N23,'04.08 FORTPORTAL-KYENJOJO'!N23)</f>
        <v>0.14285714285714285</v>
      </c>
      <c r="O23" s="15">
        <f t="shared" si="0"/>
        <v>7.8571428571428594</v>
      </c>
      <c r="P23" s="15">
        <f t="shared" si="1"/>
        <v>8.8571428571428577</v>
      </c>
      <c r="R23" s="1" t="s">
        <v>147</v>
      </c>
      <c r="S23" s="34">
        <f>SUM(C62:C65)</f>
        <v>7.5</v>
      </c>
      <c r="T23" s="34">
        <f t="shared" ref="T23:AF23" si="15">SUM(D62:D65)</f>
        <v>0</v>
      </c>
      <c r="U23" s="34">
        <f t="shared" si="15"/>
        <v>4.5</v>
      </c>
      <c r="V23" s="34">
        <f t="shared" si="15"/>
        <v>2</v>
      </c>
      <c r="W23" s="34">
        <f t="shared" si="15"/>
        <v>0.5</v>
      </c>
      <c r="X23" s="34">
        <f t="shared" si="15"/>
        <v>1.5</v>
      </c>
      <c r="Y23" s="34">
        <f t="shared" si="15"/>
        <v>5.5</v>
      </c>
      <c r="Z23" s="34">
        <f t="shared" si="15"/>
        <v>0</v>
      </c>
      <c r="AA23" s="34">
        <f t="shared" si="15"/>
        <v>0</v>
      </c>
      <c r="AB23" s="34">
        <f t="shared" si="15"/>
        <v>2</v>
      </c>
      <c r="AC23" s="34">
        <f t="shared" si="15"/>
        <v>2.5</v>
      </c>
      <c r="AD23" s="34">
        <f t="shared" si="15"/>
        <v>0</v>
      </c>
      <c r="AE23" s="31">
        <f t="shared" si="15"/>
        <v>23.5</v>
      </c>
      <c r="AF23" s="31">
        <f t="shared" si="15"/>
        <v>26</v>
      </c>
    </row>
    <row r="24" spans="2:32" ht="23.1" customHeight="1" x14ac:dyDescent="0.25">
      <c r="B24" s="23" t="s">
        <v>51</v>
      </c>
      <c r="C24" s="49">
        <f>AVERAGE('29.07 FORTPORTAL-KYENJOJO'!C24,'30.07 FORTPORAL-KYENJOJO'!C24,'31.07 FORTPORTAL-KYENJOJO'!C24,'02.08 FORTPORTAL-KYENJOJO'!C24,'01.08 FORTPORTAL-KYENJOJO 2-24h'!C24,'03.08 FORTPORTAL-KYENJOJO-24h'!C24,'04.08 FORTPORTAL-KYENJOJO'!C24)</f>
        <v>1</v>
      </c>
      <c r="D24" s="49">
        <f>AVERAGE('29.07 FORTPORTAL-KYENJOJO'!D24,'30.07 FORTPORAL-KYENJOJO'!D24,'31.07 FORTPORTAL-KYENJOJO'!D24,'02.08 FORTPORTAL-KYENJOJO'!D24,'01.08 FORTPORTAL-KYENJOJO 2-24h'!D24,'03.08 FORTPORTAL-KYENJOJO-24h'!D24,'04.08 FORTPORTAL-KYENJOJO'!D24)</f>
        <v>0</v>
      </c>
      <c r="E24" s="49">
        <f>AVERAGE('29.07 FORTPORTAL-KYENJOJO'!E24,'30.07 FORTPORAL-KYENJOJO'!E24,'31.07 FORTPORTAL-KYENJOJO'!E24,'02.08 FORTPORTAL-KYENJOJO'!E24,'01.08 FORTPORTAL-KYENJOJO 2-24h'!E24,'03.08 FORTPORTAL-KYENJOJO-24h'!E24,'04.08 FORTPORTAL-KYENJOJO'!E24)</f>
        <v>4.4285714285714288</v>
      </c>
      <c r="F24" s="49">
        <f>AVERAGE('29.07 FORTPORTAL-KYENJOJO'!F24,'30.07 FORTPORAL-KYENJOJO'!F24,'31.07 FORTPORTAL-KYENJOJO'!F24,'02.08 FORTPORTAL-KYENJOJO'!F24,'01.08 FORTPORTAL-KYENJOJO 2-24h'!F24,'03.08 FORTPORTAL-KYENJOJO-24h'!F24,'04.08 FORTPORTAL-KYENJOJO'!F24)</f>
        <v>2.2857142857142856</v>
      </c>
      <c r="G24" s="49">
        <f>AVERAGE('29.07 FORTPORTAL-KYENJOJO'!G24,'30.07 FORTPORAL-KYENJOJO'!G24,'31.07 FORTPORTAL-KYENJOJO'!G24,'02.08 FORTPORTAL-KYENJOJO'!G24,'01.08 FORTPORTAL-KYENJOJO 2-24h'!G24,'03.08 FORTPORTAL-KYENJOJO-24h'!G24,'04.08 FORTPORTAL-KYENJOJO'!G24)</f>
        <v>0</v>
      </c>
      <c r="H24" s="49">
        <f>AVERAGE('29.07 FORTPORTAL-KYENJOJO'!H24,'30.07 FORTPORAL-KYENJOJO'!H24,'31.07 FORTPORTAL-KYENJOJO'!H24,'02.08 FORTPORTAL-KYENJOJO'!H24,'01.08 FORTPORTAL-KYENJOJO 2-24h'!H24,'03.08 FORTPORTAL-KYENJOJO-24h'!H24,'04.08 FORTPORTAL-KYENJOJO'!H24)</f>
        <v>0.5714285714285714</v>
      </c>
      <c r="I24" s="49">
        <f>AVERAGE('29.07 FORTPORTAL-KYENJOJO'!I24,'30.07 FORTPORAL-KYENJOJO'!I24,'31.07 FORTPORTAL-KYENJOJO'!I24,'02.08 FORTPORTAL-KYENJOJO'!I24,'01.08 FORTPORTAL-KYENJOJO 2-24h'!I24,'03.08 FORTPORTAL-KYENJOJO-24h'!I24,'04.08 FORTPORTAL-KYENJOJO'!I24)</f>
        <v>0.5714285714285714</v>
      </c>
      <c r="J24" s="49">
        <f>AVERAGE('29.07 FORTPORTAL-KYENJOJO'!J24,'30.07 FORTPORAL-KYENJOJO'!J24,'31.07 FORTPORTAL-KYENJOJO'!J24,'02.08 FORTPORTAL-KYENJOJO'!J24,'01.08 FORTPORTAL-KYENJOJO 2-24h'!J24,'03.08 FORTPORTAL-KYENJOJO-24h'!J24,'04.08 FORTPORTAL-KYENJOJO'!J24)</f>
        <v>0.42857142857142855</v>
      </c>
      <c r="K24" s="49">
        <f>AVERAGE('29.07 FORTPORTAL-KYENJOJO'!K24,'30.07 FORTPORAL-KYENJOJO'!K24,'31.07 FORTPORTAL-KYENJOJO'!K24,'02.08 FORTPORTAL-KYENJOJO'!K24,'01.08 FORTPORTAL-KYENJOJO 2-24h'!K24,'03.08 FORTPORTAL-KYENJOJO-24h'!K24,'04.08 FORTPORTAL-KYENJOJO'!K24)</f>
        <v>0</v>
      </c>
      <c r="L24" s="49">
        <f>AVERAGE('29.07 FORTPORTAL-KYENJOJO'!L24,'30.07 FORTPORAL-KYENJOJO'!L24,'31.07 FORTPORTAL-KYENJOJO'!L24,'02.08 FORTPORTAL-KYENJOJO'!L24,'01.08 FORTPORTAL-KYENJOJO 2-24h'!L24,'03.08 FORTPORTAL-KYENJOJO-24h'!L24,'04.08 FORTPORTAL-KYENJOJO'!L24)</f>
        <v>0.5714285714285714</v>
      </c>
      <c r="M24" s="49">
        <f>AVERAGE('29.07 FORTPORTAL-KYENJOJO'!M24,'30.07 FORTPORAL-KYENJOJO'!M24,'31.07 FORTPORTAL-KYENJOJO'!M24,'02.08 FORTPORTAL-KYENJOJO'!M24,'01.08 FORTPORTAL-KYENJOJO 2-24h'!M24,'03.08 FORTPORTAL-KYENJOJO-24h'!M24,'04.08 FORTPORTAL-KYENJOJO'!M24)</f>
        <v>1.1428571428571428</v>
      </c>
      <c r="N24" s="49">
        <f>AVERAGE('29.07 FORTPORTAL-KYENJOJO'!N24,'30.07 FORTPORAL-KYENJOJO'!N24,'31.07 FORTPORTAL-KYENJOJO'!N24,'02.08 FORTPORTAL-KYENJOJO'!N24,'01.08 FORTPORTAL-KYENJOJO 2-24h'!N24,'03.08 FORTPORTAL-KYENJOJO-24h'!N24,'04.08 FORTPORTAL-KYENJOJO'!N24)</f>
        <v>0</v>
      </c>
      <c r="O24" s="15">
        <f t="shared" si="0"/>
        <v>9.8571428571428577</v>
      </c>
      <c r="P24" s="15">
        <f t="shared" si="1"/>
        <v>11</v>
      </c>
      <c r="R24" s="1" t="s">
        <v>148</v>
      </c>
      <c r="S24" s="34">
        <f>SUM(C66:C69)</f>
        <v>1.5</v>
      </c>
      <c r="T24" s="34">
        <f t="shared" ref="T24:AF24" si="16">SUM(D66:D69)</f>
        <v>0</v>
      </c>
      <c r="U24" s="34">
        <f t="shared" si="16"/>
        <v>5</v>
      </c>
      <c r="V24" s="34">
        <f t="shared" si="16"/>
        <v>0.5</v>
      </c>
      <c r="W24" s="34">
        <f t="shared" si="16"/>
        <v>0</v>
      </c>
      <c r="X24" s="34">
        <f t="shared" si="16"/>
        <v>1</v>
      </c>
      <c r="Y24" s="34">
        <f t="shared" si="16"/>
        <v>1.5</v>
      </c>
      <c r="Z24" s="34">
        <f t="shared" si="16"/>
        <v>0</v>
      </c>
      <c r="AA24" s="34">
        <f t="shared" si="16"/>
        <v>0</v>
      </c>
      <c r="AB24" s="34">
        <f t="shared" si="16"/>
        <v>1</v>
      </c>
      <c r="AC24" s="34">
        <f t="shared" si="16"/>
        <v>0.5</v>
      </c>
      <c r="AD24" s="34">
        <f t="shared" si="16"/>
        <v>0</v>
      </c>
      <c r="AE24" s="31">
        <f t="shared" si="16"/>
        <v>10.5</v>
      </c>
      <c r="AF24" s="31">
        <f t="shared" si="16"/>
        <v>11</v>
      </c>
    </row>
    <row r="25" spans="2:32" ht="23.1" customHeight="1" x14ac:dyDescent="0.25">
      <c r="B25" s="23" t="s">
        <v>52</v>
      </c>
      <c r="C25" s="49">
        <f>AVERAGE('29.07 FORTPORTAL-KYENJOJO'!C25,'30.07 FORTPORAL-KYENJOJO'!C25,'31.07 FORTPORTAL-KYENJOJO'!C25,'02.08 FORTPORTAL-KYENJOJO'!C25,'01.08 FORTPORTAL-KYENJOJO 2-24h'!C25,'03.08 FORTPORTAL-KYENJOJO-24h'!C25,'04.08 FORTPORTAL-KYENJOJO'!C25)</f>
        <v>1.7142857142857142</v>
      </c>
      <c r="D25" s="49">
        <f>AVERAGE('29.07 FORTPORTAL-KYENJOJO'!D25,'30.07 FORTPORAL-KYENJOJO'!D25,'31.07 FORTPORTAL-KYENJOJO'!D25,'02.08 FORTPORTAL-KYENJOJO'!D25,'01.08 FORTPORTAL-KYENJOJO 2-24h'!D25,'03.08 FORTPORTAL-KYENJOJO-24h'!D25,'04.08 FORTPORTAL-KYENJOJO'!D25)</f>
        <v>0</v>
      </c>
      <c r="E25" s="49">
        <f>AVERAGE('29.07 FORTPORTAL-KYENJOJO'!E25,'30.07 FORTPORAL-KYENJOJO'!E25,'31.07 FORTPORTAL-KYENJOJO'!E25,'02.08 FORTPORTAL-KYENJOJO'!E25,'01.08 FORTPORTAL-KYENJOJO 2-24h'!E25,'03.08 FORTPORTAL-KYENJOJO-24h'!E25,'04.08 FORTPORTAL-KYENJOJO'!E25)</f>
        <v>3.2857142857142856</v>
      </c>
      <c r="F25" s="49">
        <f>AVERAGE('29.07 FORTPORTAL-KYENJOJO'!F25,'30.07 FORTPORAL-KYENJOJO'!F25,'31.07 FORTPORTAL-KYENJOJO'!F25,'02.08 FORTPORTAL-KYENJOJO'!F25,'01.08 FORTPORTAL-KYENJOJO 2-24h'!F25,'03.08 FORTPORTAL-KYENJOJO-24h'!F25,'04.08 FORTPORTAL-KYENJOJO'!F25)</f>
        <v>3.8571428571428572</v>
      </c>
      <c r="G25" s="49">
        <f>AVERAGE('29.07 FORTPORTAL-KYENJOJO'!G25,'30.07 FORTPORAL-KYENJOJO'!G25,'31.07 FORTPORTAL-KYENJOJO'!G25,'02.08 FORTPORTAL-KYENJOJO'!G25,'01.08 FORTPORTAL-KYENJOJO 2-24h'!G25,'03.08 FORTPORTAL-KYENJOJO-24h'!G25,'04.08 FORTPORTAL-KYENJOJO'!G25)</f>
        <v>0</v>
      </c>
      <c r="H25" s="49">
        <f>AVERAGE('29.07 FORTPORTAL-KYENJOJO'!H25,'30.07 FORTPORAL-KYENJOJO'!H25,'31.07 FORTPORTAL-KYENJOJO'!H25,'02.08 FORTPORTAL-KYENJOJO'!H25,'01.08 FORTPORTAL-KYENJOJO 2-24h'!H25,'03.08 FORTPORTAL-KYENJOJO-24h'!H25,'04.08 FORTPORTAL-KYENJOJO'!H25)</f>
        <v>0.2857142857142857</v>
      </c>
      <c r="I25" s="49">
        <f>AVERAGE('29.07 FORTPORTAL-KYENJOJO'!I25,'30.07 FORTPORAL-KYENJOJO'!I25,'31.07 FORTPORTAL-KYENJOJO'!I25,'02.08 FORTPORTAL-KYENJOJO'!I25,'01.08 FORTPORTAL-KYENJOJO 2-24h'!I25,'03.08 FORTPORTAL-KYENJOJO-24h'!I25,'04.08 FORTPORTAL-KYENJOJO'!I25)</f>
        <v>1.5714285714285714</v>
      </c>
      <c r="J25" s="49">
        <f>AVERAGE('29.07 FORTPORTAL-KYENJOJO'!J25,'30.07 FORTPORAL-KYENJOJO'!J25,'31.07 FORTPORTAL-KYENJOJO'!J25,'02.08 FORTPORTAL-KYENJOJO'!J25,'01.08 FORTPORTAL-KYENJOJO 2-24h'!J25,'03.08 FORTPORTAL-KYENJOJO-24h'!J25,'04.08 FORTPORTAL-KYENJOJO'!J25)</f>
        <v>0.14285714285714285</v>
      </c>
      <c r="K25" s="49">
        <f>AVERAGE('29.07 FORTPORTAL-KYENJOJO'!K25,'30.07 FORTPORAL-KYENJOJO'!K25,'31.07 FORTPORTAL-KYENJOJO'!K25,'02.08 FORTPORTAL-KYENJOJO'!K25,'01.08 FORTPORTAL-KYENJOJO 2-24h'!K25,'03.08 FORTPORTAL-KYENJOJO-24h'!K25,'04.08 FORTPORTAL-KYENJOJO'!K25)</f>
        <v>0.14285714285714285</v>
      </c>
      <c r="L25" s="49">
        <f>AVERAGE('29.07 FORTPORTAL-KYENJOJO'!L25,'30.07 FORTPORAL-KYENJOJO'!L25,'31.07 FORTPORTAL-KYENJOJO'!L25,'02.08 FORTPORTAL-KYENJOJO'!L25,'01.08 FORTPORTAL-KYENJOJO 2-24h'!L25,'03.08 FORTPORTAL-KYENJOJO-24h'!L25,'04.08 FORTPORTAL-KYENJOJO'!L25)</f>
        <v>0.7142857142857143</v>
      </c>
      <c r="M25" s="49">
        <f>AVERAGE('29.07 FORTPORTAL-KYENJOJO'!M25,'30.07 FORTPORAL-KYENJOJO'!M25,'31.07 FORTPORTAL-KYENJOJO'!M25,'02.08 FORTPORTAL-KYENJOJO'!M25,'01.08 FORTPORTAL-KYENJOJO 2-24h'!M25,'03.08 FORTPORTAL-KYENJOJO-24h'!M25,'04.08 FORTPORTAL-KYENJOJO'!M25)</f>
        <v>2</v>
      </c>
      <c r="N25" s="49">
        <f>AVERAGE('29.07 FORTPORTAL-KYENJOJO'!N25,'30.07 FORTPORAL-KYENJOJO'!N25,'31.07 FORTPORTAL-KYENJOJO'!N25,'02.08 FORTPORTAL-KYENJOJO'!N25,'01.08 FORTPORTAL-KYENJOJO 2-24h'!N25,'03.08 FORTPORTAL-KYENJOJO-24h'!N25,'04.08 FORTPORTAL-KYENJOJO'!N25)</f>
        <v>0</v>
      </c>
      <c r="O25" s="15">
        <f t="shared" si="0"/>
        <v>11.714285714285714</v>
      </c>
      <c r="P25" s="15">
        <f t="shared" si="1"/>
        <v>13.714285714285714</v>
      </c>
      <c r="R25" s="1" t="s">
        <v>149</v>
      </c>
      <c r="S25" s="34">
        <f>SUM(C70:C73)</f>
        <v>2.5</v>
      </c>
      <c r="T25" s="34">
        <f t="shared" ref="T25:AF25" si="17">SUM(D70:D73)</f>
        <v>0</v>
      </c>
      <c r="U25" s="34">
        <f t="shared" si="17"/>
        <v>2.5</v>
      </c>
      <c r="V25" s="34">
        <f t="shared" si="17"/>
        <v>3</v>
      </c>
      <c r="W25" s="34">
        <f t="shared" si="17"/>
        <v>0</v>
      </c>
      <c r="X25" s="34">
        <f t="shared" si="17"/>
        <v>0.5</v>
      </c>
      <c r="Y25" s="34">
        <f t="shared" si="17"/>
        <v>4</v>
      </c>
      <c r="Z25" s="34">
        <f t="shared" si="17"/>
        <v>6.5</v>
      </c>
      <c r="AA25" s="34">
        <f t="shared" si="17"/>
        <v>0</v>
      </c>
      <c r="AB25" s="34">
        <f t="shared" si="17"/>
        <v>2.5</v>
      </c>
      <c r="AC25" s="34">
        <f t="shared" si="17"/>
        <v>1.5</v>
      </c>
      <c r="AD25" s="34">
        <f t="shared" si="17"/>
        <v>0</v>
      </c>
      <c r="AE25" s="31">
        <f t="shared" si="17"/>
        <v>21.5</v>
      </c>
      <c r="AF25" s="31">
        <f t="shared" si="17"/>
        <v>23</v>
      </c>
    </row>
    <row r="26" spans="2:32" ht="23.1" customHeight="1" x14ac:dyDescent="0.25">
      <c r="B26" s="23" t="s">
        <v>53</v>
      </c>
      <c r="C26" s="49">
        <f>AVERAGE('29.07 FORTPORTAL-KYENJOJO'!C26,'30.07 FORTPORAL-KYENJOJO'!C26,'31.07 FORTPORTAL-KYENJOJO'!C26,'02.08 FORTPORTAL-KYENJOJO'!C26,'01.08 FORTPORTAL-KYENJOJO 2-24h'!C26,'03.08 FORTPORTAL-KYENJOJO-24h'!C26,'04.08 FORTPORTAL-KYENJOJO'!C26)</f>
        <v>1.4285714285714286</v>
      </c>
      <c r="D26" s="49">
        <f>AVERAGE('29.07 FORTPORTAL-KYENJOJO'!D26,'30.07 FORTPORAL-KYENJOJO'!D26,'31.07 FORTPORTAL-KYENJOJO'!D26,'02.08 FORTPORTAL-KYENJOJO'!D26,'01.08 FORTPORTAL-KYENJOJO 2-24h'!D26,'03.08 FORTPORTAL-KYENJOJO-24h'!D26,'04.08 FORTPORTAL-KYENJOJO'!D26)</f>
        <v>0</v>
      </c>
      <c r="E26" s="49">
        <f>AVERAGE('29.07 FORTPORTAL-KYENJOJO'!E26,'30.07 FORTPORAL-KYENJOJO'!E26,'31.07 FORTPORTAL-KYENJOJO'!E26,'02.08 FORTPORTAL-KYENJOJO'!E26,'01.08 FORTPORTAL-KYENJOJO 2-24h'!E26,'03.08 FORTPORTAL-KYENJOJO-24h'!E26,'04.08 FORTPORTAL-KYENJOJO'!E26)</f>
        <v>4.7142857142857144</v>
      </c>
      <c r="F26" s="49">
        <f>AVERAGE('29.07 FORTPORTAL-KYENJOJO'!F26,'30.07 FORTPORAL-KYENJOJO'!F26,'31.07 FORTPORTAL-KYENJOJO'!F26,'02.08 FORTPORTAL-KYENJOJO'!F26,'01.08 FORTPORTAL-KYENJOJO 2-24h'!F26,'03.08 FORTPORTAL-KYENJOJO-24h'!F26,'04.08 FORTPORTAL-KYENJOJO'!F26)</f>
        <v>2.1428571428571428</v>
      </c>
      <c r="G26" s="49">
        <f>AVERAGE('29.07 FORTPORTAL-KYENJOJO'!G26,'30.07 FORTPORAL-KYENJOJO'!G26,'31.07 FORTPORTAL-KYENJOJO'!G26,'02.08 FORTPORTAL-KYENJOJO'!G26,'01.08 FORTPORTAL-KYENJOJO 2-24h'!G26,'03.08 FORTPORTAL-KYENJOJO-24h'!G26,'04.08 FORTPORTAL-KYENJOJO'!G26)</f>
        <v>0.14285714285714285</v>
      </c>
      <c r="H26" s="49">
        <f>AVERAGE('29.07 FORTPORTAL-KYENJOJO'!H26,'30.07 FORTPORAL-KYENJOJO'!H26,'31.07 FORTPORTAL-KYENJOJO'!H26,'02.08 FORTPORTAL-KYENJOJO'!H26,'01.08 FORTPORTAL-KYENJOJO 2-24h'!H26,'03.08 FORTPORTAL-KYENJOJO-24h'!H26,'04.08 FORTPORTAL-KYENJOJO'!H26)</f>
        <v>0</v>
      </c>
      <c r="I26" s="49">
        <f>AVERAGE('29.07 FORTPORTAL-KYENJOJO'!I26,'30.07 FORTPORAL-KYENJOJO'!I26,'31.07 FORTPORTAL-KYENJOJO'!I26,'02.08 FORTPORTAL-KYENJOJO'!I26,'01.08 FORTPORTAL-KYENJOJO 2-24h'!I26,'03.08 FORTPORTAL-KYENJOJO-24h'!I26,'04.08 FORTPORTAL-KYENJOJO'!I26)</f>
        <v>0.5714285714285714</v>
      </c>
      <c r="J26" s="49">
        <f>AVERAGE('29.07 FORTPORTAL-KYENJOJO'!J26,'30.07 FORTPORAL-KYENJOJO'!J26,'31.07 FORTPORTAL-KYENJOJO'!J26,'02.08 FORTPORTAL-KYENJOJO'!J26,'01.08 FORTPORTAL-KYENJOJO 2-24h'!J26,'03.08 FORTPORTAL-KYENJOJO-24h'!J26,'04.08 FORTPORTAL-KYENJOJO'!J26)</f>
        <v>0.14285714285714285</v>
      </c>
      <c r="K26" s="49">
        <f>AVERAGE('29.07 FORTPORTAL-KYENJOJO'!K26,'30.07 FORTPORAL-KYENJOJO'!K26,'31.07 FORTPORTAL-KYENJOJO'!K26,'02.08 FORTPORTAL-KYENJOJO'!K26,'01.08 FORTPORTAL-KYENJOJO 2-24h'!K26,'03.08 FORTPORTAL-KYENJOJO-24h'!K26,'04.08 FORTPORTAL-KYENJOJO'!K26)</f>
        <v>0</v>
      </c>
      <c r="L26" s="49">
        <f>AVERAGE('29.07 FORTPORTAL-KYENJOJO'!L26,'30.07 FORTPORAL-KYENJOJO'!L26,'31.07 FORTPORTAL-KYENJOJO'!L26,'02.08 FORTPORTAL-KYENJOJO'!L26,'01.08 FORTPORTAL-KYENJOJO 2-24h'!L26,'03.08 FORTPORTAL-KYENJOJO-24h'!L26,'04.08 FORTPORTAL-KYENJOJO'!L26)</f>
        <v>0.2857142857142857</v>
      </c>
      <c r="M26" s="49">
        <f>AVERAGE('29.07 FORTPORTAL-KYENJOJO'!M26,'30.07 FORTPORAL-KYENJOJO'!M26,'31.07 FORTPORTAL-KYENJOJO'!M26,'02.08 FORTPORTAL-KYENJOJO'!M26,'01.08 FORTPORTAL-KYENJOJO 2-24h'!M26,'03.08 FORTPORTAL-KYENJOJO-24h'!M26,'04.08 FORTPORTAL-KYENJOJO'!M26)</f>
        <v>1.1428571428571428</v>
      </c>
      <c r="N26" s="49">
        <f>AVERAGE('29.07 FORTPORTAL-KYENJOJO'!N26,'30.07 FORTPORAL-KYENJOJO'!N26,'31.07 FORTPORTAL-KYENJOJO'!N26,'02.08 FORTPORTAL-KYENJOJO'!N26,'01.08 FORTPORTAL-KYENJOJO 2-24h'!N26,'03.08 FORTPORTAL-KYENJOJO-24h'!N26,'04.08 FORTPORTAL-KYENJOJO'!N26)</f>
        <v>0</v>
      </c>
      <c r="O26" s="15">
        <f t="shared" si="0"/>
        <v>9.4285714285714288</v>
      </c>
      <c r="P26" s="15">
        <f t="shared" si="1"/>
        <v>10.571428571428571</v>
      </c>
      <c r="R26" s="1" t="s">
        <v>150</v>
      </c>
      <c r="S26" s="34">
        <f>SUM(C74:C77)</f>
        <v>1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1</v>
      </c>
      <c r="W26" s="34">
        <f t="shared" si="18"/>
        <v>0</v>
      </c>
      <c r="X26" s="34">
        <f t="shared" si="18"/>
        <v>1.5</v>
      </c>
      <c r="Y26" s="34">
        <f t="shared" si="18"/>
        <v>4.5</v>
      </c>
      <c r="Z26" s="34">
        <f t="shared" si="18"/>
        <v>0.5</v>
      </c>
      <c r="AA26" s="34">
        <f t="shared" si="18"/>
        <v>0</v>
      </c>
      <c r="AB26" s="34">
        <f t="shared" si="18"/>
        <v>1</v>
      </c>
      <c r="AC26" s="34">
        <f t="shared" si="18"/>
        <v>0</v>
      </c>
      <c r="AD26" s="34">
        <f t="shared" si="18"/>
        <v>0</v>
      </c>
      <c r="AE26" s="31">
        <f t="shared" si="18"/>
        <v>10.5</v>
      </c>
      <c r="AF26" s="31">
        <f t="shared" si="18"/>
        <v>10.5</v>
      </c>
    </row>
    <row r="27" spans="2:32" ht="23.1" customHeight="1" x14ac:dyDescent="0.25">
      <c r="B27" s="23" t="s">
        <v>54</v>
      </c>
      <c r="C27" s="49">
        <f>AVERAGE('29.07 FORTPORTAL-KYENJOJO'!C27,'30.07 FORTPORAL-KYENJOJO'!C27,'31.07 FORTPORTAL-KYENJOJO'!C27,'02.08 FORTPORTAL-KYENJOJO'!C27,'01.08 FORTPORTAL-KYENJOJO 2-24h'!C27,'03.08 FORTPORTAL-KYENJOJO-24h'!C27,'04.08 FORTPORTAL-KYENJOJO'!C27)</f>
        <v>1.2857142857142858</v>
      </c>
      <c r="D27" s="49">
        <f>AVERAGE('29.07 FORTPORTAL-KYENJOJO'!D27,'30.07 FORTPORAL-KYENJOJO'!D27,'31.07 FORTPORTAL-KYENJOJO'!D27,'02.08 FORTPORTAL-KYENJOJO'!D27,'01.08 FORTPORTAL-KYENJOJO 2-24h'!D27,'03.08 FORTPORTAL-KYENJOJO-24h'!D27,'04.08 FORTPORTAL-KYENJOJO'!D27)</f>
        <v>0</v>
      </c>
      <c r="E27" s="49">
        <f>AVERAGE('29.07 FORTPORTAL-KYENJOJO'!E27,'30.07 FORTPORAL-KYENJOJO'!E27,'31.07 FORTPORTAL-KYENJOJO'!E27,'02.08 FORTPORTAL-KYENJOJO'!E27,'01.08 FORTPORTAL-KYENJOJO 2-24h'!E27,'03.08 FORTPORTAL-KYENJOJO-24h'!E27,'04.08 FORTPORTAL-KYENJOJO'!E27)</f>
        <v>2.7142857142857144</v>
      </c>
      <c r="F27" s="49">
        <f>AVERAGE('29.07 FORTPORTAL-KYENJOJO'!F27,'30.07 FORTPORAL-KYENJOJO'!F27,'31.07 FORTPORTAL-KYENJOJO'!F27,'02.08 FORTPORTAL-KYENJOJO'!F27,'01.08 FORTPORTAL-KYENJOJO 2-24h'!F27,'03.08 FORTPORTAL-KYENJOJO-24h'!F27,'04.08 FORTPORTAL-KYENJOJO'!F27)</f>
        <v>2.4285714285714284</v>
      </c>
      <c r="G27" s="49">
        <f>AVERAGE('29.07 FORTPORTAL-KYENJOJO'!G27,'30.07 FORTPORAL-KYENJOJO'!G27,'31.07 FORTPORTAL-KYENJOJO'!G27,'02.08 FORTPORTAL-KYENJOJO'!G27,'01.08 FORTPORTAL-KYENJOJO 2-24h'!G27,'03.08 FORTPORTAL-KYENJOJO-24h'!G27,'04.08 FORTPORTAL-KYENJOJO'!G27)</f>
        <v>0</v>
      </c>
      <c r="H27" s="49">
        <f>AVERAGE('29.07 FORTPORTAL-KYENJOJO'!H27,'30.07 FORTPORAL-KYENJOJO'!H27,'31.07 FORTPORTAL-KYENJOJO'!H27,'02.08 FORTPORTAL-KYENJOJO'!H27,'01.08 FORTPORTAL-KYENJOJO 2-24h'!H27,'03.08 FORTPORTAL-KYENJOJO-24h'!H27,'04.08 FORTPORTAL-KYENJOJO'!H27)</f>
        <v>0.14285714285714285</v>
      </c>
      <c r="I27" s="49">
        <f>AVERAGE('29.07 FORTPORTAL-KYENJOJO'!I27,'30.07 FORTPORAL-KYENJOJO'!I27,'31.07 FORTPORTAL-KYENJOJO'!I27,'02.08 FORTPORTAL-KYENJOJO'!I27,'01.08 FORTPORTAL-KYENJOJO 2-24h'!I27,'03.08 FORTPORTAL-KYENJOJO-24h'!I27,'04.08 FORTPORTAL-KYENJOJO'!I27)</f>
        <v>0.14285714285714285</v>
      </c>
      <c r="J27" s="49">
        <f>AVERAGE('29.07 FORTPORTAL-KYENJOJO'!J27,'30.07 FORTPORAL-KYENJOJO'!J27,'31.07 FORTPORTAL-KYENJOJO'!J27,'02.08 FORTPORTAL-KYENJOJO'!J27,'01.08 FORTPORTAL-KYENJOJO 2-24h'!J27,'03.08 FORTPORTAL-KYENJOJO-24h'!J27,'04.08 FORTPORTAL-KYENJOJO'!J27)</f>
        <v>0</v>
      </c>
      <c r="K27" s="49">
        <f>AVERAGE('29.07 FORTPORTAL-KYENJOJO'!K27,'30.07 FORTPORAL-KYENJOJO'!K27,'31.07 FORTPORTAL-KYENJOJO'!K27,'02.08 FORTPORTAL-KYENJOJO'!K27,'01.08 FORTPORTAL-KYENJOJO 2-24h'!K27,'03.08 FORTPORTAL-KYENJOJO-24h'!K27,'04.08 FORTPORTAL-KYENJOJO'!K27)</f>
        <v>0</v>
      </c>
      <c r="L27" s="49">
        <f>AVERAGE('29.07 FORTPORTAL-KYENJOJO'!L27,'30.07 FORTPORAL-KYENJOJO'!L27,'31.07 FORTPORTAL-KYENJOJO'!L27,'02.08 FORTPORTAL-KYENJOJO'!L27,'01.08 FORTPORTAL-KYENJOJO 2-24h'!L27,'03.08 FORTPORTAL-KYENJOJO-24h'!L27,'04.08 FORTPORTAL-KYENJOJO'!L27)</f>
        <v>0.42857142857142855</v>
      </c>
      <c r="M27" s="49">
        <f>AVERAGE('29.07 FORTPORTAL-KYENJOJO'!M27,'30.07 FORTPORAL-KYENJOJO'!M27,'31.07 FORTPORTAL-KYENJOJO'!M27,'02.08 FORTPORTAL-KYENJOJO'!M27,'01.08 FORTPORTAL-KYENJOJO 2-24h'!M27,'03.08 FORTPORTAL-KYENJOJO-24h'!M27,'04.08 FORTPORTAL-KYENJOJO'!M27)</f>
        <v>2</v>
      </c>
      <c r="N27" s="49">
        <f>AVERAGE('29.07 FORTPORTAL-KYENJOJO'!N27,'30.07 FORTPORAL-KYENJOJO'!N27,'31.07 FORTPORTAL-KYENJOJO'!N27,'02.08 FORTPORTAL-KYENJOJO'!N27,'01.08 FORTPORTAL-KYENJOJO 2-24h'!N27,'03.08 FORTPORTAL-KYENJOJO-24h'!N27,'04.08 FORTPORTAL-KYENJOJO'!N27)</f>
        <v>0</v>
      </c>
      <c r="O27" s="15">
        <f t="shared" si="0"/>
        <v>7.1428571428571441</v>
      </c>
      <c r="P27" s="15">
        <f t="shared" si="1"/>
        <v>9.1428571428571441</v>
      </c>
      <c r="R27" s="1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1.5</v>
      </c>
      <c r="W27" s="34">
        <f t="shared" si="19"/>
        <v>0</v>
      </c>
      <c r="X27" s="34">
        <f t="shared" si="19"/>
        <v>1</v>
      </c>
      <c r="Y27" s="34">
        <f t="shared" si="19"/>
        <v>5</v>
      </c>
      <c r="Z27" s="34">
        <f t="shared" si="19"/>
        <v>0</v>
      </c>
      <c r="AA27" s="34">
        <f t="shared" si="19"/>
        <v>0.5</v>
      </c>
      <c r="AB27" s="34">
        <f t="shared" si="19"/>
        <v>2</v>
      </c>
      <c r="AC27" s="34">
        <f t="shared" si="19"/>
        <v>0</v>
      </c>
      <c r="AD27" s="34">
        <f t="shared" si="19"/>
        <v>0</v>
      </c>
      <c r="AE27" s="31">
        <f t="shared" si="19"/>
        <v>12</v>
      </c>
      <c r="AF27" s="31">
        <f t="shared" si="19"/>
        <v>12</v>
      </c>
    </row>
    <row r="28" spans="2:32" ht="23.1" customHeight="1" x14ac:dyDescent="0.25">
      <c r="B28" s="23" t="s">
        <v>55</v>
      </c>
      <c r="C28" s="49">
        <f>AVERAGE('29.07 FORTPORTAL-KYENJOJO'!C28,'30.07 FORTPORAL-KYENJOJO'!C28,'31.07 FORTPORTAL-KYENJOJO'!C28,'02.08 FORTPORTAL-KYENJOJO'!C28,'01.08 FORTPORTAL-KYENJOJO 2-24h'!C28,'03.08 FORTPORTAL-KYENJOJO-24h'!C28,'04.08 FORTPORTAL-KYENJOJO'!C28)</f>
        <v>0.7142857142857143</v>
      </c>
      <c r="D28" s="49">
        <f>AVERAGE('29.07 FORTPORTAL-KYENJOJO'!D28,'30.07 FORTPORAL-KYENJOJO'!D28,'31.07 FORTPORTAL-KYENJOJO'!D28,'02.08 FORTPORTAL-KYENJOJO'!D28,'01.08 FORTPORTAL-KYENJOJO 2-24h'!D28,'03.08 FORTPORTAL-KYENJOJO-24h'!D28,'04.08 FORTPORTAL-KYENJOJO'!D28)</f>
        <v>0</v>
      </c>
      <c r="E28" s="49">
        <f>AVERAGE('29.07 FORTPORTAL-KYENJOJO'!E28,'30.07 FORTPORAL-KYENJOJO'!E28,'31.07 FORTPORTAL-KYENJOJO'!E28,'02.08 FORTPORTAL-KYENJOJO'!E28,'01.08 FORTPORTAL-KYENJOJO 2-24h'!E28,'03.08 FORTPORTAL-KYENJOJO-24h'!E28,'04.08 FORTPORTAL-KYENJOJO'!E28)</f>
        <v>2.5714285714285716</v>
      </c>
      <c r="F28" s="49">
        <f>AVERAGE('29.07 FORTPORTAL-KYENJOJO'!F28,'30.07 FORTPORAL-KYENJOJO'!F28,'31.07 FORTPORTAL-KYENJOJO'!F28,'02.08 FORTPORTAL-KYENJOJO'!F28,'01.08 FORTPORTAL-KYENJOJO 2-24h'!F28,'03.08 FORTPORTAL-KYENJOJO-24h'!F28,'04.08 FORTPORTAL-KYENJOJO'!F28)</f>
        <v>1.5714285714285714</v>
      </c>
      <c r="G28" s="49">
        <f>AVERAGE('29.07 FORTPORTAL-KYENJOJO'!G28,'30.07 FORTPORAL-KYENJOJO'!G28,'31.07 FORTPORTAL-KYENJOJO'!G28,'02.08 FORTPORTAL-KYENJOJO'!G28,'01.08 FORTPORTAL-KYENJOJO 2-24h'!G28,'03.08 FORTPORTAL-KYENJOJO-24h'!G28,'04.08 FORTPORTAL-KYENJOJO'!G28)</f>
        <v>0</v>
      </c>
      <c r="H28" s="49">
        <f>AVERAGE('29.07 FORTPORTAL-KYENJOJO'!H28,'30.07 FORTPORAL-KYENJOJO'!H28,'31.07 FORTPORTAL-KYENJOJO'!H28,'02.08 FORTPORTAL-KYENJOJO'!H28,'01.08 FORTPORTAL-KYENJOJO 2-24h'!H28,'03.08 FORTPORTAL-KYENJOJO-24h'!H28,'04.08 FORTPORTAL-KYENJOJO'!H28)</f>
        <v>0.42857142857142855</v>
      </c>
      <c r="I28" s="49">
        <f>AVERAGE('29.07 FORTPORTAL-KYENJOJO'!I28,'30.07 FORTPORAL-KYENJOJO'!I28,'31.07 FORTPORTAL-KYENJOJO'!I28,'02.08 FORTPORTAL-KYENJOJO'!I28,'01.08 FORTPORTAL-KYENJOJO 2-24h'!I28,'03.08 FORTPORTAL-KYENJOJO-24h'!I28,'04.08 FORTPORTAL-KYENJOJO'!I28)</f>
        <v>1</v>
      </c>
      <c r="J28" s="49">
        <f>AVERAGE('29.07 FORTPORTAL-KYENJOJO'!J28,'30.07 FORTPORAL-KYENJOJO'!J28,'31.07 FORTPORTAL-KYENJOJO'!J28,'02.08 FORTPORTAL-KYENJOJO'!J28,'01.08 FORTPORTAL-KYENJOJO 2-24h'!J28,'03.08 FORTPORTAL-KYENJOJO-24h'!J28,'04.08 FORTPORTAL-KYENJOJO'!J28)</f>
        <v>0</v>
      </c>
      <c r="K28" s="49">
        <f>AVERAGE('29.07 FORTPORTAL-KYENJOJO'!K28,'30.07 FORTPORAL-KYENJOJO'!K28,'31.07 FORTPORTAL-KYENJOJO'!K28,'02.08 FORTPORTAL-KYENJOJO'!K28,'01.08 FORTPORTAL-KYENJOJO 2-24h'!K28,'03.08 FORTPORTAL-KYENJOJO-24h'!K28,'04.08 FORTPORTAL-KYENJOJO'!K28)</f>
        <v>0</v>
      </c>
      <c r="L28" s="49">
        <f>AVERAGE('29.07 FORTPORTAL-KYENJOJO'!L28,'30.07 FORTPORAL-KYENJOJO'!L28,'31.07 FORTPORTAL-KYENJOJO'!L28,'02.08 FORTPORTAL-KYENJOJO'!L28,'01.08 FORTPORTAL-KYENJOJO 2-24h'!L28,'03.08 FORTPORTAL-KYENJOJO-24h'!L28,'04.08 FORTPORTAL-KYENJOJO'!L28)</f>
        <v>0.7142857142857143</v>
      </c>
      <c r="M28" s="49">
        <f>AVERAGE('29.07 FORTPORTAL-KYENJOJO'!M28,'30.07 FORTPORAL-KYENJOJO'!M28,'31.07 FORTPORTAL-KYENJOJO'!M28,'02.08 FORTPORTAL-KYENJOJO'!M28,'01.08 FORTPORTAL-KYENJOJO 2-24h'!M28,'03.08 FORTPORTAL-KYENJOJO-24h'!M28,'04.08 FORTPORTAL-KYENJOJO'!M28)</f>
        <v>1.5714285714285714</v>
      </c>
      <c r="N28" s="49">
        <f>AVERAGE('29.07 FORTPORTAL-KYENJOJO'!N28,'30.07 FORTPORAL-KYENJOJO'!N28,'31.07 FORTPORTAL-KYENJOJO'!N28,'02.08 FORTPORTAL-KYENJOJO'!N28,'01.08 FORTPORTAL-KYENJOJO 2-24h'!N28,'03.08 FORTPORTAL-KYENJOJO-24h'!N28,'04.08 FORTPORTAL-KYENJOJO'!N28)</f>
        <v>0</v>
      </c>
      <c r="O28" s="15">
        <f t="shared" si="0"/>
        <v>7.0000000000000009</v>
      </c>
      <c r="P28" s="15">
        <f t="shared" si="1"/>
        <v>8.571428571428573</v>
      </c>
      <c r="R28" s="1" t="s">
        <v>152</v>
      </c>
      <c r="S28" s="34">
        <f>SUM(C82:C85)</f>
        <v>0.5</v>
      </c>
      <c r="T28" s="34">
        <f t="shared" ref="T28:AF28" si="20">SUM(D82:D85)</f>
        <v>0</v>
      </c>
      <c r="U28" s="34">
        <f t="shared" si="20"/>
        <v>1.5</v>
      </c>
      <c r="V28" s="34">
        <f t="shared" si="20"/>
        <v>0.5</v>
      </c>
      <c r="W28" s="34">
        <f t="shared" si="20"/>
        <v>0</v>
      </c>
      <c r="X28" s="34">
        <f t="shared" si="20"/>
        <v>0</v>
      </c>
      <c r="Y28" s="34">
        <f t="shared" si="20"/>
        <v>4.5</v>
      </c>
      <c r="Z28" s="34">
        <f t="shared" si="20"/>
        <v>0</v>
      </c>
      <c r="AA28" s="34">
        <f t="shared" si="20"/>
        <v>1</v>
      </c>
      <c r="AB28" s="34">
        <f t="shared" si="20"/>
        <v>2.5</v>
      </c>
      <c r="AC28" s="34">
        <f t="shared" si="20"/>
        <v>0</v>
      </c>
      <c r="AD28" s="34">
        <f t="shared" si="20"/>
        <v>0</v>
      </c>
      <c r="AE28" s="31">
        <f t="shared" si="20"/>
        <v>10.5</v>
      </c>
      <c r="AF28" s="31">
        <f t="shared" si="20"/>
        <v>10.5</v>
      </c>
    </row>
    <row r="29" spans="2:32" ht="23.1" customHeight="1" x14ac:dyDescent="0.25">
      <c r="B29" s="23" t="s">
        <v>56</v>
      </c>
      <c r="C29" s="49">
        <f>AVERAGE('29.07 FORTPORTAL-KYENJOJO'!C29,'30.07 FORTPORAL-KYENJOJO'!C29,'31.07 FORTPORTAL-KYENJOJO'!C29,'02.08 FORTPORTAL-KYENJOJO'!C29,'01.08 FORTPORTAL-KYENJOJO 2-24h'!C29,'03.08 FORTPORTAL-KYENJOJO-24h'!C29,'04.08 FORTPORTAL-KYENJOJO'!C29)</f>
        <v>0.5714285714285714</v>
      </c>
      <c r="D29" s="49">
        <f>AVERAGE('29.07 FORTPORTAL-KYENJOJO'!D29,'30.07 FORTPORAL-KYENJOJO'!D29,'31.07 FORTPORTAL-KYENJOJO'!D29,'02.08 FORTPORTAL-KYENJOJO'!D29,'01.08 FORTPORTAL-KYENJOJO 2-24h'!D29,'03.08 FORTPORTAL-KYENJOJO-24h'!D29,'04.08 FORTPORTAL-KYENJOJO'!D29)</f>
        <v>0</v>
      </c>
      <c r="E29" s="49">
        <f>AVERAGE('29.07 FORTPORTAL-KYENJOJO'!E29,'30.07 FORTPORAL-KYENJOJO'!E29,'31.07 FORTPORTAL-KYENJOJO'!E29,'02.08 FORTPORTAL-KYENJOJO'!E29,'01.08 FORTPORTAL-KYENJOJO 2-24h'!E29,'03.08 FORTPORTAL-KYENJOJO-24h'!E29,'04.08 FORTPORTAL-KYENJOJO'!E29)</f>
        <v>2.2857142857142856</v>
      </c>
      <c r="F29" s="49">
        <f>AVERAGE('29.07 FORTPORTAL-KYENJOJO'!F29,'30.07 FORTPORAL-KYENJOJO'!F29,'31.07 FORTPORTAL-KYENJOJO'!F29,'02.08 FORTPORTAL-KYENJOJO'!F29,'01.08 FORTPORTAL-KYENJOJO 2-24h'!F29,'03.08 FORTPORTAL-KYENJOJO-24h'!F29,'04.08 FORTPORTAL-KYENJOJO'!F29)</f>
        <v>1.5714285714285714</v>
      </c>
      <c r="G29" s="49">
        <f>AVERAGE('29.07 FORTPORTAL-KYENJOJO'!G29,'30.07 FORTPORAL-KYENJOJO'!G29,'31.07 FORTPORTAL-KYENJOJO'!G29,'02.08 FORTPORTAL-KYENJOJO'!G29,'01.08 FORTPORTAL-KYENJOJO 2-24h'!G29,'03.08 FORTPORTAL-KYENJOJO-24h'!G29,'04.08 FORTPORTAL-KYENJOJO'!G29)</f>
        <v>0</v>
      </c>
      <c r="H29" s="49">
        <f>AVERAGE('29.07 FORTPORTAL-KYENJOJO'!H29,'30.07 FORTPORAL-KYENJOJO'!H29,'31.07 FORTPORTAL-KYENJOJO'!H29,'02.08 FORTPORTAL-KYENJOJO'!H29,'01.08 FORTPORTAL-KYENJOJO 2-24h'!H29,'03.08 FORTPORTAL-KYENJOJO-24h'!H29,'04.08 FORTPORTAL-KYENJOJO'!H29)</f>
        <v>0.14285714285714285</v>
      </c>
      <c r="I29" s="49">
        <f>AVERAGE('29.07 FORTPORTAL-KYENJOJO'!I29,'30.07 FORTPORAL-KYENJOJO'!I29,'31.07 FORTPORTAL-KYENJOJO'!I29,'02.08 FORTPORTAL-KYENJOJO'!I29,'01.08 FORTPORTAL-KYENJOJO 2-24h'!I29,'03.08 FORTPORTAL-KYENJOJO-24h'!I29,'04.08 FORTPORTAL-KYENJOJO'!I29)</f>
        <v>0.5714285714285714</v>
      </c>
      <c r="J29" s="49">
        <f>AVERAGE('29.07 FORTPORTAL-KYENJOJO'!J29,'30.07 FORTPORAL-KYENJOJO'!J29,'31.07 FORTPORTAL-KYENJOJO'!J29,'02.08 FORTPORTAL-KYENJOJO'!J29,'01.08 FORTPORTAL-KYENJOJO 2-24h'!J29,'03.08 FORTPORTAL-KYENJOJO-24h'!J29,'04.08 FORTPORTAL-KYENJOJO'!J29)</f>
        <v>0.14285714285714285</v>
      </c>
      <c r="K29" s="49">
        <f>AVERAGE('29.07 FORTPORTAL-KYENJOJO'!K29,'30.07 FORTPORAL-KYENJOJO'!K29,'31.07 FORTPORTAL-KYENJOJO'!K29,'02.08 FORTPORTAL-KYENJOJO'!K29,'01.08 FORTPORTAL-KYENJOJO 2-24h'!K29,'03.08 FORTPORTAL-KYENJOJO-24h'!K29,'04.08 FORTPORTAL-KYENJOJO'!K29)</f>
        <v>0</v>
      </c>
      <c r="L29" s="49">
        <f>AVERAGE('29.07 FORTPORTAL-KYENJOJO'!L29,'30.07 FORTPORAL-KYENJOJO'!L29,'31.07 FORTPORTAL-KYENJOJO'!L29,'02.08 FORTPORTAL-KYENJOJO'!L29,'01.08 FORTPORTAL-KYENJOJO 2-24h'!L29,'03.08 FORTPORTAL-KYENJOJO-24h'!L29,'04.08 FORTPORTAL-KYENJOJO'!L29)</f>
        <v>0.2857142857142857</v>
      </c>
      <c r="M29" s="49">
        <f>AVERAGE('29.07 FORTPORTAL-KYENJOJO'!M29,'30.07 FORTPORAL-KYENJOJO'!M29,'31.07 FORTPORTAL-KYENJOJO'!M29,'02.08 FORTPORTAL-KYENJOJO'!M29,'01.08 FORTPORTAL-KYENJOJO 2-24h'!M29,'03.08 FORTPORTAL-KYENJOJO-24h'!M29,'04.08 FORTPORTAL-KYENJOJO'!M29)</f>
        <v>1.8571428571428572</v>
      </c>
      <c r="N29" s="49">
        <f>AVERAGE('29.07 FORTPORTAL-KYENJOJO'!N29,'30.07 FORTPORAL-KYENJOJO'!N29,'31.07 FORTPORTAL-KYENJOJO'!N29,'02.08 FORTPORTAL-KYENJOJO'!N29,'01.08 FORTPORTAL-KYENJOJO 2-24h'!N29,'03.08 FORTPORTAL-KYENJOJO-24h'!N29,'04.08 FORTPORTAL-KYENJOJO'!N29)</f>
        <v>0</v>
      </c>
      <c r="O29" s="15">
        <f t="shared" si="0"/>
        <v>5.5714285714285712</v>
      </c>
      <c r="P29" s="15">
        <f t="shared" si="1"/>
        <v>7.4285714285714288</v>
      </c>
      <c r="R29" s="1" t="s">
        <v>153</v>
      </c>
      <c r="S29" s="34">
        <f>SUM(C86:C89)</f>
        <v>1.5</v>
      </c>
      <c r="T29" s="34">
        <f t="shared" ref="T29:AF29" si="21">SUM(D86:D89)</f>
        <v>0</v>
      </c>
      <c r="U29" s="34">
        <f t="shared" si="21"/>
        <v>2</v>
      </c>
      <c r="V29" s="34">
        <f t="shared" si="21"/>
        <v>0.5</v>
      </c>
      <c r="W29" s="34">
        <f t="shared" si="21"/>
        <v>0.5</v>
      </c>
      <c r="X29" s="34">
        <f t="shared" si="21"/>
        <v>0.5</v>
      </c>
      <c r="Y29" s="34">
        <f t="shared" si="21"/>
        <v>5.5</v>
      </c>
      <c r="Z29" s="34">
        <f t="shared" si="21"/>
        <v>0</v>
      </c>
      <c r="AA29" s="34">
        <f t="shared" si="21"/>
        <v>0</v>
      </c>
      <c r="AB29" s="34">
        <f t="shared" si="21"/>
        <v>1.5</v>
      </c>
      <c r="AC29" s="34">
        <f t="shared" si="21"/>
        <v>0</v>
      </c>
      <c r="AD29" s="34">
        <f t="shared" si="21"/>
        <v>0</v>
      </c>
      <c r="AE29" s="31">
        <f t="shared" si="21"/>
        <v>12</v>
      </c>
      <c r="AF29" s="31">
        <f t="shared" si="21"/>
        <v>12</v>
      </c>
    </row>
    <row r="30" spans="2:32" ht="23.1" customHeight="1" x14ac:dyDescent="0.25">
      <c r="B30" s="23" t="s">
        <v>57</v>
      </c>
      <c r="C30" s="49">
        <f>AVERAGE('29.07 FORTPORTAL-KYENJOJO'!C30,'30.07 FORTPORAL-KYENJOJO'!C30,'31.07 FORTPORTAL-KYENJOJO'!C30,'02.08 FORTPORTAL-KYENJOJO'!C30,'01.08 FORTPORTAL-KYENJOJO 2-24h'!C30,'03.08 FORTPORTAL-KYENJOJO-24h'!C30,'04.08 FORTPORTAL-KYENJOJO'!C30)</f>
        <v>1.2857142857142858</v>
      </c>
      <c r="D30" s="49">
        <f>AVERAGE('29.07 FORTPORTAL-KYENJOJO'!D30,'30.07 FORTPORAL-KYENJOJO'!D30,'31.07 FORTPORTAL-KYENJOJO'!D30,'02.08 FORTPORTAL-KYENJOJO'!D30,'01.08 FORTPORTAL-KYENJOJO 2-24h'!D30,'03.08 FORTPORTAL-KYENJOJO-24h'!D30,'04.08 FORTPORTAL-KYENJOJO'!D30)</f>
        <v>0</v>
      </c>
      <c r="E30" s="49">
        <f>AVERAGE('29.07 FORTPORTAL-KYENJOJO'!E30,'30.07 FORTPORAL-KYENJOJO'!E30,'31.07 FORTPORTAL-KYENJOJO'!E30,'02.08 FORTPORTAL-KYENJOJO'!E30,'01.08 FORTPORTAL-KYENJOJO 2-24h'!E30,'03.08 FORTPORTAL-KYENJOJO-24h'!E30,'04.08 FORTPORTAL-KYENJOJO'!E30)</f>
        <v>3.4285714285714284</v>
      </c>
      <c r="F30" s="49">
        <f>AVERAGE('29.07 FORTPORTAL-KYENJOJO'!F30,'30.07 FORTPORAL-KYENJOJO'!F30,'31.07 FORTPORTAL-KYENJOJO'!F30,'02.08 FORTPORTAL-KYENJOJO'!F30,'01.08 FORTPORTAL-KYENJOJO 2-24h'!F30,'03.08 FORTPORTAL-KYENJOJO-24h'!F30,'04.08 FORTPORTAL-KYENJOJO'!F30)</f>
        <v>3</v>
      </c>
      <c r="G30" s="49">
        <f>AVERAGE('29.07 FORTPORTAL-KYENJOJO'!G30,'30.07 FORTPORAL-KYENJOJO'!G30,'31.07 FORTPORTAL-KYENJOJO'!G30,'02.08 FORTPORTAL-KYENJOJO'!G30,'01.08 FORTPORTAL-KYENJOJO 2-24h'!G30,'03.08 FORTPORTAL-KYENJOJO-24h'!G30,'04.08 FORTPORTAL-KYENJOJO'!G30)</f>
        <v>0</v>
      </c>
      <c r="H30" s="49">
        <f>AVERAGE('29.07 FORTPORTAL-KYENJOJO'!H30,'30.07 FORTPORAL-KYENJOJO'!H30,'31.07 FORTPORTAL-KYENJOJO'!H30,'02.08 FORTPORTAL-KYENJOJO'!H30,'01.08 FORTPORTAL-KYENJOJO 2-24h'!H30,'03.08 FORTPORTAL-KYENJOJO-24h'!H30,'04.08 FORTPORTAL-KYENJOJO'!H30)</f>
        <v>0.14285714285714285</v>
      </c>
      <c r="I30" s="49">
        <f>AVERAGE('29.07 FORTPORTAL-KYENJOJO'!I30,'30.07 FORTPORAL-KYENJOJO'!I30,'31.07 FORTPORTAL-KYENJOJO'!I30,'02.08 FORTPORTAL-KYENJOJO'!I30,'01.08 FORTPORTAL-KYENJOJO 2-24h'!I30,'03.08 FORTPORTAL-KYENJOJO-24h'!I30,'04.08 FORTPORTAL-KYENJOJO'!I30)</f>
        <v>0.8571428571428571</v>
      </c>
      <c r="J30" s="49">
        <f>AVERAGE('29.07 FORTPORTAL-KYENJOJO'!J30,'30.07 FORTPORAL-KYENJOJO'!J30,'31.07 FORTPORTAL-KYENJOJO'!J30,'02.08 FORTPORTAL-KYENJOJO'!J30,'01.08 FORTPORTAL-KYENJOJO 2-24h'!J30,'03.08 FORTPORTAL-KYENJOJO-24h'!J30,'04.08 FORTPORTAL-KYENJOJO'!J30)</f>
        <v>0.2857142857142857</v>
      </c>
      <c r="K30" s="49">
        <f>AVERAGE('29.07 FORTPORTAL-KYENJOJO'!K30,'30.07 FORTPORAL-KYENJOJO'!K30,'31.07 FORTPORTAL-KYENJOJO'!K30,'02.08 FORTPORTAL-KYENJOJO'!K30,'01.08 FORTPORTAL-KYENJOJO 2-24h'!K30,'03.08 FORTPORTAL-KYENJOJO-24h'!K30,'04.08 FORTPORTAL-KYENJOJO'!K30)</f>
        <v>0</v>
      </c>
      <c r="L30" s="49">
        <f>AVERAGE('29.07 FORTPORTAL-KYENJOJO'!L30,'30.07 FORTPORAL-KYENJOJO'!L30,'31.07 FORTPORTAL-KYENJOJO'!L30,'02.08 FORTPORTAL-KYENJOJO'!L30,'01.08 FORTPORTAL-KYENJOJO 2-24h'!L30,'03.08 FORTPORTAL-KYENJOJO-24h'!L30,'04.08 FORTPORTAL-KYENJOJO'!L30)</f>
        <v>0.2857142857142857</v>
      </c>
      <c r="M30" s="49">
        <f>AVERAGE('29.07 FORTPORTAL-KYENJOJO'!M30,'30.07 FORTPORAL-KYENJOJO'!M30,'31.07 FORTPORTAL-KYENJOJO'!M30,'02.08 FORTPORTAL-KYENJOJO'!M30,'01.08 FORTPORTAL-KYENJOJO 2-24h'!M30,'03.08 FORTPORTAL-KYENJOJO-24h'!M30,'04.08 FORTPORTAL-KYENJOJO'!M30)</f>
        <v>0.42857142857142855</v>
      </c>
      <c r="N30" s="49">
        <f>AVERAGE('29.07 FORTPORTAL-KYENJOJO'!N30,'30.07 FORTPORAL-KYENJOJO'!N30,'31.07 FORTPORTAL-KYENJOJO'!N30,'02.08 FORTPORTAL-KYENJOJO'!N30,'01.08 FORTPORTAL-KYENJOJO 2-24h'!N30,'03.08 FORTPORTAL-KYENJOJO-24h'!N30,'04.08 FORTPORTAL-KYENJOJO'!N30)</f>
        <v>0</v>
      </c>
      <c r="O30" s="15">
        <f t="shared" si="0"/>
        <v>9.2857142857142883</v>
      </c>
      <c r="P30" s="15">
        <f t="shared" si="1"/>
        <v>9.7142857142857171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0.5</v>
      </c>
      <c r="Z30" s="34">
        <f t="shared" si="22"/>
        <v>0</v>
      </c>
      <c r="AA30" s="34">
        <f t="shared" si="22"/>
        <v>0</v>
      </c>
      <c r="AB30" s="34">
        <f t="shared" si="22"/>
        <v>2</v>
      </c>
      <c r="AC30" s="34">
        <f t="shared" si="22"/>
        <v>0</v>
      </c>
      <c r="AD30" s="34">
        <f t="shared" si="22"/>
        <v>0</v>
      </c>
      <c r="AE30" s="31">
        <f t="shared" si="22"/>
        <v>2.5</v>
      </c>
      <c r="AF30" s="31">
        <f t="shared" si="22"/>
        <v>2.5</v>
      </c>
    </row>
    <row r="31" spans="2:32" ht="23.1" customHeight="1" x14ac:dyDescent="0.25">
      <c r="B31" s="24" t="s">
        <v>58</v>
      </c>
      <c r="C31" s="49">
        <f>AVERAGE('29.07 FORTPORTAL-KYENJOJO'!C31,'30.07 FORTPORAL-KYENJOJO'!C31,'31.07 FORTPORTAL-KYENJOJO'!C31,'02.08 FORTPORTAL-KYENJOJO'!C31,'01.08 FORTPORTAL-KYENJOJO 2-24h'!C31,'03.08 FORTPORTAL-KYENJOJO-24h'!C31,'04.08 FORTPORTAL-KYENJOJO'!C31)</f>
        <v>1.7142857142857142</v>
      </c>
      <c r="D31" s="49">
        <f>AVERAGE('29.07 FORTPORTAL-KYENJOJO'!D31,'30.07 FORTPORAL-KYENJOJO'!D31,'31.07 FORTPORTAL-KYENJOJO'!D31,'02.08 FORTPORTAL-KYENJOJO'!D31,'01.08 FORTPORTAL-KYENJOJO 2-24h'!D31,'03.08 FORTPORTAL-KYENJOJO-24h'!D31,'04.08 FORTPORTAL-KYENJOJO'!D31)</f>
        <v>0</v>
      </c>
      <c r="E31" s="49">
        <f>AVERAGE('29.07 FORTPORTAL-KYENJOJO'!E31,'30.07 FORTPORAL-KYENJOJO'!E31,'31.07 FORTPORTAL-KYENJOJO'!E31,'02.08 FORTPORTAL-KYENJOJO'!E31,'01.08 FORTPORTAL-KYENJOJO 2-24h'!E31,'03.08 FORTPORTAL-KYENJOJO-24h'!E31,'04.08 FORTPORTAL-KYENJOJO'!E31)</f>
        <v>2.5714285714285716</v>
      </c>
      <c r="F31" s="49">
        <f>AVERAGE('29.07 FORTPORTAL-KYENJOJO'!F31,'30.07 FORTPORAL-KYENJOJO'!F31,'31.07 FORTPORTAL-KYENJOJO'!F31,'02.08 FORTPORTAL-KYENJOJO'!F31,'01.08 FORTPORTAL-KYENJOJO 2-24h'!F31,'03.08 FORTPORTAL-KYENJOJO-24h'!F31,'04.08 FORTPORTAL-KYENJOJO'!F31)</f>
        <v>2.1428571428571428</v>
      </c>
      <c r="G31" s="49">
        <f>AVERAGE('29.07 FORTPORTAL-KYENJOJO'!G31,'30.07 FORTPORAL-KYENJOJO'!G31,'31.07 FORTPORTAL-KYENJOJO'!G31,'02.08 FORTPORTAL-KYENJOJO'!G31,'01.08 FORTPORTAL-KYENJOJO 2-24h'!G31,'03.08 FORTPORTAL-KYENJOJO-24h'!G31,'04.08 FORTPORTAL-KYENJOJO'!G31)</f>
        <v>0.2857142857142857</v>
      </c>
      <c r="H31" s="49">
        <f>AVERAGE('29.07 FORTPORTAL-KYENJOJO'!H31,'30.07 FORTPORAL-KYENJOJO'!H31,'31.07 FORTPORTAL-KYENJOJO'!H31,'02.08 FORTPORTAL-KYENJOJO'!H31,'01.08 FORTPORTAL-KYENJOJO 2-24h'!H31,'03.08 FORTPORTAL-KYENJOJO-24h'!H31,'04.08 FORTPORTAL-KYENJOJO'!H31)</f>
        <v>0.42857142857142855</v>
      </c>
      <c r="I31" s="49">
        <f>AVERAGE('29.07 FORTPORTAL-KYENJOJO'!I31,'30.07 FORTPORAL-KYENJOJO'!I31,'31.07 FORTPORTAL-KYENJOJO'!I31,'02.08 FORTPORTAL-KYENJOJO'!I31,'01.08 FORTPORTAL-KYENJOJO 2-24h'!I31,'03.08 FORTPORTAL-KYENJOJO-24h'!I31,'04.08 FORTPORTAL-KYENJOJO'!I31)</f>
        <v>0.8571428571428571</v>
      </c>
      <c r="J31" s="49">
        <f>AVERAGE('29.07 FORTPORTAL-KYENJOJO'!J31,'30.07 FORTPORAL-KYENJOJO'!J31,'31.07 FORTPORTAL-KYENJOJO'!J31,'02.08 FORTPORTAL-KYENJOJO'!J31,'01.08 FORTPORTAL-KYENJOJO 2-24h'!J31,'03.08 FORTPORTAL-KYENJOJO-24h'!J31,'04.08 FORTPORTAL-KYENJOJO'!J31)</f>
        <v>0.2857142857142857</v>
      </c>
      <c r="K31" s="49">
        <f>AVERAGE('29.07 FORTPORTAL-KYENJOJO'!K31,'30.07 FORTPORAL-KYENJOJO'!K31,'31.07 FORTPORTAL-KYENJOJO'!K31,'02.08 FORTPORTAL-KYENJOJO'!K31,'01.08 FORTPORTAL-KYENJOJO 2-24h'!K31,'03.08 FORTPORTAL-KYENJOJO-24h'!K31,'04.08 FORTPORTAL-KYENJOJO'!K31)</f>
        <v>0</v>
      </c>
      <c r="L31" s="49">
        <f>AVERAGE('29.07 FORTPORTAL-KYENJOJO'!L31,'30.07 FORTPORAL-KYENJOJO'!L31,'31.07 FORTPORTAL-KYENJOJO'!L31,'02.08 FORTPORTAL-KYENJOJO'!L31,'01.08 FORTPORTAL-KYENJOJO 2-24h'!L31,'03.08 FORTPORTAL-KYENJOJO-24h'!L31,'04.08 FORTPORTAL-KYENJOJO'!L31)</f>
        <v>0.42857142857142855</v>
      </c>
      <c r="M31" s="49">
        <f>AVERAGE('29.07 FORTPORTAL-KYENJOJO'!M31,'30.07 FORTPORAL-KYENJOJO'!M31,'31.07 FORTPORTAL-KYENJOJO'!M31,'02.08 FORTPORTAL-KYENJOJO'!M31,'01.08 FORTPORTAL-KYENJOJO 2-24h'!M31,'03.08 FORTPORTAL-KYENJOJO-24h'!M31,'04.08 FORTPORTAL-KYENJOJO'!M31)</f>
        <v>1.7142857142857142</v>
      </c>
      <c r="N31" s="49">
        <f>AVERAGE('29.07 FORTPORTAL-KYENJOJO'!N31,'30.07 FORTPORAL-KYENJOJO'!N31,'31.07 FORTPORTAL-KYENJOJO'!N31,'02.08 FORTPORTAL-KYENJOJO'!N31,'01.08 FORTPORTAL-KYENJOJO 2-24h'!N31,'03.08 FORTPORTAL-KYENJOJO-24h'!N31,'04.08 FORTPORTAL-KYENJOJO'!N31)</f>
        <v>0</v>
      </c>
      <c r="O31" s="15">
        <f t="shared" si="0"/>
        <v>8.7142857142857153</v>
      </c>
      <c r="P31" s="15">
        <f t="shared" si="1"/>
        <v>10.428571428571429</v>
      </c>
      <c r="R31" s="1" t="s">
        <v>155</v>
      </c>
      <c r="S31" s="34">
        <f>SUM(C94:C97)</f>
        <v>0.5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1.5</v>
      </c>
      <c r="W31" s="34">
        <f t="shared" si="23"/>
        <v>0</v>
      </c>
      <c r="X31" s="34">
        <f t="shared" si="23"/>
        <v>0</v>
      </c>
      <c r="Y31" s="34">
        <f t="shared" si="23"/>
        <v>5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0.5</v>
      </c>
      <c r="AD31" s="34">
        <f t="shared" si="23"/>
        <v>0</v>
      </c>
      <c r="AE31" s="31">
        <f t="shared" si="23"/>
        <v>7</v>
      </c>
      <c r="AF31" s="31">
        <f t="shared" si="23"/>
        <v>7.5</v>
      </c>
    </row>
    <row r="32" spans="2:32" ht="23.1" customHeight="1" x14ac:dyDescent="0.25">
      <c r="B32" s="24" t="s">
        <v>59</v>
      </c>
      <c r="C32" s="49">
        <f>AVERAGE('29.07 FORTPORTAL-KYENJOJO'!C32,'30.07 FORTPORAL-KYENJOJO'!C32,'31.07 FORTPORTAL-KYENJOJO'!C32,'02.08 FORTPORTAL-KYENJOJO'!C32,'01.08 FORTPORTAL-KYENJOJO 2-24h'!C32,'03.08 FORTPORTAL-KYENJOJO-24h'!C32,'04.08 FORTPORTAL-KYENJOJO'!C32)</f>
        <v>0.8571428571428571</v>
      </c>
      <c r="D32" s="49">
        <f>AVERAGE('29.07 FORTPORTAL-KYENJOJO'!D32,'30.07 FORTPORAL-KYENJOJO'!D32,'31.07 FORTPORTAL-KYENJOJO'!D32,'02.08 FORTPORTAL-KYENJOJO'!D32,'01.08 FORTPORTAL-KYENJOJO 2-24h'!D32,'03.08 FORTPORTAL-KYENJOJO-24h'!D32,'04.08 FORTPORTAL-KYENJOJO'!D32)</f>
        <v>0</v>
      </c>
      <c r="E32" s="49">
        <f>AVERAGE('29.07 FORTPORTAL-KYENJOJO'!E32,'30.07 FORTPORAL-KYENJOJO'!E32,'31.07 FORTPORTAL-KYENJOJO'!E32,'02.08 FORTPORTAL-KYENJOJO'!E32,'01.08 FORTPORTAL-KYENJOJO 2-24h'!E32,'03.08 FORTPORTAL-KYENJOJO-24h'!E32,'04.08 FORTPORTAL-KYENJOJO'!E32)</f>
        <v>1.8571428571428572</v>
      </c>
      <c r="F32" s="49">
        <f>AVERAGE('29.07 FORTPORTAL-KYENJOJO'!F32,'30.07 FORTPORAL-KYENJOJO'!F32,'31.07 FORTPORTAL-KYENJOJO'!F32,'02.08 FORTPORTAL-KYENJOJO'!F32,'01.08 FORTPORTAL-KYENJOJO 2-24h'!F32,'03.08 FORTPORTAL-KYENJOJO-24h'!F32,'04.08 FORTPORTAL-KYENJOJO'!F32)</f>
        <v>2.1428571428571428</v>
      </c>
      <c r="G32" s="49">
        <f>AVERAGE('29.07 FORTPORTAL-KYENJOJO'!G32,'30.07 FORTPORAL-KYENJOJO'!G32,'31.07 FORTPORTAL-KYENJOJO'!G32,'02.08 FORTPORTAL-KYENJOJO'!G32,'01.08 FORTPORTAL-KYENJOJO 2-24h'!G32,'03.08 FORTPORTAL-KYENJOJO-24h'!G32,'04.08 FORTPORTAL-KYENJOJO'!G32)</f>
        <v>0</v>
      </c>
      <c r="H32" s="49">
        <f>AVERAGE('29.07 FORTPORTAL-KYENJOJO'!H32,'30.07 FORTPORAL-KYENJOJO'!H32,'31.07 FORTPORTAL-KYENJOJO'!H32,'02.08 FORTPORTAL-KYENJOJO'!H32,'01.08 FORTPORTAL-KYENJOJO 2-24h'!H32,'03.08 FORTPORTAL-KYENJOJO-24h'!H32,'04.08 FORTPORTAL-KYENJOJO'!H32)</f>
        <v>0.5714285714285714</v>
      </c>
      <c r="I32" s="49">
        <f>AVERAGE('29.07 FORTPORTAL-KYENJOJO'!I32,'30.07 FORTPORAL-KYENJOJO'!I32,'31.07 FORTPORTAL-KYENJOJO'!I32,'02.08 FORTPORTAL-KYENJOJO'!I32,'01.08 FORTPORTAL-KYENJOJO 2-24h'!I32,'03.08 FORTPORTAL-KYENJOJO-24h'!I32,'04.08 FORTPORTAL-KYENJOJO'!I32)</f>
        <v>0.5714285714285714</v>
      </c>
      <c r="J32" s="49">
        <f>AVERAGE('29.07 FORTPORTAL-KYENJOJO'!J32,'30.07 FORTPORAL-KYENJOJO'!J32,'31.07 FORTPORTAL-KYENJOJO'!J32,'02.08 FORTPORTAL-KYENJOJO'!J32,'01.08 FORTPORTAL-KYENJOJO 2-24h'!J32,'03.08 FORTPORTAL-KYENJOJO-24h'!J32,'04.08 FORTPORTAL-KYENJOJO'!J32)</f>
        <v>0.2857142857142857</v>
      </c>
      <c r="K32" s="49">
        <f>AVERAGE('29.07 FORTPORTAL-KYENJOJO'!K32,'30.07 FORTPORAL-KYENJOJO'!K32,'31.07 FORTPORTAL-KYENJOJO'!K32,'02.08 FORTPORTAL-KYENJOJO'!K32,'01.08 FORTPORTAL-KYENJOJO 2-24h'!K32,'03.08 FORTPORTAL-KYENJOJO-24h'!K32,'04.08 FORTPORTAL-KYENJOJO'!K32)</f>
        <v>0</v>
      </c>
      <c r="L32" s="49">
        <f>AVERAGE('29.07 FORTPORTAL-KYENJOJO'!L32,'30.07 FORTPORAL-KYENJOJO'!L32,'31.07 FORTPORTAL-KYENJOJO'!L32,'02.08 FORTPORTAL-KYENJOJO'!L32,'01.08 FORTPORTAL-KYENJOJO 2-24h'!L32,'03.08 FORTPORTAL-KYENJOJO-24h'!L32,'04.08 FORTPORTAL-KYENJOJO'!L32)</f>
        <v>0.5714285714285714</v>
      </c>
      <c r="M32" s="49">
        <f>AVERAGE('29.07 FORTPORTAL-KYENJOJO'!M32,'30.07 FORTPORAL-KYENJOJO'!M32,'31.07 FORTPORTAL-KYENJOJO'!M32,'02.08 FORTPORTAL-KYENJOJO'!M32,'01.08 FORTPORTAL-KYENJOJO 2-24h'!M32,'03.08 FORTPORTAL-KYENJOJO-24h'!M32,'04.08 FORTPORTAL-KYENJOJO'!M32)</f>
        <v>0.2857142857142857</v>
      </c>
      <c r="N32" s="49">
        <f>AVERAGE('29.07 FORTPORTAL-KYENJOJO'!N32,'30.07 FORTPORAL-KYENJOJO'!N32,'31.07 FORTPORTAL-KYENJOJO'!N32,'02.08 FORTPORTAL-KYENJOJO'!N32,'01.08 FORTPORTAL-KYENJOJO 2-24h'!N32,'03.08 FORTPORTAL-KYENJOJO-24h'!N32,'04.08 FORTPORTAL-KYENJOJO'!N32)</f>
        <v>0</v>
      </c>
      <c r="O32" s="15">
        <f t="shared" si="0"/>
        <v>6.8571428571428568</v>
      </c>
      <c r="P32" s="15">
        <f t="shared" si="1"/>
        <v>7.1428571428571423</v>
      </c>
      <c r="R32" s="1" t="s">
        <v>156</v>
      </c>
      <c r="S32" s="34">
        <f>SUM(C98:C101)</f>
        <v>0.5</v>
      </c>
      <c r="T32" s="34">
        <f t="shared" ref="T32:AF32" si="24">SUM(D98:D101)</f>
        <v>0</v>
      </c>
      <c r="U32" s="34">
        <f t="shared" si="24"/>
        <v>1.5</v>
      </c>
      <c r="V32" s="34">
        <f t="shared" si="24"/>
        <v>1.5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0.5</v>
      </c>
      <c r="AA32" s="34">
        <f t="shared" si="24"/>
        <v>0</v>
      </c>
      <c r="AB32" s="34">
        <f t="shared" si="24"/>
        <v>4</v>
      </c>
      <c r="AC32" s="34">
        <f t="shared" si="24"/>
        <v>0</v>
      </c>
      <c r="AD32" s="34">
        <f t="shared" si="24"/>
        <v>0</v>
      </c>
      <c r="AE32" s="31">
        <f t="shared" si="24"/>
        <v>9</v>
      </c>
      <c r="AF32" s="31">
        <f t="shared" si="24"/>
        <v>9</v>
      </c>
    </row>
    <row r="33" spans="2:32" ht="23.1" customHeight="1" x14ac:dyDescent="0.25">
      <c r="B33" s="23" t="s">
        <v>60</v>
      </c>
      <c r="C33" s="49">
        <f>AVERAGE('29.07 FORTPORTAL-KYENJOJO'!C33,'30.07 FORTPORAL-KYENJOJO'!C33,'31.07 FORTPORTAL-KYENJOJO'!C33,'02.08 FORTPORTAL-KYENJOJO'!C33,'01.08 FORTPORTAL-KYENJOJO 2-24h'!C33,'03.08 FORTPORTAL-KYENJOJO-24h'!C33,'04.08 FORTPORTAL-KYENJOJO'!C33)</f>
        <v>1.1428571428571428</v>
      </c>
      <c r="D33" s="49">
        <f>AVERAGE('29.07 FORTPORTAL-KYENJOJO'!D33,'30.07 FORTPORAL-KYENJOJO'!D33,'31.07 FORTPORTAL-KYENJOJO'!D33,'02.08 FORTPORTAL-KYENJOJO'!D33,'01.08 FORTPORTAL-KYENJOJO 2-24h'!D33,'03.08 FORTPORTAL-KYENJOJO-24h'!D33,'04.08 FORTPORTAL-KYENJOJO'!D33)</f>
        <v>0</v>
      </c>
      <c r="E33" s="49">
        <f>AVERAGE('29.07 FORTPORTAL-KYENJOJO'!E33,'30.07 FORTPORAL-KYENJOJO'!E33,'31.07 FORTPORTAL-KYENJOJO'!E33,'02.08 FORTPORTAL-KYENJOJO'!E33,'01.08 FORTPORTAL-KYENJOJO 2-24h'!E33,'03.08 FORTPORTAL-KYENJOJO-24h'!E33,'04.08 FORTPORTAL-KYENJOJO'!E33)</f>
        <v>2.4285714285714284</v>
      </c>
      <c r="F33" s="49">
        <f>AVERAGE('29.07 FORTPORTAL-KYENJOJO'!F33,'30.07 FORTPORAL-KYENJOJO'!F33,'31.07 FORTPORTAL-KYENJOJO'!F33,'02.08 FORTPORTAL-KYENJOJO'!F33,'01.08 FORTPORTAL-KYENJOJO 2-24h'!F33,'03.08 FORTPORTAL-KYENJOJO-24h'!F33,'04.08 FORTPORTAL-KYENJOJO'!F33)</f>
        <v>2.2857142857142856</v>
      </c>
      <c r="G33" s="49">
        <f>AVERAGE('29.07 FORTPORTAL-KYENJOJO'!G33,'30.07 FORTPORAL-KYENJOJO'!G33,'31.07 FORTPORTAL-KYENJOJO'!G33,'02.08 FORTPORTAL-KYENJOJO'!G33,'01.08 FORTPORTAL-KYENJOJO 2-24h'!G33,'03.08 FORTPORTAL-KYENJOJO-24h'!G33,'04.08 FORTPORTAL-KYENJOJO'!G33)</f>
        <v>0.14285714285714285</v>
      </c>
      <c r="H33" s="49">
        <f>AVERAGE('29.07 FORTPORTAL-KYENJOJO'!H33,'30.07 FORTPORAL-KYENJOJO'!H33,'31.07 FORTPORTAL-KYENJOJO'!H33,'02.08 FORTPORTAL-KYENJOJO'!H33,'01.08 FORTPORTAL-KYENJOJO 2-24h'!H33,'03.08 FORTPORTAL-KYENJOJO-24h'!H33,'04.08 FORTPORTAL-KYENJOJO'!H33)</f>
        <v>0.2857142857142857</v>
      </c>
      <c r="I33" s="49">
        <f>AVERAGE('29.07 FORTPORTAL-KYENJOJO'!I33,'30.07 FORTPORAL-KYENJOJO'!I33,'31.07 FORTPORTAL-KYENJOJO'!I33,'02.08 FORTPORTAL-KYENJOJO'!I33,'01.08 FORTPORTAL-KYENJOJO 2-24h'!I33,'03.08 FORTPORTAL-KYENJOJO-24h'!I33,'04.08 FORTPORTAL-KYENJOJO'!I33)</f>
        <v>0.7142857142857143</v>
      </c>
      <c r="J33" s="49">
        <f>AVERAGE('29.07 FORTPORTAL-KYENJOJO'!J33,'30.07 FORTPORAL-KYENJOJO'!J33,'31.07 FORTPORTAL-KYENJOJO'!J33,'02.08 FORTPORTAL-KYENJOJO'!J33,'01.08 FORTPORTAL-KYENJOJO 2-24h'!J33,'03.08 FORTPORTAL-KYENJOJO-24h'!J33,'04.08 FORTPORTAL-KYENJOJO'!J33)</f>
        <v>0.2857142857142857</v>
      </c>
      <c r="K33" s="49">
        <f>AVERAGE('29.07 FORTPORTAL-KYENJOJO'!K33,'30.07 FORTPORAL-KYENJOJO'!K33,'31.07 FORTPORTAL-KYENJOJO'!K33,'02.08 FORTPORTAL-KYENJOJO'!K33,'01.08 FORTPORTAL-KYENJOJO 2-24h'!K33,'03.08 FORTPORTAL-KYENJOJO-24h'!K33,'04.08 FORTPORTAL-KYENJOJO'!K33)</f>
        <v>0</v>
      </c>
      <c r="L33" s="49">
        <f>AVERAGE('29.07 FORTPORTAL-KYENJOJO'!L33,'30.07 FORTPORAL-KYENJOJO'!L33,'31.07 FORTPORTAL-KYENJOJO'!L33,'02.08 FORTPORTAL-KYENJOJO'!L33,'01.08 FORTPORTAL-KYENJOJO 2-24h'!L33,'03.08 FORTPORTAL-KYENJOJO-24h'!L33,'04.08 FORTPORTAL-KYENJOJO'!L33)</f>
        <v>0.2857142857142857</v>
      </c>
      <c r="M33" s="49">
        <f>AVERAGE('29.07 FORTPORTAL-KYENJOJO'!M33,'30.07 FORTPORAL-KYENJOJO'!M33,'31.07 FORTPORTAL-KYENJOJO'!M33,'02.08 FORTPORTAL-KYENJOJO'!M33,'01.08 FORTPORTAL-KYENJOJO 2-24h'!M33,'03.08 FORTPORTAL-KYENJOJO-24h'!M33,'04.08 FORTPORTAL-KYENJOJO'!M33)</f>
        <v>1</v>
      </c>
      <c r="N33" s="49">
        <f>AVERAGE('29.07 FORTPORTAL-KYENJOJO'!N33,'30.07 FORTPORAL-KYENJOJO'!N33,'31.07 FORTPORTAL-KYENJOJO'!N33,'02.08 FORTPORTAL-KYENJOJO'!N33,'01.08 FORTPORTAL-KYENJOJO 2-24h'!N33,'03.08 FORTPORTAL-KYENJOJO-24h'!N33,'04.08 FORTPORTAL-KYENJOJO'!N33)</f>
        <v>0</v>
      </c>
      <c r="O33" s="15">
        <f t="shared" si="0"/>
        <v>7.5714285714285712</v>
      </c>
      <c r="P33" s="15">
        <f t="shared" si="1"/>
        <v>8.5714285714285712</v>
      </c>
      <c r="R33" s="1" t="s">
        <v>157</v>
      </c>
      <c r="S33" s="34">
        <f>SUM(C102:C105)</f>
        <v>3</v>
      </c>
      <c r="T33" s="34">
        <f t="shared" ref="T33:AF33" si="25">SUM(D102:D105)</f>
        <v>0</v>
      </c>
      <c r="U33" s="34">
        <f t="shared" si="25"/>
        <v>4</v>
      </c>
      <c r="V33" s="34">
        <f t="shared" si="25"/>
        <v>0.5</v>
      </c>
      <c r="W33" s="34">
        <f t="shared" si="25"/>
        <v>0</v>
      </c>
      <c r="X33" s="34">
        <f t="shared" si="25"/>
        <v>0</v>
      </c>
      <c r="Y33" s="34">
        <f t="shared" si="25"/>
        <v>0.5</v>
      </c>
      <c r="Z33" s="34">
        <f t="shared" si="25"/>
        <v>0</v>
      </c>
      <c r="AA33" s="34">
        <f t="shared" si="25"/>
        <v>0</v>
      </c>
      <c r="AB33" s="34">
        <f t="shared" si="25"/>
        <v>1</v>
      </c>
      <c r="AC33" s="34">
        <f t="shared" si="25"/>
        <v>2.5</v>
      </c>
      <c r="AD33" s="34">
        <f t="shared" si="25"/>
        <v>0</v>
      </c>
      <c r="AE33" s="31">
        <f t="shared" si="25"/>
        <v>9</v>
      </c>
      <c r="AF33" s="31">
        <f t="shared" si="25"/>
        <v>11.5</v>
      </c>
    </row>
    <row r="34" spans="2:32" ht="23.1" customHeight="1" x14ac:dyDescent="0.25">
      <c r="B34" s="24" t="s">
        <v>61</v>
      </c>
      <c r="C34" s="49">
        <f>AVERAGE('29.07 FORTPORTAL-KYENJOJO'!C34,'30.07 FORTPORAL-KYENJOJO'!C34,'31.07 FORTPORTAL-KYENJOJO'!C34,'02.08 FORTPORTAL-KYENJOJO'!C34,'01.08 FORTPORTAL-KYENJOJO 2-24h'!C34,'03.08 FORTPORTAL-KYENJOJO-24h'!C34,'04.08 FORTPORTAL-KYENJOJO'!C34)</f>
        <v>1.8571428571428572</v>
      </c>
      <c r="D34" s="49">
        <f>AVERAGE('29.07 FORTPORTAL-KYENJOJO'!D34,'30.07 FORTPORAL-KYENJOJO'!D34,'31.07 FORTPORTAL-KYENJOJO'!D34,'02.08 FORTPORTAL-KYENJOJO'!D34,'01.08 FORTPORTAL-KYENJOJO 2-24h'!D34,'03.08 FORTPORTAL-KYENJOJO-24h'!D34,'04.08 FORTPORTAL-KYENJOJO'!D34)</f>
        <v>0</v>
      </c>
      <c r="E34" s="49">
        <f>AVERAGE('29.07 FORTPORTAL-KYENJOJO'!E34,'30.07 FORTPORAL-KYENJOJO'!E34,'31.07 FORTPORTAL-KYENJOJO'!E34,'02.08 FORTPORTAL-KYENJOJO'!E34,'01.08 FORTPORTAL-KYENJOJO 2-24h'!E34,'03.08 FORTPORTAL-KYENJOJO-24h'!E34,'04.08 FORTPORTAL-KYENJOJO'!E34)</f>
        <v>2.2857142857142856</v>
      </c>
      <c r="F34" s="49">
        <f>AVERAGE('29.07 FORTPORTAL-KYENJOJO'!F34,'30.07 FORTPORAL-KYENJOJO'!F34,'31.07 FORTPORTAL-KYENJOJO'!F34,'02.08 FORTPORTAL-KYENJOJO'!F34,'01.08 FORTPORTAL-KYENJOJO 2-24h'!F34,'03.08 FORTPORTAL-KYENJOJO-24h'!F34,'04.08 FORTPORTAL-KYENJOJO'!F34)</f>
        <v>2.4285714285714284</v>
      </c>
      <c r="G34" s="49">
        <f>AVERAGE('29.07 FORTPORTAL-KYENJOJO'!G34,'30.07 FORTPORAL-KYENJOJO'!G34,'31.07 FORTPORTAL-KYENJOJO'!G34,'02.08 FORTPORTAL-KYENJOJO'!G34,'01.08 FORTPORTAL-KYENJOJO 2-24h'!G34,'03.08 FORTPORTAL-KYENJOJO-24h'!G34,'04.08 FORTPORTAL-KYENJOJO'!G34)</f>
        <v>0</v>
      </c>
      <c r="H34" s="49">
        <f>AVERAGE('29.07 FORTPORTAL-KYENJOJO'!H34,'30.07 FORTPORAL-KYENJOJO'!H34,'31.07 FORTPORTAL-KYENJOJO'!H34,'02.08 FORTPORTAL-KYENJOJO'!H34,'01.08 FORTPORTAL-KYENJOJO 2-24h'!H34,'03.08 FORTPORTAL-KYENJOJO-24h'!H34,'04.08 FORTPORTAL-KYENJOJO'!H34)</f>
        <v>0.42857142857142855</v>
      </c>
      <c r="I34" s="49">
        <f>AVERAGE('29.07 FORTPORTAL-KYENJOJO'!I34,'30.07 FORTPORAL-KYENJOJO'!I34,'31.07 FORTPORTAL-KYENJOJO'!I34,'02.08 FORTPORTAL-KYENJOJO'!I34,'01.08 FORTPORTAL-KYENJOJO 2-24h'!I34,'03.08 FORTPORTAL-KYENJOJO-24h'!I34,'04.08 FORTPORTAL-KYENJOJO'!I34)</f>
        <v>1</v>
      </c>
      <c r="J34" s="49">
        <f>AVERAGE('29.07 FORTPORTAL-KYENJOJO'!J34,'30.07 FORTPORAL-KYENJOJO'!J34,'31.07 FORTPORTAL-KYENJOJO'!J34,'02.08 FORTPORTAL-KYENJOJO'!J34,'01.08 FORTPORTAL-KYENJOJO 2-24h'!J34,'03.08 FORTPORTAL-KYENJOJO-24h'!J34,'04.08 FORTPORTAL-KYENJOJO'!J34)</f>
        <v>0.2857142857142857</v>
      </c>
      <c r="K34" s="49">
        <f>AVERAGE('29.07 FORTPORTAL-KYENJOJO'!K34,'30.07 FORTPORAL-KYENJOJO'!K34,'31.07 FORTPORTAL-KYENJOJO'!K34,'02.08 FORTPORTAL-KYENJOJO'!K34,'01.08 FORTPORTAL-KYENJOJO 2-24h'!K34,'03.08 FORTPORTAL-KYENJOJO-24h'!K34,'04.08 FORTPORTAL-KYENJOJO'!K34)</f>
        <v>0.14285714285714285</v>
      </c>
      <c r="L34" s="49">
        <f>AVERAGE('29.07 FORTPORTAL-KYENJOJO'!L34,'30.07 FORTPORAL-KYENJOJO'!L34,'31.07 FORTPORTAL-KYENJOJO'!L34,'02.08 FORTPORTAL-KYENJOJO'!L34,'01.08 FORTPORTAL-KYENJOJO 2-24h'!L34,'03.08 FORTPORTAL-KYENJOJO-24h'!L34,'04.08 FORTPORTAL-KYENJOJO'!L34)</f>
        <v>0.2857142857142857</v>
      </c>
      <c r="M34" s="49">
        <f>AVERAGE('29.07 FORTPORTAL-KYENJOJO'!M34,'30.07 FORTPORAL-KYENJOJO'!M34,'31.07 FORTPORTAL-KYENJOJO'!M34,'02.08 FORTPORTAL-KYENJOJO'!M34,'01.08 FORTPORTAL-KYENJOJO 2-24h'!M34,'03.08 FORTPORTAL-KYENJOJO-24h'!M34,'04.08 FORTPORTAL-KYENJOJO'!M34)</f>
        <v>1.1428571428571428</v>
      </c>
      <c r="N34" s="49">
        <f>AVERAGE('29.07 FORTPORTAL-KYENJOJO'!N34,'30.07 FORTPORAL-KYENJOJO'!N34,'31.07 FORTPORTAL-KYENJOJO'!N34,'02.08 FORTPORTAL-KYENJOJO'!N34,'01.08 FORTPORTAL-KYENJOJO 2-24h'!N34,'03.08 FORTPORTAL-KYENJOJO-24h'!N34,'04.08 FORTPORTAL-KYENJOJO'!N34)</f>
        <v>0</v>
      </c>
      <c r="O34" s="15">
        <f t="shared" si="0"/>
        <v>8.7142857142857153</v>
      </c>
      <c r="P34" s="15">
        <f t="shared" si="1"/>
        <v>9.8571428571428577</v>
      </c>
      <c r="R34" s="38" t="s">
        <v>90</v>
      </c>
      <c r="S34" s="39">
        <f t="shared" ref="S34:AF34" si="26">MAX(S10:S12)</f>
        <v>5.4285714285714288</v>
      </c>
      <c r="T34" s="39">
        <f t="shared" si="26"/>
        <v>0</v>
      </c>
      <c r="U34" s="39">
        <f t="shared" si="26"/>
        <v>9.8571428571428577</v>
      </c>
      <c r="V34" s="39">
        <f t="shared" si="26"/>
        <v>8.1428571428571423</v>
      </c>
      <c r="W34" s="39">
        <f t="shared" si="26"/>
        <v>0.14285714285714285</v>
      </c>
      <c r="X34" s="39">
        <f t="shared" si="26"/>
        <v>0.71428571428571419</v>
      </c>
      <c r="Y34" s="39">
        <f t="shared" si="26"/>
        <v>3</v>
      </c>
      <c r="Z34" s="39">
        <f t="shared" si="26"/>
        <v>0.85714285714285698</v>
      </c>
      <c r="AA34" s="39">
        <f t="shared" si="26"/>
        <v>0.5714285714285714</v>
      </c>
      <c r="AB34" s="39">
        <f t="shared" si="26"/>
        <v>2.4285714285714284</v>
      </c>
      <c r="AC34" s="39">
        <f t="shared" si="26"/>
        <v>4.8571428571428577</v>
      </c>
      <c r="AD34" s="39">
        <f t="shared" si="26"/>
        <v>0</v>
      </c>
      <c r="AE34" s="40">
        <f t="shared" si="26"/>
        <v>28.285714285714285</v>
      </c>
      <c r="AF34" s="40">
        <f t="shared" si="26"/>
        <v>32.142857142857146</v>
      </c>
    </row>
    <row r="35" spans="2:32" ht="23.1" customHeight="1" x14ac:dyDescent="0.25">
      <c r="B35" s="24" t="s">
        <v>62</v>
      </c>
      <c r="C35" s="49">
        <f>AVERAGE('29.07 FORTPORTAL-KYENJOJO'!C35,'30.07 FORTPORAL-KYENJOJO'!C35,'31.07 FORTPORTAL-KYENJOJO'!C35,'02.08 FORTPORTAL-KYENJOJO'!C35,'01.08 FORTPORTAL-KYENJOJO 2-24h'!C35,'03.08 FORTPORTAL-KYENJOJO-24h'!C35,'04.08 FORTPORTAL-KYENJOJO'!C35)</f>
        <v>1.7142857142857142</v>
      </c>
      <c r="D35" s="49">
        <f>AVERAGE('29.07 FORTPORTAL-KYENJOJO'!D35,'30.07 FORTPORAL-KYENJOJO'!D35,'31.07 FORTPORTAL-KYENJOJO'!D35,'02.08 FORTPORTAL-KYENJOJO'!D35,'01.08 FORTPORTAL-KYENJOJO 2-24h'!D35,'03.08 FORTPORTAL-KYENJOJO-24h'!D35,'04.08 FORTPORTAL-KYENJOJO'!D35)</f>
        <v>0</v>
      </c>
      <c r="E35" s="49">
        <f>AVERAGE('29.07 FORTPORTAL-KYENJOJO'!E35,'30.07 FORTPORAL-KYENJOJO'!E35,'31.07 FORTPORTAL-KYENJOJO'!E35,'02.08 FORTPORTAL-KYENJOJO'!E35,'01.08 FORTPORTAL-KYENJOJO 2-24h'!E35,'03.08 FORTPORTAL-KYENJOJO-24h'!E35,'04.08 FORTPORTAL-KYENJOJO'!E35)</f>
        <v>2.7142857142857144</v>
      </c>
      <c r="F35" s="49">
        <f>AVERAGE('29.07 FORTPORTAL-KYENJOJO'!F35,'30.07 FORTPORAL-KYENJOJO'!F35,'31.07 FORTPORTAL-KYENJOJO'!F35,'02.08 FORTPORTAL-KYENJOJO'!F35,'01.08 FORTPORTAL-KYENJOJO 2-24h'!F35,'03.08 FORTPORTAL-KYENJOJO-24h'!F35,'04.08 FORTPORTAL-KYENJOJO'!F35)</f>
        <v>3.2857142857142856</v>
      </c>
      <c r="G35" s="49">
        <f>AVERAGE('29.07 FORTPORTAL-KYENJOJO'!G35,'30.07 FORTPORAL-KYENJOJO'!G35,'31.07 FORTPORTAL-KYENJOJO'!G35,'02.08 FORTPORTAL-KYENJOJO'!G35,'01.08 FORTPORTAL-KYENJOJO 2-24h'!G35,'03.08 FORTPORTAL-KYENJOJO-24h'!G35,'04.08 FORTPORTAL-KYENJOJO'!G35)</f>
        <v>0</v>
      </c>
      <c r="H35" s="49">
        <f>AVERAGE('29.07 FORTPORTAL-KYENJOJO'!H35,'30.07 FORTPORAL-KYENJOJO'!H35,'31.07 FORTPORTAL-KYENJOJO'!H35,'02.08 FORTPORTAL-KYENJOJO'!H35,'01.08 FORTPORTAL-KYENJOJO 2-24h'!H35,'03.08 FORTPORTAL-KYENJOJO-24h'!H35,'04.08 FORTPORTAL-KYENJOJO'!H35)</f>
        <v>0.8571428571428571</v>
      </c>
      <c r="I35" s="49">
        <f>AVERAGE('29.07 FORTPORTAL-KYENJOJO'!I35,'30.07 FORTPORAL-KYENJOJO'!I35,'31.07 FORTPORTAL-KYENJOJO'!I35,'02.08 FORTPORTAL-KYENJOJO'!I35,'01.08 FORTPORTAL-KYENJOJO 2-24h'!I35,'03.08 FORTPORTAL-KYENJOJO-24h'!I35,'04.08 FORTPORTAL-KYENJOJO'!I35)</f>
        <v>0.8571428571428571</v>
      </c>
      <c r="J35" s="49">
        <f>AVERAGE('29.07 FORTPORTAL-KYENJOJO'!J35,'30.07 FORTPORAL-KYENJOJO'!J35,'31.07 FORTPORTAL-KYENJOJO'!J35,'02.08 FORTPORTAL-KYENJOJO'!J35,'01.08 FORTPORTAL-KYENJOJO 2-24h'!J35,'03.08 FORTPORTAL-KYENJOJO-24h'!J35,'04.08 FORTPORTAL-KYENJOJO'!J35)</f>
        <v>0</v>
      </c>
      <c r="K35" s="49">
        <f>AVERAGE('29.07 FORTPORTAL-KYENJOJO'!K35,'30.07 FORTPORAL-KYENJOJO'!K35,'31.07 FORTPORTAL-KYENJOJO'!K35,'02.08 FORTPORTAL-KYENJOJO'!K35,'01.08 FORTPORTAL-KYENJOJO 2-24h'!K35,'03.08 FORTPORTAL-KYENJOJO-24h'!K35,'04.08 FORTPORTAL-KYENJOJO'!K35)</f>
        <v>0</v>
      </c>
      <c r="L35" s="49">
        <f>AVERAGE('29.07 FORTPORTAL-KYENJOJO'!L35,'30.07 FORTPORAL-KYENJOJO'!L35,'31.07 FORTPORTAL-KYENJOJO'!L35,'02.08 FORTPORTAL-KYENJOJO'!L35,'01.08 FORTPORTAL-KYENJOJO 2-24h'!L35,'03.08 FORTPORTAL-KYENJOJO-24h'!L35,'04.08 FORTPORTAL-KYENJOJO'!L35)</f>
        <v>0.42857142857142855</v>
      </c>
      <c r="M35" s="49">
        <f>AVERAGE('29.07 FORTPORTAL-KYENJOJO'!M35,'30.07 FORTPORAL-KYENJOJO'!M35,'31.07 FORTPORTAL-KYENJOJO'!M35,'02.08 FORTPORTAL-KYENJOJO'!M35,'01.08 FORTPORTAL-KYENJOJO 2-24h'!M35,'03.08 FORTPORTAL-KYENJOJO-24h'!M35,'04.08 FORTPORTAL-KYENJOJO'!M35)</f>
        <v>1</v>
      </c>
      <c r="N35" s="49">
        <f>AVERAGE('29.07 FORTPORTAL-KYENJOJO'!N35,'30.07 FORTPORAL-KYENJOJO'!N35,'31.07 FORTPORTAL-KYENJOJO'!N35,'02.08 FORTPORTAL-KYENJOJO'!N35,'01.08 FORTPORTAL-KYENJOJO 2-24h'!N35,'03.08 FORTPORTAL-KYENJOJO-24h'!N35,'04.08 FORTPORTAL-KYENJOJO'!N35)</f>
        <v>0</v>
      </c>
      <c r="O35" s="15">
        <f t="shared" si="0"/>
        <v>9.8571428571428577</v>
      </c>
      <c r="P35" s="15">
        <f t="shared" si="1"/>
        <v>10.857142857142858</v>
      </c>
      <c r="R35" s="38" t="s">
        <v>91</v>
      </c>
      <c r="S35" s="39">
        <f t="shared" ref="S35:AF35" si="27">MAX(S13:S18)</f>
        <v>5.7142857142857144</v>
      </c>
      <c r="T35" s="39">
        <f t="shared" si="27"/>
        <v>0</v>
      </c>
      <c r="U35" s="39">
        <f t="shared" si="27"/>
        <v>14.857142857142858</v>
      </c>
      <c r="V35" s="39">
        <f t="shared" si="27"/>
        <v>10.142857142857142</v>
      </c>
      <c r="W35" s="39">
        <f t="shared" si="27"/>
        <v>0.42857142857142855</v>
      </c>
      <c r="X35" s="39">
        <f t="shared" si="27"/>
        <v>2.5714285714285712</v>
      </c>
      <c r="Y35" s="39">
        <f t="shared" si="27"/>
        <v>4.4285714285714279</v>
      </c>
      <c r="Z35" s="39">
        <f t="shared" si="27"/>
        <v>1.1428571428571428</v>
      </c>
      <c r="AA35" s="39">
        <f t="shared" si="27"/>
        <v>0.2857142857142857</v>
      </c>
      <c r="AB35" s="39">
        <f t="shared" si="27"/>
        <v>2.4285714285714288</v>
      </c>
      <c r="AC35" s="39">
        <f t="shared" si="27"/>
        <v>6.5714285714285712</v>
      </c>
      <c r="AD35" s="39">
        <f t="shared" si="27"/>
        <v>0.14285714285714285</v>
      </c>
      <c r="AE35" s="40">
        <f t="shared" si="27"/>
        <v>39.142857142857146</v>
      </c>
      <c r="AF35" s="40">
        <f t="shared" si="27"/>
        <v>44.285714285714285</v>
      </c>
    </row>
    <row r="36" spans="2:32" ht="23.1" customHeight="1" x14ac:dyDescent="0.25">
      <c r="B36" s="24" t="s">
        <v>63</v>
      </c>
      <c r="C36" s="49">
        <f>AVERAGE('29.07 FORTPORTAL-KYENJOJO'!C36,'30.07 FORTPORAL-KYENJOJO'!C36,'31.07 FORTPORTAL-KYENJOJO'!C36,'02.08 FORTPORTAL-KYENJOJO'!C36,'01.08 FORTPORTAL-KYENJOJO 2-24h'!C36,'03.08 FORTPORTAL-KYENJOJO-24h'!C36,'04.08 FORTPORTAL-KYENJOJO'!C36)</f>
        <v>1.1428571428571428</v>
      </c>
      <c r="D36" s="49">
        <f>AVERAGE('29.07 FORTPORTAL-KYENJOJO'!D36,'30.07 FORTPORAL-KYENJOJO'!D36,'31.07 FORTPORTAL-KYENJOJO'!D36,'02.08 FORTPORTAL-KYENJOJO'!D36,'01.08 FORTPORTAL-KYENJOJO 2-24h'!D36,'03.08 FORTPORTAL-KYENJOJO-24h'!D36,'04.08 FORTPORTAL-KYENJOJO'!D36)</f>
        <v>0</v>
      </c>
      <c r="E36" s="49">
        <f>AVERAGE('29.07 FORTPORTAL-KYENJOJO'!E36,'30.07 FORTPORAL-KYENJOJO'!E36,'31.07 FORTPORTAL-KYENJOJO'!E36,'02.08 FORTPORTAL-KYENJOJO'!E36,'01.08 FORTPORTAL-KYENJOJO 2-24h'!E36,'03.08 FORTPORTAL-KYENJOJO-24h'!E36,'04.08 FORTPORTAL-KYENJOJO'!E36)</f>
        <v>2.2857142857142856</v>
      </c>
      <c r="F36" s="49">
        <f>AVERAGE('29.07 FORTPORTAL-KYENJOJO'!F36,'30.07 FORTPORAL-KYENJOJO'!F36,'31.07 FORTPORTAL-KYENJOJO'!F36,'02.08 FORTPORTAL-KYENJOJO'!F36,'01.08 FORTPORTAL-KYENJOJO 2-24h'!F36,'03.08 FORTPORTAL-KYENJOJO-24h'!F36,'04.08 FORTPORTAL-KYENJOJO'!F36)</f>
        <v>1.8571428571428572</v>
      </c>
      <c r="G36" s="49">
        <f>AVERAGE('29.07 FORTPORTAL-KYENJOJO'!G36,'30.07 FORTPORAL-KYENJOJO'!G36,'31.07 FORTPORTAL-KYENJOJO'!G36,'02.08 FORTPORTAL-KYENJOJO'!G36,'01.08 FORTPORTAL-KYENJOJO 2-24h'!G36,'03.08 FORTPORTAL-KYENJOJO-24h'!G36,'04.08 FORTPORTAL-KYENJOJO'!G36)</f>
        <v>0</v>
      </c>
      <c r="H36" s="49">
        <f>AVERAGE('29.07 FORTPORTAL-KYENJOJO'!H36,'30.07 FORTPORAL-KYENJOJO'!H36,'31.07 FORTPORTAL-KYENJOJO'!H36,'02.08 FORTPORTAL-KYENJOJO'!H36,'01.08 FORTPORTAL-KYENJOJO 2-24h'!H36,'03.08 FORTPORTAL-KYENJOJO-24h'!H36,'04.08 FORTPORTAL-KYENJOJO'!H36)</f>
        <v>0.14285714285714285</v>
      </c>
      <c r="I36" s="49">
        <f>AVERAGE('29.07 FORTPORTAL-KYENJOJO'!I36,'30.07 FORTPORAL-KYENJOJO'!I36,'31.07 FORTPORTAL-KYENJOJO'!I36,'02.08 FORTPORTAL-KYENJOJO'!I36,'01.08 FORTPORTAL-KYENJOJO 2-24h'!I36,'03.08 FORTPORTAL-KYENJOJO-24h'!I36,'04.08 FORTPORTAL-KYENJOJO'!I36)</f>
        <v>1.1428571428571428</v>
      </c>
      <c r="J36" s="49">
        <f>AVERAGE('29.07 FORTPORTAL-KYENJOJO'!J36,'30.07 FORTPORAL-KYENJOJO'!J36,'31.07 FORTPORTAL-KYENJOJO'!J36,'02.08 FORTPORTAL-KYENJOJO'!J36,'01.08 FORTPORTAL-KYENJOJO 2-24h'!J36,'03.08 FORTPORTAL-KYENJOJO-24h'!J36,'04.08 FORTPORTAL-KYENJOJO'!J36)</f>
        <v>0</v>
      </c>
      <c r="K36" s="49">
        <f>AVERAGE('29.07 FORTPORTAL-KYENJOJO'!K36,'30.07 FORTPORAL-KYENJOJO'!K36,'31.07 FORTPORTAL-KYENJOJO'!K36,'02.08 FORTPORTAL-KYENJOJO'!K36,'01.08 FORTPORTAL-KYENJOJO 2-24h'!K36,'03.08 FORTPORTAL-KYENJOJO-24h'!K36,'04.08 FORTPORTAL-KYENJOJO'!K36)</f>
        <v>0</v>
      </c>
      <c r="L36" s="49">
        <f>AVERAGE('29.07 FORTPORTAL-KYENJOJO'!L36,'30.07 FORTPORAL-KYENJOJO'!L36,'31.07 FORTPORTAL-KYENJOJO'!L36,'02.08 FORTPORTAL-KYENJOJO'!L36,'01.08 FORTPORTAL-KYENJOJO 2-24h'!L36,'03.08 FORTPORTAL-KYENJOJO-24h'!L36,'04.08 FORTPORTAL-KYENJOJO'!L36)</f>
        <v>0.42857142857142855</v>
      </c>
      <c r="M36" s="49">
        <f>AVERAGE('29.07 FORTPORTAL-KYENJOJO'!M36,'30.07 FORTPORAL-KYENJOJO'!M36,'31.07 FORTPORTAL-KYENJOJO'!M36,'02.08 FORTPORTAL-KYENJOJO'!M36,'01.08 FORTPORTAL-KYENJOJO 2-24h'!M36,'03.08 FORTPORTAL-KYENJOJO-24h'!M36,'04.08 FORTPORTAL-KYENJOJO'!M36)</f>
        <v>1.2857142857142858</v>
      </c>
      <c r="N36" s="49">
        <f>AVERAGE('29.07 FORTPORTAL-KYENJOJO'!N36,'30.07 FORTPORAL-KYENJOJO'!N36,'31.07 FORTPORTAL-KYENJOJO'!N36,'02.08 FORTPORTAL-KYENJOJO'!N36,'01.08 FORTPORTAL-KYENJOJO 2-24h'!N36,'03.08 FORTPORTAL-KYENJOJO-24h'!N36,'04.08 FORTPORTAL-KYENJOJO'!N36)</f>
        <v>0</v>
      </c>
      <c r="O36" s="15">
        <f t="shared" si="0"/>
        <v>7</v>
      </c>
      <c r="P36" s="15">
        <f t="shared" si="1"/>
        <v>8.2857142857142865</v>
      </c>
      <c r="R36" s="38" t="s">
        <v>92</v>
      </c>
      <c r="S36" s="39">
        <f t="shared" ref="S36:AF36" si="28">MAX(S19:S21)</f>
        <v>5.7142857142857135</v>
      </c>
      <c r="T36" s="39">
        <f t="shared" si="28"/>
        <v>0</v>
      </c>
      <c r="U36" s="39">
        <f t="shared" si="28"/>
        <v>11.571428571428571</v>
      </c>
      <c r="V36" s="39">
        <f t="shared" si="28"/>
        <v>8.2857142857142865</v>
      </c>
      <c r="W36" s="39">
        <f t="shared" si="28"/>
        <v>0.71428571428571419</v>
      </c>
      <c r="X36" s="39">
        <f t="shared" si="28"/>
        <v>2</v>
      </c>
      <c r="Y36" s="39">
        <f t="shared" si="28"/>
        <v>5.1428571428571423</v>
      </c>
      <c r="Z36" s="39">
        <f t="shared" si="28"/>
        <v>0.14285714285714285</v>
      </c>
      <c r="AA36" s="39">
        <f t="shared" si="28"/>
        <v>0.2857142857142857</v>
      </c>
      <c r="AB36" s="39">
        <f t="shared" si="28"/>
        <v>2</v>
      </c>
      <c r="AC36" s="39">
        <f t="shared" si="28"/>
        <v>6.1428571428571432</v>
      </c>
      <c r="AD36" s="39">
        <f t="shared" si="28"/>
        <v>0.2857142857142857</v>
      </c>
      <c r="AE36" s="40">
        <f t="shared" si="28"/>
        <v>34.714285714285715</v>
      </c>
      <c r="AF36" s="40">
        <f t="shared" si="28"/>
        <v>40.857142857142861</v>
      </c>
    </row>
    <row r="37" spans="2:32" ht="23.1" customHeight="1" x14ac:dyDescent="0.25">
      <c r="B37" s="23" t="s">
        <v>64</v>
      </c>
      <c r="C37" s="49">
        <f>AVERAGE('29.07 FORTPORTAL-KYENJOJO'!C37,'30.07 FORTPORAL-KYENJOJO'!C37,'31.07 FORTPORTAL-KYENJOJO'!C37,'02.08 FORTPORTAL-KYENJOJO'!C37,'01.08 FORTPORTAL-KYENJOJO 2-24h'!C37,'03.08 FORTPORTAL-KYENJOJO-24h'!C37,'04.08 FORTPORTAL-KYENJOJO'!C37)</f>
        <v>0.8571428571428571</v>
      </c>
      <c r="D37" s="49">
        <f>AVERAGE('29.07 FORTPORTAL-KYENJOJO'!D37,'30.07 FORTPORAL-KYENJOJO'!D37,'31.07 FORTPORTAL-KYENJOJO'!D37,'02.08 FORTPORTAL-KYENJOJO'!D37,'01.08 FORTPORTAL-KYENJOJO 2-24h'!D37,'03.08 FORTPORTAL-KYENJOJO-24h'!D37,'04.08 FORTPORTAL-KYENJOJO'!D37)</f>
        <v>0</v>
      </c>
      <c r="E37" s="49">
        <f>AVERAGE('29.07 FORTPORTAL-KYENJOJO'!E37,'30.07 FORTPORAL-KYENJOJO'!E37,'31.07 FORTPORTAL-KYENJOJO'!E37,'02.08 FORTPORTAL-KYENJOJO'!E37,'01.08 FORTPORTAL-KYENJOJO 2-24h'!E37,'03.08 FORTPORTAL-KYENJOJO-24h'!E37,'04.08 FORTPORTAL-KYENJOJO'!E37)</f>
        <v>3.2857142857142856</v>
      </c>
      <c r="F37" s="49">
        <f>AVERAGE('29.07 FORTPORTAL-KYENJOJO'!F37,'30.07 FORTPORAL-KYENJOJO'!F37,'31.07 FORTPORTAL-KYENJOJO'!F37,'02.08 FORTPORTAL-KYENJOJO'!F37,'01.08 FORTPORTAL-KYENJOJO 2-24h'!F37,'03.08 FORTPORTAL-KYENJOJO-24h'!F37,'04.08 FORTPORTAL-KYENJOJO'!F37)</f>
        <v>1.7142857142857142</v>
      </c>
      <c r="G37" s="49">
        <f>AVERAGE('29.07 FORTPORTAL-KYENJOJO'!G37,'30.07 FORTPORAL-KYENJOJO'!G37,'31.07 FORTPORTAL-KYENJOJO'!G37,'02.08 FORTPORTAL-KYENJOJO'!G37,'01.08 FORTPORTAL-KYENJOJO 2-24h'!G37,'03.08 FORTPORTAL-KYENJOJO-24h'!G37,'04.08 FORTPORTAL-KYENJOJO'!G37)</f>
        <v>0</v>
      </c>
      <c r="H37" s="49">
        <f>AVERAGE('29.07 FORTPORTAL-KYENJOJO'!H37,'30.07 FORTPORAL-KYENJOJO'!H37,'31.07 FORTPORTAL-KYENJOJO'!H37,'02.08 FORTPORTAL-KYENJOJO'!H37,'01.08 FORTPORTAL-KYENJOJO 2-24h'!H37,'03.08 FORTPORTAL-KYENJOJO-24h'!H37,'04.08 FORTPORTAL-KYENJOJO'!H37)</f>
        <v>0</v>
      </c>
      <c r="I37" s="49">
        <f>AVERAGE('29.07 FORTPORTAL-KYENJOJO'!I37,'30.07 FORTPORAL-KYENJOJO'!I37,'31.07 FORTPORTAL-KYENJOJO'!I37,'02.08 FORTPORTAL-KYENJOJO'!I37,'01.08 FORTPORTAL-KYENJOJO 2-24h'!I37,'03.08 FORTPORTAL-KYENJOJO-24h'!I37,'04.08 FORTPORTAL-KYENJOJO'!I37)</f>
        <v>0.42857142857142855</v>
      </c>
      <c r="J37" s="49">
        <f>AVERAGE('29.07 FORTPORTAL-KYENJOJO'!J37,'30.07 FORTPORAL-KYENJOJO'!J37,'31.07 FORTPORTAL-KYENJOJO'!J37,'02.08 FORTPORTAL-KYENJOJO'!J37,'01.08 FORTPORTAL-KYENJOJO 2-24h'!J37,'03.08 FORTPORTAL-KYENJOJO-24h'!J37,'04.08 FORTPORTAL-KYENJOJO'!J37)</f>
        <v>0</v>
      </c>
      <c r="K37" s="49">
        <f>AVERAGE('29.07 FORTPORTAL-KYENJOJO'!K37,'30.07 FORTPORAL-KYENJOJO'!K37,'31.07 FORTPORTAL-KYENJOJO'!K37,'02.08 FORTPORTAL-KYENJOJO'!K37,'01.08 FORTPORTAL-KYENJOJO 2-24h'!K37,'03.08 FORTPORTAL-KYENJOJO-24h'!K37,'04.08 FORTPORTAL-KYENJOJO'!K37)</f>
        <v>0</v>
      </c>
      <c r="L37" s="49">
        <f>AVERAGE('29.07 FORTPORTAL-KYENJOJO'!L37,'30.07 FORTPORAL-KYENJOJO'!L37,'31.07 FORTPORTAL-KYENJOJO'!L37,'02.08 FORTPORTAL-KYENJOJO'!L37,'01.08 FORTPORTAL-KYENJOJO 2-24h'!L37,'03.08 FORTPORTAL-KYENJOJO-24h'!L37,'04.08 FORTPORTAL-KYENJOJO'!L37)</f>
        <v>0</v>
      </c>
      <c r="M37" s="49">
        <f>AVERAGE('29.07 FORTPORTAL-KYENJOJO'!M37,'30.07 FORTPORAL-KYENJOJO'!M37,'31.07 FORTPORTAL-KYENJOJO'!M37,'02.08 FORTPORTAL-KYENJOJO'!M37,'01.08 FORTPORTAL-KYENJOJO 2-24h'!M37,'03.08 FORTPORTAL-KYENJOJO-24h'!M37,'04.08 FORTPORTAL-KYENJOJO'!M37)</f>
        <v>0.42857142857142855</v>
      </c>
      <c r="N37" s="49">
        <f>AVERAGE('29.07 FORTPORTAL-KYENJOJO'!N37,'30.07 FORTPORAL-KYENJOJO'!N37,'31.07 FORTPORTAL-KYENJOJO'!N37,'02.08 FORTPORTAL-KYENJOJO'!N37,'01.08 FORTPORTAL-KYENJOJO 2-24h'!N37,'03.08 FORTPORTAL-KYENJOJO-24h'!N37,'04.08 FORTPORTAL-KYENJOJO'!N37)</f>
        <v>0</v>
      </c>
      <c r="O37" s="15">
        <f t="shared" si="0"/>
        <v>6.2857142857142856</v>
      </c>
      <c r="P37" s="15">
        <f t="shared" si="1"/>
        <v>6.7142857142857144</v>
      </c>
      <c r="R37" s="37" t="s">
        <v>85</v>
      </c>
      <c r="S37" s="35">
        <f t="shared" ref="S37:AF37" si="29">SUM(S10:S12)</f>
        <v>12.571428571428573</v>
      </c>
      <c r="T37" s="16">
        <f t="shared" si="29"/>
        <v>0</v>
      </c>
      <c r="U37" s="16">
        <f t="shared" si="29"/>
        <v>20.285714285714285</v>
      </c>
      <c r="V37" s="16">
        <f t="shared" si="29"/>
        <v>20.857142857142854</v>
      </c>
      <c r="W37" s="16">
        <f t="shared" si="29"/>
        <v>0.2857142857142857</v>
      </c>
      <c r="X37" s="16">
        <f t="shared" si="29"/>
        <v>1.9999999999999998</v>
      </c>
      <c r="Y37" s="16">
        <f t="shared" si="29"/>
        <v>8.4285714285714288</v>
      </c>
      <c r="Z37" s="16">
        <f t="shared" si="29"/>
        <v>1.9999999999999998</v>
      </c>
      <c r="AA37" s="16">
        <f t="shared" si="29"/>
        <v>1</v>
      </c>
      <c r="AB37" s="16">
        <f t="shared" si="29"/>
        <v>5.5714285714285712</v>
      </c>
      <c r="AC37" s="16">
        <f t="shared" si="29"/>
        <v>13</v>
      </c>
      <c r="AD37" s="16">
        <f t="shared" si="29"/>
        <v>0</v>
      </c>
      <c r="AE37" s="32">
        <f t="shared" si="29"/>
        <v>73</v>
      </c>
      <c r="AF37" s="32">
        <f t="shared" si="29"/>
        <v>86</v>
      </c>
    </row>
    <row r="38" spans="2:32" ht="23.1" customHeight="1" x14ac:dyDescent="0.25">
      <c r="B38" s="24" t="s">
        <v>65</v>
      </c>
      <c r="C38" s="49">
        <f>AVERAGE('29.07 FORTPORTAL-KYENJOJO'!C38,'30.07 FORTPORAL-KYENJOJO'!C38,'31.07 FORTPORTAL-KYENJOJO'!C38,'02.08 FORTPORTAL-KYENJOJO'!C38,'01.08 FORTPORTAL-KYENJOJO 2-24h'!C38,'03.08 FORTPORTAL-KYENJOJO-24h'!C38,'04.08 FORTPORTAL-KYENJOJO'!C38)</f>
        <v>0.2857142857142857</v>
      </c>
      <c r="D38" s="49">
        <f>AVERAGE('29.07 FORTPORTAL-KYENJOJO'!D38,'30.07 FORTPORAL-KYENJOJO'!D38,'31.07 FORTPORTAL-KYENJOJO'!D38,'02.08 FORTPORTAL-KYENJOJO'!D38,'01.08 FORTPORTAL-KYENJOJO 2-24h'!D38,'03.08 FORTPORTAL-KYENJOJO-24h'!D38,'04.08 FORTPORTAL-KYENJOJO'!D38)</f>
        <v>0</v>
      </c>
      <c r="E38" s="49">
        <f>AVERAGE('29.07 FORTPORTAL-KYENJOJO'!E38,'30.07 FORTPORAL-KYENJOJO'!E38,'31.07 FORTPORTAL-KYENJOJO'!E38,'02.08 FORTPORTAL-KYENJOJO'!E38,'01.08 FORTPORTAL-KYENJOJO 2-24h'!E38,'03.08 FORTPORTAL-KYENJOJO-24h'!E38,'04.08 FORTPORTAL-KYENJOJO'!E38)</f>
        <v>2.7142857142857144</v>
      </c>
      <c r="F38" s="49">
        <f>AVERAGE('29.07 FORTPORTAL-KYENJOJO'!F38,'30.07 FORTPORAL-KYENJOJO'!F38,'31.07 FORTPORTAL-KYENJOJO'!F38,'02.08 FORTPORTAL-KYENJOJO'!F38,'01.08 FORTPORTAL-KYENJOJO 2-24h'!F38,'03.08 FORTPORTAL-KYENJOJO-24h'!F38,'04.08 FORTPORTAL-KYENJOJO'!F38)</f>
        <v>2.1428571428571428</v>
      </c>
      <c r="G38" s="49">
        <f>AVERAGE('29.07 FORTPORTAL-KYENJOJO'!G38,'30.07 FORTPORAL-KYENJOJO'!G38,'31.07 FORTPORTAL-KYENJOJO'!G38,'02.08 FORTPORTAL-KYENJOJO'!G38,'01.08 FORTPORTAL-KYENJOJO 2-24h'!G38,'03.08 FORTPORTAL-KYENJOJO-24h'!G38,'04.08 FORTPORTAL-KYENJOJO'!G38)</f>
        <v>0</v>
      </c>
      <c r="H38" s="49">
        <f>AVERAGE('29.07 FORTPORTAL-KYENJOJO'!H38,'30.07 FORTPORAL-KYENJOJO'!H38,'31.07 FORTPORTAL-KYENJOJO'!H38,'02.08 FORTPORTAL-KYENJOJO'!H38,'01.08 FORTPORTAL-KYENJOJO 2-24h'!H38,'03.08 FORTPORTAL-KYENJOJO-24h'!H38,'04.08 FORTPORTAL-KYENJOJO'!H38)</f>
        <v>0.7142857142857143</v>
      </c>
      <c r="I38" s="49">
        <f>AVERAGE('29.07 FORTPORTAL-KYENJOJO'!I38,'30.07 FORTPORAL-KYENJOJO'!I38,'31.07 FORTPORTAL-KYENJOJO'!I38,'02.08 FORTPORTAL-KYENJOJO'!I38,'01.08 FORTPORTAL-KYENJOJO 2-24h'!I38,'03.08 FORTPORTAL-KYENJOJO-24h'!I38,'04.08 FORTPORTAL-KYENJOJO'!I38)</f>
        <v>1.1428571428571428</v>
      </c>
      <c r="J38" s="49">
        <f>AVERAGE('29.07 FORTPORTAL-KYENJOJO'!J38,'30.07 FORTPORAL-KYENJOJO'!J38,'31.07 FORTPORTAL-KYENJOJO'!J38,'02.08 FORTPORTAL-KYENJOJO'!J38,'01.08 FORTPORTAL-KYENJOJO 2-24h'!J38,'03.08 FORTPORTAL-KYENJOJO-24h'!J38,'04.08 FORTPORTAL-KYENJOJO'!J38)</f>
        <v>0</v>
      </c>
      <c r="K38" s="49">
        <f>AVERAGE('29.07 FORTPORTAL-KYENJOJO'!K38,'30.07 FORTPORAL-KYENJOJO'!K38,'31.07 FORTPORTAL-KYENJOJO'!K38,'02.08 FORTPORTAL-KYENJOJO'!K38,'01.08 FORTPORTAL-KYENJOJO 2-24h'!K38,'03.08 FORTPORTAL-KYENJOJO-24h'!K38,'04.08 FORTPORTAL-KYENJOJO'!K38)</f>
        <v>0</v>
      </c>
      <c r="L38" s="49">
        <f>AVERAGE('29.07 FORTPORTAL-KYENJOJO'!L38,'30.07 FORTPORAL-KYENJOJO'!L38,'31.07 FORTPORTAL-KYENJOJO'!L38,'02.08 FORTPORTAL-KYENJOJO'!L38,'01.08 FORTPORTAL-KYENJOJO 2-24h'!L38,'03.08 FORTPORTAL-KYENJOJO-24h'!L38,'04.08 FORTPORTAL-KYENJOJO'!L38)</f>
        <v>0.42857142857142855</v>
      </c>
      <c r="M38" s="49">
        <f>AVERAGE('29.07 FORTPORTAL-KYENJOJO'!M38,'30.07 FORTPORAL-KYENJOJO'!M38,'31.07 FORTPORTAL-KYENJOJO'!M38,'02.08 FORTPORTAL-KYENJOJO'!M38,'01.08 FORTPORTAL-KYENJOJO 2-24h'!M38,'03.08 FORTPORTAL-KYENJOJO-24h'!M38,'04.08 FORTPORTAL-KYENJOJO'!M38)</f>
        <v>1</v>
      </c>
      <c r="N38" s="49">
        <f>AVERAGE('29.07 FORTPORTAL-KYENJOJO'!N38,'30.07 FORTPORAL-KYENJOJO'!N38,'31.07 FORTPORTAL-KYENJOJO'!N38,'02.08 FORTPORTAL-KYENJOJO'!N38,'01.08 FORTPORTAL-KYENJOJO 2-24h'!N38,'03.08 FORTPORTAL-KYENJOJO-24h'!N38,'04.08 FORTPORTAL-KYENJOJO'!N38)</f>
        <v>0</v>
      </c>
      <c r="O38" s="15">
        <f t="shared" si="0"/>
        <v>7.4285714285714288</v>
      </c>
      <c r="P38" s="15">
        <f t="shared" si="1"/>
        <v>8.4285714285714288</v>
      </c>
      <c r="R38" s="28" t="s">
        <v>86</v>
      </c>
      <c r="S38" s="16">
        <f t="shared" ref="S38:AF38" si="30">SUM(S13:S18)</f>
        <v>28.999999999999996</v>
      </c>
      <c r="T38" s="16">
        <f t="shared" si="30"/>
        <v>0</v>
      </c>
      <c r="U38" s="16">
        <f t="shared" si="30"/>
        <v>65.857142857142861</v>
      </c>
      <c r="V38" s="16">
        <f t="shared" si="30"/>
        <v>52.857142857142847</v>
      </c>
      <c r="W38" s="16">
        <f t="shared" si="30"/>
        <v>1.1428571428571428</v>
      </c>
      <c r="X38" s="16">
        <f t="shared" si="30"/>
        <v>9.1428571428571423</v>
      </c>
      <c r="Y38" s="16">
        <f t="shared" si="30"/>
        <v>19.857142857142858</v>
      </c>
      <c r="Z38" s="16">
        <f t="shared" si="30"/>
        <v>2.9999999999999996</v>
      </c>
      <c r="AA38" s="16">
        <f t="shared" si="30"/>
        <v>0.85714285714285698</v>
      </c>
      <c r="AB38" s="16">
        <f t="shared" si="30"/>
        <v>9.5714285714285712</v>
      </c>
      <c r="AC38" s="16">
        <f t="shared" si="30"/>
        <v>29.142857142857146</v>
      </c>
      <c r="AD38" s="16">
        <f t="shared" si="30"/>
        <v>0.14285714285714285</v>
      </c>
      <c r="AE38" s="32">
        <f t="shared" si="30"/>
        <v>191.42857142857144</v>
      </c>
      <c r="AF38" s="32">
        <f t="shared" si="30"/>
        <v>220.57142857142858</v>
      </c>
    </row>
    <row r="39" spans="2:32" ht="23.1" customHeight="1" x14ac:dyDescent="0.25">
      <c r="B39" s="24" t="s">
        <v>66</v>
      </c>
      <c r="C39" s="49">
        <f>AVERAGE('29.07 FORTPORTAL-KYENJOJO'!C39,'30.07 FORTPORAL-KYENJOJO'!C39,'31.07 FORTPORTAL-KYENJOJO'!C39,'02.08 FORTPORTAL-KYENJOJO'!C39,'01.08 FORTPORTAL-KYENJOJO 2-24h'!C39,'03.08 FORTPORTAL-KYENJOJO-24h'!C39,'04.08 FORTPORTAL-KYENJOJO'!C39)</f>
        <v>1.1428571428571428</v>
      </c>
      <c r="D39" s="49">
        <f>AVERAGE('29.07 FORTPORTAL-KYENJOJO'!D39,'30.07 FORTPORAL-KYENJOJO'!D39,'31.07 FORTPORTAL-KYENJOJO'!D39,'02.08 FORTPORTAL-KYENJOJO'!D39,'01.08 FORTPORTAL-KYENJOJO 2-24h'!D39,'03.08 FORTPORTAL-KYENJOJO-24h'!D39,'04.08 FORTPORTAL-KYENJOJO'!D39)</f>
        <v>0</v>
      </c>
      <c r="E39" s="49">
        <f>AVERAGE('29.07 FORTPORTAL-KYENJOJO'!E39,'30.07 FORTPORAL-KYENJOJO'!E39,'31.07 FORTPORTAL-KYENJOJO'!E39,'02.08 FORTPORTAL-KYENJOJO'!E39,'01.08 FORTPORTAL-KYENJOJO 2-24h'!E39,'03.08 FORTPORTAL-KYENJOJO-24h'!E39,'04.08 FORTPORTAL-KYENJOJO'!E39)</f>
        <v>1.7142857142857142</v>
      </c>
      <c r="F39" s="49">
        <f>AVERAGE('29.07 FORTPORTAL-KYENJOJO'!F39,'30.07 FORTPORAL-KYENJOJO'!F39,'31.07 FORTPORTAL-KYENJOJO'!F39,'02.08 FORTPORTAL-KYENJOJO'!F39,'01.08 FORTPORTAL-KYENJOJO 2-24h'!F39,'03.08 FORTPORTAL-KYENJOJO-24h'!F39,'04.08 FORTPORTAL-KYENJOJO'!F39)</f>
        <v>2</v>
      </c>
      <c r="G39" s="49">
        <f>AVERAGE('29.07 FORTPORTAL-KYENJOJO'!G39,'30.07 FORTPORAL-KYENJOJO'!G39,'31.07 FORTPORTAL-KYENJOJO'!G39,'02.08 FORTPORTAL-KYENJOJO'!G39,'01.08 FORTPORTAL-KYENJOJO 2-24h'!G39,'03.08 FORTPORTAL-KYENJOJO-24h'!G39,'04.08 FORTPORTAL-KYENJOJO'!G39)</f>
        <v>0.14285714285714285</v>
      </c>
      <c r="H39" s="49">
        <f>AVERAGE('29.07 FORTPORTAL-KYENJOJO'!H39,'30.07 FORTPORAL-KYENJOJO'!H39,'31.07 FORTPORTAL-KYENJOJO'!H39,'02.08 FORTPORTAL-KYENJOJO'!H39,'01.08 FORTPORTAL-KYENJOJO 2-24h'!H39,'03.08 FORTPORTAL-KYENJOJO-24h'!H39,'04.08 FORTPORTAL-KYENJOJO'!H39)</f>
        <v>0.8571428571428571</v>
      </c>
      <c r="I39" s="49">
        <f>AVERAGE('29.07 FORTPORTAL-KYENJOJO'!I39,'30.07 FORTPORAL-KYENJOJO'!I39,'31.07 FORTPORTAL-KYENJOJO'!I39,'02.08 FORTPORTAL-KYENJOJO'!I39,'01.08 FORTPORTAL-KYENJOJO 2-24h'!I39,'03.08 FORTPORTAL-KYENJOJO-24h'!I39,'04.08 FORTPORTAL-KYENJOJO'!I39)</f>
        <v>1.4285714285714286</v>
      </c>
      <c r="J39" s="49">
        <f>AVERAGE('29.07 FORTPORTAL-KYENJOJO'!J39,'30.07 FORTPORAL-KYENJOJO'!J39,'31.07 FORTPORTAL-KYENJOJO'!J39,'02.08 FORTPORTAL-KYENJOJO'!J39,'01.08 FORTPORTAL-KYENJOJO 2-24h'!J39,'03.08 FORTPORTAL-KYENJOJO-24h'!J39,'04.08 FORTPORTAL-KYENJOJO'!J39)</f>
        <v>0</v>
      </c>
      <c r="K39" s="49">
        <f>AVERAGE('29.07 FORTPORTAL-KYENJOJO'!K39,'30.07 FORTPORAL-KYENJOJO'!K39,'31.07 FORTPORTAL-KYENJOJO'!K39,'02.08 FORTPORTAL-KYENJOJO'!K39,'01.08 FORTPORTAL-KYENJOJO 2-24h'!K39,'03.08 FORTPORTAL-KYENJOJO-24h'!K39,'04.08 FORTPORTAL-KYENJOJO'!K39)</f>
        <v>0.14285714285714285</v>
      </c>
      <c r="L39" s="49">
        <f>AVERAGE('29.07 FORTPORTAL-KYENJOJO'!L39,'30.07 FORTPORAL-KYENJOJO'!L39,'31.07 FORTPORTAL-KYENJOJO'!L39,'02.08 FORTPORTAL-KYENJOJO'!L39,'01.08 FORTPORTAL-KYENJOJO 2-24h'!L39,'03.08 FORTPORTAL-KYENJOJO-24h'!L39,'04.08 FORTPORTAL-KYENJOJO'!L39)</f>
        <v>1.1428571428571428</v>
      </c>
      <c r="M39" s="49">
        <f>AVERAGE('29.07 FORTPORTAL-KYENJOJO'!M39,'30.07 FORTPORAL-KYENJOJO'!M39,'31.07 FORTPORTAL-KYENJOJO'!M39,'02.08 FORTPORTAL-KYENJOJO'!M39,'01.08 FORTPORTAL-KYENJOJO 2-24h'!M39,'03.08 FORTPORTAL-KYENJOJO-24h'!M39,'04.08 FORTPORTAL-KYENJOJO'!M39)</f>
        <v>1.8571428571428572</v>
      </c>
      <c r="N39" s="49">
        <f>AVERAGE('29.07 FORTPORTAL-KYENJOJO'!N39,'30.07 FORTPORAL-KYENJOJO'!N39,'31.07 FORTPORTAL-KYENJOJO'!N39,'02.08 FORTPORTAL-KYENJOJO'!N39,'01.08 FORTPORTAL-KYENJOJO 2-24h'!N39,'03.08 FORTPORTAL-KYENJOJO-24h'!N39,'04.08 FORTPORTAL-KYENJOJO'!N39)</f>
        <v>0</v>
      </c>
      <c r="O39" s="15">
        <f t="shared" si="0"/>
        <v>8.5714285714285712</v>
      </c>
      <c r="P39" s="15">
        <f t="shared" si="1"/>
        <v>10.428571428571429</v>
      </c>
      <c r="R39" s="29" t="s">
        <v>87</v>
      </c>
      <c r="S39" s="16">
        <f t="shared" ref="S39:AF39" si="31">SUM(S19:S21)</f>
        <v>16</v>
      </c>
      <c r="T39" s="16">
        <f t="shared" si="31"/>
        <v>0</v>
      </c>
      <c r="U39" s="16">
        <f t="shared" si="31"/>
        <v>31.857142857142858</v>
      </c>
      <c r="V39" s="16">
        <f t="shared" si="31"/>
        <v>22.714285714285715</v>
      </c>
      <c r="W39" s="16">
        <f t="shared" si="31"/>
        <v>1.1428571428571428</v>
      </c>
      <c r="X39" s="16">
        <f t="shared" si="31"/>
        <v>5.8571428571428577</v>
      </c>
      <c r="Y39" s="16">
        <f t="shared" si="31"/>
        <v>13.571428571428569</v>
      </c>
      <c r="Z39" s="16">
        <f t="shared" si="31"/>
        <v>0.14285714285714285</v>
      </c>
      <c r="AA39" s="16">
        <f t="shared" si="31"/>
        <v>0.42857142857142855</v>
      </c>
      <c r="AB39" s="16">
        <f t="shared" si="31"/>
        <v>5.4285714285714288</v>
      </c>
      <c r="AC39" s="16">
        <f t="shared" si="31"/>
        <v>15.571428571428573</v>
      </c>
      <c r="AD39" s="16">
        <f t="shared" si="31"/>
        <v>0.2857142857142857</v>
      </c>
      <c r="AE39" s="32">
        <f t="shared" si="31"/>
        <v>97.428571428571416</v>
      </c>
      <c r="AF39" s="32">
        <f t="shared" si="31"/>
        <v>113</v>
      </c>
    </row>
    <row r="40" spans="2:32" ht="23.1" customHeight="1" x14ac:dyDescent="0.25">
      <c r="B40" s="24" t="s">
        <v>67</v>
      </c>
      <c r="C40" s="49">
        <f>AVERAGE('29.07 FORTPORTAL-KYENJOJO'!C40,'30.07 FORTPORAL-KYENJOJO'!C40,'31.07 FORTPORTAL-KYENJOJO'!C40,'02.08 FORTPORTAL-KYENJOJO'!C40,'01.08 FORTPORTAL-KYENJOJO 2-24h'!C40,'03.08 FORTPORTAL-KYENJOJO-24h'!C40,'04.08 FORTPORTAL-KYENJOJO'!C40)</f>
        <v>1</v>
      </c>
      <c r="D40" s="49">
        <f>AVERAGE('29.07 FORTPORTAL-KYENJOJO'!D40,'30.07 FORTPORAL-KYENJOJO'!D40,'31.07 FORTPORTAL-KYENJOJO'!D40,'02.08 FORTPORTAL-KYENJOJO'!D40,'01.08 FORTPORTAL-KYENJOJO 2-24h'!D40,'03.08 FORTPORTAL-KYENJOJO-24h'!D40,'04.08 FORTPORTAL-KYENJOJO'!D40)</f>
        <v>0</v>
      </c>
      <c r="E40" s="49">
        <f>AVERAGE('29.07 FORTPORTAL-KYENJOJO'!E40,'30.07 FORTPORAL-KYENJOJO'!E40,'31.07 FORTPORTAL-KYENJOJO'!E40,'02.08 FORTPORTAL-KYENJOJO'!E40,'01.08 FORTPORTAL-KYENJOJO 2-24h'!E40,'03.08 FORTPORTAL-KYENJOJO-24h'!E40,'04.08 FORTPORTAL-KYENJOJO'!E40)</f>
        <v>1.1428571428571428</v>
      </c>
      <c r="F40" s="49">
        <f>AVERAGE('29.07 FORTPORTAL-KYENJOJO'!F40,'30.07 FORTPORAL-KYENJOJO'!F40,'31.07 FORTPORTAL-KYENJOJO'!F40,'02.08 FORTPORTAL-KYENJOJO'!F40,'01.08 FORTPORTAL-KYENJOJO 2-24h'!F40,'03.08 FORTPORTAL-KYENJOJO-24h'!F40,'04.08 FORTPORTAL-KYENJOJO'!F40)</f>
        <v>1.7142857142857142</v>
      </c>
      <c r="G40" s="49">
        <f>AVERAGE('29.07 FORTPORTAL-KYENJOJO'!G40,'30.07 FORTPORAL-KYENJOJO'!G40,'31.07 FORTPORTAL-KYENJOJO'!G40,'02.08 FORTPORTAL-KYENJOJO'!G40,'01.08 FORTPORTAL-KYENJOJO 2-24h'!G40,'03.08 FORTPORTAL-KYENJOJO-24h'!G40,'04.08 FORTPORTAL-KYENJOJO'!G40)</f>
        <v>0.14285714285714285</v>
      </c>
      <c r="H40" s="49">
        <f>AVERAGE('29.07 FORTPORTAL-KYENJOJO'!H40,'30.07 FORTPORAL-KYENJOJO'!H40,'31.07 FORTPORTAL-KYENJOJO'!H40,'02.08 FORTPORTAL-KYENJOJO'!H40,'01.08 FORTPORTAL-KYENJOJO 2-24h'!H40,'03.08 FORTPORTAL-KYENJOJO-24h'!H40,'04.08 FORTPORTAL-KYENJOJO'!H40)</f>
        <v>0.5714285714285714</v>
      </c>
      <c r="I40" s="49">
        <f>AVERAGE('29.07 FORTPORTAL-KYENJOJO'!I40,'30.07 FORTPORAL-KYENJOJO'!I40,'31.07 FORTPORTAL-KYENJOJO'!I40,'02.08 FORTPORTAL-KYENJOJO'!I40,'01.08 FORTPORTAL-KYENJOJO 2-24h'!I40,'03.08 FORTPORTAL-KYENJOJO-24h'!I40,'04.08 FORTPORTAL-KYENJOJO'!I40)</f>
        <v>1.2857142857142858</v>
      </c>
      <c r="J40" s="49">
        <f>AVERAGE('29.07 FORTPORTAL-KYENJOJO'!J40,'30.07 FORTPORAL-KYENJOJO'!J40,'31.07 FORTPORTAL-KYENJOJO'!J40,'02.08 FORTPORTAL-KYENJOJO'!J40,'01.08 FORTPORTAL-KYENJOJO 2-24h'!J40,'03.08 FORTPORTAL-KYENJOJO-24h'!J40,'04.08 FORTPORTAL-KYENJOJO'!J40)</f>
        <v>0.2857142857142857</v>
      </c>
      <c r="K40" s="49">
        <f>AVERAGE('29.07 FORTPORTAL-KYENJOJO'!K40,'30.07 FORTPORAL-KYENJOJO'!K40,'31.07 FORTPORTAL-KYENJOJO'!K40,'02.08 FORTPORTAL-KYENJOJO'!K40,'01.08 FORTPORTAL-KYENJOJO 2-24h'!K40,'03.08 FORTPORTAL-KYENJOJO-24h'!K40,'04.08 FORTPORTAL-KYENJOJO'!K40)</f>
        <v>0.14285714285714285</v>
      </c>
      <c r="L40" s="49">
        <f>AVERAGE('29.07 FORTPORTAL-KYENJOJO'!L40,'30.07 FORTPORAL-KYENJOJO'!L40,'31.07 FORTPORTAL-KYENJOJO'!L40,'02.08 FORTPORTAL-KYENJOJO'!L40,'01.08 FORTPORTAL-KYENJOJO 2-24h'!L40,'03.08 FORTPORTAL-KYENJOJO-24h'!L40,'04.08 FORTPORTAL-KYENJOJO'!L40)</f>
        <v>0.2857142857142857</v>
      </c>
      <c r="M40" s="49">
        <f>AVERAGE('29.07 FORTPORTAL-KYENJOJO'!M40,'30.07 FORTPORAL-KYENJOJO'!M40,'31.07 FORTPORTAL-KYENJOJO'!M40,'02.08 FORTPORTAL-KYENJOJO'!M40,'01.08 FORTPORTAL-KYENJOJO 2-24h'!M40,'03.08 FORTPORTAL-KYENJOJO-24h'!M40,'04.08 FORTPORTAL-KYENJOJO'!M40)</f>
        <v>1</v>
      </c>
      <c r="N40" s="49">
        <f>AVERAGE('29.07 FORTPORTAL-KYENJOJO'!N40,'30.07 FORTPORAL-KYENJOJO'!N40,'31.07 FORTPORTAL-KYENJOJO'!N40,'02.08 FORTPORTAL-KYENJOJO'!N40,'01.08 FORTPORTAL-KYENJOJO 2-24h'!N40,'03.08 FORTPORTAL-KYENJOJO-24h'!N40,'04.08 FORTPORTAL-KYENJOJO'!N40)</f>
        <v>0</v>
      </c>
      <c r="O40" s="15">
        <f t="shared" si="0"/>
        <v>6.5714285714285712</v>
      </c>
      <c r="P40" s="15">
        <f t="shared" si="1"/>
        <v>7.5714285714285712</v>
      </c>
      <c r="R40" s="5" t="s">
        <v>17</v>
      </c>
      <c r="S40" s="16">
        <f t="shared" ref="S40:AF40" si="32">SUM(S10:S21)</f>
        <v>57.571428571428569</v>
      </c>
      <c r="T40" s="16">
        <f t="shared" si="32"/>
        <v>0</v>
      </c>
      <c r="U40" s="16">
        <f t="shared" si="32"/>
        <v>118</v>
      </c>
      <c r="V40" s="16">
        <f t="shared" si="32"/>
        <v>96.428571428571431</v>
      </c>
      <c r="W40" s="16">
        <f t="shared" si="32"/>
        <v>2.5714285714285707</v>
      </c>
      <c r="X40" s="16">
        <f t="shared" si="32"/>
        <v>17</v>
      </c>
      <c r="Y40" s="16">
        <f t="shared" si="32"/>
        <v>41.857142857142847</v>
      </c>
      <c r="Z40" s="16">
        <f t="shared" si="32"/>
        <v>5.1428571428571432</v>
      </c>
      <c r="AA40" s="16">
        <f t="shared" si="32"/>
        <v>2.2857142857142851</v>
      </c>
      <c r="AB40" s="16">
        <f t="shared" si="32"/>
        <v>20.571428571428573</v>
      </c>
      <c r="AC40" s="16">
        <f t="shared" si="32"/>
        <v>57.714285714285715</v>
      </c>
      <c r="AD40" s="16">
        <f t="shared" si="32"/>
        <v>0.42857142857142855</v>
      </c>
      <c r="AE40" s="32">
        <f t="shared" si="32"/>
        <v>361.85714285714289</v>
      </c>
      <c r="AF40" s="32">
        <f t="shared" si="32"/>
        <v>419.57142857142856</v>
      </c>
    </row>
    <row r="41" spans="2:32" ht="23.1" customHeight="1" x14ac:dyDescent="0.25">
      <c r="B41" s="23" t="s">
        <v>68</v>
      </c>
      <c r="C41" s="49">
        <f>AVERAGE('29.07 FORTPORTAL-KYENJOJO'!C41,'30.07 FORTPORAL-KYENJOJO'!C41,'31.07 FORTPORTAL-KYENJOJO'!C41,'02.08 FORTPORTAL-KYENJOJO'!C41,'01.08 FORTPORTAL-KYENJOJO 2-24h'!C41,'03.08 FORTPORTAL-KYENJOJO-24h'!C41,'04.08 FORTPORTAL-KYENJOJO'!C41)</f>
        <v>1.1428571428571428</v>
      </c>
      <c r="D41" s="49">
        <f>AVERAGE('29.07 FORTPORTAL-KYENJOJO'!D41,'30.07 FORTPORAL-KYENJOJO'!D41,'31.07 FORTPORTAL-KYENJOJO'!D41,'02.08 FORTPORTAL-KYENJOJO'!D41,'01.08 FORTPORTAL-KYENJOJO 2-24h'!D41,'03.08 FORTPORTAL-KYENJOJO-24h'!D41,'04.08 FORTPORTAL-KYENJOJO'!D41)</f>
        <v>0</v>
      </c>
      <c r="E41" s="49">
        <f>AVERAGE('29.07 FORTPORTAL-KYENJOJO'!E41,'30.07 FORTPORAL-KYENJOJO'!E41,'31.07 FORTPORTAL-KYENJOJO'!E41,'02.08 FORTPORTAL-KYENJOJO'!E41,'01.08 FORTPORTAL-KYENJOJO 2-24h'!E41,'03.08 FORTPORTAL-KYENJOJO-24h'!E41,'04.08 FORTPORTAL-KYENJOJO'!E41)</f>
        <v>2.2857142857142856</v>
      </c>
      <c r="F41" s="49">
        <f>AVERAGE('29.07 FORTPORTAL-KYENJOJO'!F41,'30.07 FORTPORAL-KYENJOJO'!F41,'31.07 FORTPORTAL-KYENJOJO'!F41,'02.08 FORTPORTAL-KYENJOJO'!F41,'01.08 FORTPORTAL-KYENJOJO 2-24h'!F41,'03.08 FORTPORTAL-KYENJOJO-24h'!F41,'04.08 FORTPORTAL-KYENJOJO'!F41)</f>
        <v>2</v>
      </c>
      <c r="G41" s="49">
        <f>AVERAGE('29.07 FORTPORTAL-KYENJOJO'!G41,'30.07 FORTPORAL-KYENJOJO'!G41,'31.07 FORTPORTAL-KYENJOJO'!G41,'02.08 FORTPORTAL-KYENJOJO'!G41,'01.08 FORTPORTAL-KYENJOJO 2-24h'!G41,'03.08 FORTPORTAL-KYENJOJO-24h'!G41,'04.08 FORTPORTAL-KYENJOJO'!G41)</f>
        <v>0</v>
      </c>
      <c r="H41" s="49">
        <f>AVERAGE('29.07 FORTPORTAL-KYENJOJO'!H41,'30.07 FORTPORAL-KYENJOJO'!H41,'31.07 FORTPORTAL-KYENJOJO'!H41,'02.08 FORTPORTAL-KYENJOJO'!H41,'01.08 FORTPORTAL-KYENJOJO 2-24h'!H41,'03.08 FORTPORTAL-KYENJOJO-24h'!H41,'04.08 FORTPORTAL-KYENJOJO'!H41)</f>
        <v>0.42857142857142855</v>
      </c>
      <c r="I41" s="49">
        <f>AVERAGE('29.07 FORTPORTAL-KYENJOJO'!I41,'30.07 FORTPORAL-KYENJOJO'!I41,'31.07 FORTPORTAL-KYENJOJO'!I41,'02.08 FORTPORTAL-KYENJOJO'!I41,'01.08 FORTPORTAL-KYENJOJO 2-24h'!I41,'03.08 FORTPORTAL-KYENJOJO-24h'!I41,'04.08 FORTPORTAL-KYENJOJO'!I41)</f>
        <v>0.5714285714285714</v>
      </c>
      <c r="J41" s="49">
        <f>AVERAGE('29.07 FORTPORTAL-KYENJOJO'!J41,'30.07 FORTPORAL-KYENJOJO'!J41,'31.07 FORTPORTAL-KYENJOJO'!J41,'02.08 FORTPORTAL-KYENJOJO'!J41,'01.08 FORTPORTAL-KYENJOJO 2-24h'!J41,'03.08 FORTPORTAL-KYENJOJO-24h'!J41,'04.08 FORTPORTAL-KYENJOJO'!J41)</f>
        <v>0</v>
      </c>
      <c r="K41" s="49">
        <f>AVERAGE('29.07 FORTPORTAL-KYENJOJO'!K41,'30.07 FORTPORAL-KYENJOJO'!K41,'31.07 FORTPORTAL-KYENJOJO'!K41,'02.08 FORTPORTAL-KYENJOJO'!K41,'01.08 FORTPORTAL-KYENJOJO 2-24h'!K41,'03.08 FORTPORTAL-KYENJOJO-24h'!K41,'04.08 FORTPORTAL-KYENJOJO'!K41)</f>
        <v>0</v>
      </c>
      <c r="L41" s="49">
        <f>AVERAGE('29.07 FORTPORTAL-KYENJOJO'!L41,'30.07 FORTPORAL-KYENJOJO'!L41,'31.07 FORTPORTAL-KYENJOJO'!L41,'02.08 FORTPORTAL-KYENJOJO'!L41,'01.08 FORTPORTAL-KYENJOJO 2-24h'!L41,'03.08 FORTPORTAL-KYENJOJO-24h'!L41,'04.08 FORTPORTAL-KYENJOJO'!L41)</f>
        <v>0.5714285714285714</v>
      </c>
      <c r="M41" s="49">
        <f>AVERAGE('29.07 FORTPORTAL-KYENJOJO'!M41,'30.07 FORTPORAL-KYENJOJO'!M41,'31.07 FORTPORTAL-KYENJOJO'!M41,'02.08 FORTPORTAL-KYENJOJO'!M41,'01.08 FORTPORTAL-KYENJOJO 2-24h'!M41,'03.08 FORTPORTAL-KYENJOJO-24h'!M41,'04.08 FORTPORTAL-KYENJOJO'!M41)</f>
        <v>1.5714285714285714</v>
      </c>
      <c r="N41" s="49">
        <f>AVERAGE('29.07 FORTPORTAL-KYENJOJO'!N41,'30.07 FORTPORAL-KYENJOJO'!N41,'31.07 FORTPORTAL-KYENJOJO'!N41,'02.08 FORTPORTAL-KYENJOJO'!N41,'01.08 FORTPORTAL-KYENJOJO 2-24h'!N41,'03.08 FORTPORTAL-KYENJOJO-24h'!N41,'04.08 FORTPORTAL-KYENJOJO'!N41)</f>
        <v>0</v>
      </c>
      <c r="O41" s="15">
        <f t="shared" si="0"/>
        <v>7</v>
      </c>
      <c r="P41" s="15">
        <f t="shared" si="1"/>
        <v>8.5714285714285712</v>
      </c>
      <c r="R41" s="5" t="s">
        <v>174</v>
      </c>
      <c r="S41" s="52">
        <f>SUM(S10:S33)</f>
        <v>78.571428571428569</v>
      </c>
      <c r="T41" s="52">
        <f t="shared" ref="T41:AD41" si="33">SUM(T10:T33)</f>
        <v>0</v>
      </c>
      <c r="U41" s="52">
        <f t="shared" si="33"/>
        <v>146</v>
      </c>
      <c r="V41" s="52">
        <f t="shared" si="33"/>
        <v>111.92857142857143</v>
      </c>
      <c r="W41" s="52">
        <f t="shared" si="33"/>
        <v>4.0714285714285712</v>
      </c>
      <c r="X41" s="52">
        <f t="shared" si="33"/>
        <v>23</v>
      </c>
      <c r="Y41" s="52">
        <f t="shared" si="33"/>
        <v>82.357142857142847</v>
      </c>
      <c r="Z41" s="52">
        <f t="shared" si="33"/>
        <v>13.142857142857142</v>
      </c>
      <c r="AA41" s="52">
        <f t="shared" si="33"/>
        <v>4.2857142857142847</v>
      </c>
      <c r="AB41" s="52">
        <f t="shared" si="33"/>
        <v>44.071428571428569</v>
      </c>
      <c r="AC41" s="52">
        <f t="shared" si="33"/>
        <v>66.214285714285722</v>
      </c>
      <c r="AD41" s="52">
        <f t="shared" si="33"/>
        <v>0.42857142857142855</v>
      </c>
      <c r="AE41" s="53">
        <f>SUM(AE10:AE33)</f>
        <v>507.85714285714289</v>
      </c>
      <c r="AF41" s="53">
        <f>SUM(AF10:AF33)</f>
        <v>574.07142857142856</v>
      </c>
    </row>
    <row r="42" spans="2:32" ht="23.1" customHeight="1" x14ac:dyDescent="0.25">
      <c r="B42" s="24" t="s">
        <v>69</v>
      </c>
      <c r="C42" s="49">
        <f>AVERAGE('29.07 FORTPORTAL-KYENJOJO'!C42,'30.07 FORTPORAL-KYENJOJO'!C42,'31.07 FORTPORTAL-KYENJOJO'!C42,'02.08 FORTPORTAL-KYENJOJO'!C42,'01.08 FORTPORTAL-KYENJOJO 2-24h'!C42,'03.08 FORTPORTAL-KYENJOJO-24h'!C42,'04.08 FORTPORTAL-KYENJOJO'!C42)</f>
        <v>0.8571428571428571</v>
      </c>
      <c r="D42" s="49">
        <f>AVERAGE('29.07 FORTPORTAL-KYENJOJO'!D42,'30.07 FORTPORAL-KYENJOJO'!D42,'31.07 FORTPORTAL-KYENJOJO'!D42,'02.08 FORTPORTAL-KYENJOJO'!D42,'01.08 FORTPORTAL-KYENJOJO 2-24h'!D42,'03.08 FORTPORTAL-KYENJOJO-24h'!D42,'04.08 FORTPORTAL-KYENJOJO'!D42)</f>
        <v>0</v>
      </c>
      <c r="E42" s="49">
        <f>AVERAGE('29.07 FORTPORTAL-KYENJOJO'!E42,'30.07 FORTPORAL-KYENJOJO'!E42,'31.07 FORTPORTAL-KYENJOJO'!E42,'02.08 FORTPORTAL-KYENJOJO'!E42,'01.08 FORTPORTAL-KYENJOJO 2-24h'!E42,'03.08 FORTPORTAL-KYENJOJO-24h'!E42,'04.08 FORTPORTAL-KYENJOJO'!E42)</f>
        <v>1.4285714285714286</v>
      </c>
      <c r="F42" s="49">
        <f>AVERAGE('29.07 FORTPORTAL-KYENJOJO'!F42,'30.07 FORTPORAL-KYENJOJO'!F42,'31.07 FORTPORTAL-KYENJOJO'!F42,'02.08 FORTPORTAL-KYENJOJO'!F42,'01.08 FORTPORTAL-KYENJOJO 2-24h'!F42,'03.08 FORTPORTAL-KYENJOJO-24h'!F42,'04.08 FORTPORTAL-KYENJOJO'!F42)</f>
        <v>2.7142857142857144</v>
      </c>
      <c r="G42" s="49">
        <f>AVERAGE('29.07 FORTPORTAL-KYENJOJO'!G42,'30.07 FORTPORAL-KYENJOJO'!G42,'31.07 FORTPORTAL-KYENJOJO'!G42,'02.08 FORTPORTAL-KYENJOJO'!G42,'01.08 FORTPORTAL-KYENJOJO 2-24h'!G42,'03.08 FORTPORTAL-KYENJOJO-24h'!G42,'04.08 FORTPORTAL-KYENJOJO'!G42)</f>
        <v>0</v>
      </c>
      <c r="H42" s="49">
        <f>AVERAGE('29.07 FORTPORTAL-KYENJOJO'!H42,'30.07 FORTPORAL-KYENJOJO'!H42,'31.07 FORTPORTAL-KYENJOJO'!H42,'02.08 FORTPORTAL-KYENJOJO'!H42,'01.08 FORTPORTAL-KYENJOJO 2-24h'!H42,'03.08 FORTPORTAL-KYENJOJO-24h'!H42,'04.08 FORTPORTAL-KYENJOJO'!H42)</f>
        <v>0.2857142857142857</v>
      </c>
      <c r="I42" s="49">
        <f>AVERAGE('29.07 FORTPORTAL-KYENJOJO'!I42,'30.07 FORTPORAL-KYENJOJO'!I42,'31.07 FORTPORTAL-KYENJOJO'!I42,'02.08 FORTPORTAL-KYENJOJO'!I42,'01.08 FORTPORTAL-KYENJOJO 2-24h'!I42,'03.08 FORTPORTAL-KYENJOJO-24h'!I42,'04.08 FORTPORTAL-KYENJOJO'!I42)</f>
        <v>0.7142857142857143</v>
      </c>
      <c r="J42" s="49">
        <f>AVERAGE('29.07 FORTPORTAL-KYENJOJO'!J42,'30.07 FORTPORAL-KYENJOJO'!J42,'31.07 FORTPORTAL-KYENJOJO'!J42,'02.08 FORTPORTAL-KYENJOJO'!J42,'01.08 FORTPORTAL-KYENJOJO 2-24h'!J42,'03.08 FORTPORTAL-KYENJOJO-24h'!J42,'04.08 FORTPORTAL-KYENJOJO'!J42)</f>
        <v>0</v>
      </c>
      <c r="K42" s="49">
        <f>AVERAGE('29.07 FORTPORTAL-KYENJOJO'!K42,'30.07 FORTPORAL-KYENJOJO'!K42,'31.07 FORTPORTAL-KYENJOJO'!K42,'02.08 FORTPORTAL-KYENJOJO'!K42,'01.08 FORTPORTAL-KYENJOJO 2-24h'!K42,'03.08 FORTPORTAL-KYENJOJO-24h'!K42,'04.08 FORTPORTAL-KYENJOJO'!K42)</f>
        <v>0</v>
      </c>
      <c r="L42" s="49">
        <f>AVERAGE('29.07 FORTPORTAL-KYENJOJO'!L42,'30.07 FORTPORAL-KYENJOJO'!L42,'31.07 FORTPORTAL-KYENJOJO'!L42,'02.08 FORTPORTAL-KYENJOJO'!L42,'01.08 FORTPORTAL-KYENJOJO 2-24h'!L42,'03.08 FORTPORTAL-KYENJOJO-24h'!L42,'04.08 FORTPORTAL-KYENJOJO'!L42)</f>
        <v>0</v>
      </c>
      <c r="M42" s="49">
        <f>AVERAGE('29.07 FORTPORTAL-KYENJOJO'!M42,'30.07 FORTPORAL-KYENJOJO'!M42,'31.07 FORTPORTAL-KYENJOJO'!M42,'02.08 FORTPORTAL-KYENJOJO'!M42,'01.08 FORTPORTAL-KYENJOJO 2-24h'!M42,'03.08 FORTPORTAL-KYENJOJO-24h'!M42,'04.08 FORTPORTAL-KYENJOJO'!M42)</f>
        <v>1.4285714285714286</v>
      </c>
      <c r="N42" s="49">
        <f>AVERAGE('29.07 FORTPORTAL-KYENJOJO'!N42,'30.07 FORTPORAL-KYENJOJO'!N42,'31.07 FORTPORTAL-KYENJOJO'!N42,'02.08 FORTPORTAL-KYENJOJO'!N42,'01.08 FORTPORTAL-KYENJOJO 2-24h'!N42,'03.08 FORTPORTAL-KYENJOJO-24h'!N42,'04.08 FORTPORTAL-KYENJOJO'!N42)</f>
        <v>0</v>
      </c>
      <c r="O42" s="15">
        <f t="shared" si="0"/>
        <v>6</v>
      </c>
      <c r="P42" s="15">
        <f t="shared" si="1"/>
        <v>7.4285714285714288</v>
      </c>
      <c r="R42" s="5" t="s">
        <v>160</v>
      </c>
      <c r="S42" s="48">
        <f>S41/S40</f>
        <v>1.3647642679900744</v>
      </c>
      <c r="T42" s="48" t="e">
        <f t="shared" ref="T42:AF42" si="34">T41/T40</f>
        <v>#DIV/0!</v>
      </c>
      <c r="U42" s="48">
        <f t="shared" si="34"/>
        <v>1.2372881355932204</v>
      </c>
      <c r="V42" s="48">
        <f t="shared" si="34"/>
        <v>1.1607407407407406</v>
      </c>
      <c r="W42" s="48">
        <f t="shared" si="34"/>
        <v>1.5833333333333337</v>
      </c>
      <c r="X42" s="48">
        <f t="shared" si="34"/>
        <v>1.3529411764705883</v>
      </c>
      <c r="Y42" s="48">
        <f t="shared" si="34"/>
        <v>1.967576791808874</v>
      </c>
      <c r="Z42" s="48">
        <f t="shared" si="34"/>
        <v>2.5555555555555554</v>
      </c>
      <c r="AA42" s="48">
        <f t="shared" si="34"/>
        <v>1.875</v>
      </c>
      <c r="AB42" s="48">
        <f t="shared" si="34"/>
        <v>2.1423611111111107</v>
      </c>
      <c r="AC42" s="48">
        <f t="shared" si="34"/>
        <v>1.1472772277227723</v>
      </c>
      <c r="AD42" s="48">
        <f t="shared" si="34"/>
        <v>1</v>
      </c>
      <c r="AE42" s="51">
        <f t="shared" si="34"/>
        <v>1.4034741413343861</v>
      </c>
      <c r="AF42" s="51">
        <f t="shared" si="34"/>
        <v>1.3682328907048009</v>
      </c>
    </row>
    <row r="43" spans="2:32" ht="23.1" customHeight="1" x14ac:dyDescent="0.25">
      <c r="B43" s="23" t="s">
        <v>70</v>
      </c>
      <c r="C43" s="49">
        <f>AVERAGE('29.07 FORTPORTAL-KYENJOJO'!C43,'30.07 FORTPORAL-KYENJOJO'!C43,'31.07 FORTPORTAL-KYENJOJO'!C43,'02.08 FORTPORTAL-KYENJOJO'!C43,'01.08 FORTPORTAL-KYENJOJO 2-24h'!C43,'03.08 FORTPORTAL-KYENJOJO-24h'!C43,'04.08 FORTPORTAL-KYENJOJO'!C43)</f>
        <v>1.5714285714285714</v>
      </c>
      <c r="D43" s="49">
        <f>AVERAGE('29.07 FORTPORTAL-KYENJOJO'!D43,'30.07 FORTPORAL-KYENJOJO'!D43,'31.07 FORTPORTAL-KYENJOJO'!D43,'02.08 FORTPORTAL-KYENJOJO'!D43,'01.08 FORTPORTAL-KYENJOJO 2-24h'!D43,'03.08 FORTPORTAL-KYENJOJO-24h'!D43,'04.08 FORTPORTAL-KYENJOJO'!D43)</f>
        <v>0</v>
      </c>
      <c r="E43" s="49">
        <f>AVERAGE('29.07 FORTPORTAL-KYENJOJO'!E43,'30.07 FORTPORAL-KYENJOJO'!E43,'31.07 FORTPORTAL-KYENJOJO'!E43,'02.08 FORTPORTAL-KYENJOJO'!E43,'01.08 FORTPORTAL-KYENJOJO 2-24h'!E43,'03.08 FORTPORTAL-KYENJOJO-24h'!E43,'04.08 FORTPORTAL-KYENJOJO'!E43)</f>
        <v>2.7142857142857144</v>
      </c>
      <c r="F43" s="49">
        <f>AVERAGE('29.07 FORTPORTAL-KYENJOJO'!F43,'30.07 FORTPORAL-KYENJOJO'!F43,'31.07 FORTPORTAL-KYENJOJO'!F43,'02.08 FORTPORTAL-KYENJOJO'!F43,'01.08 FORTPORTAL-KYENJOJO 2-24h'!F43,'03.08 FORTPORTAL-KYENJOJO-24h'!F43,'04.08 FORTPORTAL-KYENJOJO'!F43)</f>
        <v>1.1428571428571428</v>
      </c>
      <c r="G43" s="49">
        <f>AVERAGE('29.07 FORTPORTAL-KYENJOJO'!G43,'30.07 FORTPORAL-KYENJOJO'!G43,'31.07 FORTPORTAL-KYENJOJO'!G43,'02.08 FORTPORTAL-KYENJOJO'!G43,'01.08 FORTPORTAL-KYENJOJO 2-24h'!G43,'03.08 FORTPORTAL-KYENJOJO-24h'!G43,'04.08 FORTPORTAL-KYENJOJO'!G43)</f>
        <v>0.14285714285714285</v>
      </c>
      <c r="H43" s="49">
        <f>AVERAGE('29.07 FORTPORTAL-KYENJOJO'!H43,'30.07 FORTPORAL-KYENJOJO'!H43,'31.07 FORTPORTAL-KYENJOJO'!H43,'02.08 FORTPORTAL-KYENJOJO'!H43,'01.08 FORTPORTAL-KYENJOJO 2-24h'!H43,'03.08 FORTPORTAL-KYENJOJO-24h'!H43,'04.08 FORTPORTAL-KYENJOJO'!H43)</f>
        <v>0.5714285714285714</v>
      </c>
      <c r="I43" s="49">
        <f>AVERAGE('29.07 FORTPORTAL-KYENJOJO'!I43,'30.07 FORTPORAL-KYENJOJO'!I43,'31.07 FORTPORTAL-KYENJOJO'!I43,'02.08 FORTPORTAL-KYENJOJO'!I43,'01.08 FORTPORTAL-KYENJOJO 2-24h'!I43,'03.08 FORTPORTAL-KYENJOJO-24h'!I43,'04.08 FORTPORTAL-KYENJOJO'!I43)</f>
        <v>0.5714285714285714</v>
      </c>
      <c r="J43" s="49">
        <f>AVERAGE('29.07 FORTPORTAL-KYENJOJO'!J43,'30.07 FORTPORAL-KYENJOJO'!J43,'31.07 FORTPORTAL-KYENJOJO'!J43,'02.08 FORTPORTAL-KYENJOJO'!J43,'01.08 FORTPORTAL-KYENJOJO 2-24h'!J43,'03.08 FORTPORTAL-KYENJOJO-24h'!J43,'04.08 FORTPORTAL-KYENJOJO'!J43)</f>
        <v>0</v>
      </c>
      <c r="K43" s="49">
        <f>AVERAGE('29.07 FORTPORTAL-KYENJOJO'!K43,'30.07 FORTPORAL-KYENJOJO'!K43,'31.07 FORTPORTAL-KYENJOJO'!K43,'02.08 FORTPORTAL-KYENJOJO'!K43,'01.08 FORTPORTAL-KYENJOJO 2-24h'!K43,'03.08 FORTPORTAL-KYENJOJO-24h'!K43,'04.08 FORTPORTAL-KYENJOJO'!K43)</f>
        <v>0</v>
      </c>
      <c r="L43" s="49">
        <f>AVERAGE('29.07 FORTPORTAL-KYENJOJO'!L43,'30.07 FORTPORAL-KYENJOJO'!L43,'31.07 FORTPORTAL-KYENJOJO'!L43,'02.08 FORTPORTAL-KYENJOJO'!L43,'01.08 FORTPORTAL-KYENJOJO 2-24h'!L43,'03.08 FORTPORTAL-KYENJOJO-24h'!L43,'04.08 FORTPORTAL-KYENJOJO'!L43)</f>
        <v>0.42857142857142855</v>
      </c>
      <c r="M43" s="49">
        <f>AVERAGE('29.07 FORTPORTAL-KYENJOJO'!M43,'30.07 FORTPORAL-KYENJOJO'!M43,'31.07 FORTPORTAL-KYENJOJO'!M43,'02.08 FORTPORTAL-KYENJOJO'!M43,'01.08 FORTPORTAL-KYENJOJO 2-24h'!M43,'03.08 FORTPORTAL-KYENJOJO-24h'!M43,'04.08 FORTPORTAL-KYENJOJO'!M43)</f>
        <v>0.8571428571428571</v>
      </c>
      <c r="N43" s="49">
        <f>AVERAGE('29.07 FORTPORTAL-KYENJOJO'!N43,'30.07 FORTPORAL-KYENJOJO'!N43,'31.07 FORTPORTAL-KYENJOJO'!N43,'02.08 FORTPORTAL-KYENJOJO'!N43,'01.08 FORTPORTAL-KYENJOJO 2-24h'!N43,'03.08 FORTPORTAL-KYENJOJO-24h'!N43,'04.08 FORTPORTAL-KYENJOJO'!N43)</f>
        <v>0</v>
      </c>
      <c r="O43" s="15">
        <f t="shared" si="0"/>
        <v>7.1428571428571432</v>
      </c>
      <c r="P43" s="15">
        <f t="shared" si="1"/>
        <v>8</v>
      </c>
    </row>
    <row r="44" spans="2:32" ht="23.1" customHeight="1" x14ac:dyDescent="0.25">
      <c r="B44" s="25" t="s">
        <v>71</v>
      </c>
      <c r="C44" s="49">
        <f>AVERAGE('29.07 FORTPORTAL-KYENJOJO'!C44,'30.07 FORTPORAL-KYENJOJO'!C44,'31.07 FORTPORTAL-KYENJOJO'!C44,'02.08 FORTPORTAL-KYENJOJO'!C44,'01.08 FORTPORTAL-KYENJOJO 2-24h'!C44,'03.08 FORTPORTAL-KYENJOJO-24h'!C44,'04.08 FORTPORTAL-KYENJOJO'!C44)</f>
        <v>1.8571428571428572</v>
      </c>
      <c r="D44" s="49">
        <f>AVERAGE('29.07 FORTPORTAL-KYENJOJO'!D44,'30.07 FORTPORAL-KYENJOJO'!D44,'31.07 FORTPORTAL-KYENJOJO'!D44,'02.08 FORTPORTAL-KYENJOJO'!D44,'01.08 FORTPORTAL-KYENJOJO 2-24h'!D44,'03.08 FORTPORTAL-KYENJOJO-24h'!D44,'04.08 FORTPORTAL-KYENJOJO'!D44)</f>
        <v>0</v>
      </c>
      <c r="E44" s="49">
        <f>AVERAGE('29.07 FORTPORTAL-KYENJOJO'!E44,'30.07 FORTPORAL-KYENJOJO'!E44,'31.07 FORTPORTAL-KYENJOJO'!E44,'02.08 FORTPORTAL-KYENJOJO'!E44,'01.08 FORTPORTAL-KYENJOJO 2-24h'!E44,'03.08 FORTPORTAL-KYENJOJO-24h'!E44,'04.08 FORTPORTAL-KYENJOJO'!E44)</f>
        <v>2.1428571428571428</v>
      </c>
      <c r="F44" s="49">
        <f>AVERAGE('29.07 FORTPORTAL-KYENJOJO'!F44,'30.07 FORTPORAL-KYENJOJO'!F44,'31.07 FORTPORTAL-KYENJOJO'!F44,'02.08 FORTPORTAL-KYENJOJO'!F44,'01.08 FORTPORTAL-KYENJOJO 2-24h'!F44,'03.08 FORTPORTAL-KYENJOJO-24h'!F44,'04.08 FORTPORTAL-KYENJOJO'!F44)</f>
        <v>2.5714285714285716</v>
      </c>
      <c r="G44" s="49">
        <f>AVERAGE('29.07 FORTPORTAL-KYENJOJO'!G44,'30.07 FORTPORAL-KYENJOJO'!G44,'31.07 FORTPORTAL-KYENJOJO'!G44,'02.08 FORTPORTAL-KYENJOJO'!G44,'01.08 FORTPORTAL-KYENJOJO 2-24h'!G44,'03.08 FORTPORTAL-KYENJOJO-24h'!G44,'04.08 FORTPORTAL-KYENJOJO'!G44)</f>
        <v>0.14285714285714285</v>
      </c>
      <c r="H44" s="49">
        <f>AVERAGE('29.07 FORTPORTAL-KYENJOJO'!H44,'30.07 FORTPORAL-KYENJOJO'!H44,'31.07 FORTPORTAL-KYENJOJO'!H44,'02.08 FORTPORTAL-KYENJOJO'!H44,'01.08 FORTPORTAL-KYENJOJO 2-24h'!H44,'03.08 FORTPORTAL-KYENJOJO-24h'!H44,'04.08 FORTPORTAL-KYENJOJO'!H44)</f>
        <v>0.14285714285714285</v>
      </c>
      <c r="I44" s="49">
        <f>AVERAGE('29.07 FORTPORTAL-KYENJOJO'!I44,'30.07 FORTPORAL-KYENJOJO'!I44,'31.07 FORTPORTAL-KYENJOJO'!I44,'02.08 FORTPORTAL-KYENJOJO'!I44,'01.08 FORTPORTAL-KYENJOJO 2-24h'!I44,'03.08 FORTPORTAL-KYENJOJO-24h'!I44,'04.08 FORTPORTAL-KYENJOJO'!I44)</f>
        <v>0.5714285714285714</v>
      </c>
      <c r="J44" s="49">
        <f>AVERAGE('29.07 FORTPORTAL-KYENJOJO'!J44,'30.07 FORTPORAL-KYENJOJO'!J44,'31.07 FORTPORTAL-KYENJOJO'!J44,'02.08 FORTPORTAL-KYENJOJO'!J44,'01.08 FORTPORTAL-KYENJOJO 2-24h'!J44,'03.08 FORTPORTAL-KYENJOJO-24h'!J44,'04.08 FORTPORTAL-KYENJOJO'!J44)</f>
        <v>0</v>
      </c>
      <c r="K44" s="49">
        <f>AVERAGE('29.07 FORTPORTAL-KYENJOJO'!K44,'30.07 FORTPORAL-KYENJOJO'!K44,'31.07 FORTPORTAL-KYENJOJO'!K44,'02.08 FORTPORTAL-KYENJOJO'!K44,'01.08 FORTPORTAL-KYENJOJO 2-24h'!K44,'03.08 FORTPORTAL-KYENJOJO-24h'!K44,'04.08 FORTPORTAL-KYENJOJO'!K44)</f>
        <v>0.14285714285714285</v>
      </c>
      <c r="L44" s="49">
        <f>AVERAGE('29.07 FORTPORTAL-KYENJOJO'!L44,'30.07 FORTPORAL-KYENJOJO'!L44,'31.07 FORTPORTAL-KYENJOJO'!L44,'02.08 FORTPORTAL-KYENJOJO'!L44,'01.08 FORTPORTAL-KYENJOJO 2-24h'!L44,'03.08 FORTPORTAL-KYENJOJO-24h'!L44,'04.08 FORTPORTAL-KYENJOJO'!L44)</f>
        <v>0.42857142857142855</v>
      </c>
      <c r="M44" s="49">
        <f>AVERAGE('29.07 FORTPORTAL-KYENJOJO'!M44,'30.07 FORTPORAL-KYENJOJO'!M44,'31.07 FORTPORTAL-KYENJOJO'!M44,'02.08 FORTPORTAL-KYENJOJO'!M44,'01.08 FORTPORTAL-KYENJOJO 2-24h'!M44,'03.08 FORTPORTAL-KYENJOJO-24h'!M44,'04.08 FORTPORTAL-KYENJOJO'!M44)</f>
        <v>1</v>
      </c>
      <c r="N44" s="49">
        <f>AVERAGE('29.07 FORTPORTAL-KYENJOJO'!N44,'30.07 FORTPORAL-KYENJOJO'!N44,'31.07 FORTPORTAL-KYENJOJO'!N44,'02.08 FORTPORTAL-KYENJOJO'!N44,'01.08 FORTPORTAL-KYENJOJO 2-24h'!N44,'03.08 FORTPORTAL-KYENJOJO-24h'!N44,'04.08 FORTPORTAL-KYENJOJO'!N44)</f>
        <v>0</v>
      </c>
      <c r="O44" s="15">
        <f t="shared" si="0"/>
        <v>8</v>
      </c>
      <c r="P44" s="15">
        <f t="shared" si="1"/>
        <v>9</v>
      </c>
    </row>
    <row r="45" spans="2:32" ht="23.1" customHeight="1" x14ac:dyDescent="0.25">
      <c r="B45" s="23" t="s">
        <v>72</v>
      </c>
      <c r="C45" s="49">
        <f>AVERAGE('29.07 FORTPORTAL-KYENJOJO'!C45,'30.07 FORTPORAL-KYENJOJO'!C45,'31.07 FORTPORTAL-KYENJOJO'!C45,'02.08 FORTPORTAL-KYENJOJO'!C45,'01.08 FORTPORTAL-KYENJOJO 2-24h'!C45,'03.08 FORTPORTAL-KYENJOJO-24h'!C45,'04.08 FORTPORTAL-KYENJOJO'!C45)</f>
        <v>0.8571428571428571</v>
      </c>
      <c r="D45" s="49">
        <f>AVERAGE('29.07 FORTPORTAL-KYENJOJO'!D45,'30.07 FORTPORAL-KYENJOJO'!D45,'31.07 FORTPORTAL-KYENJOJO'!D45,'02.08 FORTPORTAL-KYENJOJO'!D45,'01.08 FORTPORTAL-KYENJOJO 2-24h'!D45,'03.08 FORTPORTAL-KYENJOJO-24h'!D45,'04.08 FORTPORTAL-KYENJOJO'!D45)</f>
        <v>0</v>
      </c>
      <c r="E45" s="49">
        <f>AVERAGE('29.07 FORTPORTAL-KYENJOJO'!E45,'30.07 FORTPORAL-KYENJOJO'!E45,'31.07 FORTPORTAL-KYENJOJO'!E45,'02.08 FORTPORTAL-KYENJOJO'!E45,'01.08 FORTPORTAL-KYENJOJO 2-24h'!E45,'03.08 FORTPORTAL-KYENJOJO-24h'!E45,'04.08 FORTPORTAL-KYENJOJO'!E45)</f>
        <v>3.7142857142857144</v>
      </c>
      <c r="F45" s="49">
        <f>AVERAGE('29.07 FORTPORTAL-KYENJOJO'!F45,'30.07 FORTPORAL-KYENJOJO'!F45,'31.07 FORTPORTAL-KYENJOJO'!F45,'02.08 FORTPORTAL-KYENJOJO'!F45,'01.08 FORTPORTAL-KYENJOJO 2-24h'!F45,'03.08 FORTPORTAL-KYENJOJO-24h'!F45,'04.08 FORTPORTAL-KYENJOJO'!F45)</f>
        <v>1.8571428571428572</v>
      </c>
      <c r="G45" s="49">
        <f>AVERAGE('29.07 FORTPORTAL-KYENJOJO'!G45,'30.07 FORTPORAL-KYENJOJO'!G45,'31.07 FORTPORTAL-KYENJOJO'!G45,'02.08 FORTPORTAL-KYENJOJO'!G45,'01.08 FORTPORTAL-KYENJOJO 2-24h'!G45,'03.08 FORTPORTAL-KYENJOJO-24h'!G45,'04.08 FORTPORTAL-KYENJOJO'!G45)</f>
        <v>0</v>
      </c>
      <c r="H45" s="49">
        <f>AVERAGE('29.07 FORTPORTAL-KYENJOJO'!H45,'30.07 FORTPORAL-KYENJOJO'!H45,'31.07 FORTPORTAL-KYENJOJO'!H45,'02.08 FORTPORTAL-KYENJOJO'!H45,'01.08 FORTPORTAL-KYENJOJO 2-24h'!H45,'03.08 FORTPORTAL-KYENJOJO-24h'!H45,'04.08 FORTPORTAL-KYENJOJO'!H45)</f>
        <v>0.7142857142857143</v>
      </c>
      <c r="I45" s="49">
        <f>AVERAGE('29.07 FORTPORTAL-KYENJOJO'!I45,'30.07 FORTPORAL-KYENJOJO'!I45,'31.07 FORTPORTAL-KYENJOJO'!I45,'02.08 FORTPORTAL-KYENJOJO'!I45,'01.08 FORTPORTAL-KYENJOJO 2-24h'!I45,'03.08 FORTPORTAL-KYENJOJO-24h'!I45,'04.08 FORTPORTAL-KYENJOJO'!I45)</f>
        <v>0.8571428571428571</v>
      </c>
      <c r="J45" s="49">
        <f>AVERAGE('29.07 FORTPORTAL-KYENJOJO'!J45,'30.07 FORTPORAL-KYENJOJO'!J45,'31.07 FORTPORTAL-KYENJOJO'!J45,'02.08 FORTPORTAL-KYENJOJO'!J45,'01.08 FORTPORTAL-KYENJOJO 2-24h'!J45,'03.08 FORTPORTAL-KYENJOJO-24h'!J45,'04.08 FORTPORTAL-KYENJOJO'!J45)</f>
        <v>0</v>
      </c>
      <c r="K45" s="49">
        <f>AVERAGE('29.07 FORTPORTAL-KYENJOJO'!K45,'30.07 FORTPORAL-KYENJOJO'!K45,'31.07 FORTPORTAL-KYENJOJO'!K45,'02.08 FORTPORTAL-KYENJOJO'!K45,'01.08 FORTPORTAL-KYENJOJO 2-24h'!K45,'03.08 FORTPORTAL-KYENJOJO-24h'!K45,'04.08 FORTPORTAL-KYENJOJO'!K45)</f>
        <v>0</v>
      </c>
      <c r="L45" s="49">
        <f>AVERAGE('29.07 FORTPORTAL-KYENJOJO'!L45,'30.07 FORTPORAL-KYENJOJO'!L45,'31.07 FORTPORTAL-KYENJOJO'!L45,'02.08 FORTPORTAL-KYENJOJO'!L45,'01.08 FORTPORTAL-KYENJOJO 2-24h'!L45,'03.08 FORTPORTAL-KYENJOJO-24h'!L45,'04.08 FORTPORTAL-KYENJOJO'!L45)</f>
        <v>0.14285714285714285</v>
      </c>
      <c r="M45" s="49">
        <f>AVERAGE('29.07 FORTPORTAL-KYENJOJO'!M45,'30.07 FORTPORAL-KYENJOJO'!M45,'31.07 FORTPORTAL-KYENJOJO'!M45,'02.08 FORTPORTAL-KYENJOJO'!M45,'01.08 FORTPORTAL-KYENJOJO 2-24h'!M45,'03.08 FORTPORTAL-KYENJOJO-24h'!M45,'04.08 FORTPORTAL-KYENJOJO'!M45)</f>
        <v>1.4285714285714286</v>
      </c>
      <c r="N45" s="49">
        <f>AVERAGE('29.07 FORTPORTAL-KYENJOJO'!N45,'30.07 FORTPORAL-KYENJOJO'!N45,'31.07 FORTPORTAL-KYENJOJO'!N45,'02.08 FORTPORTAL-KYENJOJO'!N45,'01.08 FORTPORTAL-KYENJOJO 2-24h'!N45,'03.08 FORTPORTAL-KYENJOJO-24h'!N45,'04.08 FORTPORTAL-KYENJOJO'!N45)</f>
        <v>0</v>
      </c>
      <c r="O45" s="15">
        <f t="shared" si="0"/>
        <v>8.1428571428571423</v>
      </c>
      <c r="P45" s="15">
        <f t="shared" si="1"/>
        <v>9.5714285714285712</v>
      </c>
    </row>
    <row r="46" spans="2:32" ht="23.1" customHeight="1" x14ac:dyDescent="0.25">
      <c r="B46" s="24" t="s">
        <v>73</v>
      </c>
      <c r="C46" s="49">
        <f>AVERAGE('29.07 FORTPORTAL-KYENJOJO'!C46,'30.07 FORTPORAL-KYENJOJO'!C46,'31.07 FORTPORTAL-KYENJOJO'!C46,'02.08 FORTPORTAL-KYENJOJO'!C46,'01.08 FORTPORTAL-KYENJOJO 2-24h'!C46,'03.08 FORTPORTAL-KYENJOJO-24h'!C46,'04.08 FORTPORTAL-KYENJOJO'!C46)</f>
        <v>1.1428571428571428</v>
      </c>
      <c r="D46" s="49">
        <f>AVERAGE('29.07 FORTPORTAL-KYENJOJO'!D46,'30.07 FORTPORAL-KYENJOJO'!D46,'31.07 FORTPORTAL-KYENJOJO'!D46,'02.08 FORTPORTAL-KYENJOJO'!D46,'01.08 FORTPORTAL-KYENJOJO 2-24h'!D46,'03.08 FORTPORTAL-KYENJOJO-24h'!D46,'04.08 FORTPORTAL-KYENJOJO'!D46)</f>
        <v>0</v>
      </c>
      <c r="E46" s="49">
        <f>AVERAGE('29.07 FORTPORTAL-KYENJOJO'!E46,'30.07 FORTPORAL-KYENJOJO'!E46,'31.07 FORTPORTAL-KYENJOJO'!E46,'02.08 FORTPORTAL-KYENJOJO'!E46,'01.08 FORTPORTAL-KYENJOJO 2-24h'!E46,'03.08 FORTPORTAL-KYENJOJO-24h'!E46,'04.08 FORTPORTAL-KYENJOJO'!E46)</f>
        <v>2.5714285714285716</v>
      </c>
      <c r="F46" s="49">
        <f>AVERAGE('29.07 FORTPORTAL-KYENJOJO'!F46,'30.07 FORTPORAL-KYENJOJO'!F46,'31.07 FORTPORTAL-KYENJOJO'!F46,'02.08 FORTPORTAL-KYENJOJO'!F46,'01.08 FORTPORTAL-KYENJOJO 2-24h'!F46,'03.08 FORTPORTAL-KYENJOJO-24h'!F46,'04.08 FORTPORTAL-KYENJOJO'!F46)</f>
        <v>2</v>
      </c>
      <c r="G46" s="49">
        <f>AVERAGE('29.07 FORTPORTAL-KYENJOJO'!G46,'30.07 FORTPORAL-KYENJOJO'!G46,'31.07 FORTPORTAL-KYENJOJO'!G46,'02.08 FORTPORTAL-KYENJOJO'!G46,'01.08 FORTPORTAL-KYENJOJO 2-24h'!G46,'03.08 FORTPORTAL-KYENJOJO-24h'!G46,'04.08 FORTPORTAL-KYENJOJO'!G46)</f>
        <v>0</v>
      </c>
      <c r="H46" s="49">
        <f>AVERAGE('29.07 FORTPORTAL-KYENJOJO'!H46,'30.07 FORTPORAL-KYENJOJO'!H46,'31.07 FORTPORTAL-KYENJOJO'!H46,'02.08 FORTPORTAL-KYENJOJO'!H46,'01.08 FORTPORTAL-KYENJOJO 2-24h'!H46,'03.08 FORTPORTAL-KYENJOJO-24h'!H46,'04.08 FORTPORTAL-KYENJOJO'!H46)</f>
        <v>0.7142857142857143</v>
      </c>
      <c r="I46" s="49">
        <f>AVERAGE('29.07 FORTPORTAL-KYENJOJO'!I46,'30.07 FORTPORAL-KYENJOJO'!I46,'31.07 FORTPORTAL-KYENJOJO'!I46,'02.08 FORTPORTAL-KYENJOJO'!I46,'01.08 FORTPORTAL-KYENJOJO 2-24h'!I46,'03.08 FORTPORTAL-KYENJOJO-24h'!I46,'04.08 FORTPORTAL-KYENJOJO'!I46)</f>
        <v>0.7142857142857143</v>
      </c>
      <c r="J46" s="49">
        <f>AVERAGE('29.07 FORTPORTAL-KYENJOJO'!J46,'30.07 FORTPORAL-KYENJOJO'!J46,'31.07 FORTPORTAL-KYENJOJO'!J46,'02.08 FORTPORTAL-KYENJOJO'!J46,'01.08 FORTPORTAL-KYENJOJO 2-24h'!J46,'03.08 FORTPORTAL-KYENJOJO-24h'!J46,'04.08 FORTPORTAL-KYENJOJO'!J46)</f>
        <v>0</v>
      </c>
      <c r="K46" s="49">
        <f>AVERAGE('29.07 FORTPORTAL-KYENJOJO'!K46,'30.07 FORTPORAL-KYENJOJO'!K46,'31.07 FORTPORTAL-KYENJOJO'!K46,'02.08 FORTPORTAL-KYENJOJO'!K46,'01.08 FORTPORTAL-KYENJOJO 2-24h'!K46,'03.08 FORTPORTAL-KYENJOJO-24h'!K46,'04.08 FORTPORTAL-KYENJOJO'!K46)</f>
        <v>0.14285714285714285</v>
      </c>
      <c r="L46" s="49">
        <f>AVERAGE('29.07 FORTPORTAL-KYENJOJO'!L46,'30.07 FORTPORAL-KYENJOJO'!L46,'31.07 FORTPORTAL-KYENJOJO'!L46,'02.08 FORTPORTAL-KYENJOJO'!L46,'01.08 FORTPORTAL-KYENJOJO 2-24h'!L46,'03.08 FORTPORTAL-KYENJOJO-24h'!L46,'04.08 FORTPORTAL-KYENJOJO'!L46)</f>
        <v>0.42857142857142855</v>
      </c>
      <c r="M46" s="49">
        <f>AVERAGE('29.07 FORTPORTAL-KYENJOJO'!M46,'30.07 FORTPORAL-KYENJOJO'!M46,'31.07 FORTPORTAL-KYENJOJO'!M46,'02.08 FORTPORTAL-KYENJOJO'!M46,'01.08 FORTPORTAL-KYENJOJO 2-24h'!M46,'03.08 FORTPORTAL-KYENJOJO-24h'!M46,'04.08 FORTPORTAL-KYENJOJO'!M46)</f>
        <v>1</v>
      </c>
      <c r="N46" s="49">
        <f>AVERAGE('29.07 FORTPORTAL-KYENJOJO'!N46,'30.07 FORTPORAL-KYENJOJO'!N46,'31.07 FORTPORTAL-KYENJOJO'!N46,'02.08 FORTPORTAL-KYENJOJO'!N46,'01.08 FORTPORTAL-KYENJOJO 2-24h'!N46,'03.08 FORTPORTAL-KYENJOJO-24h'!N46,'04.08 FORTPORTAL-KYENJOJO'!N46)</f>
        <v>0.14285714285714285</v>
      </c>
      <c r="O46" s="15">
        <f t="shared" si="0"/>
        <v>7.8571428571428585</v>
      </c>
      <c r="P46" s="15">
        <f t="shared" si="1"/>
        <v>8.8571428571428577</v>
      </c>
      <c r="R46" s="8"/>
      <c r="T46"/>
    </row>
    <row r="47" spans="2:32" ht="23.1" customHeight="1" x14ac:dyDescent="0.25">
      <c r="B47" s="24" t="s">
        <v>74</v>
      </c>
      <c r="C47" s="49">
        <f>AVERAGE('29.07 FORTPORTAL-KYENJOJO'!C47,'30.07 FORTPORAL-KYENJOJO'!C47,'31.07 FORTPORTAL-KYENJOJO'!C47,'02.08 FORTPORTAL-KYENJOJO'!C47,'01.08 FORTPORTAL-KYENJOJO 2-24h'!C47,'03.08 FORTPORTAL-KYENJOJO-24h'!C47,'04.08 FORTPORTAL-KYENJOJO'!C47)</f>
        <v>0.8571428571428571</v>
      </c>
      <c r="D47" s="49">
        <f>AVERAGE('29.07 FORTPORTAL-KYENJOJO'!D47,'30.07 FORTPORAL-KYENJOJO'!D47,'31.07 FORTPORTAL-KYENJOJO'!D47,'02.08 FORTPORTAL-KYENJOJO'!D47,'01.08 FORTPORTAL-KYENJOJO 2-24h'!D47,'03.08 FORTPORTAL-KYENJOJO-24h'!D47,'04.08 FORTPORTAL-KYENJOJO'!D47)</f>
        <v>0</v>
      </c>
      <c r="E47" s="49">
        <f>AVERAGE('29.07 FORTPORTAL-KYENJOJO'!E47,'30.07 FORTPORAL-KYENJOJO'!E47,'31.07 FORTPORTAL-KYENJOJO'!E47,'02.08 FORTPORTAL-KYENJOJO'!E47,'01.08 FORTPORTAL-KYENJOJO 2-24h'!E47,'03.08 FORTPORTAL-KYENJOJO-24h'!E47,'04.08 FORTPORTAL-KYENJOJO'!E47)</f>
        <v>2.7142857142857144</v>
      </c>
      <c r="F47" s="49">
        <f>AVERAGE('29.07 FORTPORTAL-KYENJOJO'!F47,'30.07 FORTPORAL-KYENJOJO'!F47,'31.07 FORTPORTAL-KYENJOJO'!F47,'02.08 FORTPORTAL-KYENJOJO'!F47,'01.08 FORTPORTAL-KYENJOJO 2-24h'!F47,'03.08 FORTPORTAL-KYENJOJO-24h'!F47,'04.08 FORTPORTAL-KYENJOJO'!F47)</f>
        <v>1.7142857142857142</v>
      </c>
      <c r="G47" s="49">
        <f>AVERAGE('29.07 FORTPORTAL-KYENJOJO'!G47,'30.07 FORTPORAL-KYENJOJO'!G47,'31.07 FORTPORTAL-KYENJOJO'!G47,'02.08 FORTPORTAL-KYENJOJO'!G47,'01.08 FORTPORTAL-KYENJOJO 2-24h'!G47,'03.08 FORTPORTAL-KYENJOJO-24h'!G47,'04.08 FORTPORTAL-KYENJOJO'!G47)</f>
        <v>0</v>
      </c>
      <c r="H47" s="49">
        <f>AVERAGE('29.07 FORTPORTAL-KYENJOJO'!H47,'30.07 FORTPORAL-KYENJOJO'!H47,'31.07 FORTPORTAL-KYENJOJO'!H47,'02.08 FORTPORTAL-KYENJOJO'!H47,'01.08 FORTPORTAL-KYENJOJO 2-24h'!H47,'03.08 FORTPORTAL-KYENJOJO-24h'!H47,'04.08 FORTPORTAL-KYENJOJO'!H47)</f>
        <v>0.14285714285714285</v>
      </c>
      <c r="I47" s="49">
        <f>AVERAGE('29.07 FORTPORTAL-KYENJOJO'!I47,'30.07 FORTPORAL-KYENJOJO'!I47,'31.07 FORTPORTAL-KYENJOJO'!I47,'02.08 FORTPORTAL-KYENJOJO'!I47,'01.08 FORTPORTAL-KYENJOJO 2-24h'!I47,'03.08 FORTPORTAL-KYENJOJO-24h'!I47,'04.08 FORTPORTAL-KYENJOJO'!I47)</f>
        <v>0.5714285714285714</v>
      </c>
      <c r="J47" s="49">
        <f>AVERAGE('29.07 FORTPORTAL-KYENJOJO'!J47,'30.07 FORTPORAL-KYENJOJO'!J47,'31.07 FORTPORTAL-KYENJOJO'!J47,'02.08 FORTPORTAL-KYENJOJO'!J47,'01.08 FORTPORTAL-KYENJOJO 2-24h'!J47,'03.08 FORTPORTAL-KYENJOJO-24h'!J47,'04.08 FORTPORTAL-KYENJOJO'!J47)</f>
        <v>0</v>
      </c>
      <c r="K47" s="49">
        <f>AVERAGE('29.07 FORTPORTAL-KYENJOJO'!K47,'30.07 FORTPORAL-KYENJOJO'!K47,'31.07 FORTPORTAL-KYENJOJO'!K47,'02.08 FORTPORTAL-KYENJOJO'!K47,'01.08 FORTPORTAL-KYENJOJO 2-24h'!K47,'03.08 FORTPORTAL-KYENJOJO-24h'!K47,'04.08 FORTPORTAL-KYENJOJO'!K47)</f>
        <v>0</v>
      </c>
      <c r="L47" s="49">
        <f>AVERAGE('29.07 FORTPORTAL-KYENJOJO'!L47,'30.07 FORTPORAL-KYENJOJO'!L47,'31.07 FORTPORTAL-KYENJOJO'!L47,'02.08 FORTPORTAL-KYENJOJO'!L47,'01.08 FORTPORTAL-KYENJOJO 2-24h'!L47,'03.08 FORTPORTAL-KYENJOJO-24h'!L47,'04.08 FORTPORTAL-KYENJOJO'!L47)</f>
        <v>0</v>
      </c>
      <c r="M47" s="49">
        <f>AVERAGE('29.07 FORTPORTAL-KYENJOJO'!M47,'30.07 FORTPORAL-KYENJOJO'!M47,'31.07 FORTPORTAL-KYENJOJO'!M47,'02.08 FORTPORTAL-KYENJOJO'!M47,'01.08 FORTPORTAL-KYENJOJO 2-24h'!M47,'03.08 FORTPORTAL-KYENJOJO-24h'!M47,'04.08 FORTPORTAL-KYENJOJO'!M47)</f>
        <v>1.1428571428571428</v>
      </c>
      <c r="N47" s="49">
        <f>AVERAGE('29.07 FORTPORTAL-KYENJOJO'!N47,'30.07 FORTPORAL-KYENJOJO'!N47,'31.07 FORTPORTAL-KYENJOJO'!N47,'02.08 FORTPORTAL-KYENJOJO'!N47,'01.08 FORTPORTAL-KYENJOJO 2-24h'!N47,'03.08 FORTPORTAL-KYENJOJO-24h'!N47,'04.08 FORTPORTAL-KYENJOJO'!N47)</f>
        <v>0.14285714285714285</v>
      </c>
      <c r="O47" s="15">
        <f t="shared" si="0"/>
        <v>6.1428571428571432</v>
      </c>
      <c r="P47" s="15">
        <f t="shared" si="1"/>
        <v>7.2857142857142856</v>
      </c>
      <c r="R47" s="8"/>
      <c r="T47"/>
    </row>
    <row r="48" spans="2:32" ht="23.1" customHeight="1" x14ac:dyDescent="0.25">
      <c r="B48" s="24" t="s">
        <v>75</v>
      </c>
      <c r="C48" s="49">
        <f>AVERAGE('29.07 FORTPORTAL-KYENJOJO'!C48,'30.07 FORTPORAL-KYENJOJO'!C48,'31.07 FORTPORTAL-KYENJOJO'!C48,'02.08 FORTPORTAL-KYENJOJO'!C48,'01.08 FORTPORTAL-KYENJOJO 2-24h'!C48,'03.08 FORTPORTAL-KYENJOJO-24h'!C48,'04.08 FORTPORTAL-KYENJOJO'!C48)</f>
        <v>0.8571428571428571</v>
      </c>
      <c r="D48" s="49">
        <f>AVERAGE('29.07 FORTPORTAL-KYENJOJO'!D48,'30.07 FORTPORAL-KYENJOJO'!D48,'31.07 FORTPORTAL-KYENJOJO'!D48,'02.08 FORTPORTAL-KYENJOJO'!D48,'01.08 FORTPORTAL-KYENJOJO 2-24h'!D48,'03.08 FORTPORTAL-KYENJOJO-24h'!D48,'04.08 FORTPORTAL-KYENJOJO'!D48)</f>
        <v>0</v>
      </c>
      <c r="E48" s="49">
        <f>AVERAGE('29.07 FORTPORTAL-KYENJOJO'!E48,'30.07 FORTPORAL-KYENJOJO'!E48,'31.07 FORTPORTAL-KYENJOJO'!E48,'02.08 FORTPORTAL-KYENJOJO'!E48,'01.08 FORTPORTAL-KYENJOJO 2-24h'!E48,'03.08 FORTPORTAL-KYENJOJO-24h'!E48,'04.08 FORTPORTAL-KYENJOJO'!E48)</f>
        <v>3.1428571428571428</v>
      </c>
      <c r="F48" s="49">
        <f>AVERAGE('29.07 FORTPORTAL-KYENJOJO'!F48,'30.07 FORTPORAL-KYENJOJO'!F48,'31.07 FORTPORTAL-KYENJOJO'!F48,'02.08 FORTPORTAL-KYENJOJO'!F48,'01.08 FORTPORTAL-KYENJOJO 2-24h'!F48,'03.08 FORTPORTAL-KYENJOJO-24h'!F48,'04.08 FORTPORTAL-KYENJOJO'!F48)</f>
        <v>2.5714285714285716</v>
      </c>
      <c r="G48" s="49">
        <f>AVERAGE('29.07 FORTPORTAL-KYENJOJO'!G48,'30.07 FORTPORAL-KYENJOJO'!G48,'31.07 FORTPORTAL-KYENJOJO'!G48,'02.08 FORTPORTAL-KYENJOJO'!G48,'01.08 FORTPORTAL-KYENJOJO 2-24h'!G48,'03.08 FORTPORTAL-KYENJOJO-24h'!G48,'04.08 FORTPORTAL-KYENJOJO'!G48)</f>
        <v>0.2857142857142857</v>
      </c>
      <c r="H48" s="49">
        <f>AVERAGE('29.07 FORTPORTAL-KYENJOJO'!H48,'30.07 FORTPORAL-KYENJOJO'!H48,'31.07 FORTPORTAL-KYENJOJO'!H48,'02.08 FORTPORTAL-KYENJOJO'!H48,'01.08 FORTPORTAL-KYENJOJO 2-24h'!H48,'03.08 FORTPORTAL-KYENJOJO-24h'!H48,'04.08 FORTPORTAL-KYENJOJO'!H48)</f>
        <v>0.7142857142857143</v>
      </c>
      <c r="I48" s="49">
        <f>AVERAGE('29.07 FORTPORTAL-KYENJOJO'!I48,'30.07 FORTPORAL-KYENJOJO'!I48,'31.07 FORTPORTAL-KYENJOJO'!I48,'02.08 FORTPORTAL-KYENJOJO'!I48,'01.08 FORTPORTAL-KYENJOJO 2-24h'!I48,'03.08 FORTPORTAL-KYENJOJO-24h'!I48,'04.08 FORTPORTAL-KYENJOJO'!I48)</f>
        <v>0.8571428571428571</v>
      </c>
      <c r="J48" s="49">
        <f>AVERAGE('29.07 FORTPORTAL-KYENJOJO'!J48,'30.07 FORTPORAL-KYENJOJO'!J48,'31.07 FORTPORTAL-KYENJOJO'!J48,'02.08 FORTPORTAL-KYENJOJO'!J48,'01.08 FORTPORTAL-KYENJOJO 2-24h'!J48,'03.08 FORTPORTAL-KYENJOJO-24h'!J48,'04.08 FORTPORTAL-KYENJOJO'!J48)</f>
        <v>0</v>
      </c>
      <c r="K48" s="49">
        <f>AVERAGE('29.07 FORTPORTAL-KYENJOJO'!K48,'30.07 FORTPORAL-KYENJOJO'!K48,'31.07 FORTPORTAL-KYENJOJO'!K48,'02.08 FORTPORTAL-KYENJOJO'!K48,'01.08 FORTPORTAL-KYENJOJO 2-24h'!K48,'03.08 FORTPORTAL-KYENJOJO-24h'!K48,'04.08 FORTPORTAL-KYENJOJO'!K48)</f>
        <v>0</v>
      </c>
      <c r="L48" s="49">
        <f>AVERAGE('29.07 FORTPORTAL-KYENJOJO'!L48,'30.07 FORTPORAL-KYENJOJO'!L48,'31.07 FORTPORTAL-KYENJOJO'!L48,'02.08 FORTPORTAL-KYENJOJO'!L48,'01.08 FORTPORTAL-KYENJOJO 2-24h'!L48,'03.08 FORTPORTAL-KYENJOJO-24h'!L48,'04.08 FORTPORTAL-KYENJOJO'!L48)</f>
        <v>0.8571428571428571</v>
      </c>
      <c r="M48" s="49">
        <f>AVERAGE('29.07 FORTPORTAL-KYENJOJO'!M48,'30.07 FORTPORAL-KYENJOJO'!M48,'31.07 FORTPORTAL-KYENJOJO'!M48,'02.08 FORTPORTAL-KYENJOJO'!M48,'01.08 FORTPORTAL-KYENJOJO 2-24h'!M48,'03.08 FORTPORTAL-KYENJOJO-24h'!M48,'04.08 FORTPORTAL-KYENJOJO'!M48)</f>
        <v>1</v>
      </c>
      <c r="N48" s="49">
        <f>AVERAGE('29.07 FORTPORTAL-KYENJOJO'!N48,'30.07 FORTPORAL-KYENJOJO'!N48,'31.07 FORTPORTAL-KYENJOJO'!N48,'02.08 FORTPORTAL-KYENJOJO'!N48,'01.08 FORTPORTAL-KYENJOJO 2-24h'!N48,'03.08 FORTPORTAL-KYENJOJO-24h'!N48,'04.08 FORTPORTAL-KYENJOJO'!N48)</f>
        <v>0</v>
      </c>
      <c r="O48" s="15">
        <f t="shared" si="0"/>
        <v>9.2857142857142865</v>
      </c>
      <c r="P48" s="15">
        <f t="shared" si="1"/>
        <v>10.285714285714286</v>
      </c>
      <c r="R48" s="8"/>
      <c r="T48"/>
    </row>
    <row r="49" spans="2:20" ht="23.1" customHeight="1" x14ac:dyDescent="0.25">
      <c r="B49" s="23" t="s">
        <v>76</v>
      </c>
      <c r="C49" s="49">
        <f>AVERAGE('29.07 FORTPORTAL-KYENJOJO'!C49,'30.07 FORTPORAL-KYENJOJO'!C49,'31.07 FORTPORTAL-KYENJOJO'!C49,'02.08 FORTPORTAL-KYENJOJO'!C49,'01.08 FORTPORTAL-KYENJOJO 2-24h'!C49,'03.08 FORTPORTAL-KYENJOJO-24h'!C49,'04.08 FORTPORTAL-KYENJOJO'!C49)</f>
        <v>1.8571428571428572</v>
      </c>
      <c r="D49" s="49">
        <f>AVERAGE('29.07 FORTPORTAL-KYENJOJO'!D49,'30.07 FORTPORAL-KYENJOJO'!D49,'31.07 FORTPORTAL-KYENJOJO'!D49,'02.08 FORTPORTAL-KYENJOJO'!D49,'01.08 FORTPORTAL-KYENJOJO 2-24h'!D49,'03.08 FORTPORTAL-KYENJOJO-24h'!D49,'04.08 FORTPORTAL-KYENJOJO'!D49)</f>
        <v>0</v>
      </c>
      <c r="E49" s="49">
        <f>AVERAGE('29.07 FORTPORTAL-KYENJOJO'!E49,'30.07 FORTPORAL-KYENJOJO'!E49,'31.07 FORTPORTAL-KYENJOJO'!E49,'02.08 FORTPORTAL-KYENJOJO'!E49,'01.08 FORTPORTAL-KYENJOJO 2-24h'!E49,'03.08 FORTPORTAL-KYENJOJO-24h'!E49,'04.08 FORTPORTAL-KYENJOJO'!E49)</f>
        <v>3.1428571428571428</v>
      </c>
      <c r="F49" s="49">
        <f>AVERAGE('29.07 FORTPORTAL-KYENJOJO'!F49,'30.07 FORTPORAL-KYENJOJO'!F49,'31.07 FORTPORTAL-KYENJOJO'!F49,'02.08 FORTPORTAL-KYENJOJO'!F49,'01.08 FORTPORTAL-KYENJOJO 2-24h'!F49,'03.08 FORTPORTAL-KYENJOJO-24h'!F49,'04.08 FORTPORTAL-KYENJOJO'!F49)</f>
        <v>2</v>
      </c>
      <c r="G49" s="49">
        <f>AVERAGE('29.07 FORTPORTAL-KYENJOJO'!G49,'30.07 FORTPORAL-KYENJOJO'!G49,'31.07 FORTPORTAL-KYENJOJO'!G49,'02.08 FORTPORTAL-KYENJOJO'!G49,'01.08 FORTPORTAL-KYENJOJO 2-24h'!G49,'03.08 FORTPORTAL-KYENJOJO-24h'!G49,'04.08 FORTPORTAL-KYENJOJO'!G49)</f>
        <v>0</v>
      </c>
      <c r="H49" s="49">
        <f>AVERAGE('29.07 FORTPORTAL-KYENJOJO'!H49,'30.07 FORTPORAL-KYENJOJO'!H49,'31.07 FORTPORTAL-KYENJOJO'!H49,'02.08 FORTPORTAL-KYENJOJO'!H49,'01.08 FORTPORTAL-KYENJOJO 2-24h'!H49,'03.08 FORTPORTAL-KYENJOJO-24h'!H49,'04.08 FORTPORTAL-KYENJOJO'!H49)</f>
        <v>0.42857142857142855</v>
      </c>
      <c r="I49" s="49">
        <f>AVERAGE('29.07 FORTPORTAL-KYENJOJO'!I49,'30.07 FORTPORAL-KYENJOJO'!I49,'31.07 FORTPORTAL-KYENJOJO'!I49,'02.08 FORTPORTAL-KYENJOJO'!I49,'01.08 FORTPORTAL-KYENJOJO 2-24h'!I49,'03.08 FORTPORTAL-KYENJOJO-24h'!I49,'04.08 FORTPORTAL-KYENJOJO'!I49)</f>
        <v>1.1428571428571428</v>
      </c>
      <c r="J49" s="49">
        <f>AVERAGE('29.07 FORTPORTAL-KYENJOJO'!J49,'30.07 FORTPORAL-KYENJOJO'!J49,'31.07 FORTPORTAL-KYENJOJO'!J49,'02.08 FORTPORTAL-KYENJOJO'!J49,'01.08 FORTPORTAL-KYENJOJO 2-24h'!J49,'03.08 FORTPORTAL-KYENJOJO-24h'!J49,'04.08 FORTPORTAL-KYENJOJO'!J49)</f>
        <v>0</v>
      </c>
      <c r="K49" s="49">
        <f>AVERAGE('29.07 FORTPORTAL-KYENJOJO'!K49,'30.07 FORTPORAL-KYENJOJO'!K49,'31.07 FORTPORTAL-KYENJOJO'!K49,'02.08 FORTPORTAL-KYENJOJO'!K49,'01.08 FORTPORTAL-KYENJOJO 2-24h'!K49,'03.08 FORTPORTAL-KYENJOJO-24h'!K49,'04.08 FORTPORTAL-KYENJOJO'!K49)</f>
        <v>0</v>
      </c>
      <c r="L49" s="49">
        <f>AVERAGE('29.07 FORTPORTAL-KYENJOJO'!L49,'30.07 FORTPORAL-KYENJOJO'!L49,'31.07 FORTPORTAL-KYENJOJO'!L49,'02.08 FORTPORTAL-KYENJOJO'!L49,'01.08 FORTPORTAL-KYENJOJO 2-24h'!L49,'03.08 FORTPORTAL-KYENJOJO-24h'!L49,'04.08 FORTPORTAL-KYENJOJO'!L49)</f>
        <v>0.7142857142857143</v>
      </c>
      <c r="M49" s="49">
        <f>AVERAGE('29.07 FORTPORTAL-KYENJOJO'!M49,'30.07 FORTPORAL-KYENJOJO'!M49,'31.07 FORTPORTAL-KYENJOJO'!M49,'02.08 FORTPORTAL-KYENJOJO'!M49,'01.08 FORTPORTAL-KYENJOJO 2-24h'!M49,'03.08 FORTPORTAL-KYENJOJO-24h'!M49,'04.08 FORTPORTAL-KYENJOJO'!M49)</f>
        <v>1.4285714285714286</v>
      </c>
      <c r="N49" s="49">
        <f>AVERAGE('29.07 FORTPORTAL-KYENJOJO'!N49,'30.07 FORTPORAL-KYENJOJO'!N49,'31.07 FORTPORTAL-KYENJOJO'!N49,'02.08 FORTPORTAL-KYENJOJO'!N49,'01.08 FORTPORTAL-KYENJOJO 2-24h'!N49,'03.08 FORTPORTAL-KYENJOJO-24h'!N49,'04.08 FORTPORTAL-KYENJOJO'!N49)</f>
        <v>0</v>
      </c>
      <c r="O49" s="15">
        <f t="shared" si="0"/>
        <v>9.2857142857142847</v>
      </c>
      <c r="P49" s="15">
        <f t="shared" si="1"/>
        <v>10.714285714285714</v>
      </c>
      <c r="R49" s="8"/>
      <c r="T49"/>
    </row>
    <row r="50" spans="2:20" ht="23.1" customHeight="1" x14ac:dyDescent="0.25">
      <c r="B50" s="24" t="s">
        <v>77</v>
      </c>
      <c r="C50" s="49">
        <f>AVERAGE('29.07 FORTPORTAL-KYENJOJO'!C50,'30.07 FORTPORAL-KYENJOJO'!C50,'31.07 FORTPORTAL-KYENJOJO'!C50,'02.08 FORTPORTAL-KYENJOJO'!C50,'01.08 FORTPORTAL-KYENJOJO 2-24h'!C50,'03.08 FORTPORTAL-KYENJOJO-24h'!C50,'04.08 FORTPORTAL-KYENJOJO'!C50)</f>
        <v>1.1428571428571428</v>
      </c>
      <c r="D50" s="49">
        <f>AVERAGE('29.07 FORTPORTAL-KYENJOJO'!D50,'30.07 FORTPORAL-KYENJOJO'!D50,'31.07 FORTPORTAL-KYENJOJO'!D50,'02.08 FORTPORTAL-KYENJOJO'!D50,'01.08 FORTPORTAL-KYENJOJO 2-24h'!D50,'03.08 FORTPORTAL-KYENJOJO-24h'!D50,'04.08 FORTPORTAL-KYENJOJO'!D50)</f>
        <v>0</v>
      </c>
      <c r="E50" s="49">
        <f>AVERAGE('29.07 FORTPORTAL-KYENJOJO'!E50,'30.07 FORTPORAL-KYENJOJO'!E50,'31.07 FORTPORTAL-KYENJOJO'!E50,'02.08 FORTPORTAL-KYENJOJO'!E50,'01.08 FORTPORTAL-KYENJOJO 2-24h'!E50,'03.08 FORTPORTAL-KYENJOJO-24h'!E50,'04.08 FORTPORTAL-KYENJOJO'!E50)</f>
        <v>2.2857142857142856</v>
      </c>
      <c r="F50" s="49">
        <f>AVERAGE('29.07 FORTPORTAL-KYENJOJO'!F50,'30.07 FORTPORAL-KYENJOJO'!F50,'31.07 FORTPORTAL-KYENJOJO'!F50,'02.08 FORTPORTAL-KYENJOJO'!F50,'01.08 FORTPORTAL-KYENJOJO 2-24h'!F50,'03.08 FORTPORTAL-KYENJOJO-24h'!F50,'04.08 FORTPORTAL-KYENJOJO'!F50)</f>
        <v>2</v>
      </c>
      <c r="G50" s="49">
        <f>AVERAGE('29.07 FORTPORTAL-KYENJOJO'!G50,'30.07 FORTPORAL-KYENJOJO'!G50,'31.07 FORTPORTAL-KYENJOJO'!G50,'02.08 FORTPORTAL-KYENJOJO'!G50,'01.08 FORTPORTAL-KYENJOJO 2-24h'!G50,'03.08 FORTPORTAL-KYENJOJO-24h'!G50,'04.08 FORTPORTAL-KYENJOJO'!G50)</f>
        <v>0.2857142857142857</v>
      </c>
      <c r="H50" s="49">
        <f>AVERAGE('29.07 FORTPORTAL-KYENJOJO'!H50,'30.07 FORTPORAL-KYENJOJO'!H50,'31.07 FORTPORTAL-KYENJOJO'!H50,'02.08 FORTPORTAL-KYENJOJO'!H50,'01.08 FORTPORTAL-KYENJOJO 2-24h'!H50,'03.08 FORTPORTAL-KYENJOJO-24h'!H50,'04.08 FORTPORTAL-KYENJOJO'!H50)</f>
        <v>0.42857142857142855</v>
      </c>
      <c r="I50" s="49">
        <f>AVERAGE('29.07 FORTPORTAL-KYENJOJO'!I50,'30.07 FORTPORAL-KYENJOJO'!I50,'31.07 FORTPORTAL-KYENJOJO'!I50,'02.08 FORTPORTAL-KYENJOJO'!I50,'01.08 FORTPORTAL-KYENJOJO 2-24h'!I50,'03.08 FORTPORTAL-KYENJOJO-24h'!I50,'04.08 FORTPORTAL-KYENJOJO'!I50)</f>
        <v>1.2857142857142858</v>
      </c>
      <c r="J50" s="49">
        <f>AVERAGE('29.07 FORTPORTAL-KYENJOJO'!J50,'30.07 FORTPORAL-KYENJOJO'!J50,'31.07 FORTPORTAL-KYENJOJO'!J50,'02.08 FORTPORTAL-KYENJOJO'!J50,'01.08 FORTPORTAL-KYENJOJO 2-24h'!J50,'03.08 FORTPORTAL-KYENJOJO-24h'!J50,'04.08 FORTPORTAL-KYENJOJO'!J50)</f>
        <v>0</v>
      </c>
      <c r="K50" s="49">
        <f>AVERAGE('29.07 FORTPORTAL-KYENJOJO'!K50,'30.07 FORTPORAL-KYENJOJO'!K50,'31.07 FORTPORTAL-KYENJOJO'!K50,'02.08 FORTPORTAL-KYENJOJO'!K50,'01.08 FORTPORTAL-KYENJOJO 2-24h'!K50,'03.08 FORTPORTAL-KYENJOJO-24h'!K50,'04.08 FORTPORTAL-KYENJOJO'!K50)</f>
        <v>0</v>
      </c>
      <c r="L50" s="49">
        <f>AVERAGE('29.07 FORTPORTAL-KYENJOJO'!L50,'30.07 FORTPORAL-KYENJOJO'!L50,'31.07 FORTPORTAL-KYENJOJO'!L50,'02.08 FORTPORTAL-KYENJOJO'!L50,'01.08 FORTPORTAL-KYENJOJO 2-24h'!L50,'03.08 FORTPORTAL-KYENJOJO-24h'!L50,'04.08 FORTPORTAL-KYENJOJO'!L50)</f>
        <v>0.2857142857142857</v>
      </c>
      <c r="M50" s="49">
        <f>AVERAGE('29.07 FORTPORTAL-KYENJOJO'!M50,'30.07 FORTPORAL-KYENJOJO'!M50,'31.07 FORTPORTAL-KYENJOJO'!M50,'02.08 FORTPORTAL-KYENJOJO'!M50,'01.08 FORTPORTAL-KYENJOJO 2-24h'!M50,'03.08 FORTPORTAL-KYENJOJO-24h'!M50,'04.08 FORTPORTAL-KYENJOJO'!M50)</f>
        <v>1</v>
      </c>
      <c r="N50" s="49">
        <f>AVERAGE('29.07 FORTPORTAL-KYENJOJO'!N50,'30.07 FORTPORAL-KYENJOJO'!N50,'31.07 FORTPORTAL-KYENJOJO'!N50,'02.08 FORTPORTAL-KYENJOJO'!N50,'01.08 FORTPORTAL-KYENJOJO 2-24h'!N50,'03.08 FORTPORTAL-KYENJOJO-24h'!N50,'04.08 FORTPORTAL-KYENJOJO'!N50)</f>
        <v>0</v>
      </c>
      <c r="O50" s="15">
        <f t="shared" si="0"/>
        <v>7.7142857142857144</v>
      </c>
      <c r="P50" s="15">
        <f t="shared" si="1"/>
        <v>8.7142857142857153</v>
      </c>
      <c r="R50" s="8"/>
      <c r="T50"/>
    </row>
    <row r="51" spans="2:20" ht="23.1" customHeight="1" x14ac:dyDescent="0.25">
      <c r="B51" s="24" t="s">
        <v>78</v>
      </c>
      <c r="C51" s="49">
        <f>AVERAGE('29.07 FORTPORTAL-KYENJOJO'!C51,'30.07 FORTPORAL-KYENJOJO'!C51,'31.07 FORTPORTAL-KYENJOJO'!C51,'02.08 FORTPORTAL-KYENJOJO'!C51,'01.08 FORTPORTAL-KYENJOJO 2-24h'!C51,'03.08 FORTPORTAL-KYENJOJO-24h'!C51,'04.08 FORTPORTAL-KYENJOJO'!C51)</f>
        <v>2.1428571428571428</v>
      </c>
      <c r="D51" s="49">
        <f>AVERAGE('29.07 FORTPORTAL-KYENJOJO'!D51,'30.07 FORTPORAL-KYENJOJO'!D51,'31.07 FORTPORTAL-KYENJOJO'!D51,'02.08 FORTPORTAL-KYENJOJO'!D51,'01.08 FORTPORTAL-KYENJOJO 2-24h'!D51,'03.08 FORTPORTAL-KYENJOJO-24h'!D51,'04.08 FORTPORTAL-KYENJOJO'!D51)</f>
        <v>0</v>
      </c>
      <c r="E51" s="49">
        <f>AVERAGE('29.07 FORTPORTAL-KYENJOJO'!E51,'30.07 FORTPORAL-KYENJOJO'!E51,'31.07 FORTPORTAL-KYENJOJO'!E51,'02.08 FORTPORTAL-KYENJOJO'!E51,'01.08 FORTPORTAL-KYENJOJO 2-24h'!E51,'03.08 FORTPORTAL-KYENJOJO-24h'!E51,'04.08 FORTPORTAL-KYENJOJO'!E51)</f>
        <v>3.7142857142857144</v>
      </c>
      <c r="F51" s="49">
        <f>AVERAGE('29.07 FORTPORTAL-KYENJOJO'!F51,'30.07 FORTPORAL-KYENJOJO'!F51,'31.07 FORTPORTAL-KYENJOJO'!F51,'02.08 FORTPORTAL-KYENJOJO'!F51,'01.08 FORTPORTAL-KYENJOJO 2-24h'!F51,'03.08 FORTPORTAL-KYENJOJO-24h'!F51,'04.08 FORTPORTAL-KYENJOJO'!F51)</f>
        <v>2.5714285714285716</v>
      </c>
      <c r="G51" s="49">
        <f>AVERAGE('29.07 FORTPORTAL-KYENJOJO'!G51,'30.07 FORTPORAL-KYENJOJO'!G51,'31.07 FORTPORTAL-KYENJOJO'!G51,'02.08 FORTPORTAL-KYENJOJO'!G51,'01.08 FORTPORTAL-KYENJOJO 2-24h'!G51,'03.08 FORTPORTAL-KYENJOJO-24h'!G51,'04.08 FORTPORTAL-KYENJOJO'!G51)</f>
        <v>0</v>
      </c>
      <c r="H51" s="49">
        <f>AVERAGE('29.07 FORTPORTAL-KYENJOJO'!H51,'30.07 FORTPORAL-KYENJOJO'!H51,'31.07 FORTPORTAL-KYENJOJO'!H51,'02.08 FORTPORTAL-KYENJOJO'!H51,'01.08 FORTPORTAL-KYENJOJO 2-24h'!H51,'03.08 FORTPORTAL-KYENJOJO-24h'!H51,'04.08 FORTPORTAL-KYENJOJO'!H51)</f>
        <v>0.42857142857142855</v>
      </c>
      <c r="I51" s="49">
        <f>AVERAGE('29.07 FORTPORTAL-KYENJOJO'!I51,'30.07 FORTPORAL-KYENJOJO'!I51,'31.07 FORTPORTAL-KYENJOJO'!I51,'02.08 FORTPORTAL-KYENJOJO'!I51,'01.08 FORTPORTAL-KYENJOJO 2-24h'!I51,'03.08 FORTPORTAL-KYENJOJO-24h'!I51,'04.08 FORTPORTAL-KYENJOJO'!I51)</f>
        <v>1.2857142857142858</v>
      </c>
      <c r="J51" s="49">
        <f>AVERAGE('29.07 FORTPORTAL-KYENJOJO'!J51,'30.07 FORTPORAL-KYENJOJO'!J51,'31.07 FORTPORTAL-KYENJOJO'!J51,'02.08 FORTPORTAL-KYENJOJO'!J51,'01.08 FORTPORTAL-KYENJOJO 2-24h'!J51,'03.08 FORTPORTAL-KYENJOJO-24h'!J51,'04.08 FORTPORTAL-KYENJOJO'!J51)</f>
        <v>0</v>
      </c>
      <c r="K51" s="49">
        <f>AVERAGE('29.07 FORTPORTAL-KYENJOJO'!K51,'30.07 FORTPORAL-KYENJOJO'!K51,'31.07 FORTPORTAL-KYENJOJO'!K51,'02.08 FORTPORTAL-KYENJOJO'!K51,'01.08 FORTPORTAL-KYENJOJO 2-24h'!K51,'03.08 FORTPORTAL-KYENJOJO-24h'!K51,'04.08 FORTPORTAL-KYENJOJO'!K51)</f>
        <v>0</v>
      </c>
      <c r="L51" s="49">
        <f>AVERAGE('29.07 FORTPORTAL-KYENJOJO'!L51,'30.07 FORTPORAL-KYENJOJO'!L51,'31.07 FORTPORTAL-KYENJOJO'!L51,'02.08 FORTPORTAL-KYENJOJO'!L51,'01.08 FORTPORTAL-KYENJOJO 2-24h'!L51,'03.08 FORTPORTAL-KYENJOJO-24h'!L51,'04.08 FORTPORTAL-KYENJOJO'!L51)</f>
        <v>0.42857142857142855</v>
      </c>
      <c r="M51" s="49">
        <f>AVERAGE('29.07 FORTPORTAL-KYENJOJO'!M51,'30.07 FORTPORAL-KYENJOJO'!M51,'31.07 FORTPORTAL-KYENJOJO'!M51,'02.08 FORTPORTAL-KYENJOJO'!M51,'01.08 FORTPORTAL-KYENJOJO 2-24h'!M51,'03.08 FORTPORTAL-KYENJOJO-24h'!M51,'04.08 FORTPORTAL-KYENJOJO'!M51)</f>
        <v>1.8571428571428572</v>
      </c>
      <c r="N51" s="49">
        <f>AVERAGE('29.07 FORTPORTAL-KYENJOJO'!N51,'30.07 FORTPORAL-KYENJOJO'!N51,'31.07 FORTPORTAL-KYENJOJO'!N51,'02.08 FORTPORTAL-KYENJOJO'!N51,'01.08 FORTPORTAL-KYENJOJO 2-24h'!N51,'03.08 FORTPORTAL-KYENJOJO-24h'!N51,'04.08 FORTPORTAL-KYENJOJO'!N51)</f>
        <v>0</v>
      </c>
      <c r="O51" s="15">
        <f t="shared" si="0"/>
        <v>10.571428571428573</v>
      </c>
      <c r="P51" s="15">
        <f t="shared" si="1"/>
        <v>12.428571428571431</v>
      </c>
      <c r="R51" s="8"/>
      <c r="T51"/>
    </row>
    <row r="52" spans="2:20" ht="23.1" customHeight="1" x14ac:dyDescent="0.25">
      <c r="B52" s="24" t="s">
        <v>79</v>
      </c>
      <c r="C52" s="49">
        <f>AVERAGE('29.07 FORTPORTAL-KYENJOJO'!C52,'30.07 FORTPORAL-KYENJOJO'!C52,'31.07 FORTPORTAL-KYENJOJO'!C52,'02.08 FORTPORTAL-KYENJOJO'!C52,'01.08 FORTPORTAL-KYENJOJO 2-24h'!C52,'03.08 FORTPORTAL-KYENJOJO-24h'!C52,'04.08 FORTPORTAL-KYENJOJO'!C52)</f>
        <v>1.5714285714285714</v>
      </c>
      <c r="D52" s="49">
        <f>AVERAGE('29.07 FORTPORTAL-KYENJOJO'!D52,'30.07 FORTPORAL-KYENJOJO'!D52,'31.07 FORTPORTAL-KYENJOJO'!D52,'02.08 FORTPORTAL-KYENJOJO'!D52,'01.08 FORTPORTAL-KYENJOJO 2-24h'!D52,'03.08 FORTPORTAL-KYENJOJO-24h'!D52,'04.08 FORTPORTAL-KYENJOJO'!D52)</f>
        <v>0</v>
      </c>
      <c r="E52" s="49">
        <f>AVERAGE('29.07 FORTPORTAL-KYENJOJO'!E52,'30.07 FORTPORAL-KYENJOJO'!E52,'31.07 FORTPORTAL-KYENJOJO'!E52,'02.08 FORTPORTAL-KYENJOJO'!E52,'01.08 FORTPORTAL-KYENJOJO 2-24h'!E52,'03.08 FORTPORTAL-KYENJOJO-24h'!E52,'04.08 FORTPORTAL-KYENJOJO'!E52)</f>
        <v>3</v>
      </c>
      <c r="F52" s="49">
        <f>AVERAGE('29.07 FORTPORTAL-KYENJOJO'!F52,'30.07 FORTPORAL-KYENJOJO'!F52,'31.07 FORTPORTAL-KYENJOJO'!F52,'02.08 FORTPORTAL-KYENJOJO'!F52,'01.08 FORTPORTAL-KYENJOJO 2-24h'!F52,'03.08 FORTPORTAL-KYENJOJO-24h'!F52,'04.08 FORTPORTAL-KYENJOJO'!F52)</f>
        <v>2</v>
      </c>
      <c r="G52" s="49">
        <f>AVERAGE('29.07 FORTPORTAL-KYENJOJO'!G52,'30.07 FORTPORAL-KYENJOJO'!G52,'31.07 FORTPORTAL-KYENJOJO'!G52,'02.08 FORTPORTAL-KYENJOJO'!G52,'01.08 FORTPORTAL-KYENJOJO 2-24h'!G52,'03.08 FORTPORTAL-KYENJOJO-24h'!G52,'04.08 FORTPORTAL-KYENJOJO'!G52)</f>
        <v>0.2857142857142857</v>
      </c>
      <c r="H52" s="49">
        <f>AVERAGE('29.07 FORTPORTAL-KYENJOJO'!H52,'30.07 FORTPORAL-KYENJOJO'!H52,'31.07 FORTPORTAL-KYENJOJO'!H52,'02.08 FORTPORTAL-KYENJOJO'!H52,'01.08 FORTPORTAL-KYENJOJO 2-24h'!H52,'03.08 FORTPORTAL-KYENJOJO-24h'!H52,'04.08 FORTPORTAL-KYENJOJO'!H52)</f>
        <v>1</v>
      </c>
      <c r="I52" s="49">
        <f>AVERAGE('29.07 FORTPORTAL-KYENJOJO'!I52,'30.07 FORTPORAL-KYENJOJO'!I52,'31.07 FORTPORTAL-KYENJOJO'!I52,'02.08 FORTPORTAL-KYENJOJO'!I52,'01.08 FORTPORTAL-KYENJOJO 2-24h'!I52,'03.08 FORTPORTAL-KYENJOJO-24h'!I52,'04.08 FORTPORTAL-KYENJOJO'!I52)</f>
        <v>1.7142857142857142</v>
      </c>
      <c r="J52" s="49">
        <f>AVERAGE('29.07 FORTPORTAL-KYENJOJO'!J52,'30.07 FORTPORAL-KYENJOJO'!J52,'31.07 FORTPORTAL-KYENJOJO'!J52,'02.08 FORTPORTAL-KYENJOJO'!J52,'01.08 FORTPORTAL-KYENJOJO 2-24h'!J52,'03.08 FORTPORTAL-KYENJOJO-24h'!J52,'04.08 FORTPORTAL-KYENJOJO'!J52)</f>
        <v>0</v>
      </c>
      <c r="K52" s="49">
        <f>AVERAGE('29.07 FORTPORTAL-KYENJOJO'!K52,'30.07 FORTPORAL-KYENJOJO'!K52,'31.07 FORTPORTAL-KYENJOJO'!K52,'02.08 FORTPORTAL-KYENJOJO'!K52,'01.08 FORTPORTAL-KYENJOJO 2-24h'!K52,'03.08 FORTPORTAL-KYENJOJO-24h'!K52,'04.08 FORTPORTAL-KYENJOJO'!K52)</f>
        <v>0</v>
      </c>
      <c r="L52" s="49">
        <f>AVERAGE('29.07 FORTPORTAL-KYENJOJO'!L52,'30.07 FORTPORAL-KYENJOJO'!L52,'31.07 FORTPORTAL-KYENJOJO'!L52,'02.08 FORTPORTAL-KYENJOJO'!L52,'01.08 FORTPORTAL-KYENJOJO 2-24h'!L52,'03.08 FORTPORTAL-KYENJOJO-24h'!L52,'04.08 FORTPORTAL-KYENJOJO'!L52)</f>
        <v>0.42857142857142855</v>
      </c>
      <c r="M52" s="49">
        <f>AVERAGE('29.07 FORTPORTAL-KYENJOJO'!M52,'30.07 FORTPORAL-KYENJOJO'!M52,'31.07 FORTPORTAL-KYENJOJO'!M52,'02.08 FORTPORTAL-KYENJOJO'!M52,'01.08 FORTPORTAL-KYENJOJO 2-24h'!M52,'03.08 FORTPORTAL-KYENJOJO-24h'!M52,'04.08 FORTPORTAL-KYENJOJO'!M52)</f>
        <v>1.8571428571428572</v>
      </c>
      <c r="N52" s="49">
        <f>AVERAGE('29.07 FORTPORTAL-KYENJOJO'!N52,'30.07 FORTPORAL-KYENJOJO'!N52,'31.07 FORTPORTAL-KYENJOJO'!N52,'02.08 FORTPORTAL-KYENJOJO'!N52,'01.08 FORTPORTAL-KYENJOJO 2-24h'!N52,'03.08 FORTPORTAL-KYENJOJO-24h'!N52,'04.08 FORTPORTAL-KYENJOJO'!N52)</f>
        <v>0</v>
      </c>
      <c r="O52" s="15">
        <f t="shared" si="0"/>
        <v>10</v>
      </c>
      <c r="P52" s="15">
        <f t="shared" si="1"/>
        <v>11.857142857142858</v>
      </c>
      <c r="R52" s="8"/>
      <c r="T52"/>
    </row>
    <row r="53" spans="2:20" ht="23.1" customHeight="1" x14ac:dyDescent="0.25">
      <c r="B53" s="23" t="s">
        <v>80</v>
      </c>
      <c r="C53" s="49">
        <f>AVERAGE('29.07 FORTPORTAL-KYENJOJO'!C53,'30.07 FORTPORAL-KYENJOJO'!C53,'31.07 FORTPORTAL-KYENJOJO'!C53,'02.08 FORTPORTAL-KYENJOJO'!C53,'01.08 FORTPORTAL-KYENJOJO 2-24h'!C53,'03.08 FORTPORTAL-KYENJOJO-24h'!C53,'04.08 FORTPORTAL-KYENJOJO'!C53)</f>
        <v>0.8571428571428571</v>
      </c>
      <c r="D53" s="49">
        <f>AVERAGE('29.07 FORTPORTAL-KYENJOJO'!D53,'30.07 FORTPORAL-KYENJOJO'!D53,'31.07 FORTPORTAL-KYENJOJO'!D53,'02.08 FORTPORTAL-KYENJOJO'!D53,'01.08 FORTPORTAL-KYENJOJO 2-24h'!D53,'03.08 FORTPORTAL-KYENJOJO-24h'!D53,'04.08 FORTPORTAL-KYENJOJO'!D53)</f>
        <v>0</v>
      </c>
      <c r="E53" s="49">
        <f>AVERAGE('29.07 FORTPORTAL-KYENJOJO'!E53,'30.07 FORTPORAL-KYENJOJO'!E53,'31.07 FORTPORTAL-KYENJOJO'!E53,'02.08 FORTPORTAL-KYENJOJO'!E53,'01.08 FORTPORTAL-KYENJOJO 2-24h'!E53,'03.08 FORTPORTAL-KYENJOJO-24h'!E53,'04.08 FORTPORTAL-KYENJOJO'!E53)</f>
        <v>2.4285714285714284</v>
      </c>
      <c r="F53" s="49">
        <f>AVERAGE('29.07 FORTPORTAL-KYENJOJO'!F53,'30.07 FORTPORAL-KYENJOJO'!F53,'31.07 FORTPORTAL-KYENJOJO'!F53,'02.08 FORTPORTAL-KYENJOJO'!F53,'01.08 FORTPORTAL-KYENJOJO 2-24h'!F53,'03.08 FORTPORTAL-KYENJOJO-24h'!F53,'04.08 FORTPORTAL-KYENJOJO'!F53)</f>
        <v>1.5714285714285714</v>
      </c>
      <c r="G53" s="49">
        <f>AVERAGE('29.07 FORTPORTAL-KYENJOJO'!G53,'30.07 FORTPORAL-KYENJOJO'!G53,'31.07 FORTPORTAL-KYENJOJO'!G53,'02.08 FORTPORTAL-KYENJOJO'!G53,'01.08 FORTPORTAL-KYENJOJO 2-24h'!G53,'03.08 FORTPORTAL-KYENJOJO-24h'!G53,'04.08 FORTPORTAL-KYENJOJO'!G53)</f>
        <v>0.14285714285714285</v>
      </c>
      <c r="H53" s="49">
        <f>AVERAGE('29.07 FORTPORTAL-KYENJOJO'!H53,'30.07 FORTPORAL-KYENJOJO'!H53,'31.07 FORTPORTAL-KYENJOJO'!H53,'02.08 FORTPORTAL-KYENJOJO'!H53,'01.08 FORTPORTAL-KYENJOJO 2-24h'!H53,'03.08 FORTPORTAL-KYENJOJO-24h'!H53,'04.08 FORTPORTAL-KYENJOJO'!H53)</f>
        <v>0.14285714285714285</v>
      </c>
      <c r="I53" s="49">
        <f>AVERAGE('29.07 FORTPORTAL-KYENJOJO'!I53,'30.07 FORTPORAL-KYENJOJO'!I53,'31.07 FORTPORTAL-KYENJOJO'!I53,'02.08 FORTPORTAL-KYENJOJO'!I53,'01.08 FORTPORTAL-KYENJOJO 2-24h'!I53,'03.08 FORTPORTAL-KYENJOJO-24h'!I53,'04.08 FORTPORTAL-KYENJOJO'!I53)</f>
        <v>0.8571428571428571</v>
      </c>
      <c r="J53" s="49">
        <f>AVERAGE('29.07 FORTPORTAL-KYENJOJO'!J53,'30.07 FORTPORAL-KYENJOJO'!J53,'31.07 FORTPORTAL-KYENJOJO'!J53,'02.08 FORTPORTAL-KYENJOJO'!J53,'01.08 FORTPORTAL-KYENJOJO 2-24h'!J53,'03.08 FORTPORTAL-KYENJOJO-24h'!J53,'04.08 FORTPORTAL-KYENJOJO'!J53)</f>
        <v>0</v>
      </c>
      <c r="K53" s="49">
        <f>AVERAGE('29.07 FORTPORTAL-KYENJOJO'!K53,'30.07 FORTPORAL-KYENJOJO'!K53,'31.07 FORTPORTAL-KYENJOJO'!K53,'02.08 FORTPORTAL-KYENJOJO'!K53,'01.08 FORTPORTAL-KYENJOJO 2-24h'!K53,'03.08 FORTPORTAL-KYENJOJO-24h'!K53,'04.08 FORTPORTAL-KYENJOJO'!K53)</f>
        <v>0</v>
      </c>
      <c r="L53" s="49">
        <f>AVERAGE('29.07 FORTPORTAL-KYENJOJO'!L53,'30.07 FORTPORAL-KYENJOJO'!L53,'31.07 FORTPORTAL-KYENJOJO'!L53,'02.08 FORTPORTAL-KYENJOJO'!L53,'01.08 FORTPORTAL-KYENJOJO 2-24h'!L53,'03.08 FORTPORTAL-KYENJOJO-24h'!L53,'04.08 FORTPORTAL-KYENJOJO'!L53)</f>
        <v>0.42857142857142855</v>
      </c>
      <c r="M53" s="49">
        <f>AVERAGE('29.07 FORTPORTAL-KYENJOJO'!M53,'30.07 FORTPORAL-KYENJOJO'!M53,'31.07 FORTPORTAL-KYENJOJO'!M53,'02.08 FORTPORTAL-KYENJOJO'!M53,'01.08 FORTPORTAL-KYENJOJO 2-24h'!M53,'03.08 FORTPORTAL-KYENJOJO-24h'!M53,'04.08 FORTPORTAL-KYENJOJO'!M53)</f>
        <v>1.4285714285714286</v>
      </c>
      <c r="N53" s="49">
        <f>AVERAGE('29.07 FORTPORTAL-KYENJOJO'!N53,'30.07 FORTPORAL-KYENJOJO'!N53,'31.07 FORTPORTAL-KYENJOJO'!N53,'02.08 FORTPORTAL-KYENJOJO'!N53,'01.08 FORTPORTAL-KYENJOJO 2-24h'!N53,'03.08 FORTPORTAL-KYENJOJO-24h'!N53,'04.08 FORTPORTAL-KYENJOJO'!N53)</f>
        <v>0</v>
      </c>
      <c r="O53" s="15">
        <f t="shared" si="0"/>
        <v>6.4285714285714288</v>
      </c>
      <c r="P53" s="15">
        <f t="shared" si="1"/>
        <v>7.8571428571428577</v>
      </c>
      <c r="R53" s="8"/>
      <c r="T53"/>
    </row>
    <row r="54" spans="2:20" ht="23.1" customHeight="1" x14ac:dyDescent="0.25">
      <c r="B54" s="23" t="s">
        <v>81</v>
      </c>
      <c r="C54" s="49">
        <f>AVERAGE('29.07 FORTPORTAL-KYENJOJO'!C54,'30.07 FORTPORAL-KYENJOJO'!C54,'31.07 FORTPORTAL-KYENJOJO'!C54,'02.08 FORTPORTAL-KYENJOJO'!C54,'01.08 FORTPORTAL-KYENJOJO 2-24h'!C54,'03.08 FORTPORTAL-KYENJOJO-24h'!C54,'04.08 FORTPORTAL-KYENJOJO'!C54)</f>
        <v>1.8571428571428572</v>
      </c>
      <c r="D54" s="49">
        <f>AVERAGE('29.07 FORTPORTAL-KYENJOJO'!D54,'30.07 FORTPORAL-KYENJOJO'!D54,'31.07 FORTPORTAL-KYENJOJO'!D54,'02.08 FORTPORTAL-KYENJOJO'!D54,'01.08 FORTPORTAL-KYENJOJO 2-24h'!D54,'03.08 FORTPORTAL-KYENJOJO-24h'!D54,'04.08 FORTPORTAL-KYENJOJO'!D54)</f>
        <v>0</v>
      </c>
      <c r="E54" s="49">
        <f>AVERAGE('29.07 FORTPORTAL-KYENJOJO'!E54,'30.07 FORTPORAL-KYENJOJO'!E54,'31.07 FORTPORTAL-KYENJOJO'!E54,'02.08 FORTPORTAL-KYENJOJO'!E54,'01.08 FORTPORTAL-KYENJOJO 2-24h'!E54,'03.08 FORTPORTAL-KYENJOJO-24h'!E54,'04.08 FORTPORTAL-KYENJOJO'!E54)</f>
        <v>2.4285714285714284</v>
      </c>
      <c r="F54" s="49">
        <f>AVERAGE('29.07 FORTPORTAL-KYENJOJO'!F54,'30.07 FORTPORAL-KYENJOJO'!F54,'31.07 FORTPORTAL-KYENJOJO'!F54,'02.08 FORTPORTAL-KYENJOJO'!F54,'01.08 FORTPORTAL-KYENJOJO 2-24h'!F54,'03.08 FORTPORTAL-KYENJOJO-24h'!F54,'04.08 FORTPORTAL-KYENJOJO'!F54)</f>
        <v>1.2857142857142858</v>
      </c>
      <c r="G54" s="49">
        <f>AVERAGE('29.07 FORTPORTAL-KYENJOJO'!G54,'30.07 FORTPORAL-KYENJOJO'!G54,'31.07 FORTPORTAL-KYENJOJO'!G54,'02.08 FORTPORTAL-KYENJOJO'!G54,'01.08 FORTPORTAL-KYENJOJO 2-24h'!G54,'03.08 FORTPORTAL-KYENJOJO-24h'!G54,'04.08 FORTPORTAL-KYENJOJO'!G54)</f>
        <v>0</v>
      </c>
      <c r="H54" s="49">
        <f>AVERAGE('29.07 FORTPORTAL-KYENJOJO'!H54,'30.07 FORTPORAL-KYENJOJO'!H54,'31.07 FORTPORTAL-KYENJOJO'!H54,'02.08 FORTPORTAL-KYENJOJO'!H54,'01.08 FORTPORTAL-KYENJOJO 2-24h'!H54,'03.08 FORTPORTAL-KYENJOJO-24h'!H54,'04.08 FORTPORTAL-KYENJOJO'!H54)</f>
        <v>0.2857142857142857</v>
      </c>
      <c r="I54" s="49">
        <f>AVERAGE('29.07 FORTPORTAL-KYENJOJO'!I54,'30.07 FORTPORAL-KYENJOJO'!I54,'31.07 FORTPORTAL-KYENJOJO'!I54,'02.08 FORTPORTAL-KYENJOJO'!I54,'01.08 FORTPORTAL-KYENJOJO 2-24h'!I54,'03.08 FORTPORTAL-KYENJOJO-24h'!I54,'04.08 FORTPORTAL-KYENJOJO'!I54)</f>
        <v>0.7142857142857143</v>
      </c>
      <c r="J54" s="49">
        <f>AVERAGE('29.07 FORTPORTAL-KYENJOJO'!J54,'30.07 FORTPORAL-KYENJOJO'!J54,'31.07 FORTPORTAL-KYENJOJO'!J54,'02.08 FORTPORTAL-KYENJOJO'!J54,'01.08 FORTPORTAL-KYENJOJO 2-24h'!J54,'03.08 FORTPORTAL-KYENJOJO-24h'!J54,'04.08 FORTPORTAL-KYENJOJO'!J54)</f>
        <v>0.14285714285714285</v>
      </c>
      <c r="K54" s="49">
        <f>AVERAGE('29.07 FORTPORTAL-KYENJOJO'!K54,'30.07 FORTPORAL-KYENJOJO'!K54,'31.07 FORTPORTAL-KYENJOJO'!K54,'02.08 FORTPORTAL-KYENJOJO'!K54,'01.08 FORTPORTAL-KYENJOJO 2-24h'!K54,'03.08 FORTPORTAL-KYENJOJO-24h'!K54,'04.08 FORTPORTAL-KYENJOJO'!K54)</f>
        <v>0</v>
      </c>
      <c r="L54" s="49">
        <f>AVERAGE('29.07 FORTPORTAL-KYENJOJO'!L54,'30.07 FORTPORAL-KYENJOJO'!L54,'31.07 FORTPORTAL-KYENJOJO'!L54,'02.08 FORTPORTAL-KYENJOJO'!L54,'01.08 FORTPORTAL-KYENJOJO 2-24h'!L54,'03.08 FORTPORTAL-KYENJOJO-24h'!L54,'04.08 FORTPORTAL-KYENJOJO'!L54)</f>
        <v>0</v>
      </c>
      <c r="M54" s="49">
        <f>AVERAGE('29.07 FORTPORTAL-KYENJOJO'!M54,'30.07 FORTPORAL-KYENJOJO'!M54,'31.07 FORTPORTAL-KYENJOJO'!M54,'02.08 FORTPORTAL-KYENJOJO'!M54,'01.08 FORTPORTAL-KYENJOJO 2-24h'!M54,'03.08 FORTPORTAL-KYENJOJO-24h'!M54,'04.08 FORTPORTAL-KYENJOJO'!M54)</f>
        <v>1.5714285714285714</v>
      </c>
      <c r="N54" s="49">
        <f>AVERAGE('29.07 FORTPORTAL-KYENJOJO'!N54,'30.07 FORTPORAL-KYENJOJO'!N54,'31.07 FORTPORTAL-KYENJOJO'!N54,'02.08 FORTPORTAL-KYENJOJO'!N54,'01.08 FORTPORTAL-KYENJOJO 2-24h'!N54,'03.08 FORTPORTAL-KYENJOJO-24h'!N54,'04.08 FORTPORTAL-KYENJOJO'!N54)</f>
        <v>0</v>
      </c>
      <c r="O54" s="15">
        <f t="shared" si="0"/>
        <v>6.7142857142857144</v>
      </c>
      <c r="P54" s="15">
        <f t="shared" si="1"/>
        <v>8.2857142857142865</v>
      </c>
      <c r="R54" s="8"/>
      <c r="T54"/>
    </row>
    <row r="55" spans="2:20" ht="23.1" customHeight="1" x14ac:dyDescent="0.25">
      <c r="B55" s="23" t="s">
        <v>82</v>
      </c>
      <c r="C55" s="49">
        <f>AVERAGE('29.07 FORTPORTAL-KYENJOJO'!C55,'30.07 FORTPORAL-KYENJOJO'!C55,'31.07 FORTPORTAL-KYENJOJO'!C55,'02.08 FORTPORTAL-KYENJOJO'!C55,'01.08 FORTPORTAL-KYENJOJO 2-24h'!C55,'03.08 FORTPORTAL-KYENJOJO-24h'!C55,'04.08 FORTPORTAL-KYENJOJO'!C55)</f>
        <v>1</v>
      </c>
      <c r="D55" s="49">
        <f>AVERAGE('29.07 FORTPORTAL-KYENJOJO'!D55,'30.07 FORTPORAL-KYENJOJO'!D55,'31.07 FORTPORTAL-KYENJOJO'!D55,'02.08 FORTPORTAL-KYENJOJO'!D55,'01.08 FORTPORTAL-KYENJOJO 2-24h'!D55,'03.08 FORTPORTAL-KYENJOJO-24h'!D55,'04.08 FORTPORTAL-KYENJOJO'!D55)</f>
        <v>0</v>
      </c>
      <c r="E55" s="49">
        <f>AVERAGE('29.07 FORTPORTAL-KYENJOJO'!E55,'30.07 FORTPORAL-KYENJOJO'!E55,'31.07 FORTPORTAL-KYENJOJO'!E55,'02.08 FORTPORTAL-KYENJOJO'!E55,'01.08 FORTPORTAL-KYENJOJO 2-24h'!E55,'03.08 FORTPORTAL-KYENJOJO-24h'!E55,'04.08 FORTPORTAL-KYENJOJO'!E55)</f>
        <v>2.5714285714285716</v>
      </c>
      <c r="F55" s="49">
        <f>AVERAGE('29.07 FORTPORTAL-KYENJOJO'!F55,'30.07 FORTPORAL-KYENJOJO'!F55,'31.07 FORTPORTAL-KYENJOJO'!F55,'02.08 FORTPORTAL-KYENJOJO'!F55,'01.08 FORTPORTAL-KYENJOJO 2-24h'!F55,'03.08 FORTPORTAL-KYENJOJO-24h'!F55,'04.08 FORTPORTAL-KYENJOJO'!F55)</f>
        <v>1.5714285714285714</v>
      </c>
      <c r="G55" s="49">
        <f>AVERAGE('29.07 FORTPORTAL-KYENJOJO'!G55,'30.07 FORTPORAL-KYENJOJO'!G55,'31.07 FORTPORTAL-KYENJOJO'!G55,'02.08 FORTPORTAL-KYENJOJO'!G55,'01.08 FORTPORTAL-KYENJOJO 2-24h'!G55,'03.08 FORTPORTAL-KYENJOJO-24h'!G55,'04.08 FORTPORTAL-KYENJOJO'!G55)</f>
        <v>0.14285714285714285</v>
      </c>
      <c r="H55" s="49">
        <f>AVERAGE('29.07 FORTPORTAL-KYENJOJO'!H55,'30.07 FORTPORAL-KYENJOJO'!H55,'31.07 FORTPORTAL-KYENJOJO'!H55,'02.08 FORTPORTAL-KYENJOJO'!H55,'01.08 FORTPORTAL-KYENJOJO 2-24h'!H55,'03.08 FORTPORTAL-KYENJOJO-24h'!H55,'04.08 FORTPORTAL-KYENJOJO'!H55)</f>
        <v>0.2857142857142857</v>
      </c>
      <c r="I55" s="49">
        <f>AVERAGE('29.07 FORTPORTAL-KYENJOJO'!I55,'30.07 FORTPORAL-KYENJOJO'!I55,'31.07 FORTPORTAL-KYENJOJO'!I55,'02.08 FORTPORTAL-KYENJOJO'!I55,'01.08 FORTPORTAL-KYENJOJO 2-24h'!I55,'03.08 FORTPORTAL-KYENJOJO-24h'!I55,'04.08 FORTPORTAL-KYENJOJO'!I55)</f>
        <v>0.5714285714285714</v>
      </c>
      <c r="J55" s="49">
        <f>AVERAGE('29.07 FORTPORTAL-KYENJOJO'!J55,'30.07 FORTPORAL-KYENJOJO'!J55,'31.07 FORTPORTAL-KYENJOJO'!J55,'02.08 FORTPORTAL-KYENJOJO'!J55,'01.08 FORTPORTAL-KYENJOJO 2-24h'!J55,'03.08 FORTPORTAL-KYENJOJO-24h'!J55,'04.08 FORTPORTAL-KYENJOJO'!J55)</f>
        <v>0</v>
      </c>
      <c r="K55" s="49">
        <f>AVERAGE('29.07 FORTPORTAL-KYENJOJO'!K55,'30.07 FORTPORAL-KYENJOJO'!K55,'31.07 FORTPORTAL-KYENJOJO'!K55,'02.08 FORTPORTAL-KYENJOJO'!K55,'01.08 FORTPORTAL-KYENJOJO 2-24h'!K55,'03.08 FORTPORTAL-KYENJOJO-24h'!K55,'04.08 FORTPORTAL-KYENJOJO'!K55)</f>
        <v>0</v>
      </c>
      <c r="L55" s="49">
        <f>AVERAGE('29.07 FORTPORTAL-KYENJOJO'!L55,'30.07 FORTPORAL-KYENJOJO'!L55,'31.07 FORTPORTAL-KYENJOJO'!L55,'02.08 FORTPORTAL-KYENJOJO'!L55,'01.08 FORTPORTAL-KYENJOJO 2-24h'!L55,'03.08 FORTPORTAL-KYENJOJO-24h'!L55,'04.08 FORTPORTAL-KYENJOJO'!L55)</f>
        <v>0.42857142857142855</v>
      </c>
      <c r="M55" s="49">
        <f>AVERAGE('29.07 FORTPORTAL-KYENJOJO'!M55,'30.07 FORTPORAL-KYENJOJO'!M55,'31.07 FORTPORTAL-KYENJOJO'!M55,'02.08 FORTPORTAL-KYENJOJO'!M55,'01.08 FORTPORTAL-KYENJOJO 2-24h'!M55,'03.08 FORTPORTAL-KYENJOJO-24h'!M55,'04.08 FORTPORTAL-KYENJOJO'!M55)</f>
        <v>1.8571428571428572</v>
      </c>
      <c r="N55" s="49">
        <f>AVERAGE('29.07 FORTPORTAL-KYENJOJO'!N55,'30.07 FORTPORAL-KYENJOJO'!N55,'31.07 FORTPORTAL-KYENJOJO'!N55,'02.08 FORTPORTAL-KYENJOJO'!N55,'01.08 FORTPORTAL-KYENJOJO 2-24h'!N55,'03.08 FORTPORTAL-KYENJOJO-24h'!N55,'04.08 FORTPORTAL-KYENJOJO'!N55)</f>
        <v>0</v>
      </c>
      <c r="O55" s="15">
        <f t="shared" si="0"/>
        <v>6.5714285714285721</v>
      </c>
      <c r="P55" s="15">
        <f t="shared" si="1"/>
        <v>8.4285714285714288</v>
      </c>
      <c r="R55" s="8"/>
      <c r="T55"/>
    </row>
    <row r="56" spans="2:20" ht="23.1" customHeight="1" x14ac:dyDescent="0.25">
      <c r="B56" s="23" t="s">
        <v>83</v>
      </c>
      <c r="C56" s="49">
        <f>AVERAGE('29.07 FORTPORTAL-KYENJOJO'!C56,'30.07 FORTPORAL-KYENJOJO'!C56,'31.07 FORTPORTAL-KYENJOJO'!C56,'02.08 FORTPORTAL-KYENJOJO'!C56,'01.08 FORTPORTAL-KYENJOJO 2-24h'!C56,'03.08 FORTPORTAL-KYENJOJO-24h'!C56,'04.08 FORTPORTAL-KYENJOJO'!C56)</f>
        <v>1.2857142857142858</v>
      </c>
      <c r="D56" s="49">
        <f>AVERAGE('29.07 FORTPORTAL-KYENJOJO'!D56,'30.07 FORTPORAL-KYENJOJO'!D56,'31.07 FORTPORTAL-KYENJOJO'!D56,'02.08 FORTPORTAL-KYENJOJO'!D56,'01.08 FORTPORTAL-KYENJOJO 2-24h'!D56,'03.08 FORTPORTAL-KYENJOJO-24h'!D56,'04.08 FORTPORTAL-KYENJOJO'!D56)</f>
        <v>0</v>
      </c>
      <c r="E56" s="49">
        <f>AVERAGE('29.07 FORTPORTAL-KYENJOJO'!E56,'30.07 FORTPORAL-KYENJOJO'!E56,'31.07 FORTPORTAL-KYENJOJO'!E56,'02.08 FORTPORTAL-KYENJOJO'!E56,'01.08 FORTPORTAL-KYENJOJO 2-24h'!E56,'03.08 FORTPORTAL-KYENJOJO-24h'!E56,'04.08 FORTPORTAL-KYENJOJO'!E56)</f>
        <v>2.4285714285714284</v>
      </c>
      <c r="F56" s="49">
        <f>AVERAGE('29.07 FORTPORTAL-KYENJOJO'!F56,'30.07 FORTPORAL-KYENJOJO'!F56,'31.07 FORTPORTAL-KYENJOJO'!F56,'02.08 FORTPORTAL-KYENJOJO'!F56,'01.08 FORTPORTAL-KYENJOJO 2-24h'!F56,'03.08 FORTPORTAL-KYENJOJO-24h'!F56,'04.08 FORTPORTAL-KYENJOJO'!F56)</f>
        <v>2.1428571428571428</v>
      </c>
      <c r="G56" s="49">
        <f>AVERAGE('29.07 FORTPORTAL-KYENJOJO'!G56,'30.07 FORTPORAL-KYENJOJO'!G56,'31.07 FORTPORTAL-KYENJOJO'!G56,'02.08 FORTPORTAL-KYENJOJO'!G56,'01.08 FORTPORTAL-KYENJOJO 2-24h'!G56,'03.08 FORTPORTAL-KYENJOJO-24h'!G56,'04.08 FORTPORTAL-KYENJOJO'!G56)</f>
        <v>0</v>
      </c>
      <c r="H56" s="49">
        <f>AVERAGE('29.07 FORTPORTAL-KYENJOJO'!H56,'30.07 FORTPORAL-KYENJOJO'!H56,'31.07 FORTPORTAL-KYENJOJO'!H56,'02.08 FORTPORTAL-KYENJOJO'!H56,'01.08 FORTPORTAL-KYENJOJO 2-24h'!H56,'03.08 FORTPORTAL-KYENJOJO-24h'!H56,'04.08 FORTPORTAL-KYENJOJO'!H56)</f>
        <v>0.5714285714285714</v>
      </c>
      <c r="I56" s="49">
        <f>AVERAGE('29.07 FORTPORTAL-KYENJOJO'!I56,'30.07 FORTPORAL-KYENJOJO'!I56,'31.07 FORTPORTAL-KYENJOJO'!I56,'02.08 FORTPORTAL-KYENJOJO'!I56,'01.08 FORTPORTAL-KYENJOJO 2-24h'!I56,'03.08 FORTPORTAL-KYENJOJO-24h'!I56,'04.08 FORTPORTAL-KYENJOJO'!I56)</f>
        <v>2.7142857142857144</v>
      </c>
      <c r="J56" s="49">
        <f>AVERAGE('29.07 FORTPORTAL-KYENJOJO'!J56,'30.07 FORTPORAL-KYENJOJO'!J56,'31.07 FORTPORTAL-KYENJOJO'!J56,'02.08 FORTPORTAL-KYENJOJO'!J56,'01.08 FORTPORTAL-KYENJOJO 2-24h'!J56,'03.08 FORTPORTAL-KYENJOJO-24h'!J56,'04.08 FORTPORTAL-KYENJOJO'!J56)</f>
        <v>0</v>
      </c>
      <c r="K56" s="49">
        <f>AVERAGE('29.07 FORTPORTAL-KYENJOJO'!K56,'30.07 FORTPORAL-KYENJOJO'!K56,'31.07 FORTPORTAL-KYENJOJO'!K56,'02.08 FORTPORTAL-KYENJOJO'!K56,'01.08 FORTPORTAL-KYENJOJO 2-24h'!K56,'03.08 FORTPORTAL-KYENJOJO-24h'!K56,'04.08 FORTPORTAL-KYENJOJO'!K56)</f>
        <v>0.2857142857142857</v>
      </c>
      <c r="L56" s="49">
        <f>AVERAGE('29.07 FORTPORTAL-KYENJOJO'!L56,'30.07 FORTPORAL-KYENJOJO'!L56,'31.07 FORTPORTAL-KYENJOJO'!L56,'02.08 FORTPORTAL-KYENJOJO'!L56,'01.08 FORTPORTAL-KYENJOJO 2-24h'!L56,'03.08 FORTPORTAL-KYENJOJO-24h'!L56,'04.08 FORTPORTAL-KYENJOJO'!L56)</f>
        <v>0.5714285714285714</v>
      </c>
      <c r="M56" s="49">
        <f>AVERAGE('29.07 FORTPORTAL-KYENJOJO'!M56,'30.07 FORTPORAL-KYENJOJO'!M56,'31.07 FORTPORTAL-KYENJOJO'!M56,'02.08 FORTPORTAL-KYENJOJO'!M56,'01.08 FORTPORTAL-KYENJOJO 2-24h'!M56,'03.08 FORTPORTAL-KYENJOJO-24h'!M56,'04.08 FORTPORTAL-KYENJOJO'!M56)</f>
        <v>0.8571428571428571</v>
      </c>
      <c r="N56" s="49">
        <f>AVERAGE('29.07 FORTPORTAL-KYENJOJO'!N56,'30.07 FORTPORAL-KYENJOJO'!N56,'31.07 FORTPORTAL-KYENJOJO'!N56,'02.08 FORTPORTAL-KYENJOJO'!N56,'01.08 FORTPORTAL-KYENJOJO 2-24h'!N56,'03.08 FORTPORTAL-KYENJOJO-24h'!N56,'04.08 FORTPORTAL-KYENJOJO'!N56)</f>
        <v>0</v>
      </c>
      <c r="O56" s="15">
        <f t="shared" si="0"/>
        <v>10</v>
      </c>
      <c r="P56" s="15">
        <f t="shared" si="1"/>
        <v>10.857142857142858</v>
      </c>
      <c r="R56" s="8"/>
      <c r="T56"/>
    </row>
    <row r="57" spans="2:20" ht="23.1" customHeight="1" x14ac:dyDescent="0.25">
      <c r="B57" s="23" t="s">
        <v>84</v>
      </c>
      <c r="C57" s="49">
        <f>AVERAGE('29.07 FORTPORTAL-KYENJOJO'!C57,'30.07 FORTPORAL-KYENJOJO'!C57,'31.07 FORTPORTAL-KYENJOJO'!C57,'02.08 FORTPORTAL-KYENJOJO'!C57,'01.08 FORTPORTAL-KYENJOJO 2-24h'!C57,'03.08 FORTPORTAL-KYENJOJO-24h'!C57,'04.08 FORTPORTAL-KYENJOJO'!C57)</f>
        <v>1.4285714285714286</v>
      </c>
      <c r="D57" s="49">
        <f>AVERAGE('29.07 FORTPORTAL-KYENJOJO'!D57,'30.07 FORTPORAL-KYENJOJO'!D57,'31.07 FORTPORTAL-KYENJOJO'!D57,'02.08 FORTPORTAL-KYENJOJO'!D57,'01.08 FORTPORTAL-KYENJOJO 2-24h'!D57,'03.08 FORTPORTAL-KYENJOJO-24h'!D57,'04.08 FORTPORTAL-KYENJOJO'!D57)</f>
        <v>0</v>
      </c>
      <c r="E57" s="49">
        <f>AVERAGE('29.07 FORTPORTAL-KYENJOJO'!E57,'30.07 FORTPORAL-KYENJOJO'!E57,'31.07 FORTPORTAL-KYENJOJO'!E57,'02.08 FORTPORTAL-KYENJOJO'!E57,'01.08 FORTPORTAL-KYENJOJO 2-24h'!E57,'03.08 FORTPORTAL-KYENJOJO-24h'!E57,'04.08 FORTPORTAL-KYENJOJO'!E57)</f>
        <v>1.4285714285714286</v>
      </c>
      <c r="F57" s="49">
        <f>AVERAGE('29.07 FORTPORTAL-KYENJOJO'!F57,'30.07 FORTPORAL-KYENJOJO'!F57,'31.07 FORTPORTAL-KYENJOJO'!F57,'02.08 FORTPORTAL-KYENJOJO'!F57,'01.08 FORTPORTAL-KYENJOJO 2-24h'!F57,'03.08 FORTPORTAL-KYENJOJO-24h'!F57,'04.08 FORTPORTAL-KYENJOJO'!F57)</f>
        <v>1.2857142857142858</v>
      </c>
      <c r="G57" s="49">
        <f>AVERAGE('29.07 FORTPORTAL-KYENJOJO'!G57,'30.07 FORTPORAL-KYENJOJO'!G57,'31.07 FORTPORTAL-KYENJOJO'!G57,'02.08 FORTPORTAL-KYENJOJO'!G57,'01.08 FORTPORTAL-KYENJOJO 2-24h'!G57,'03.08 FORTPORTAL-KYENJOJO-24h'!G57,'04.08 FORTPORTAL-KYENJOJO'!G57)</f>
        <v>0</v>
      </c>
      <c r="H57" s="49">
        <f>AVERAGE('29.07 FORTPORTAL-KYENJOJO'!H57,'30.07 FORTPORAL-KYENJOJO'!H57,'31.07 FORTPORTAL-KYENJOJO'!H57,'02.08 FORTPORTAL-KYENJOJO'!H57,'01.08 FORTPORTAL-KYENJOJO 2-24h'!H57,'03.08 FORTPORTAL-KYENJOJO-24h'!H57,'04.08 FORTPORTAL-KYENJOJO'!H57)</f>
        <v>0.7142857142857143</v>
      </c>
      <c r="I57" s="49">
        <f>AVERAGE('29.07 FORTPORTAL-KYENJOJO'!I57,'30.07 FORTPORAL-KYENJOJO'!I57,'31.07 FORTPORTAL-KYENJOJO'!I57,'02.08 FORTPORTAL-KYENJOJO'!I57,'01.08 FORTPORTAL-KYENJOJO 2-24h'!I57,'03.08 FORTPORTAL-KYENJOJO-24h'!I57,'04.08 FORTPORTAL-KYENJOJO'!I57)</f>
        <v>1.1428571428571428</v>
      </c>
      <c r="J57" s="49">
        <f>AVERAGE('29.07 FORTPORTAL-KYENJOJO'!J57,'30.07 FORTPORAL-KYENJOJO'!J57,'31.07 FORTPORTAL-KYENJOJO'!J57,'02.08 FORTPORTAL-KYENJOJO'!J57,'01.08 FORTPORTAL-KYENJOJO 2-24h'!J57,'03.08 FORTPORTAL-KYENJOJO-24h'!J57,'04.08 FORTPORTAL-KYENJOJO'!J57)</f>
        <v>0</v>
      </c>
      <c r="K57" s="49">
        <f>AVERAGE('29.07 FORTPORTAL-KYENJOJO'!K57,'30.07 FORTPORAL-KYENJOJO'!K57,'31.07 FORTPORTAL-KYENJOJO'!K57,'02.08 FORTPORTAL-KYENJOJO'!K57,'01.08 FORTPORTAL-KYENJOJO 2-24h'!K57,'03.08 FORTPORTAL-KYENJOJO-24h'!K57,'04.08 FORTPORTAL-KYENJOJO'!K57)</f>
        <v>0</v>
      </c>
      <c r="L57" s="49">
        <f>AVERAGE('29.07 FORTPORTAL-KYENJOJO'!L57,'30.07 FORTPORAL-KYENJOJO'!L57,'31.07 FORTPORTAL-KYENJOJO'!L57,'02.08 FORTPORTAL-KYENJOJO'!L57,'01.08 FORTPORTAL-KYENJOJO 2-24h'!L57,'03.08 FORTPORTAL-KYENJOJO-24h'!L57,'04.08 FORTPORTAL-KYENJOJO'!L57)</f>
        <v>0.8571428571428571</v>
      </c>
      <c r="M57" s="49">
        <f>AVERAGE('29.07 FORTPORTAL-KYENJOJO'!M57,'30.07 FORTPORAL-KYENJOJO'!M57,'31.07 FORTPORTAL-KYENJOJO'!M57,'02.08 FORTPORTAL-KYENJOJO'!M57,'01.08 FORTPORTAL-KYENJOJO 2-24h'!M57,'03.08 FORTPORTAL-KYENJOJO-24h'!M57,'04.08 FORTPORTAL-KYENJOJO'!M57)</f>
        <v>0.5714285714285714</v>
      </c>
      <c r="N57" s="49">
        <f>AVERAGE('29.07 FORTPORTAL-KYENJOJO'!N57,'30.07 FORTPORAL-KYENJOJO'!N57,'31.07 FORTPORTAL-KYENJOJO'!N57,'02.08 FORTPORTAL-KYENJOJO'!N57,'01.08 FORTPORTAL-KYENJOJO 2-24h'!N57,'03.08 FORTPORTAL-KYENJOJO-24h'!N57,'04.08 FORTPORTAL-KYENJOJO'!N57)</f>
        <v>0</v>
      </c>
      <c r="O57" s="15">
        <f t="shared" si="0"/>
        <v>6.8571428571428568</v>
      </c>
      <c r="P57" s="15">
        <f t="shared" si="1"/>
        <v>7.4285714285714279</v>
      </c>
      <c r="R57" s="8"/>
      <c r="T57"/>
    </row>
    <row r="58" spans="2:20" ht="23.1" customHeight="1" x14ac:dyDescent="0.25">
      <c r="B58" s="23" t="s">
        <v>99</v>
      </c>
      <c r="C58" s="49">
        <f>AVERAGE('01.08 FORTPORTAL-KYENJOJO 2-24h'!C58,'03.08 FORTPORTAL-KYENJOJO-24h'!C58)</f>
        <v>1.5</v>
      </c>
      <c r="D58" s="49">
        <f>AVERAGE('01.08 FORTPORTAL-KYENJOJO 2-24h'!D58,'03.08 FORTPORTAL-KYENJOJO-24h'!D58)</f>
        <v>0</v>
      </c>
      <c r="E58" s="49">
        <f>AVERAGE('01.08 FORTPORTAL-KYENJOJO 2-24h'!E58,'03.08 FORTPORTAL-KYENJOJO-24h'!E58)</f>
        <v>0.5</v>
      </c>
      <c r="F58" s="49">
        <f>AVERAGE('01.08 FORTPORTAL-KYENJOJO 2-24h'!F58,'03.08 FORTPORTAL-KYENJOJO-24h'!F58)</f>
        <v>1.5</v>
      </c>
      <c r="G58" s="49">
        <f>AVERAGE('01.08 FORTPORTAL-KYENJOJO 2-24h'!G58,'03.08 FORTPORTAL-KYENJOJO-24h'!G58)</f>
        <v>0.5</v>
      </c>
      <c r="H58" s="49">
        <f>AVERAGE('01.08 FORTPORTAL-KYENJOJO 2-24h'!H58,'03.08 FORTPORTAL-KYENJOJO-24h'!H58)</f>
        <v>0</v>
      </c>
      <c r="I58" s="49">
        <f>AVERAGE('01.08 FORTPORTAL-KYENJOJO 2-24h'!I58,'03.08 FORTPORTAL-KYENJOJO-24h'!I58)</f>
        <v>0.5</v>
      </c>
      <c r="J58" s="49">
        <f>AVERAGE('01.08 FORTPORTAL-KYENJOJO 2-24h'!J58,'03.08 FORTPORTAL-KYENJOJO-24h'!J58)</f>
        <v>0</v>
      </c>
      <c r="K58" s="49">
        <f>AVERAGE('01.08 FORTPORTAL-KYENJOJO 2-24h'!K58,'03.08 FORTPORTAL-KYENJOJO-24h'!K58)</f>
        <v>0.5</v>
      </c>
      <c r="L58" s="49">
        <f>AVERAGE('01.08 FORTPORTAL-KYENJOJO 2-24h'!L58,'03.08 FORTPORTAL-KYENJOJO-24h'!L58)</f>
        <v>2</v>
      </c>
      <c r="M58" s="49">
        <f>AVERAGE('01.08 FORTPORTAL-KYENJOJO 2-24h'!M58,'03.08 FORTPORTAL-KYENJOJO-24h'!M58)</f>
        <v>0</v>
      </c>
      <c r="N58" s="49">
        <f>AVERAGE('01.08 FORTPORTAL-KYENJOJO 2-24h'!N58,'03.08 FORTPORTAL-KYENJOJO-24h'!N58)</f>
        <v>0</v>
      </c>
      <c r="O58" s="15">
        <f t="shared" si="0"/>
        <v>7</v>
      </c>
      <c r="P58" s="15">
        <f t="shared" si="1"/>
        <v>7</v>
      </c>
      <c r="R58" s="8"/>
      <c r="T58"/>
    </row>
    <row r="59" spans="2:20" ht="23.1" customHeight="1" x14ac:dyDescent="0.25">
      <c r="B59" s="23" t="s">
        <v>100</v>
      </c>
      <c r="C59" s="49">
        <f>AVERAGE('01.08 FORTPORTAL-KYENJOJO 2-24h'!C59,'03.08 FORTPORTAL-KYENJOJO-24h'!C59)</f>
        <v>0.5</v>
      </c>
      <c r="D59" s="49">
        <f>AVERAGE('01.08 FORTPORTAL-KYENJOJO 2-24h'!D59,'03.08 FORTPORTAL-KYENJOJO-24h'!D59)</f>
        <v>0</v>
      </c>
      <c r="E59" s="49">
        <f>AVERAGE('01.08 FORTPORTAL-KYENJOJO 2-24h'!E59,'03.08 FORTPORTAL-KYENJOJO-24h'!E59)</f>
        <v>0.5</v>
      </c>
      <c r="F59" s="49">
        <f>AVERAGE('01.08 FORTPORTAL-KYENJOJO 2-24h'!F59,'03.08 FORTPORTAL-KYENJOJO-24h'!F59)</f>
        <v>0</v>
      </c>
      <c r="G59" s="49">
        <f>AVERAGE('01.08 FORTPORTAL-KYENJOJO 2-24h'!G59,'03.08 FORTPORTAL-KYENJOJO-24h'!G59)</f>
        <v>0</v>
      </c>
      <c r="H59" s="49">
        <f>AVERAGE('01.08 FORTPORTAL-KYENJOJO 2-24h'!H59,'03.08 FORTPORTAL-KYENJOJO-24h'!H59)</f>
        <v>0</v>
      </c>
      <c r="I59" s="49">
        <f>AVERAGE('01.08 FORTPORTAL-KYENJOJO 2-24h'!I59,'03.08 FORTPORTAL-KYENJOJO-24h'!I59)</f>
        <v>0.5</v>
      </c>
      <c r="J59" s="49">
        <f>AVERAGE('01.08 FORTPORTAL-KYENJOJO 2-24h'!J59,'03.08 FORTPORTAL-KYENJOJO-24h'!J59)</f>
        <v>0</v>
      </c>
      <c r="K59" s="49">
        <f>AVERAGE('01.08 FORTPORTAL-KYENJOJO 2-24h'!K59,'03.08 FORTPORTAL-KYENJOJO-24h'!K59)</f>
        <v>0</v>
      </c>
      <c r="L59" s="49">
        <f>AVERAGE('01.08 FORTPORTAL-KYENJOJO 2-24h'!L59,'03.08 FORTPORTAL-KYENJOJO-24h'!L59)</f>
        <v>1</v>
      </c>
      <c r="M59" s="49">
        <f>AVERAGE('01.08 FORTPORTAL-KYENJOJO 2-24h'!M59,'03.08 FORTPORTAL-KYENJOJO-24h'!M59)</f>
        <v>0</v>
      </c>
      <c r="N59" s="49">
        <f>AVERAGE('01.08 FORTPORTAL-KYENJOJO 2-24h'!N59,'03.08 FORTPORTAL-KYENJOJO-24h'!N59)</f>
        <v>0</v>
      </c>
      <c r="O59" s="15">
        <f t="shared" si="0"/>
        <v>2.5</v>
      </c>
      <c r="P59" s="15">
        <f t="shared" si="1"/>
        <v>2.5</v>
      </c>
      <c r="R59" s="8"/>
      <c r="T59"/>
    </row>
    <row r="60" spans="2:20" ht="23.1" customHeight="1" x14ac:dyDescent="0.25">
      <c r="B60" s="23" t="s">
        <v>101</v>
      </c>
      <c r="C60" s="49">
        <f>AVERAGE('01.08 FORTPORTAL-KYENJOJO 2-24h'!C60,'03.08 FORTPORTAL-KYENJOJO-24h'!C60)</f>
        <v>0</v>
      </c>
      <c r="D60" s="49">
        <f>AVERAGE('01.08 FORTPORTAL-KYENJOJO 2-24h'!D60,'03.08 FORTPORTAL-KYENJOJO-24h'!D60)</f>
        <v>0</v>
      </c>
      <c r="E60" s="49">
        <f>AVERAGE('01.08 FORTPORTAL-KYENJOJO 2-24h'!E60,'03.08 FORTPORTAL-KYENJOJO-24h'!E60)</f>
        <v>2</v>
      </c>
      <c r="F60" s="49">
        <f>AVERAGE('01.08 FORTPORTAL-KYENJOJO 2-24h'!F60,'03.08 FORTPORTAL-KYENJOJO-24h'!F60)</f>
        <v>0.5</v>
      </c>
      <c r="G60" s="49">
        <f>AVERAGE('01.08 FORTPORTAL-KYENJOJO 2-24h'!G60,'03.08 FORTPORTAL-KYENJOJO-24h'!G60)</f>
        <v>0</v>
      </c>
      <c r="H60" s="49">
        <f>AVERAGE('01.08 FORTPORTAL-KYENJOJO 2-24h'!H60,'03.08 FORTPORTAL-KYENJOJO-24h'!H60)</f>
        <v>0</v>
      </c>
      <c r="I60" s="49">
        <f>AVERAGE('01.08 FORTPORTAL-KYENJOJO 2-24h'!I60,'03.08 FORTPORTAL-KYENJOJO-24h'!I60)</f>
        <v>1</v>
      </c>
      <c r="J60" s="49">
        <f>AVERAGE('01.08 FORTPORTAL-KYENJOJO 2-24h'!J60,'03.08 FORTPORTAL-KYENJOJO-24h'!J60)</f>
        <v>0</v>
      </c>
      <c r="K60" s="49">
        <f>AVERAGE('01.08 FORTPORTAL-KYENJOJO 2-24h'!K60,'03.08 FORTPORTAL-KYENJOJO-24h'!K60)</f>
        <v>0</v>
      </c>
      <c r="L60" s="49">
        <f>AVERAGE('01.08 FORTPORTAL-KYENJOJO 2-24h'!L60,'03.08 FORTPORTAL-KYENJOJO-24h'!L60)</f>
        <v>0</v>
      </c>
      <c r="M60" s="49">
        <f>AVERAGE('01.08 FORTPORTAL-KYENJOJO 2-24h'!M60,'03.08 FORTPORTAL-KYENJOJO-24h'!M60)</f>
        <v>0</v>
      </c>
      <c r="N60" s="49">
        <f>AVERAGE('01.08 FORTPORTAL-KYENJOJO 2-24h'!N60,'03.08 FORTPORTAL-KYENJOJO-24h'!N60)</f>
        <v>0</v>
      </c>
      <c r="O60" s="15">
        <f t="shared" si="0"/>
        <v>3.5</v>
      </c>
      <c r="P60" s="15">
        <f t="shared" si="1"/>
        <v>3.5</v>
      </c>
      <c r="R60" s="8"/>
      <c r="T60"/>
    </row>
    <row r="61" spans="2:20" ht="23.1" customHeight="1" x14ac:dyDescent="0.25">
      <c r="B61" s="23" t="s">
        <v>102</v>
      </c>
      <c r="C61" s="49">
        <f>AVERAGE('01.08 FORTPORTAL-KYENJOJO 2-24h'!C61,'03.08 FORTPORTAL-KYENJOJO-24h'!C61)</f>
        <v>0.5</v>
      </c>
      <c r="D61" s="49">
        <f>AVERAGE('01.08 FORTPORTAL-KYENJOJO 2-24h'!D61,'03.08 FORTPORTAL-KYENJOJO-24h'!D61)</f>
        <v>0</v>
      </c>
      <c r="E61" s="49">
        <f>AVERAGE('01.08 FORTPORTAL-KYENJOJO 2-24h'!E61,'03.08 FORTPORTAL-KYENJOJO-24h'!E61)</f>
        <v>1</v>
      </c>
      <c r="F61" s="49">
        <f>AVERAGE('01.08 FORTPORTAL-KYENJOJO 2-24h'!F61,'03.08 FORTPORTAL-KYENJOJO-24h'!F61)</f>
        <v>1</v>
      </c>
      <c r="G61" s="49">
        <f>AVERAGE('01.08 FORTPORTAL-KYENJOJO 2-24h'!G61,'03.08 FORTPORTAL-KYENJOJO-24h'!G61)</f>
        <v>0</v>
      </c>
      <c r="H61" s="49">
        <f>AVERAGE('01.08 FORTPORTAL-KYENJOJO 2-24h'!H61,'03.08 FORTPORTAL-KYENJOJO-24h'!H61)</f>
        <v>0</v>
      </c>
      <c r="I61" s="49">
        <f>AVERAGE('01.08 FORTPORTAL-KYENJOJO 2-24h'!I61,'03.08 FORTPORTAL-KYENJOJO-24h'!I61)</f>
        <v>1</v>
      </c>
      <c r="J61" s="49">
        <f>AVERAGE('01.08 FORTPORTAL-KYENJOJO 2-24h'!J61,'03.08 FORTPORTAL-KYENJOJO-24h'!J61)</f>
        <v>0.5</v>
      </c>
      <c r="K61" s="49">
        <f>AVERAGE('01.08 FORTPORTAL-KYENJOJO 2-24h'!K61,'03.08 FORTPORTAL-KYENJOJO-24h'!K61)</f>
        <v>0</v>
      </c>
      <c r="L61" s="49">
        <f>AVERAGE('01.08 FORTPORTAL-KYENJOJO 2-24h'!L61,'03.08 FORTPORTAL-KYENJOJO-24h'!L61)</f>
        <v>1</v>
      </c>
      <c r="M61" s="49">
        <f>AVERAGE('01.08 FORTPORTAL-KYENJOJO 2-24h'!M61,'03.08 FORTPORTAL-KYENJOJO-24h'!M61)</f>
        <v>1</v>
      </c>
      <c r="N61" s="49">
        <f>AVERAGE('01.08 FORTPORTAL-KYENJOJO 2-24h'!N61,'03.08 FORTPORTAL-KYENJOJO-24h'!N61)</f>
        <v>0</v>
      </c>
      <c r="O61" s="15">
        <f t="shared" si="0"/>
        <v>5</v>
      </c>
      <c r="P61" s="15">
        <f t="shared" si="1"/>
        <v>6</v>
      </c>
      <c r="R61" s="8"/>
      <c r="T61"/>
    </row>
    <row r="62" spans="2:20" ht="23.1" customHeight="1" x14ac:dyDescent="0.25">
      <c r="B62" s="23" t="s">
        <v>107</v>
      </c>
      <c r="C62" s="49">
        <f>AVERAGE('01.08 FORTPORTAL-KYENJOJO 2-24h'!C62,'03.08 FORTPORTAL-KYENJOJO-24h'!C62)</f>
        <v>0.5</v>
      </c>
      <c r="D62" s="49">
        <f>AVERAGE('01.08 FORTPORTAL-KYENJOJO 2-24h'!D62,'03.08 FORTPORTAL-KYENJOJO-24h'!D62)</f>
        <v>0</v>
      </c>
      <c r="E62" s="49">
        <f>AVERAGE('01.08 FORTPORTAL-KYENJOJO 2-24h'!E62,'03.08 FORTPORTAL-KYENJOJO-24h'!E62)</f>
        <v>0.5</v>
      </c>
      <c r="F62" s="49">
        <f>AVERAGE('01.08 FORTPORTAL-KYENJOJO 2-24h'!F62,'03.08 FORTPORTAL-KYENJOJO-24h'!F62)</f>
        <v>1</v>
      </c>
      <c r="G62" s="49">
        <f>AVERAGE('01.08 FORTPORTAL-KYENJOJO 2-24h'!G62,'03.08 FORTPORTAL-KYENJOJO-24h'!G62)</f>
        <v>0</v>
      </c>
      <c r="H62" s="49">
        <f>AVERAGE('01.08 FORTPORTAL-KYENJOJO 2-24h'!H62,'03.08 FORTPORTAL-KYENJOJO-24h'!H62)</f>
        <v>0.5</v>
      </c>
      <c r="I62" s="49">
        <f>AVERAGE('01.08 FORTPORTAL-KYENJOJO 2-24h'!I62,'03.08 FORTPORTAL-KYENJOJO-24h'!I62)</f>
        <v>1.5</v>
      </c>
      <c r="J62" s="49">
        <f>AVERAGE('01.08 FORTPORTAL-KYENJOJO 2-24h'!J62,'03.08 FORTPORTAL-KYENJOJO-24h'!J62)</f>
        <v>0</v>
      </c>
      <c r="K62" s="49">
        <f>AVERAGE('01.08 FORTPORTAL-KYENJOJO 2-24h'!K62,'03.08 FORTPORTAL-KYENJOJO-24h'!K62)</f>
        <v>0</v>
      </c>
      <c r="L62" s="49">
        <f>AVERAGE('01.08 FORTPORTAL-KYENJOJO 2-24h'!L62,'03.08 FORTPORTAL-KYENJOJO-24h'!L62)</f>
        <v>0.5</v>
      </c>
      <c r="M62" s="49">
        <f>AVERAGE('01.08 FORTPORTAL-KYENJOJO 2-24h'!M62,'03.08 FORTPORTAL-KYENJOJO-24h'!M62)</f>
        <v>1</v>
      </c>
      <c r="N62" s="49">
        <f>AVERAGE('01.08 FORTPORTAL-KYENJOJO 2-24h'!N62,'03.08 FORTPORTAL-KYENJOJO-24h'!N62)</f>
        <v>0</v>
      </c>
      <c r="O62" s="15">
        <f t="shared" si="0"/>
        <v>4.5</v>
      </c>
      <c r="P62" s="15">
        <f t="shared" si="1"/>
        <v>5.5</v>
      </c>
      <c r="R62" s="8"/>
      <c r="T62"/>
    </row>
    <row r="63" spans="2:20" ht="23.1" customHeight="1" x14ac:dyDescent="0.25">
      <c r="B63" s="23" t="s">
        <v>108</v>
      </c>
      <c r="C63" s="49">
        <f>AVERAGE('01.08 FORTPORTAL-KYENJOJO 2-24h'!C63,'03.08 FORTPORTAL-KYENJOJO-24h'!C63)</f>
        <v>2</v>
      </c>
      <c r="D63" s="49">
        <f>AVERAGE('01.08 FORTPORTAL-KYENJOJO 2-24h'!D63,'03.08 FORTPORTAL-KYENJOJO-24h'!D63)</f>
        <v>0</v>
      </c>
      <c r="E63" s="49">
        <f>AVERAGE('01.08 FORTPORTAL-KYENJOJO 2-24h'!E63,'03.08 FORTPORTAL-KYENJOJO-24h'!E63)</f>
        <v>1</v>
      </c>
      <c r="F63" s="49">
        <f>AVERAGE('01.08 FORTPORTAL-KYENJOJO 2-24h'!F63,'03.08 FORTPORTAL-KYENJOJO-24h'!F63)</f>
        <v>1</v>
      </c>
      <c r="G63" s="49">
        <f>AVERAGE('01.08 FORTPORTAL-KYENJOJO 2-24h'!G63,'03.08 FORTPORTAL-KYENJOJO-24h'!G63)</f>
        <v>0</v>
      </c>
      <c r="H63" s="49">
        <f>AVERAGE('01.08 FORTPORTAL-KYENJOJO 2-24h'!H63,'03.08 FORTPORTAL-KYENJOJO-24h'!H63)</f>
        <v>0</v>
      </c>
      <c r="I63" s="49">
        <f>AVERAGE('01.08 FORTPORTAL-KYENJOJO 2-24h'!I63,'03.08 FORTPORTAL-KYENJOJO-24h'!I63)</f>
        <v>1.5</v>
      </c>
      <c r="J63" s="49">
        <f>AVERAGE('01.08 FORTPORTAL-KYENJOJO 2-24h'!J63,'03.08 FORTPORTAL-KYENJOJO-24h'!J63)</f>
        <v>0</v>
      </c>
      <c r="K63" s="49">
        <f>AVERAGE('01.08 FORTPORTAL-KYENJOJO 2-24h'!K63,'03.08 FORTPORTAL-KYENJOJO-24h'!K63)</f>
        <v>0</v>
      </c>
      <c r="L63" s="49">
        <f>AVERAGE('01.08 FORTPORTAL-KYENJOJO 2-24h'!L63,'03.08 FORTPORTAL-KYENJOJO-24h'!L63)</f>
        <v>0.5</v>
      </c>
      <c r="M63" s="49">
        <f>AVERAGE('01.08 FORTPORTAL-KYENJOJO 2-24h'!M63,'03.08 FORTPORTAL-KYENJOJO-24h'!M63)</f>
        <v>0</v>
      </c>
      <c r="N63" s="49">
        <f>AVERAGE('01.08 FORTPORTAL-KYENJOJO 2-24h'!N63,'03.08 FORTPORTAL-KYENJOJO-24h'!N63)</f>
        <v>0</v>
      </c>
      <c r="O63" s="15">
        <f t="shared" si="0"/>
        <v>6</v>
      </c>
      <c r="P63" s="15">
        <f t="shared" si="1"/>
        <v>6</v>
      </c>
      <c r="R63" s="8"/>
      <c r="T63"/>
    </row>
    <row r="64" spans="2:20" ht="23.1" customHeight="1" x14ac:dyDescent="0.25">
      <c r="B64" s="23" t="s">
        <v>109</v>
      </c>
      <c r="C64" s="49">
        <f>AVERAGE('01.08 FORTPORTAL-KYENJOJO 2-24h'!C64,'03.08 FORTPORTAL-KYENJOJO-24h'!C64)</f>
        <v>3.5</v>
      </c>
      <c r="D64" s="49">
        <f>AVERAGE('01.08 FORTPORTAL-KYENJOJO 2-24h'!D64,'03.08 FORTPORTAL-KYENJOJO-24h'!D64)</f>
        <v>0</v>
      </c>
      <c r="E64" s="49">
        <f>AVERAGE('01.08 FORTPORTAL-KYENJOJO 2-24h'!E64,'03.08 FORTPORTAL-KYENJOJO-24h'!E64)</f>
        <v>1.5</v>
      </c>
      <c r="F64" s="49">
        <f>AVERAGE('01.08 FORTPORTAL-KYENJOJO 2-24h'!F64,'03.08 FORTPORTAL-KYENJOJO-24h'!F64)</f>
        <v>0</v>
      </c>
      <c r="G64" s="49">
        <f>AVERAGE('01.08 FORTPORTAL-KYENJOJO 2-24h'!G64,'03.08 FORTPORTAL-KYENJOJO-24h'!G64)</f>
        <v>0</v>
      </c>
      <c r="H64" s="49">
        <f>AVERAGE('01.08 FORTPORTAL-KYENJOJO 2-24h'!H64,'03.08 FORTPORTAL-KYENJOJO-24h'!H64)</f>
        <v>0.5</v>
      </c>
      <c r="I64" s="49">
        <f>AVERAGE('01.08 FORTPORTAL-KYENJOJO 2-24h'!I64,'03.08 FORTPORTAL-KYENJOJO-24h'!I64)</f>
        <v>2</v>
      </c>
      <c r="J64" s="49">
        <f>AVERAGE('01.08 FORTPORTAL-KYENJOJO 2-24h'!J64,'03.08 FORTPORTAL-KYENJOJO-24h'!J64)</f>
        <v>0</v>
      </c>
      <c r="K64" s="49">
        <f>AVERAGE('01.08 FORTPORTAL-KYENJOJO 2-24h'!K64,'03.08 FORTPORTAL-KYENJOJO-24h'!K64)</f>
        <v>0</v>
      </c>
      <c r="L64" s="49">
        <f>AVERAGE('01.08 FORTPORTAL-KYENJOJO 2-24h'!L64,'03.08 FORTPORTAL-KYENJOJO-24h'!L64)</f>
        <v>1</v>
      </c>
      <c r="M64" s="49">
        <f>AVERAGE('01.08 FORTPORTAL-KYENJOJO 2-24h'!M64,'03.08 FORTPORTAL-KYENJOJO-24h'!M64)</f>
        <v>1.5</v>
      </c>
      <c r="N64" s="49">
        <f>AVERAGE('01.08 FORTPORTAL-KYENJOJO 2-24h'!N64,'03.08 FORTPORTAL-KYENJOJO-24h'!N64)</f>
        <v>0</v>
      </c>
      <c r="O64" s="15">
        <f t="shared" si="0"/>
        <v>8.5</v>
      </c>
      <c r="P64" s="15">
        <f t="shared" si="1"/>
        <v>10</v>
      </c>
      <c r="R64" s="8"/>
      <c r="T64"/>
    </row>
    <row r="65" spans="2:20" ht="23.1" customHeight="1" x14ac:dyDescent="0.25">
      <c r="B65" s="23" t="s">
        <v>158</v>
      </c>
      <c r="C65" s="49">
        <f>AVERAGE('01.08 FORTPORTAL-KYENJOJO 2-24h'!C65,'03.08 FORTPORTAL-KYENJOJO-24h'!C65)</f>
        <v>1.5</v>
      </c>
      <c r="D65" s="49">
        <f>AVERAGE('01.08 FORTPORTAL-KYENJOJO 2-24h'!D65,'03.08 FORTPORTAL-KYENJOJO-24h'!D65)</f>
        <v>0</v>
      </c>
      <c r="E65" s="49">
        <f>AVERAGE('01.08 FORTPORTAL-KYENJOJO 2-24h'!E65,'03.08 FORTPORTAL-KYENJOJO-24h'!E65)</f>
        <v>1.5</v>
      </c>
      <c r="F65" s="49">
        <f>AVERAGE('01.08 FORTPORTAL-KYENJOJO 2-24h'!F65,'03.08 FORTPORTAL-KYENJOJO-24h'!F65)</f>
        <v>0</v>
      </c>
      <c r="G65" s="49">
        <f>AVERAGE('01.08 FORTPORTAL-KYENJOJO 2-24h'!G65,'03.08 FORTPORTAL-KYENJOJO-24h'!G65)</f>
        <v>0.5</v>
      </c>
      <c r="H65" s="49">
        <f>AVERAGE('01.08 FORTPORTAL-KYENJOJO 2-24h'!H65,'03.08 FORTPORTAL-KYENJOJO-24h'!H65)</f>
        <v>0.5</v>
      </c>
      <c r="I65" s="49">
        <f>AVERAGE('01.08 FORTPORTAL-KYENJOJO 2-24h'!I65,'03.08 FORTPORTAL-KYENJOJO-24h'!I65)</f>
        <v>0.5</v>
      </c>
      <c r="J65" s="49">
        <f>AVERAGE('01.08 FORTPORTAL-KYENJOJO 2-24h'!J65,'03.08 FORTPORTAL-KYENJOJO-24h'!J65)</f>
        <v>0</v>
      </c>
      <c r="K65" s="49">
        <f>AVERAGE('01.08 FORTPORTAL-KYENJOJO 2-24h'!K65,'03.08 FORTPORTAL-KYENJOJO-24h'!K65)</f>
        <v>0</v>
      </c>
      <c r="L65" s="49">
        <f>AVERAGE('01.08 FORTPORTAL-KYENJOJO 2-24h'!L65,'03.08 FORTPORTAL-KYENJOJO-24h'!L65)</f>
        <v>0</v>
      </c>
      <c r="M65" s="49">
        <f>AVERAGE('01.08 FORTPORTAL-KYENJOJO 2-24h'!M65,'03.08 FORTPORTAL-KYENJOJO-24h'!M65)</f>
        <v>0</v>
      </c>
      <c r="N65" s="49">
        <f>AVERAGE('01.08 FORTPORTAL-KYENJOJO 2-24h'!N65,'03.08 FORTPORTAL-KYENJOJO-24h'!N65)</f>
        <v>0</v>
      </c>
      <c r="O65" s="15">
        <f t="shared" si="0"/>
        <v>4.5</v>
      </c>
      <c r="P65" s="15">
        <f t="shared" si="1"/>
        <v>4.5</v>
      </c>
      <c r="R65" s="8"/>
      <c r="T65"/>
    </row>
    <row r="66" spans="2:20" ht="23.1" customHeight="1" x14ac:dyDescent="0.25">
      <c r="B66" s="23" t="s">
        <v>103</v>
      </c>
      <c r="C66" s="49">
        <f>AVERAGE('01.08 FORTPORTAL-KYENJOJO 2-24h'!C66,'03.08 FORTPORTAL-KYENJOJO-24h'!C66)</f>
        <v>0</v>
      </c>
      <c r="D66" s="49">
        <f>AVERAGE('01.08 FORTPORTAL-KYENJOJO 2-24h'!D66,'03.08 FORTPORTAL-KYENJOJO-24h'!D66)</f>
        <v>0</v>
      </c>
      <c r="E66" s="49">
        <f>AVERAGE('01.08 FORTPORTAL-KYENJOJO 2-24h'!E66,'03.08 FORTPORTAL-KYENJOJO-24h'!E66)</f>
        <v>1</v>
      </c>
      <c r="F66" s="49">
        <f>AVERAGE('01.08 FORTPORTAL-KYENJOJO 2-24h'!F66,'03.08 FORTPORTAL-KYENJOJO-24h'!F66)</f>
        <v>0</v>
      </c>
      <c r="G66" s="49">
        <f>AVERAGE('01.08 FORTPORTAL-KYENJOJO 2-24h'!G66,'03.08 FORTPORTAL-KYENJOJO-24h'!G66)</f>
        <v>0</v>
      </c>
      <c r="H66" s="49">
        <f>AVERAGE('01.08 FORTPORTAL-KYENJOJO 2-24h'!H66,'03.08 FORTPORTAL-KYENJOJO-24h'!H66)</f>
        <v>0.5</v>
      </c>
      <c r="I66" s="49">
        <f>AVERAGE('01.08 FORTPORTAL-KYENJOJO 2-24h'!I66,'03.08 FORTPORTAL-KYENJOJO-24h'!I66)</f>
        <v>0</v>
      </c>
      <c r="J66" s="49">
        <f>AVERAGE('01.08 FORTPORTAL-KYENJOJO 2-24h'!J66,'03.08 FORTPORTAL-KYENJOJO-24h'!J66)</f>
        <v>0</v>
      </c>
      <c r="K66" s="49">
        <f>AVERAGE('01.08 FORTPORTAL-KYENJOJO 2-24h'!K66,'03.08 FORTPORTAL-KYENJOJO-24h'!K66)</f>
        <v>0</v>
      </c>
      <c r="L66" s="49">
        <f>AVERAGE('01.08 FORTPORTAL-KYENJOJO 2-24h'!L66,'03.08 FORTPORTAL-KYENJOJO-24h'!L66)</f>
        <v>1</v>
      </c>
      <c r="M66" s="49">
        <f>AVERAGE('01.08 FORTPORTAL-KYENJOJO 2-24h'!M66,'03.08 FORTPORTAL-KYENJOJO-24h'!M66)</f>
        <v>0</v>
      </c>
      <c r="N66" s="49">
        <f>AVERAGE('01.08 FORTPORTAL-KYENJOJO 2-24h'!N66,'03.08 FORTPORTAL-KYENJOJO-24h'!N66)</f>
        <v>0</v>
      </c>
      <c r="O66" s="15">
        <f t="shared" si="0"/>
        <v>2.5</v>
      </c>
      <c r="P66" s="15">
        <f t="shared" si="1"/>
        <v>2.5</v>
      </c>
      <c r="R66" s="8"/>
      <c r="T66"/>
    </row>
    <row r="67" spans="2:20" ht="23.1" customHeight="1" x14ac:dyDescent="0.25">
      <c r="B67" s="23" t="s">
        <v>104</v>
      </c>
      <c r="C67" s="49">
        <f>AVERAGE('01.08 FORTPORTAL-KYENJOJO 2-24h'!C67,'03.08 FORTPORTAL-KYENJOJO-24h'!C67)</f>
        <v>0.5</v>
      </c>
      <c r="D67" s="49">
        <f>AVERAGE('01.08 FORTPORTAL-KYENJOJO 2-24h'!D67,'03.08 FORTPORTAL-KYENJOJO-24h'!D67)</f>
        <v>0</v>
      </c>
      <c r="E67" s="49">
        <f>AVERAGE('01.08 FORTPORTAL-KYENJOJO 2-24h'!E67,'03.08 FORTPORTAL-KYENJOJO-24h'!E67)</f>
        <v>1</v>
      </c>
      <c r="F67" s="49">
        <f>AVERAGE('01.08 FORTPORTAL-KYENJOJO 2-24h'!F67,'03.08 FORTPORTAL-KYENJOJO-24h'!F67)</f>
        <v>0</v>
      </c>
      <c r="G67" s="49">
        <f>AVERAGE('01.08 FORTPORTAL-KYENJOJO 2-24h'!G67,'03.08 FORTPORTAL-KYENJOJO-24h'!G67)</f>
        <v>0</v>
      </c>
      <c r="H67" s="49">
        <f>AVERAGE('01.08 FORTPORTAL-KYENJOJO 2-24h'!H67,'03.08 FORTPORTAL-KYENJOJO-24h'!H67)</f>
        <v>0.5</v>
      </c>
      <c r="I67" s="49">
        <f>AVERAGE('01.08 FORTPORTAL-KYENJOJO 2-24h'!I67,'03.08 FORTPORTAL-KYENJOJO-24h'!I67)</f>
        <v>0</v>
      </c>
      <c r="J67" s="49">
        <f>AVERAGE('01.08 FORTPORTAL-KYENJOJO 2-24h'!J67,'03.08 FORTPORTAL-KYENJOJO-24h'!J67)</f>
        <v>0</v>
      </c>
      <c r="K67" s="49">
        <f>AVERAGE('01.08 FORTPORTAL-KYENJOJO 2-24h'!K67,'03.08 FORTPORTAL-KYENJOJO-24h'!K67)</f>
        <v>0</v>
      </c>
      <c r="L67" s="49">
        <f>AVERAGE('01.08 FORTPORTAL-KYENJOJO 2-24h'!L67,'03.08 FORTPORTAL-KYENJOJO-24h'!L67)</f>
        <v>0</v>
      </c>
      <c r="M67" s="49">
        <f>AVERAGE('01.08 FORTPORTAL-KYENJOJO 2-24h'!M67,'03.08 FORTPORTAL-KYENJOJO-24h'!M67)</f>
        <v>0</v>
      </c>
      <c r="N67" s="49">
        <f>AVERAGE('01.08 FORTPORTAL-KYENJOJO 2-24h'!N67,'03.08 FORTPORTAL-KYENJOJO-24h'!N67)</f>
        <v>0</v>
      </c>
      <c r="O67" s="15">
        <f t="shared" si="0"/>
        <v>2</v>
      </c>
      <c r="P67" s="15">
        <f t="shared" si="1"/>
        <v>2</v>
      </c>
      <c r="R67" s="8"/>
      <c r="T67"/>
    </row>
    <row r="68" spans="2:20" ht="23.1" customHeight="1" x14ac:dyDescent="0.25">
      <c r="B68" s="23" t="s">
        <v>105</v>
      </c>
      <c r="C68" s="49">
        <f>AVERAGE('01.08 FORTPORTAL-KYENJOJO 2-24h'!C68,'03.08 FORTPORTAL-KYENJOJO-24h'!C68)</f>
        <v>1</v>
      </c>
      <c r="D68" s="49">
        <f>AVERAGE('01.08 FORTPORTAL-KYENJOJO 2-24h'!D68,'03.08 FORTPORTAL-KYENJOJO-24h'!D68)</f>
        <v>0</v>
      </c>
      <c r="E68" s="49">
        <f>AVERAGE('01.08 FORTPORTAL-KYENJOJO 2-24h'!E68,'03.08 FORTPORTAL-KYENJOJO-24h'!E68)</f>
        <v>1.5</v>
      </c>
      <c r="F68" s="49">
        <f>AVERAGE('01.08 FORTPORTAL-KYENJOJO 2-24h'!F68,'03.08 FORTPORTAL-KYENJOJO-24h'!F68)</f>
        <v>0</v>
      </c>
      <c r="G68" s="49">
        <f>AVERAGE('01.08 FORTPORTAL-KYENJOJO 2-24h'!G68,'03.08 FORTPORTAL-KYENJOJO-24h'!G68)</f>
        <v>0</v>
      </c>
      <c r="H68" s="49">
        <f>AVERAGE('01.08 FORTPORTAL-KYENJOJO 2-24h'!H68,'03.08 FORTPORTAL-KYENJOJO-24h'!H68)</f>
        <v>0</v>
      </c>
      <c r="I68" s="49">
        <f>AVERAGE('01.08 FORTPORTAL-KYENJOJO 2-24h'!I68,'03.08 FORTPORTAL-KYENJOJO-24h'!I68)</f>
        <v>1</v>
      </c>
      <c r="J68" s="49">
        <f>AVERAGE('01.08 FORTPORTAL-KYENJOJO 2-24h'!J68,'03.08 FORTPORTAL-KYENJOJO-24h'!J68)</f>
        <v>0</v>
      </c>
      <c r="K68" s="49">
        <f>AVERAGE('01.08 FORTPORTAL-KYENJOJO 2-24h'!K68,'03.08 FORTPORTAL-KYENJOJO-24h'!K68)</f>
        <v>0</v>
      </c>
      <c r="L68" s="49">
        <f>AVERAGE('01.08 FORTPORTAL-KYENJOJO 2-24h'!L68,'03.08 FORTPORTAL-KYENJOJO-24h'!L68)</f>
        <v>0</v>
      </c>
      <c r="M68" s="49">
        <f>AVERAGE('01.08 FORTPORTAL-KYENJOJO 2-24h'!M68,'03.08 FORTPORTAL-KYENJOJO-24h'!M68)</f>
        <v>0</v>
      </c>
      <c r="N68" s="49">
        <f>AVERAGE('01.08 FORTPORTAL-KYENJOJO 2-24h'!N68,'03.08 FORTPORTAL-KYENJOJO-24h'!N68)</f>
        <v>0</v>
      </c>
      <c r="O68" s="15">
        <f t="shared" si="0"/>
        <v>3.5</v>
      </c>
      <c r="P68" s="15">
        <f t="shared" si="1"/>
        <v>3.5</v>
      </c>
      <c r="R68" s="8"/>
      <c r="T68"/>
    </row>
    <row r="69" spans="2:20" ht="23.1" customHeight="1" x14ac:dyDescent="0.25">
      <c r="B69" s="23" t="s">
        <v>106</v>
      </c>
      <c r="C69" s="49">
        <f>AVERAGE('01.08 FORTPORTAL-KYENJOJO 2-24h'!C69,'03.08 FORTPORTAL-KYENJOJO-24h'!C69)</f>
        <v>0</v>
      </c>
      <c r="D69" s="49">
        <f>AVERAGE('01.08 FORTPORTAL-KYENJOJO 2-24h'!D69,'03.08 FORTPORTAL-KYENJOJO-24h'!D69)</f>
        <v>0</v>
      </c>
      <c r="E69" s="49">
        <f>AVERAGE('01.08 FORTPORTAL-KYENJOJO 2-24h'!E69,'03.08 FORTPORTAL-KYENJOJO-24h'!E69)</f>
        <v>1.5</v>
      </c>
      <c r="F69" s="49">
        <f>AVERAGE('01.08 FORTPORTAL-KYENJOJO 2-24h'!F69,'03.08 FORTPORTAL-KYENJOJO-24h'!F69)</f>
        <v>0.5</v>
      </c>
      <c r="G69" s="49">
        <f>AVERAGE('01.08 FORTPORTAL-KYENJOJO 2-24h'!G69,'03.08 FORTPORTAL-KYENJOJO-24h'!G69)</f>
        <v>0</v>
      </c>
      <c r="H69" s="49">
        <f>AVERAGE('01.08 FORTPORTAL-KYENJOJO 2-24h'!H69,'03.08 FORTPORTAL-KYENJOJO-24h'!H69)</f>
        <v>0</v>
      </c>
      <c r="I69" s="49">
        <f>AVERAGE('01.08 FORTPORTAL-KYENJOJO 2-24h'!I69,'03.08 FORTPORTAL-KYENJOJO-24h'!I69)</f>
        <v>0.5</v>
      </c>
      <c r="J69" s="49">
        <f>AVERAGE('01.08 FORTPORTAL-KYENJOJO 2-24h'!J69,'03.08 FORTPORTAL-KYENJOJO-24h'!J69)</f>
        <v>0</v>
      </c>
      <c r="K69" s="49">
        <f>AVERAGE('01.08 FORTPORTAL-KYENJOJO 2-24h'!K69,'03.08 FORTPORTAL-KYENJOJO-24h'!K69)</f>
        <v>0</v>
      </c>
      <c r="L69" s="49">
        <f>AVERAGE('01.08 FORTPORTAL-KYENJOJO 2-24h'!L69,'03.08 FORTPORTAL-KYENJOJO-24h'!L69)</f>
        <v>0</v>
      </c>
      <c r="M69" s="49">
        <f>AVERAGE('01.08 FORTPORTAL-KYENJOJO 2-24h'!M69,'03.08 FORTPORTAL-KYENJOJO-24h'!M69)</f>
        <v>0.5</v>
      </c>
      <c r="N69" s="49">
        <f>AVERAGE('01.08 FORTPORTAL-KYENJOJO 2-24h'!N69,'03.08 FORTPORTAL-KYENJOJO-24h'!N69)</f>
        <v>0</v>
      </c>
      <c r="O69" s="15">
        <f t="shared" si="0"/>
        <v>2.5</v>
      </c>
      <c r="P69" s="15">
        <f t="shared" si="1"/>
        <v>3</v>
      </c>
      <c r="R69" s="8"/>
      <c r="T69"/>
    </row>
    <row r="70" spans="2:20" ht="23.1" customHeight="1" x14ac:dyDescent="0.25">
      <c r="B70" s="23" t="s">
        <v>110</v>
      </c>
      <c r="C70" s="49">
        <f>AVERAGE('01.08 FORTPORTAL-KYENJOJO 2-24h'!C70,'03.08 FORTPORTAL-KYENJOJO-24h'!C70)</f>
        <v>1</v>
      </c>
      <c r="D70" s="49">
        <f>AVERAGE('01.08 FORTPORTAL-KYENJOJO 2-24h'!D70,'03.08 FORTPORTAL-KYENJOJO-24h'!D70)</f>
        <v>0</v>
      </c>
      <c r="E70" s="49">
        <f>AVERAGE('01.08 FORTPORTAL-KYENJOJO 2-24h'!E70,'03.08 FORTPORTAL-KYENJOJO-24h'!E70)</f>
        <v>0.5</v>
      </c>
      <c r="F70" s="49">
        <f>AVERAGE('01.08 FORTPORTAL-KYENJOJO 2-24h'!F70,'03.08 FORTPORTAL-KYENJOJO-24h'!F70)</f>
        <v>0.5</v>
      </c>
      <c r="G70" s="49">
        <f>AVERAGE('01.08 FORTPORTAL-KYENJOJO 2-24h'!G70,'03.08 FORTPORTAL-KYENJOJO-24h'!G70)</f>
        <v>0</v>
      </c>
      <c r="H70" s="49">
        <f>AVERAGE('01.08 FORTPORTAL-KYENJOJO 2-24h'!H70,'03.08 FORTPORTAL-KYENJOJO-24h'!H70)</f>
        <v>0</v>
      </c>
      <c r="I70" s="49">
        <f>AVERAGE('01.08 FORTPORTAL-KYENJOJO 2-24h'!I70,'03.08 FORTPORTAL-KYENJOJO-24h'!I70)</f>
        <v>1</v>
      </c>
      <c r="J70" s="49">
        <f>AVERAGE('01.08 FORTPORTAL-KYENJOJO 2-24h'!J70,'03.08 FORTPORTAL-KYENJOJO-24h'!J70)</f>
        <v>1</v>
      </c>
      <c r="K70" s="49">
        <f>AVERAGE('01.08 FORTPORTAL-KYENJOJO 2-24h'!K70,'03.08 FORTPORTAL-KYENJOJO-24h'!K70)</f>
        <v>0</v>
      </c>
      <c r="L70" s="49">
        <f>AVERAGE('01.08 FORTPORTAL-KYENJOJO 2-24h'!L70,'03.08 FORTPORTAL-KYENJOJO-24h'!L70)</f>
        <v>0.5</v>
      </c>
      <c r="M70" s="49">
        <f>AVERAGE('01.08 FORTPORTAL-KYENJOJO 2-24h'!M70,'03.08 FORTPORTAL-KYENJOJO-24h'!M70)</f>
        <v>0</v>
      </c>
      <c r="N70" s="49">
        <f>AVERAGE('01.08 FORTPORTAL-KYENJOJO 2-24h'!N70,'03.08 FORTPORTAL-KYENJOJO-24h'!N70)</f>
        <v>0</v>
      </c>
      <c r="O70" s="15">
        <f t="shared" si="0"/>
        <v>4.5</v>
      </c>
      <c r="P70" s="15">
        <f t="shared" si="1"/>
        <v>4.5</v>
      </c>
      <c r="R70" s="8"/>
      <c r="T70"/>
    </row>
    <row r="71" spans="2:20" ht="23.1" customHeight="1" x14ac:dyDescent="0.25">
      <c r="B71" s="23" t="s">
        <v>111</v>
      </c>
      <c r="C71" s="49">
        <f>AVERAGE('01.08 FORTPORTAL-KYENJOJO 2-24h'!C71,'03.08 FORTPORTAL-KYENJOJO-24h'!C71)</f>
        <v>0</v>
      </c>
      <c r="D71" s="49">
        <f>AVERAGE('01.08 FORTPORTAL-KYENJOJO 2-24h'!D71,'03.08 FORTPORTAL-KYENJOJO-24h'!D71)</f>
        <v>0</v>
      </c>
      <c r="E71" s="49">
        <f>AVERAGE('01.08 FORTPORTAL-KYENJOJO 2-24h'!E71,'03.08 FORTPORTAL-KYENJOJO-24h'!E71)</f>
        <v>0.5</v>
      </c>
      <c r="F71" s="49">
        <f>AVERAGE('01.08 FORTPORTAL-KYENJOJO 2-24h'!F71,'03.08 FORTPORTAL-KYENJOJO-24h'!F71)</f>
        <v>0.5</v>
      </c>
      <c r="G71" s="49">
        <f>AVERAGE('01.08 FORTPORTAL-KYENJOJO 2-24h'!G71,'03.08 FORTPORTAL-KYENJOJO-24h'!G71)</f>
        <v>0</v>
      </c>
      <c r="H71" s="49">
        <f>AVERAGE('01.08 FORTPORTAL-KYENJOJO 2-24h'!H71,'03.08 FORTPORTAL-KYENJOJO-24h'!H71)</f>
        <v>0</v>
      </c>
      <c r="I71" s="49">
        <f>AVERAGE('01.08 FORTPORTAL-KYENJOJO 2-24h'!I71,'03.08 FORTPORTAL-KYENJOJO-24h'!I71)</f>
        <v>1</v>
      </c>
      <c r="J71" s="49">
        <f>AVERAGE('01.08 FORTPORTAL-KYENJOJO 2-24h'!J71,'03.08 FORTPORTAL-KYENJOJO-24h'!J71)</f>
        <v>1.5</v>
      </c>
      <c r="K71" s="49">
        <f>AVERAGE('01.08 FORTPORTAL-KYENJOJO 2-24h'!K71,'03.08 FORTPORTAL-KYENJOJO-24h'!K71)</f>
        <v>0</v>
      </c>
      <c r="L71" s="49">
        <f>AVERAGE('01.08 FORTPORTAL-KYENJOJO 2-24h'!L71,'03.08 FORTPORTAL-KYENJOJO-24h'!L71)</f>
        <v>1</v>
      </c>
      <c r="M71" s="49">
        <f>AVERAGE('01.08 FORTPORTAL-KYENJOJO 2-24h'!M71,'03.08 FORTPORTAL-KYENJOJO-24h'!M71)</f>
        <v>1.5</v>
      </c>
      <c r="N71" s="49">
        <f>AVERAGE('01.08 FORTPORTAL-KYENJOJO 2-24h'!N71,'03.08 FORTPORTAL-KYENJOJO-24h'!N71)</f>
        <v>0</v>
      </c>
      <c r="O71" s="15">
        <f t="shared" si="0"/>
        <v>4.5</v>
      </c>
      <c r="P71" s="15">
        <f t="shared" si="1"/>
        <v>6</v>
      </c>
      <c r="R71" s="8"/>
      <c r="T71"/>
    </row>
    <row r="72" spans="2:20" ht="23.1" customHeight="1" x14ac:dyDescent="0.25">
      <c r="B72" s="23" t="s">
        <v>112</v>
      </c>
      <c r="C72" s="49">
        <f>AVERAGE('01.08 FORTPORTAL-KYENJOJO 2-24h'!C72,'03.08 FORTPORTAL-KYENJOJO-24h'!C72)</f>
        <v>0.5</v>
      </c>
      <c r="D72" s="49">
        <f>AVERAGE('01.08 FORTPORTAL-KYENJOJO 2-24h'!D72,'03.08 FORTPORTAL-KYENJOJO-24h'!D72)</f>
        <v>0</v>
      </c>
      <c r="E72" s="49">
        <f>AVERAGE('01.08 FORTPORTAL-KYENJOJO 2-24h'!E72,'03.08 FORTPORTAL-KYENJOJO-24h'!E72)</f>
        <v>0.5</v>
      </c>
      <c r="F72" s="49">
        <f>AVERAGE('01.08 FORTPORTAL-KYENJOJO 2-24h'!F72,'03.08 FORTPORTAL-KYENJOJO-24h'!F72)</f>
        <v>1</v>
      </c>
      <c r="G72" s="49">
        <f>AVERAGE('01.08 FORTPORTAL-KYENJOJO 2-24h'!G72,'03.08 FORTPORTAL-KYENJOJO-24h'!G72)</f>
        <v>0</v>
      </c>
      <c r="H72" s="49">
        <f>AVERAGE('01.08 FORTPORTAL-KYENJOJO 2-24h'!H72,'03.08 FORTPORTAL-KYENJOJO-24h'!H72)</f>
        <v>0.5</v>
      </c>
      <c r="I72" s="49">
        <f>AVERAGE('01.08 FORTPORTAL-KYENJOJO 2-24h'!I72,'03.08 FORTPORTAL-KYENJOJO-24h'!I72)</f>
        <v>2</v>
      </c>
      <c r="J72" s="49">
        <f>AVERAGE('01.08 FORTPORTAL-KYENJOJO 2-24h'!J72,'03.08 FORTPORTAL-KYENJOJO-24h'!J72)</f>
        <v>2.5</v>
      </c>
      <c r="K72" s="49">
        <f>AVERAGE('01.08 FORTPORTAL-KYENJOJO 2-24h'!K72,'03.08 FORTPORTAL-KYENJOJO-24h'!K72)</f>
        <v>0</v>
      </c>
      <c r="L72" s="49">
        <f>AVERAGE('01.08 FORTPORTAL-KYENJOJO 2-24h'!L72,'03.08 FORTPORTAL-KYENJOJO-24h'!L72)</f>
        <v>1</v>
      </c>
      <c r="M72" s="49">
        <f>AVERAGE('01.08 FORTPORTAL-KYENJOJO 2-24h'!M72,'03.08 FORTPORTAL-KYENJOJO-24h'!M72)</f>
        <v>0</v>
      </c>
      <c r="N72" s="49">
        <f>AVERAGE('01.08 FORTPORTAL-KYENJOJO 2-24h'!N72,'03.08 FORTPORTAL-KYENJOJO-24h'!N72)</f>
        <v>0</v>
      </c>
      <c r="O72" s="15">
        <f t="shared" si="0"/>
        <v>8</v>
      </c>
      <c r="P72" s="15">
        <f t="shared" si="1"/>
        <v>8</v>
      </c>
      <c r="R72" s="8"/>
      <c r="T72"/>
    </row>
    <row r="73" spans="2:20" ht="23.1" customHeight="1" x14ac:dyDescent="0.25">
      <c r="B73" s="23" t="s">
        <v>113</v>
      </c>
      <c r="C73" s="49">
        <f>AVERAGE('01.08 FORTPORTAL-KYENJOJO 2-24h'!C73,'03.08 FORTPORTAL-KYENJOJO-24h'!C73)</f>
        <v>1</v>
      </c>
      <c r="D73" s="49">
        <f>AVERAGE('01.08 FORTPORTAL-KYENJOJO 2-24h'!D73,'03.08 FORTPORTAL-KYENJOJO-24h'!D73)</f>
        <v>0</v>
      </c>
      <c r="E73" s="49">
        <f>AVERAGE('01.08 FORTPORTAL-KYENJOJO 2-24h'!E73,'03.08 FORTPORTAL-KYENJOJO-24h'!E73)</f>
        <v>1</v>
      </c>
      <c r="F73" s="49">
        <f>AVERAGE('01.08 FORTPORTAL-KYENJOJO 2-24h'!F73,'03.08 FORTPORTAL-KYENJOJO-24h'!F73)</f>
        <v>1</v>
      </c>
      <c r="G73" s="49">
        <f>AVERAGE('01.08 FORTPORTAL-KYENJOJO 2-24h'!G73,'03.08 FORTPORTAL-KYENJOJO-24h'!G73)</f>
        <v>0</v>
      </c>
      <c r="H73" s="49">
        <f>AVERAGE('01.08 FORTPORTAL-KYENJOJO 2-24h'!H73,'03.08 FORTPORTAL-KYENJOJO-24h'!H73)</f>
        <v>0</v>
      </c>
      <c r="I73" s="49">
        <f>AVERAGE('01.08 FORTPORTAL-KYENJOJO 2-24h'!I73,'03.08 FORTPORTAL-KYENJOJO-24h'!I73)</f>
        <v>0</v>
      </c>
      <c r="J73" s="49">
        <f>AVERAGE('01.08 FORTPORTAL-KYENJOJO 2-24h'!J73,'03.08 FORTPORTAL-KYENJOJO-24h'!J73)</f>
        <v>1.5</v>
      </c>
      <c r="K73" s="49">
        <f>AVERAGE('01.08 FORTPORTAL-KYENJOJO 2-24h'!K73,'03.08 FORTPORTAL-KYENJOJO-24h'!K73)</f>
        <v>0</v>
      </c>
      <c r="L73" s="49">
        <f>AVERAGE('01.08 FORTPORTAL-KYENJOJO 2-24h'!L73,'03.08 FORTPORTAL-KYENJOJO-24h'!L73)</f>
        <v>0</v>
      </c>
      <c r="M73" s="49">
        <f>AVERAGE('01.08 FORTPORTAL-KYENJOJO 2-24h'!M73,'03.08 FORTPORTAL-KYENJOJO-24h'!M73)</f>
        <v>0</v>
      </c>
      <c r="N73" s="49">
        <f>AVERAGE('01.08 FORTPORTAL-KYENJOJO 2-24h'!N73,'03.08 FORTPORTAL-KYENJOJO-24h'!N73)</f>
        <v>0</v>
      </c>
      <c r="O73" s="15">
        <f t="shared" si="0"/>
        <v>4.5</v>
      </c>
      <c r="P73" s="15">
        <f t="shared" si="1"/>
        <v>4.5</v>
      </c>
      <c r="R73" s="8"/>
      <c r="T73"/>
    </row>
    <row r="74" spans="2:20" ht="23.1" customHeight="1" x14ac:dyDescent="0.25">
      <c r="B74" s="23" t="s">
        <v>114</v>
      </c>
      <c r="C74" s="49">
        <f>AVERAGE('01.08 FORTPORTAL-KYENJOJO 2-24h'!C74,'03.08 FORTPORTAL-KYENJOJO-24h'!C74)</f>
        <v>0</v>
      </c>
      <c r="D74" s="49">
        <f>AVERAGE('01.08 FORTPORTAL-KYENJOJO 2-24h'!D74,'03.08 FORTPORTAL-KYENJOJO-24h'!D74)</f>
        <v>0</v>
      </c>
      <c r="E74" s="49">
        <f>AVERAGE('01.08 FORTPORTAL-KYENJOJO 2-24h'!E74,'03.08 FORTPORTAL-KYENJOJO-24h'!E74)</f>
        <v>0</v>
      </c>
      <c r="F74" s="49">
        <f>AVERAGE('01.08 FORTPORTAL-KYENJOJO 2-24h'!F74,'03.08 FORTPORTAL-KYENJOJO-24h'!F74)</f>
        <v>0.5</v>
      </c>
      <c r="G74" s="49">
        <f>AVERAGE('01.08 FORTPORTAL-KYENJOJO 2-24h'!G74,'03.08 FORTPORTAL-KYENJOJO-24h'!G74)</f>
        <v>0</v>
      </c>
      <c r="H74" s="49">
        <f>AVERAGE('01.08 FORTPORTAL-KYENJOJO 2-24h'!H74,'03.08 FORTPORTAL-KYENJOJO-24h'!H74)</f>
        <v>1.5</v>
      </c>
      <c r="I74" s="49">
        <f>AVERAGE('01.08 FORTPORTAL-KYENJOJO 2-24h'!I74,'03.08 FORTPORTAL-KYENJOJO-24h'!I74)</f>
        <v>1.5</v>
      </c>
      <c r="J74" s="49">
        <f>AVERAGE('01.08 FORTPORTAL-KYENJOJO 2-24h'!J74,'03.08 FORTPORTAL-KYENJOJO-24h'!J74)</f>
        <v>0</v>
      </c>
      <c r="K74" s="49">
        <f>AVERAGE('01.08 FORTPORTAL-KYENJOJO 2-24h'!K74,'03.08 FORTPORTAL-KYENJOJO-24h'!K74)</f>
        <v>0</v>
      </c>
      <c r="L74" s="49">
        <f>AVERAGE('01.08 FORTPORTAL-KYENJOJO 2-24h'!L74,'03.08 FORTPORTAL-KYENJOJO-24h'!L74)</f>
        <v>0.5</v>
      </c>
      <c r="M74" s="49">
        <f>AVERAGE('01.08 FORTPORTAL-KYENJOJO 2-24h'!M74,'03.08 FORTPORTAL-KYENJOJO-24h'!M74)</f>
        <v>0</v>
      </c>
      <c r="N74" s="49">
        <f>AVERAGE('01.08 FORTPORTAL-KYENJOJO 2-24h'!N74,'03.08 FORTPORTAL-KYENJOJO-24h'!N74)</f>
        <v>0</v>
      </c>
      <c r="O74" s="15">
        <f t="shared" ref="O74:O105" si="35">SUM(C74:L74,N74)</f>
        <v>4</v>
      </c>
      <c r="P74" s="15">
        <f t="shared" ref="P74:P105" si="36">SUM(C74:N74)</f>
        <v>4</v>
      </c>
      <c r="R74" s="8"/>
      <c r="T74"/>
    </row>
    <row r="75" spans="2:20" ht="23.1" customHeight="1" x14ac:dyDescent="0.25">
      <c r="B75" s="23" t="s">
        <v>115</v>
      </c>
      <c r="C75" s="49">
        <f>AVERAGE('01.08 FORTPORTAL-KYENJOJO 2-24h'!C75,'03.08 FORTPORTAL-KYENJOJO-24h'!C75)</f>
        <v>0</v>
      </c>
      <c r="D75" s="49">
        <f>AVERAGE('01.08 FORTPORTAL-KYENJOJO 2-24h'!D75,'03.08 FORTPORTAL-KYENJOJO-24h'!D75)</f>
        <v>0</v>
      </c>
      <c r="E75" s="49">
        <f>AVERAGE('01.08 FORTPORTAL-KYENJOJO 2-24h'!E75,'03.08 FORTPORTAL-KYENJOJO-24h'!E75)</f>
        <v>1</v>
      </c>
      <c r="F75" s="49">
        <f>AVERAGE('01.08 FORTPORTAL-KYENJOJO 2-24h'!F75,'03.08 FORTPORTAL-KYENJOJO-24h'!F75)</f>
        <v>0</v>
      </c>
      <c r="G75" s="49">
        <f>AVERAGE('01.08 FORTPORTAL-KYENJOJO 2-24h'!G75,'03.08 FORTPORTAL-KYENJOJO-24h'!G75)</f>
        <v>0</v>
      </c>
      <c r="H75" s="49">
        <f>AVERAGE('01.08 FORTPORTAL-KYENJOJO 2-24h'!H75,'03.08 FORTPORTAL-KYENJOJO-24h'!H75)</f>
        <v>0</v>
      </c>
      <c r="I75" s="49">
        <f>AVERAGE('01.08 FORTPORTAL-KYENJOJO 2-24h'!I75,'03.08 FORTPORTAL-KYENJOJO-24h'!I75)</f>
        <v>1</v>
      </c>
      <c r="J75" s="49">
        <f>AVERAGE('01.08 FORTPORTAL-KYENJOJO 2-24h'!J75,'03.08 FORTPORTAL-KYENJOJO-24h'!J75)</f>
        <v>0</v>
      </c>
      <c r="K75" s="49">
        <f>AVERAGE('01.08 FORTPORTAL-KYENJOJO 2-24h'!K75,'03.08 FORTPORTAL-KYENJOJO-24h'!K75)</f>
        <v>0</v>
      </c>
      <c r="L75" s="49">
        <f>AVERAGE('01.08 FORTPORTAL-KYENJOJO 2-24h'!L75,'03.08 FORTPORTAL-KYENJOJO-24h'!L75)</f>
        <v>0.5</v>
      </c>
      <c r="M75" s="49">
        <f>AVERAGE('01.08 FORTPORTAL-KYENJOJO 2-24h'!M75,'03.08 FORTPORTAL-KYENJOJO-24h'!M75)</f>
        <v>0</v>
      </c>
      <c r="N75" s="49">
        <f>AVERAGE('01.08 FORTPORTAL-KYENJOJO 2-24h'!N75,'03.08 FORTPORTAL-KYENJOJO-24h'!N75)</f>
        <v>0</v>
      </c>
      <c r="O75" s="15">
        <f t="shared" si="35"/>
        <v>2.5</v>
      </c>
      <c r="P75" s="15">
        <f t="shared" si="36"/>
        <v>2.5</v>
      </c>
      <c r="R75" s="8"/>
      <c r="T75"/>
    </row>
    <row r="76" spans="2:20" ht="23.1" customHeight="1" x14ac:dyDescent="0.25">
      <c r="B76" s="23" t="s">
        <v>116</v>
      </c>
      <c r="C76" s="49">
        <f>AVERAGE('01.08 FORTPORTAL-KYENJOJO 2-24h'!C76,'03.08 FORTPORTAL-KYENJOJO-24h'!C76)</f>
        <v>0.5</v>
      </c>
      <c r="D76" s="49">
        <f>AVERAGE('01.08 FORTPORTAL-KYENJOJO 2-24h'!D76,'03.08 FORTPORTAL-KYENJOJO-24h'!D76)</f>
        <v>0</v>
      </c>
      <c r="E76" s="49">
        <f>AVERAGE('01.08 FORTPORTAL-KYENJOJO 2-24h'!E76,'03.08 FORTPORTAL-KYENJOJO-24h'!E76)</f>
        <v>0</v>
      </c>
      <c r="F76" s="49">
        <f>AVERAGE('01.08 FORTPORTAL-KYENJOJO 2-24h'!F76,'03.08 FORTPORTAL-KYENJOJO-24h'!F76)</f>
        <v>0</v>
      </c>
      <c r="G76" s="49">
        <f>AVERAGE('01.08 FORTPORTAL-KYENJOJO 2-24h'!G76,'03.08 FORTPORTAL-KYENJOJO-24h'!G76)</f>
        <v>0</v>
      </c>
      <c r="H76" s="49">
        <f>AVERAGE('01.08 FORTPORTAL-KYENJOJO 2-24h'!H76,'03.08 FORTPORTAL-KYENJOJO-24h'!H76)</f>
        <v>0</v>
      </c>
      <c r="I76" s="49">
        <f>AVERAGE('01.08 FORTPORTAL-KYENJOJO 2-24h'!I76,'03.08 FORTPORTAL-KYENJOJO-24h'!I76)</f>
        <v>0.5</v>
      </c>
      <c r="J76" s="49">
        <f>AVERAGE('01.08 FORTPORTAL-KYENJOJO 2-24h'!J76,'03.08 FORTPORTAL-KYENJOJO-24h'!J76)</f>
        <v>0.5</v>
      </c>
      <c r="K76" s="49">
        <f>AVERAGE('01.08 FORTPORTAL-KYENJOJO 2-24h'!K76,'03.08 FORTPORTAL-KYENJOJO-24h'!K76)</f>
        <v>0</v>
      </c>
      <c r="L76" s="49">
        <f>AVERAGE('01.08 FORTPORTAL-KYENJOJO 2-24h'!L76,'03.08 FORTPORTAL-KYENJOJO-24h'!L76)</f>
        <v>0</v>
      </c>
      <c r="M76" s="49">
        <f>AVERAGE('01.08 FORTPORTAL-KYENJOJO 2-24h'!M76,'03.08 FORTPORTAL-KYENJOJO-24h'!M76)</f>
        <v>0</v>
      </c>
      <c r="N76" s="49">
        <f>AVERAGE('01.08 FORTPORTAL-KYENJOJO 2-24h'!N76,'03.08 FORTPORTAL-KYENJOJO-24h'!N76)</f>
        <v>0</v>
      </c>
      <c r="O76" s="15">
        <f t="shared" si="35"/>
        <v>1.5</v>
      </c>
      <c r="P76" s="15">
        <f t="shared" si="36"/>
        <v>1.5</v>
      </c>
      <c r="R76" s="8"/>
      <c r="T76"/>
    </row>
    <row r="77" spans="2:20" ht="23.1" customHeight="1" x14ac:dyDescent="0.25">
      <c r="B77" s="23" t="s">
        <v>117</v>
      </c>
      <c r="C77" s="49">
        <f>AVERAGE('01.08 FORTPORTAL-KYENJOJO 2-24h'!C77,'03.08 FORTPORTAL-KYENJOJO-24h'!C77)</f>
        <v>0.5</v>
      </c>
      <c r="D77" s="49">
        <f>AVERAGE('01.08 FORTPORTAL-KYENJOJO 2-24h'!D77,'03.08 FORTPORTAL-KYENJOJO-24h'!D77)</f>
        <v>0</v>
      </c>
      <c r="E77" s="49">
        <f>AVERAGE('01.08 FORTPORTAL-KYENJOJO 2-24h'!E77,'03.08 FORTPORTAL-KYENJOJO-24h'!E77)</f>
        <v>0</v>
      </c>
      <c r="F77" s="49">
        <f>AVERAGE('01.08 FORTPORTAL-KYENJOJO 2-24h'!F77,'03.08 FORTPORTAL-KYENJOJO-24h'!F77)</f>
        <v>0.5</v>
      </c>
      <c r="G77" s="49">
        <f>AVERAGE('01.08 FORTPORTAL-KYENJOJO 2-24h'!G77,'03.08 FORTPORTAL-KYENJOJO-24h'!G77)</f>
        <v>0</v>
      </c>
      <c r="H77" s="49">
        <f>AVERAGE('01.08 FORTPORTAL-KYENJOJO 2-24h'!H77,'03.08 FORTPORTAL-KYENJOJO-24h'!H77)</f>
        <v>0</v>
      </c>
      <c r="I77" s="49">
        <f>AVERAGE('01.08 FORTPORTAL-KYENJOJO 2-24h'!I77,'03.08 FORTPORTAL-KYENJOJO-24h'!I77)</f>
        <v>1.5</v>
      </c>
      <c r="J77" s="49">
        <f>AVERAGE('01.08 FORTPORTAL-KYENJOJO 2-24h'!J77,'03.08 FORTPORTAL-KYENJOJO-24h'!J77)</f>
        <v>0</v>
      </c>
      <c r="K77" s="49">
        <f>AVERAGE('01.08 FORTPORTAL-KYENJOJO 2-24h'!K77,'03.08 FORTPORTAL-KYENJOJO-24h'!K77)</f>
        <v>0</v>
      </c>
      <c r="L77" s="49">
        <f>AVERAGE('01.08 FORTPORTAL-KYENJOJO 2-24h'!L77,'03.08 FORTPORTAL-KYENJOJO-24h'!L77)</f>
        <v>0</v>
      </c>
      <c r="M77" s="49">
        <f>AVERAGE('01.08 FORTPORTAL-KYENJOJO 2-24h'!M77,'03.08 FORTPORTAL-KYENJOJO-24h'!M77)</f>
        <v>0</v>
      </c>
      <c r="N77" s="49">
        <f>AVERAGE('01.08 FORTPORTAL-KYENJOJO 2-24h'!N77,'03.08 FORTPORTAL-KYENJOJO-24h'!N77)</f>
        <v>0</v>
      </c>
      <c r="O77" s="15">
        <f t="shared" si="35"/>
        <v>2.5</v>
      </c>
      <c r="P77" s="15">
        <f t="shared" si="36"/>
        <v>2.5</v>
      </c>
      <c r="R77" s="8"/>
      <c r="T77"/>
    </row>
    <row r="78" spans="2:20" ht="23.1" customHeight="1" x14ac:dyDescent="0.25">
      <c r="B78" s="24" t="s">
        <v>118</v>
      </c>
      <c r="C78" s="49">
        <f>AVERAGE('01.08 FORTPORTAL-KYENJOJO 2-24h'!C78,'03.08 FORTPORTAL-KYENJOJO-24h'!C78)</f>
        <v>0</v>
      </c>
      <c r="D78" s="49">
        <f>AVERAGE('01.08 FORTPORTAL-KYENJOJO 2-24h'!D78,'03.08 FORTPORTAL-KYENJOJO-24h'!D78)</f>
        <v>0</v>
      </c>
      <c r="E78" s="49">
        <f>AVERAGE('01.08 FORTPORTAL-KYENJOJO 2-24h'!E78,'03.08 FORTPORTAL-KYENJOJO-24h'!E78)</f>
        <v>0</v>
      </c>
      <c r="F78" s="49">
        <f>AVERAGE('01.08 FORTPORTAL-KYENJOJO 2-24h'!F78,'03.08 FORTPORTAL-KYENJOJO-24h'!F78)</f>
        <v>0</v>
      </c>
      <c r="G78" s="49">
        <f>AVERAGE('01.08 FORTPORTAL-KYENJOJO 2-24h'!G78,'03.08 FORTPORTAL-KYENJOJO-24h'!G78)</f>
        <v>0</v>
      </c>
      <c r="H78" s="49">
        <f>AVERAGE('01.08 FORTPORTAL-KYENJOJO 2-24h'!H78,'03.08 FORTPORTAL-KYENJOJO-24h'!H78)</f>
        <v>0.5</v>
      </c>
      <c r="I78" s="49">
        <f>AVERAGE('01.08 FORTPORTAL-KYENJOJO 2-24h'!I78,'03.08 FORTPORTAL-KYENJOJO-24h'!I78)</f>
        <v>0.5</v>
      </c>
      <c r="J78" s="49">
        <f>AVERAGE('01.08 FORTPORTAL-KYENJOJO 2-24h'!J78,'03.08 FORTPORTAL-KYENJOJO-24h'!J78)</f>
        <v>0</v>
      </c>
      <c r="K78" s="49">
        <f>AVERAGE('01.08 FORTPORTAL-KYENJOJO 2-24h'!K78,'03.08 FORTPORTAL-KYENJOJO-24h'!K78)</f>
        <v>0</v>
      </c>
      <c r="L78" s="49">
        <f>AVERAGE('01.08 FORTPORTAL-KYENJOJO 2-24h'!L78,'03.08 FORTPORTAL-KYENJOJO-24h'!L78)</f>
        <v>0</v>
      </c>
      <c r="M78" s="49">
        <f>AVERAGE('01.08 FORTPORTAL-KYENJOJO 2-24h'!M78,'03.08 FORTPORTAL-KYENJOJO-24h'!M78)</f>
        <v>0</v>
      </c>
      <c r="N78" s="49">
        <f>AVERAGE('01.08 FORTPORTAL-KYENJOJO 2-24h'!N78,'03.08 FORTPORTAL-KYENJOJO-24h'!N78)</f>
        <v>0</v>
      </c>
      <c r="O78" s="15">
        <f t="shared" si="35"/>
        <v>1</v>
      </c>
      <c r="P78" s="15">
        <f t="shared" si="36"/>
        <v>1</v>
      </c>
      <c r="R78" s="8"/>
      <c r="T78"/>
    </row>
    <row r="79" spans="2:20" ht="23.1" customHeight="1" x14ac:dyDescent="0.25">
      <c r="B79" s="23" t="s">
        <v>119</v>
      </c>
      <c r="C79" s="49">
        <f>AVERAGE('01.08 FORTPORTAL-KYENJOJO 2-24h'!C79,'03.08 FORTPORTAL-KYENJOJO-24h'!C79)</f>
        <v>0</v>
      </c>
      <c r="D79" s="49">
        <f>AVERAGE('01.08 FORTPORTAL-KYENJOJO 2-24h'!D79,'03.08 FORTPORTAL-KYENJOJO-24h'!D79)</f>
        <v>0</v>
      </c>
      <c r="E79" s="49">
        <f>AVERAGE('01.08 FORTPORTAL-KYENJOJO 2-24h'!E79,'03.08 FORTPORTAL-KYENJOJO-24h'!E79)</f>
        <v>0.5</v>
      </c>
      <c r="F79" s="49">
        <f>AVERAGE('01.08 FORTPORTAL-KYENJOJO 2-24h'!F79,'03.08 FORTPORTAL-KYENJOJO-24h'!F79)</f>
        <v>1</v>
      </c>
      <c r="G79" s="49">
        <f>AVERAGE('01.08 FORTPORTAL-KYENJOJO 2-24h'!G79,'03.08 FORTPORTAL-KYENJOJO-24h'!G79)</f>
        <v>0</v>
      </c>
      <c r="H79" s="49">
        <f>AVERAGE('01.08 FORTPORTAL-KYENJOJO 2-24h'!H79,'03.08 FORTPORTAL-KYENJOJO-24h'!H79)</f>
        <v>0</v>
      </c>
      <c r="I79" s="49">
        <f>AVERAGE('01.08 FORTPORTAL-KYENJOJO 2-24h'!I79,'03.08 FORTPORTAL-KYENJOJO-24h'!I79)</f>
        <v>0.5</v>
      </c>
      <c r="J79" s="49">
        <f>AVERAGE('01.08 FORTPORTAL-KYENJOJO 2-24h'!J79,'03.08 FORTPORTAL-KYENJOJO-24h'!J79)</f>
        <v>0</v>
      </c>
      <c r="K79" s="49">
        <f>AVERAGE('01.08 FORTPORTAL-KYENJOJO 2-24h'!K79,'03.08 FORTPORTAL-KYENJOJO-24h'!K79)</f>
        <v>0</v>
      </c>
      <c r="L79" s="49">
        <f>AVERAGE('01.08 FORTPORTAL-KYENJOJO 2-24h'!L79,'03.08 FORTPORTAL-KYENJOJO-24h'!L79)</f>
        <v>0.5</v>
      </c>
      <c r="M79" s="49">
        <f>AVERAGE('01.08 FORTPORTAL-KYENJOJO 2-24h'!M79,'03.08 FORTPORTAL-KYENJOJO-24h'!M79)</f>
        <v>0</v>
      </c>
      <c r="N79" s="49">
        <f>AVERAGE('01.08 FORTPORTAL-KYENJOJO 2-24h'!N79,'03.08 FORTPORTAL-KYENJOJO-24h'!N79)</f>
        <v>0</v>
      </c>
      <c r="O79" s="15">
        <f t="shared" si="35"/>
        <v>2.5</v>
      </c>
      <c r="P79" s="15">
        <f t="shared" si="36"/>
        <v>2.5</v>
      </c>
      <c r="R79" s="8"/>
      <c r="T79"/>
    </row>
    <row r="80" spans="2:20" ht="23.1" customHeight="1" x14ac:dyDescent="0.25">
      <c r="B80" s="25" t="s">
        <v>120</v>
      </c>
      <c r="C80" s="49">
        <f>AVERAGE('01.08 FORTPORTAL-KYENJOJO 2-24h'!C80,'03.08 FORTPORTAL-KYENJOJO-24h'!C80)</f>
        <v>0</v>
      </c>
      <c r="D80" s="49">
        <f>AVERAGE('01.08 FORTPORTAL-KYENJOJO 2-24h'!D80,'03.08 FORTPORTAL-KYENJOJO-24h'!D80)</f>
        <v>0</v>
      </c>
      <c r="E80" s="49">
        <f>AVERAGE('01.08 FORTPORTAL-KYENJOJO 2-24h'!E80,'03.08 FORTPORTAL-KYENJOJO-24h'!E80)</f>
        <v>0.5</v>
      </c>
      <c r="F80" s="49">
        <f>AVERAGE('01.08 FORTPORTAL-KYENJOJO 2-24h'!F80,'03.08 FORTPORTAL-KYENJOJO-24h'!F80)</f>
        <v>0.5</v>
      </c>
      <c r="G80" s="49">
        <f>AVERAGE('01.08 FORTPORTAL-KYENJOJO 2-24h'!G80,'03.08 FORTPORTAL-KYENJOJO-24h'!G80)</f>
        <v>0</v>
      </c>
      <c r="H80" s="49">
        <f>AVERAGE('01.08 FORTPORTAL-KYENJOJO 2-24h'!H80,'03.08 FORTPORTAL-KYENJOJO-24h'!H80)</f>
        <v>0</v>
      </c>
      <c r="I80" s="49">
        <f>AVERAGE('01.08 FORTPORTAL-KYENJOJO 2-24h'!I80,'03.08 FORTPORTAL-KYENJOJO-24h'!I80)</f>
        <v>2</v>
      </c>
      <c r="J80" s="49">
        <f>AVERAGE('01.08 FORTPORTAL-KYENJOJO 2-24h'!J80,'03.08 FORTPORTAL-KYENJOJO-24h'!J80)</f>
        <v>0</v>
      </c>
      <c r="K80" s="49">
        <f>AVERAGE('01.08 FORTPORTAL-KYENJOJO 2-24h'!K80,'03.08 FORTPORTAL-KYENJOJO-24h'!K80)</f>
        <v>0</v>
      </c>
      <c r="L80" s="49">
        <f>AVERAGE('01.08 FORTPORTAL-KYENJOJO 2-24h'!L80,'03.08 FORTPORTAL-KYENJOJO-24h'!L80)</f>
        <v>1</v>
      </c>
      <c r="M80" s="49">
        <f>AVERAGE('01.08 FORTPORTAL-KYENJOJO 2-24h'!M80,'03.08 FORTPORTAL-KYENJOJO-24h'!M80)</f>
        <v>0</v>
      </c>
      <c r="N80" s="49">
        <f>AVERAGE('01.08 FORTPORTAL-KYENJOJO 2-24h'!N80,'03.08 FORTPORTAL-KYENJOJO-24h'!N80)</f>
        <v>0</v>
      </c>
      <c r="O80" s="15">
        <f t="shared" si="35"/>
        <v>4</v>
      </c>
      <c r="P80" s="15">
        <f t="shared" si="36"/>
        <v>4</v>
      </c>
      <c r="R80" s="8"/>
      <c r="T80"/>
    </row>
    <row r="81" spans="2:20" ht="23.1" customHeight="1" x14ac:dyDescent="0.25">
      <c r="B81" s="23" t="s">
        <v>121</v>
      </c>
      <c r="C81" s="49">
        <f>AVERAGE('01.08 FORTPORTAL-KYENJOJO 2-24h'!C81,'03.08 FORTPORTAL-KYENJOJO-24h'!C81)</f>
        <v>0</v>
      </c>
      <c r="D81" s="49">
        <f>AVERAGE('01.08 FORTPORTAL-KYENJOJO 2-24h'!D81,'03.08 FORTPORTAL-KYENJOJO-24h'!D81)</f>
        <v>0</v>
      </c>
      <c r="E81" s="49">
        <f>AVERAGE('01.08 FORTPORTAL-KYENJOJO 2-24h'!E81,'03.08 FORTPORTAL-KYENJOJO-24h'!E81)</f>
        <v>1</v>
      </c>
      <c r="F81" s="49">
        <f>AVERAGE('01.08 FORTPORTAL-KYENJOJO 2-24h'!F81,'03.08 FORTPORTAL-KYENJOJO-24h'!F81)</f>
        <v>0</v>
      </c>
      <c r="G81" s="49">
        <f>AVERAGE('01.08 FORTPORTAL-KYENJOJO 2-24h'!G81,'03.08 FORTPORTAL-KYENJOJO-24h'!G81)</f>
        <v>0</v>
      </c>
      <c r="H81" s="49">
        <f>AVERAGE('01.08 FORTPORTAL-KYENJOJO 2-24h'!H81,'03.08 FORTPORTAL-KYENJOJO-24h'!H81)</f>
        <v>0.5</v>
      </c>
      <c r="I81" s="49">
        <f>AVERAGE('01.08 FORTPORTAL-KYENJOJO 2-24h'!I81,'03.08 FORTPORTAL-KYENJOJO-24h'!I81)</f>
        <v>2</v>
      </c>
      <c r="J81" s="49">
        <f>AVERAGE('01.08 FORTPORTAL-KYENJOJO 2-24h'!J81,'03.08 FORTPORTAL-KYENJOJO-24h'!J81)</f>
        <v>0</v>
      </c>
      <c r="K81" s="49">
        <f>AVERAGE('01.08 FORTPORTAL-KYENJOJO 2-24h'!K81,'03.08 FORTPORTAL-KYENJOJO-24h'!K81)</f>
        <v>0.5</v>
      </c>
      <c r="L81" s="49">
        <f>AVERAGE('01.08 FORTPORTAL-KYENJOJO 2-24h'!L81,'03.08 FORTPORTAL-KYENJOJO-24h'!L81)</f>
        <v>0.5</v>
      </c>
      <c r="M81" s="49">
        <f>AVERAGE('01.08 FORTPORTAL-KYENJOJO 2-24h'!M81,'03.08 FORTPORTAL-KYENJOJO-24h'!M81)</f>
        <v>0</v>
      </c>
      <c r="N81" s="49">
        <f>AVERAGE('01.08 FORTPORTAL-KYENJOJO 2-24h'!N81,'03.08 FORTPORTAL-KYENJOJO-24h'!N81)</f>
        <v>0</v>
      </c>
      <c r="O81" s="15">
        <f t="shared" si="35"/>
        <v>4.5</v>
      </c>
      <c r="P81" s="15">
        <f t="shared" si="36"/>
        <v>4.5</v>
      </c>
      <c r="R81" s="8"/>
      <c r="T81"/>
    </row>
    <row r="82" spans="2:20" ht="23.1" customHeight="1" x14ac:dyDescent="0.25">
      <c r="B82" s="24" t="s">
        <v>122</v>
      </c>
      <c r="C82" s="49">
        <f>AVERAGE('01.08 FORTPORTAL-KYENJOJO 2-24h'!C82,'03.08 FORTPORTAL-KYENJOJO-24h'!C82)</f>
        <v>0</v>
      </c>
      <c r="D82" s="49">
        <f>AVERAGE('01.08 FORTPORTAL-KYENJOJO 2-24h'!D82,'03.08 FORTPORTAL-KYENJOJO-24h'!D82)</f>
        <v>0</v>
      </c>
      <c r="E82" s="49">
        <f>AVERAGE('01.08 FORTPORTAL-KYENJOJO 2-24h'!E82,'03.08 FORTPORTAL-KYENJOJO-24h'!E82)</f>
        <v>0</v>
      </c>
      <c r="F82" s="49">
        <f>AVERAGE('01.08 FORTPORTAL-KYENJOJO 2-24h'!F82,'03.08 FORTPORTAL-KYENJOJO-24h'!F82)</f>
        <v>0</v>
      </c>
      <c r="G82" s="49">
        <f>AVERAGE('01.08 FORTPORTAL-KYENJOJO 2-24h'!G82,'03.08 FORTPORTAL-KYENJOJO-24h'!G82)</f>
        <v>0</v>
      </c>
      <c r="H82" s="49">
        <f>AVERAGE('01.08 FORTPORTAL-KYENJOJO 2-24h'!H82,'03.08 FORTPORTAL-KYENJOJO-24h'!H82)</f>
        <v>0</v>
      </c>
      <c r="I82" s="49">
        <f>AVERAGE('01.08 FORTPORTAL-KYENJOJO 2-24h'!I82,'03.08 FORTPORTAL-KYENJOJO-24h'!I82)</f>
        <v>1</v>
      </c>
      <c r="J82" s="49">
        <f>AVERAGE('01.08 FORTPORTAL-KYENJOJO 2-24h'!J82,'03.08 FORTPORTAL-KYENJOJO-24h'!J82)</f>
        <v>0</v>
      </c>
      <c r="K82" s="49">
        <f>AVERAGE('01.08 FORTPORTAL-KYENJOJO 2-24h'!K82,'03.08 FORTPORTAL-KYENJOJO-24h'!K82)</f>
        <v>0.5</v>
      </c>
      <c r="L82" s="49">
        <f>AVERAGE('01.08 FORTPORTAL-KYENJOJO 2-24h'!L82,'03.08 FORTPORTAL-KYENJOJO-24h'!L82)</f>
        <v>0</v>
      </c>
      <c r="M82" s="49">
        <f>AVERAGE('01.08 FORTPORTAL-KYENJOJO 2-24h'!M82,'03.08 FORTPORTAL-KYENJOJO-24h'!M82)</f>
        <v>0</v>
      </c>
      <c r="N82" s="49">
        <f>AVERAGE('01.08 FORTPORTAL-KYENJOJO 2-24h'!N82,'03.08 FORTPORTAL-KYENJOJO-24h'!N82)</f>
        <v>0</v>
      </c>
      <c r="O82" s="15">
        <f t="shared" si="35"/>
        <v>1.5</v>
      </c>
      <c r="P82" s="15">
        <f t="shared" si="36"/>
        <v>1.5</v>
      </c>
      <c r="R82" s="8"/>
      <c r="T82"/>
    </row>
    <row r="83" spans="2:20" ht="23.1" customHeight="1" x14ac:dyDescent="0.25">
      <c r="B83" s="23" t="s">
        <v>123</v>
      </c>
      <c r="C83" s="49">
        <f>AVERAGE('01.08 FORTPORTAL-KYENJOJO 2-24h'!C83,'03.08 FORTPORTAL-KYENJOJO-24h'!C83)</f>
        <v>0.5</v>
      </c>
      <c r="D83" s="49">
        <f>AVERAGE('01.08 FORTPORTAL-KYENJOJO 2-24h'!D83,'03.08 FORTPORTAL-KYENJOJO-24h'!D83)</f>
        <v>0</v>
      </c>
      <c r="E83" s="49">
        <f>AVERAGE('01.08 FORTPORTAL-KYENJOJO 2-24h'!E83,'03.08 FORTPORTAL-KYENJOJO-24h'!E83)</f>
        <v>0</v>
      </c>
      <c r="F83" s="49">
        <f>AVERAGE('01.08 FORTPORTAL-KYENJOJO 2-24h'!F83,'03.08 FORTPORTAL-KYENJOJO-24h'!F83)</f>
        <v>0</v>
      </c>
      <c r="G83" s="49">
        <f>AVERAGE('01.08 FORTPORTAL-KYENJOJO 2-24h'!G83,'03.08 FORTPORTAL-KYENJOJO-24h'!G83)</f>
        <v>0</v>
      </c>
      <c r="H83" s="49">
        <f>AVERAGE('01.08 FORTPORTAL-KYENJOJO 2-24h'!H83,'03.08 FORTPORTAL-KYENJOJO-24h'!H83)</f>
        <v>0</v>
      </c>
      <c r="I83" s="49">
        <f>AVERAGE('01.08 FORTPORTAL-KYENJOJO 2-24h'!I83,'03.08 FORTPORTAL-KYENJOJO-24h'!I83)</f>
        <v>1</v>
      </c>
      <c r="J83" s="49">
        <f>AVERAGE('01.08 FORTPORTAL-KYENJOJO 2-24h'!J83,'03.08 FORTPORTAL-KYENJOJO-24h'!J83)</f>
        <v>0</v>
      </c>
      <c r="K83" s="49">
        <f>AVERAGE('01.08 FORTPORTAL-KYENJOJO 2-24h'!K83,'03.08 FORTPORTAL-KYENJOJO-24h'!K83)</f>
        <v>0</v>
      </c>
      <c r="L83" s="49">
        <f>AVERAGE('01.08 FORTPORTAL-KYENJOJO 2-24h'!L83,'03.08 FORTPORTAL-KYENJOJO-24h'!L83)</f>
        <v>1</v>
      </c>
      <c r="M83" s="49">
        <f>AVERAGE('01.08 FORTPORTAL-KYENJOJO 2-24h'!M83,'03.08 FORTPORTAL-KYENJOJO-24h'!M83)</f>
        <v>0</v>
      </c>
      <c r="N83" s="49">
        <f>AVERAGE('01.08 FORTPORTAL-KYENJOJO 2-24h'!N83,'03.08 FORTPORTAL-KYENJOJO-24h'!N83)</f>
        <v>0</v>
      </c>
      <c r="O83" s="15">
        <f t="shared" si="35"/>
        <v>2.5</v>
      </c>
      <c r="P83" s="15">
        <f t="shared" si="36"/>
        <v>2.5</v>
      </c>
      <c r="R83" s="8"/>
      <c r="T83"/>
    </row>
    <row r="84" spans="2:20" ht="23.1" customHeight="1" x14ac:dyDescent="0.25">
      <c r="B84" s="25" t="s">
        <v>124</v>
      </c>
      <c r="C84" s="49">
        <f>AVERAGE('01.08 FORTPORTAL-KYENJOJO 2-24h'!C84,'03.08 FORTPORTAL-KYENJOJO-24h'!C84)</f>
        <v>0</v>
      </c>
      <c r="D84" s="49">
        <f>AVERAGE('01.08 FORTPORTAL-KYENJOJO 2-24h'!D84,'03.08 FORTPORTAL-KYENJOJO-24h'!D84)</f>
        <v>0</v>
      </c>
      <c r="E84" s="49">
        <f>AVERAGE('01.08 FORTPORTAL-KYENJOJO 2-24h'!E84,'03.08 FORTPORTAL-KYENJOJO-24h'!E84)</f>
        <v>0.5</v>
      </c>
      <c r="F84" s="49">
        <f>AVERAGE('01.08 FORTPORTAL-KYENJOJO 2-24h'!F84,'03.08 FORTPORTAL-KYENJOJO-24h'!F84)</f>
        <v>0.5</v>
      </c>
      <c r="G84" s="49">
        <f>AVERAGE('01.08 FORTPORTAL-KYENJOJO 2-24h'!G84,'03.08 FORTPORTAL-KYENJOJO-24h'!G84)</f>
        <v>0</v>
      </c>
      <c r="H84" s="49">
        <f>AVERAGE('01.08 FORTPORTAL-KYENJOJO 2-24h'!H84,'03.08 FORTPORTAL-KYENJOJO-24h'!H84)</f>
        <v>0</v>
      </c>
      <c r="I84" s="49">
        <f>AVERAGE('01.08 FORTPORTAL-KYENJOJO 2-24h'!I84,'03.08 FORTPORTAL-KYENJOJO-24h'!I84)</f>
        <v>1</v>
      </c>
      <c r="J84" s="49">
        <f>AVERAGE('01.08 FORTPORTAL-KYENJOJO 2-24h'!J84,'03.08 FORTPORTAL-KYENJOJO-24h'!J84)</f>
        <v>0</v>
      </c>
      <c r="K84" s="49">
        <f>AVERAGE('01.08 FORTPORTAL-KYENJOJO 2-24h'!K84,'03.08 FORTPORTAL-KYENJOJO-24h'!K84)</f>
        <v>0.5</v>
      </c>
      <c r="L84" s="49">
        <f>AVERAGE('01.08 FORTPORTAL-KYENJOJO 2-24h'!L84,'03.08 FORTPORTAL-KYENJOJO-24h'!L84)</f>
        <v>0.5</v>
      </c>
      <c r="M84" s="49">
        <f>AVERAGE('01.08 FORTPORTAL-KYENJOJO 2-24h'!M84,'03.08 FORTPORTAL-KYENJOJO-24h'!M84)</f>
        <v>0</v>
      </c>
      <c r="N84" s="49">
        <f>AVERAGE('01.08 FORTPORTAL-KYENJOJO 2-24h'!N84,'03.08 FORTPORTAL-KYENJOJO-24h'!N84)</f>
        <v>0</v>
      </c>
      <c r="O84" s="15">
        <f t="shared" si="35"/>
        <v>3</v>
      </c>
      <c r="P84" s="15">
        <f t="shared" si="36"/>
        <v>3</v>
      </c>
      <c r="R84" s="8"/>
      <c r="T84"/>
    </row>
    <row r="85" spans="2:20" ht="23.1" customHeight="1" x14ac:dyDescent="0.25">
      <c r="B85" s="23" t="s">
        <v>125</v>
      </c>
      <c r="C85" s="49">
        <f>AVERAGE('01.08 FORTPORTAL-KYENJOJO 2-24h'!C85,'03.08 FORTPORTAL-KYENJOJO-24h'!C85)</f>
        <v>0</v>
      </c>
      <c r="D85" s="49">
        <f>AVERAGE('01.08 FORTPORTAL-KYENJOJO 2-24h'!D85,'03.08 FORTPORTAL-KYENJOJO-24h'!D85)</f>
        <v>0</v>
      </c>
      <c r="E85" s="49">
        <f>AVERAGE('01.08 FORTPORTAL-KYENJOJO 2-24h'!E85,'03.08 FORTPORTAL-KYENJOJO-24h'!E85)</f>
        <v>1</v>
      </c>
      <c r="F85" s="49">
        <f>AVERAGE('01.08 FORTPORTAL-KYENJOJO 2-24h'!F85,'03.08 FORTPORTAL-KYENJOJO-24h'!F85)</f>
        <v>0</v>
      </c>
      <c r="G85" s="49">
        <f>AVERAGE('01.08 FORTPORTAL-KYENJOJO 2-24h'!G85,'03.08 FORTPORTAL-KYENJOJO-24h'!G85)</f>
        <v>0</v>
      </c>
      <c r="H85" s="49">
        <f>AVERAGE('01.08 FORTPORTAL-KYENJOJO 2-24h'!H85,'03.08 FORTPORTAL-KYENJOJO-24h'!H85)</f>
        <v>0</v>
      </c>
      <c r="I85" s="49">
        <f>AVERAGE('01.08 FORTPORTAL-KYENJOJO 2-24h'!I85,'03.08 FORTPORTAL-KYENJOJO-24h'!I85)</f>
        <v>1.5</v>
      </c>
      <c r="J85" s="49">
        <f>AVERAGE('01.08 FORTPORTAL-KYENJOJO 2-24h'!J85,'03.08 FORTPORTAL-KYENJOJO-24h'!J85)</f>
        <v>0</v>
      </c>
      <c r="K85" s="49">
        <f>AVERAGE('01.08 FORTPORTAL-KYENJOJO 2-24h'!K85,'03.08 FORTPORTAL-KYENJOJO-24h'!K85)</f>
        <v>0</v>
      </c>
      <c r="L85" s="49">
        <f>AVERAGE('01.08 FORTPORTAL-KYENJOJO 2-24h'!L85,'03.08 FORTPORTAL-KYENJOJO-24h'!L85)</f>
        <v>1</v>
      </c>
      <c r="M85" s="49">
        <f>AVERAGE('01.08 FORTPORTAL-KYENJOJO 2-24h'!M85,'03.08 FORTPORTAL-KYENJOJO-24h'!M85)</f>
        <v>0</v>
      </c>
      <c r="N85" s="49">
        <f>AVERAGE('01.08 FORTPORTAL-KYENJOJO 2-24h'!N85,'03.08 FORTPORTAL-KYENJOJO-24h'!N85)</f>
        <v>0</v>
      </c>
      <c r="O85" s="15">
        <f t="shared" si="35"/>
        <v>3.5</v>
      </c>
      <c r="P85" s="15">
        <f t="shared" si="36"/>
        <v>3.5</v>
      </c>
      <c r="R85" s="8"/>
      <c r="T85"/>
    </row>
    <row r="86" spans="2:20" ht="23.1" customHeight="1" x14ac:dyDescent="0.25">
      <c r="B86" s="24" t="s">
        <v>126</v>
      </c>
      <c r="C86" s="49">
        <f>AVERAGE('01.08 FORTPORTAL-KYENJOJO 2-24h'!C86,'03.08 FORTPORTAL-KYENJOJO-24h'!C86)</f>
        <v>0</v>
      </c>
      <c r="D86" s="49">
        <f>AVERAGE('01.08 FORTPORTAL-KYENJOJO 2-24h'!D86,'03.08 FORTPORTAL-KYENJOJO-24h'!D86)</f>
        <v>0</v>
      </c>
      <c r="E86" s="49">
        <f>AVERAGE('01.08 FORTPORTAL-KYENJOJO 2-24h'!E86,'03.08 FORTPORTAL-KYENJOJO-24h'!E86)</f>
        <v>1.5</v>
      </c>
      <c r="F86" s="49">
        <f>AVERAGE('01.08 FORTPORTAL-KYENJOJO 2-24h'!F86,'03.08 FORTPORTAL-KYENJOJO-24h'!F86)</f>
        <v>0</v>
      </c>
      <c r="G86" s="49">
        <f>AVERAGE('01.08 FORTPORTAL-KYENJOJO 2-24h'!G86,'03.08 FORTPORTAL-KYENJOJO-24h'!G86)</f>
        <v>0.5</v>
      </c>
      <c r="H86" s="49">
        <f>AVERAGE('01.08 FORTPORTAL-KYENJOJO 2-24h'!H86,'03.08 FORTPORTAL-KYENJOJO-24h'!H86)</f>
        <v>0</v>
      </c>
      <c r="I86" s="49">
        <f>AVERAGE('01.08 FORTPORTAL-KYENJOJO 2-24h'!I86,'03.08 FORTPORTAL-KYENJOJO-24h'!I86)</f>
        <v>2</v>
      </c>
      <c r="J86" s="49">
        <f>AVERAGE('01.08 FORTPORTAL-KYENJOJO 2-24h'!J86,'03.08 FORTPORTAL-KYENJOJO-24h'!J86)</f>
        <v>0</v>
      </c>
      <c r="K86" s="49">
        <f>AVERAGE('01.08 FORTPORTAL-KYENJOJO 2-24h'!K86,'03.08 FORTPORTAL-KYENJOJO-24h'!K86)</f>
        <v>0</v>
      </c>
      <c r="L86" s="49">
        <f>AVERAGE('01.08 FORTPORTAL-KYENJOJO 2-24h'!L86,'03.08 FORTPORTAL-KYENJOJO-24h'!L86)</f>
        <v>0.5</v>
      </c>
      <c r="M86" s="49">
        <f>AVERAGE('01.08 FORTPORTAL-KYENJOJO 2-24h'!M86,'03.08 FORTPORTAL-KYENJOJO-24h'!M86)</f>
        <v>0</v>
      </c>
      <c r="N86" s="49">
        <f>AVERAGE('01.08 FORTPORTAL-KYENJOJO 2-24h'!N86,'03.08 FORTPORTAL-KYENJOJO-24h'!N86)</f>
        <v>0</v>
      </c>
      <c r="O86" s="15">
        <f t="shared" si="35"/>
        <v>4.5</v>
      </c>
      <c r="P86" s="15">
        <f t="shared" si="36"/>
        <v>4.5</v>
      </c>
      <c r="R86" s="8"/>
      <c r="T86"/>
    </row>
    <row r="87" spans="2:20" ht="23.1" customHeight="1" x14ac:dyDescent="0.25">
      <c r="B87" s="23" t="s">
        <v>127</v>
      </c>
      <c r="C87" s="49">
        <f>AVERAGE('01.08 FORTPORTAL-KYENJOJO 2-24h'!C87,'03.08 FORTPORTAL-KYENJOJO-24h'!C87)</f>
        <v>1</v>
      </c>
      <c r="D87" s="49">
        <f>AVERAGE('01.08 FORTPORTAL-KYENJOJO 2-24h'!D87,'03.08 FORTPORTAL-KYENJOJO-24h'!D87)</f>
        <v>0</v>
      </c>
      <c r="E87" s="49">
        <f>AVERAGE('01.08 FORTPORTAL-KYENJOJO 2-24h'!E87,'03.08 FORTPORTAL-KYENJOJO-24h'!E87)</f>
        <v>0.5</v>
      </c>
      <c r="F87" s="49">
        <f>AVERAGE('01.08 FORTPORTAL-KYENJOJO 2-24h'!F87,'03.08 FORTPORTAL-KYENJOJO-24h'!F87)</f>
        <v>0</v>
      </c>
      <c r="G87" s="49">
        <f>AVERAGE('01.08 FORTPORTAL-KYENJOJO 2-24h'!G87,'03.08 FORTPORTAL-KYENJOJO-24h'!G87)</f>
        <v>0</v>
      </c>
      <c r="H87" s="49">
        <f>AVERAGE('01.08 FORTPORTAL-KYENJOJO 2-24h'!H87,'03.08 FORTPORTAL-KYENJOJO-24h'!H87)</f>
        <v>0.5</v>
      </c>
      <c r="I87" s="49">
        <f>AVERAGE('01.08 FORTPORTAL-KYENJOJO 2-24h'!I87,'03.08 FORTPORTAL-KYENJOJO-24h'!I87)</f>
        <v>2</v>
      </c>
      <c r="J87" s="49">
        <f>AVERAGE('01.08 FORTPORTAL-KYENJOJO 2-24h'!J87,'03.08 FORTPORTAL-KYENJOJO-24h'!J87)</f>
        <v>0</v>
      </c>
      <c r="K87" s="49">
        <f>AVERAGE('01.08 FORTPORTAL-KYENJOJO 2-24h'!K87,'03.08 FORTPORTAL-KYENJOJO-24h'!K87)</f>
        <v>0</v>
      </c>
      <c r="L87" s="49">
        <f>AVERAGE('01.08 FORTPORTAL-KYENJOJO 2-24h'!L87,'03.08 FORTPORTAL-KYENJOJO-24h'!L87)</f>
        <v>0.5</v>
      </c>
      <c r="M87" s="49">
        <f>AVERAGE('01.08 FORTPORTAL-KYENJOJO 2-24h'!M87,'03.08 FORTPORTAL-KYENJOJO-24h'!M87)</f>
        <v>0</v>
      </c>
      <c r="N87" s="49">
        <f>AVERAGE('01.08 FORTPORTAL-KYENJOJO 2-24h'!N87,'03.08 FORTPORTAL-KYENJOJO-24h'!N87)</f>
        <v>0</v>
      </c>
      <c r="O87" s="15">
        <f t="shared" si="35"/>
        <v>4.5</v>
      </c>
      <c r="P87" s="15">
        <f t="shared" si="36"/>
        <v>4.5</v>
      </c>
      <c r="R87" s="8"/>
      <c r="T87"/>
    </row>
    <row r="88" spans="2:20" ht="23.1" customHeight="1" x14ac:dyDescent="0.25">
      <c r="B88" s="25" t="s">
        <v>128</v>
      </c>
      <c r="C88" s="49">
        <f>AVERAGE('01.08 FORTPORTAL-KYENJOJO 2-24h'!C88,'03.08 FORTPORTAL-KYENJOJO-24h'!C88)</f>
        <v>0</v>
      </c>
      <c r="D88" s="49">
        <f>AVERAGE('01.08 FORTPORTAL-KYENJOJO 2-24h'!D88,'03.08 FORTPORTAL-KYENJOJO-24h'!D88)</f>
        <v>0</v>
      </c>
      <c r="E88" s="49">
        <f>AVERAGE('01.08 FORTPORTAL-KYENJOJO 2-24h'!E88,'03.08 FORTPORTAL-KYENJOJO-24h'!E88)</f>
        <v>0</v>
      </c>
      <c r="F88" s="49">
        <f>AVERAGE('01.08 FORTPORTAL-KYENJOJO 2-24h'!F88,'03.08 FORTPORTAL-KYENJOJO-24h'!F88)</f>
        <v>0.5</v>
      </c>
      <c r="G88" s="49">
        <f>AVERAGE('01.08 FORTPORTAL-KYENJOJO 2-24h'!G88,'03.08 FORTPORTAL-KYENJOJO-24h'!G88)</f>
        <v>0</v>
      </c>
      <c r="H88" s="49">
        <f>AVERAGE('01.08 FORTPORTAL-KYENJOJO 2-24h'!H88,'03.08 FORTPORTAL-KYENJOJO-24h'!H88)</f>
        <v>0</v>
      </c>
      <c r="I88" s="49">
        <f>AVERAGE('01.08 FORTPORTAL-KYENJOJO 2-24h'!I88,'03.08 FORTPORTAL-KYENJOJO-24h'!I88)</f>
        <v>0.5</v>
      </c>
      <c r="J88" s="49">
        <f>AVERAGE('01.08 FORTPORTAL-KYENJOJO 2-24h'!J88,'03.08 FORTPORTAL-KYENJOJO-24h'!J88)</f>
        <v>0</v>
      </c>
      <c r="K88" s="49">
        <f>AVERAGE('01.08 FORTPORTAL-KYENJOJO 2-24h'!K88,'03.08 FORTPORTAL-KYENJOJO-24h'!K88)</f>
        <v>0</v>
      </c>
      <c r="L88" s="49">
        <f>AVERAGE('01.08 FORTPORTAL-KYENJOJO 2-24h'!L88,'03.08 FORTPORTAL-KYENJOJO-24h'!L88)</f>
        <v>0.5</v>
      </c>
      <c r="M88" s="49">
        <f>AVERAGE('01.08 FORTPORTAL-KYENJOJO 2-24h'!M88,'03.08 FORTPORTAL-KYENJOJO-24h'!M88)</f>
        <v>0</v>
      </c>
      <c r="N88" s="49">
        <f>AVERAGE('01.08 FORTPORTAL-KYENJOJO 2-24h'!N88,'03.08 FORTPORTAL-KYENJOJO-24h'!N88)</f>
        <v>0</v>
      </c>
      <c r="O88" s="15">
        <f t="shared" si="35"/>
        <v>1.5</v>
      </c>
      <c r="P88" s="15">
        <f t="shared" si="36"/>
        <v>1.5</v>
      </c>
      <c r="R88" s="8"/>
      <c r="T88"/>
    </row>
    <row r="89" spans="2:20" ht="23.1" customHeight="1" x14ac:dyDescent="0.25">
      <c r="B89" s="23" t="s">
        <v>129</v>
      </c>
      <c r="C89" s="49">
        <f>AVERAGE('01.08 FORTPORTAL-KYENJOJO 2-24h'!C89,'03.08 FORTPORTAL-KYENJOJO-24h'!C89)</f>
        <v>0.5</v>
      </c>
      <c r="D89" s="49">
        <f>AVERAGE('01.08 FORTPORTAL-KYENJOJO 2-24h'!D89,'03.08 FORTPORTAL-KYENJOJO-24h'!D89)</f>
        <v>0</v>
      </c>
      <c r="E89" s="49">
        <f>AVERAGE('01.08 FORTPORTAL-KYENJOJO 2-24h'!E89,'03.08 FORTPORTAL-KYENJOJO-24h'!E89)</f>
        <v>0</v>
      </c>
      <c r="F89" s="49">
        <f>AVERAGE('01.08 FORTPORTAL-KYENJOJO 2-24h'!F89,'03.08 FORTPORTAL-KYENJOJO-24h'!F89)</f>
        <v>0</v>
      </c>
      <c r="G89" s="49">
        <f>AVERAGE('01.08 FORTPORTAL-KYENJOJO 2-24h'!G89,'03.08 FORTPORTAL-KYENJOJO-24h'!G89)</f>
        <v>0</v>
      </c>
      <c r="H89" s="49">
        <f>AVERAGE('01.08 FORTPORTAL-KYENJOJO 2-24h'!H89,'03.08 FORTPORTAL-KYENJOJO-24h'!H89)</f>
        <v>0</v>
      </c>
      <c r="I89" s="49">
        <f>AVERAGE('01.08 FORTPORTAL-KYENJOJO 2-24h'!I89,'03.08 FORTPORTAL-KYENJOJO-24h'!I89)</f>
        <v>1</v>
      </c>
      <c r="J89" s="49">
        <f>AVERAGE('01.08 FORTPORTAL-KYENJOJO 2-24h'!J89,'03.08 FORTPORTAL-KYENJOJO-24h'!J89)</f>
        <v>0</v>
      </c>
      <c r="K89" s="49">
        <f>AVERAGE('01.08 FORTPORTAL-KYENJOJO 2-24h'!K89,'03.08 FORTPORTAL-KYENJOJO-24h'!K89)</f>
        <v>0</v>
      </c>
      <c r="L89" s="49">
        <f>AVERAGE('01.08 FORTPORTAL-KYENJOJO 2-24h'!L89,'03.08 FORTPORTAL-KYENJOJO-24h'!L89)</f>
        <v>0</v>
      </c>
      <c r="M89" s="49">
        <f>AVERAGE('01.08 FORTPORTAL-KYENJOJO 2-24h'!M89,'03.08 FORTPORTAL-KYENJOJO-24h'!M89)</f>
        <v>0</v>
      </c>
      <c r="N89" s="49">
        <f>AVERAGE('01.08 FORTPORTAL-KYENJOJO 2-24h'!N89,'03.08 FORTPORTAL-KYENJOJO-24h'!N89)</f>
        <v>0</v>
      </c>
      <c r="O89" s="15">
        <f t="shared" si="35"/>
        <v>1.5</v>
      </c>
      <c r="P89" s="15">
        <f t="shared" si="36"/>
        <v>1.5</v>
      </c>
      <c r="R89" s="8"/>
      <c r="T89"/>
    </row>
    <row r="90" spans="2:20" ht="23.1" customHeight="1" x14ac:dyDescent="0.25">
      <c r="B90" s="24" t="s">
        <v>130</v>
      </c>
      <c r="C90" s="49">
        <f>AVERAGE('01.08 FORTPORTAL-KYENJOJO 2-24h'!C90,'03.08 FORTPORTAL-KYENJOJO-24h'!C90)</f>
        <v>0</v>
      </c>
      <c r="D90" s="49">
        <f>AVERAGE('01.08 FORTPORTAL-KYENJOJO 2-24h'!D90,'03.08 FORTPORTAL-KYENJOJO-24h'!D90)</f>
        <v>0</v>
      </c>
      <c r="E90" s="49">
        <f>AVERAGE('01.08 FORTPORTAL-KYENJOJO 2-24h'!E90,'03.08 FORTPORTAL-KYENJOJO-24h'!E90)</f>
        <v>0</v>
      </c>
      <c r="F90" s="49">
        <f>AVERAGE('01.08 FORTPORTAL-KYENJOJO 2-24h'!F90,'03.08 FORTPORTAL-KYENJOJO-24h'!F90)</f>
        <v>0</v>
      </c>
      <c r="G90" s="49">
        <f>AVERAGE('01.08 FORTPORTAL-KYENJOJO 2-24h'!G90,'03.08 FORTPORTAL-KYENJOJO-24h'!G90)</f>
        <v>0</v>
      </c>
      <c r="H90" s="49">
        <f>AVERAGE('01.08 FORTPORTAL-KYENJOJO 2-24h'!H90,'03.08 FORTPORTAL-KYENJOJO-24h'!H90)</f>
        <v>0</v>
      </c>
      <c r="I90" s="49">
        <f>AVERAGE('01.08 FORTPORTAL-KYENJOJO 2-24h'!I90,'03.08 FORTPORTAL-KYENJOJO-24h'!I90)</f>
        <v>0</v>
      </c>
      <c r="J90" s="49">
        <f>AVERAGE('01.08 FORTPORTAL-KYENJOJO 2-24h'!J90,'03.08 FORTPORTAL-KYENJOJO-24h'!J90)</f>
        <v>0</v>
      </c>
      <c r="K90" s="49">
        <f>AVERAGE('01.08 FORTPORTAL-KYENJOJO 2-24h'!K90,'03.08 FORTPORTAL-KYENJOJO-24h'!K90)</f>
        <v>0</v>
      </c>
      <c r="L90" s="49">
        <f>AVERAGE('01.08 FORTPORTAL-KYENJOJO 2-24h'!L90,'03.08 FORTPORTAL-KYENJOJO-24h'!L90)</f>
        <v>0</v>
      </c>
      <c r="M90" s="49">
        <f>AVERAGE('01.08 FORTPORTAL-KYENJOJO 2-24h'!M90,'03.08 FORTPORTAL-KYENJOJO-24h'!M90)</f>
        <v>0</v>
      </c>
      <c r="N90" s="49">
        <f>AVERAGE('01.08 FORTPORTAL-KYENJOJO 2-24h'!N90,'03.08 FORTPORTAL-KYENJOJO-24h'!N90)</f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23" t="s">
        <v>131</v>
      </c>
      <c r="C91" s="49">
        <f>AVERAGE('01.08 FORTPORTAL-KYENJOJO 2-24h'!C91,'03.08 FORTPORTAL-KYENJOJO-24h'!C91)</f>
        <v>0</v>
      </c>
      <c r="D91" s="49">
        <f>AVERAGE('01.08 FORTPORTAL-KYENJOJO 2-24h'!D91,'03.08 FORTPORTAL-KYENJOJO-24h'!D91)</f>
        <v>0</v>
      </c>
      <c r="E91" s="49">
        <f>AVERAGE('01.08 FORTPORTAL-KYENJOJO 2-24h'!E91,'03.08 FORTPORTAL-KYENJOJO-24h'!E91)</f>
        <v>0</v>
      </c>
      <c r="F91" s="49">
        <f>AVERAGE('01.08 FORTPORTAL-KYENJOJO 2-24h'!F91,'03.08 FORTPORTAL-KYENJOJO-24h'!F91)</f>
        <v>0</v>
      </c>
      <c r="G91" s="49">
        <f>AVERAGE('01.08 FORTPORTAL-KYENJOJO 2-24h'!G91,'03.08 FORTPORTAL-KYENJOJO-24h'!G91)</f>
        <v>0</v>
      </c>
      <c r="H91" s="49">
        <f>AVERAGE('01.08 FORTPORTAL-KYENJOJO 2-24h'!H91,'03.08 FORTPORTAL-KYENJOJO-24h'!H91)</f>
        <v>0</v>
      </c>
      <c r="I91" s="49">
        <f>AVERAGE('01.08 FORTPORTAL-KYENJOJO 2-24h'!I91,'03.08 FORTPORTAL-KYENJOJO-24h'!I91)</f>
        <v>0</v>
      </c>
      <c r="J91" s="49">
        <f>AVERAGE('01.08 FORTPORTAL-KYENJOJO 2-24h'!J91,'03.08 FORTPORTAL-KYENJOJO-24h'!J91)</f>
        <v>0</v>
      </c>
      <c r="K91" s="49">
        <f>AVERAGE('01.08 FORTPORTAL-KYENJOJO 2-24h'!K91,'03.08 FORTPORTAL-KYENJOJO-24h'!K91)</f>
        <v>0</v>
      </c>
      <c r="L91" s="49">
        <f>AVERAGE('01.08 FORTPORTAL-KYENJOJO 2-24h'!L91,'03.08 FORTPORTAL-KYENJOJO-24h'!L91)</f>
        <v>1</v>
      </c>
      <c r="M91" s="49">
        <f>AVERAGE('01.08 FORTPORTAL-KYENJOJO 2-24h'!M91,'03.08 FORTPORTAL-KYENJOJO-24h'!M91)</f>
        <v>0</v>
      </c>
      <c r="N91" s="49">
        <f>AVERAGE('01.08 FORTPORTAL-KYENJOJO 2-24h'!N91,'03.08 FORTPORTAL-KYENJOJO-24h'!N91)</f>
        <v>0</v>
      </c>
      <c r="O91" s="15">
        <f t="shared" si="35"/>
        <v>1</v>
      </c>
      <c r="P91" s="15">
        <f t="shared" si="36"/>
        <v>1</v>
      </c>
      <c r="R91" s="8"/>
      <c r="T91"/>
    </row>
    <row r="92" spans="2:20" ht="23.1" customHeight="1" x14ac:dyDescent="0.25">
      <c r="B92" s="25" t="s">
        <v>132</v>
      </c>
      <c r="C92" s="49">
        <f>AVERAGE('01.08 FORTPORTAL-KYENJOJO 2-24h'!C92,'03.08 FORTPORTAL-KYENJOJO-24h'!C92)</f>
        <v>0</v>
      </c>
      <c r="D92" s="49">
        <f>AVERAGE('01.08 FORTPORTAL-KYENJOJO 2-24h'!D92,'03.08 FORTPORTAL-KYENJOJO-24h'!D92)</f>
        <v>0</v>
      </c>
      <c r="E92" s="49">
        <f>AVERAGE('01.08 FORTPORTAL-KYENJOJO 2-24h'!E92,'03.08 FORTPORTAL-KYENJOJO-24h'!E92)</f>
        <v>0</v>
      </c>
      <c r="F92" s="49">
        <f>AVERAGE('01.08 FORTPORTAL-KYENJOJO 2-24h'!F92,'03.08 FORTPORTAL-KYENJOJO-24h'!F92)</f>
        <v>0</v>
      </c>
      <c r="G92" s="49">
        <f>AVERAGE('01.08 FORTPORTAL-KYENJOJO 2-24h'!G92,'03.08 FORTPORTAL-KYENJOJO-24h'!G92)</f>
        <v>0</v>
      </c>
      <c r="H92" s="49">
        <f>AVERAGE('01.08 FORTPORTAL-KYENJOJO 2-24h'!H92,'03.08 FORTPORTAL-KYENJOJO-24h'!H92)</f>
        <v>0</v>
      </c>
      <c r="I92" s="49">
        <f>AVERAGE('01.08 FORTPORTAL-KYENJOJO 2-24h'!I92,'03.08 FORTPORTAL-KYENJOJO-24h'!I92)</f>
        <v>0</v>
      </c>
      <c r="J92" s="49">
        <f>AVERAGE('01.08 FORTPORTAL-KYENJOJO 2-24h'!J92,'03.08 FORTPORTAL-KYENJOJO-24h'!J92)</f>
        <v>0</v>
      </c>
      <c r="K92" s="49">
        <f>AVERAGE('01.08 FORTPORTAL-KYENJOJO 2-24h'!K92,'03.08 FORTPORTAL-KYENJOJO-24h'!K92)</f>
        <v>0</v>
      </c>
      <c r="L92" s="49">
        <f>AVERAGE('01.08 FORTPORTAL-KYENJOJO 2-24h'!L92,'03.08 FORTPORTAL-KYENJOJO-24h'!L92)</f>
        <v>0</v>
      </c>
      <c r="M92" s="49">
        <f>AVERAGE('01.08 FORTPORTAL-KYENJOJO 2-24h'!M92,'03.08 FORTPORTAL-KYENJOJO-24h'!M92)</f>
        <v>0</v>
      </c>
      <c r="N92" s="49">
        <f>AVERAGE('01.08 FORTPORTAL-KYENJOJO 2-24h'!N92,'03.08 FORTPORTAL-KYENJOJO-24h'!N92)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AVERAGE('01.08 FORTPORTAL-KYENJOJO 2-24h'!C93,'03.08 FORTPORTAL-KYENJOJO-24h'!C93)</f>
        <v>0</v>
      </c>
      <c r="D93" s="49">
        <f>AVERAGE('01.08 FORTPORTAL-KYENJOJO 2-24h'!D93,'03.08 FORTPORTAL-KYENJOJO-24h'!D93)</f>
        <v>0</v>
      </c>
      <c r="E93" s="49">
        <f>AVERAGE('01.08 FORTPORTAL-KYENJOJO 2-24h'!E93,'03.08 FORTPORTAL-KYENJOJO-24h'!E93)</f>
        <v>0</v>
      </c>
      <c r="F93" s="49">
        <f>AVERAGE('01.08 FORTPORTAL-KYENJOJO 2-24h'!F93,'03.08 FORTPORTAL-KYENJOJO-24h'!F93)</f>
        <v>0</v>
      </c>
      <c r="G93" s="49">
        <f>AVERAGE('01.08 FORTPORTAL-KYENJOJO 2-24h'!G93,'03.08 FORTPORTAL-KYENJOJO-24h'!G93)</f>
        <v>0</v>
      </c>
      <c r="H93" s="49">
        <f>AVERAGE('01.08 FORTPORTAL-KYENJOJO 2-24h'!H93,'03.08 FORTPORTAL-KYENJOJO-24h'!H93)</f>
        <v>0</v>
      </c>
      <c r="I93" s="49">
        <f>AVERAGE('01.08 FORTPORTAL-KYENJOJO 2-24h'!I93,'03.08 FORTPORTAL-KYENJOJO-24h'!I93)</f>
        <v>0.5</v>
      </c>
      <c r="J93" s="49">
        <f>AVERAGE('01.08 FORTPORTAL-KYENJOJO 2-24h'!J93,'03.08 FORTPORTAL-KYENJOJO-24h'!J93)</f>
        <v>0</v>
      </c>
      <c r="K93" s="49">
        <f>AVERAGE('01.08 FORTPORTAL-KYENJOJO 2-24h'!K93,'03.08 FORTPORTAL-KYENJOJO-24h'!K93)</f>
        <v>0</v>
      </c>
      <c r="L93" s="49">
        <f>AVERAGE('01.08 FORTPORTAL-KYENJOJO 2-24h'!L93,'03.08 FORTPORTAL-KYENJOJO-24h'!L93)</f>
        <v>1</v>
      </c>
      <c r="M93" s="49">
        <f>AVERAGE('01.08 FORTPORTAL-KYENJOJO 2-24h'!M93,'03.08 FORTPORTAL-KYENJOJO-24h'!M93)</f>
        <v>0</v>
      </c>
      <c r="N93" s="49">
        <f>AVERAGE('01.08 FORTPORTAL-KYENJOJO 2-24h'!N93,'03.08 FORTPORTAL-KYENJOJO-24h'!N93)</f>
        <v>0</v>
      </c>
      <c r="O93" s="15">
        <f t="shared" si="35"/>
        <v>1.5</v>
      </c>
      <c r="P93" s="15">
        <f t="shared" si="36"/>
        <v>1.5</v>
      </c>
      <c r="R93" s="8"/>
      <c r="T93"/>
    </row>
    <row r="94" spans="2:20" ht="23.1" customHeight="1" x14ac:dyDescent="0.25">
      <c r="B94" s="24" t="s">
        <v>134</v>
      </c>
      <c r="C94" s="49">
        <f>AVERAGE('01.08 FORTPORTAL-KYENJOJO 2-24h'!C94,'03.08 FORTPORTAL-KYENJOJO-24h'!C94)</f>
        <v>0</v>
      </c>
      <c r="D94" s="49">
        <f>AVERAGE('01.08 FORTPORTAL-KYENJOJO 2-24h'!D94,'03.08 FORTPORTAL-KYENJOJO-24h'!D94)</f>
        <v>0</v>
      </c>
      <c r="E94" s="49">
        <f>AVERAGE('01.08 FORTPORTAL-KYENJOJO 2-24h'!E94,'03.08 FORTPORTAL-KYENJOJO-24h'!E94)</f>
        <v>0</v>
      </c>
      <c r="F94" s="49">
        <f>AVERAGE('01.08 FORTPORTAL-KYENJOJO 2-24h'!F94,'03.08 FORTPORTAL-KYENJOJO-24h'!F94)</f>
        <v>0</v>
      </c>
      <c r="G94" s="49">
        <f>AVERAGE('01.08 FORTPORTAL-KYENJOJO 2-24h'!G94,'03.08 FORTPORTAL-KYENJOJO-24h'!G94)</f>
        <v>0</v>
      </c>
      <c r="H94" s="49">
        <f>AVERAGE('01.08 FORTPORTAL-KYENJOJO 2-24h'!H94,'03.08 FORTPORTAL-KYENJOJO-24h'!H94)</f>
        <v>0</v>
      </c>
      <c r="I94" s="49">
        <f>AVERAGE('01.08 FORTPORTAL-KYENJOJO 2-24h'!I94,'03.08 FORTPORTAL-KYENJOJO-24h'!I94)</f>
        <v>0.5</v>
      </c>
      <c r="J94" s="49">
        <f>AVERAGE('01.08 FORTPORTAL-KYENJOJO 2-24h'!J94,'03.08 FORTPORTAL-KYENJOJO-24h'!J94)</f>
        <v>0</v>
      </c>
      <c r="K94" s="49">
        <f>AVERAGE('01.08 FORTPORTAL-KYENJOJO 2-24h'!K94,'03.08 FORTPORTAL-KYENJOJO-24h'!K94)</f>
        <v>0</v>
      </c>
      <c r="L94" s="49">
        <f>AVERAGE('01.08 FORTPORTAL-KYENJOJO 2-24h'!L94,'03.08 FORTPORTAL-KYENJOJO-24h'!L94)</f>
        <v>0</v>
      </c>
      <c r="M94" s="49">
        <f>AVERAGE('01.08 FORTPORTAL-KYENJOJO 2-24h'!M94,'03.08 FORTPORTAL-KYENJOJO-24h'!M94)</f>
        <v>0</v>
      </c>
      <c r="N94" s="49">
        <f>AVERAGE('01.08 FORTPORTAL-KYENJOJO 2-24h'!N94,'03.08 FORTPORTAL-KYENJOJO-24h'!N94)</f>
        <v>0</v>
      </c>
      <c r="O94" s="15">
        <f t="shared" si="35"/>
        <v>0.5</v>
      </c>
      <c r="P94" s="15">
        <f t="shared" si="36"/>
        <v>0.5</v>
      </c>
      <c r="R94" s="8"/>
      <c r="T94"/>
    </row>
    <row r="95" spans="2:20" ht="23.1" customHeight="1" x14ac:dyDescent="0.25">
      <c r="B95" s="23" t="s">
        <v>135</v>
      </c>
      <c r="C95" s="49">
        <f>AVERAGE('01.08 FORTPORTAL-KYENJOJO 2-24h'!C95,'03.08 FORTPORTAL-KYENJOJO-24h'!C95)</f>
        <v>0.5</v>
      </c>
      <c r="D95" s="49">
        <f>AVERAGE('01.08 FORTPORTAL-KYENJOJO 2-24h'!D95,'03.08 FORTPORTAL-KYENJOJO-24h'!D95)</f>
        <v>0</v>
      </c>
      <c r="E95" s="49">
        <f>AVERAGE('01.08 FORTPORTAL-KYENJOJO 2-24h'!E95,'03.08 FORTPORTAL-KYENJOJO-24h'!E95)</f>
        <v>0</v>
      </c>
      <c r="F95" s="49">
        <f>AVERAGE('01.08 FORTPORTAL-KYENJOJO 2-24h'!F95,'03.08 FORTPORTAL-KYENJOJO-24h'!F95)</f>
        <v>1</v>
      </c>
      <c r="G95" s="49">
        <f>AVERAGE('01.08 FORTPORTAL-KYENJOJO 2-24h'!G95,'03.08 FORTPORTAL-KYENJOJO-24h'!G95)</f>
        <v>0</v>
      </c>
      <c r="H95" s="49">
        <f>AVERAGE('01.08 FORTPORTAL-KYENJOJO 2-24h'!H95,'03.08 FORTPORTAL-KYENJOJO-24h'!H95)</f>
        <v>0</v>
      </c>
      <c r="I95" s="49">
        <f>AVERAGE('01.08 FORTPORTAL-KYENJOJO 2-24h'!I95,'03.08 FORTPORTAL-KYENJOJO-24h'!I95)</f>
        <v>1.5</v>
      </c>
      <c r="J95" s="49">
        <f>AVERAGE('01.08 FORTPORTAL-KYENJOJO 2-24h'!J95,'03.08 FORTPORTAL-KYENJOJO-24h'!J95)</f>
        <v>0</v>
      </c>
      <c r="K95" s="49">
        <f>AVERAGE('01.08 FORTPORTAL-KYENJOJO 2-24h'!K95,'03.08 FORTPORTAL-KYENJOJO-24h'!K95)</f>
        <v>0</v>
      </c>
      <c r="L95" s="49">
        <f>AVERAGE('01.08 FORTPORTAL-KYENJOJO 2-24h'!L95,'03.08 FORTPORTAL-KYENJOJO-24h'!L95)</f>
        <v>0</v>
      </c>
      <c r="M95" s="49">
        <f>AVERAGE('01.08 FORTPORTAL-KYENJOJO 2-24h'!M95,'03.08 FORTPORTAL-KYENJOJO-24h'!M95)</f>
        <v>0.5</v>
      </c>
      <c r="N95" s="49">
        <f>AVERAGE('01.08 FORTPORTAL-KYENJOJO 2-24h'!N95,'03.08 FORTPORTAL-KYENJOJO-24h'!N95)</f>
        <v>0</v>
      </c>
      <c r="O95" s="15">
        <f t="shared" si="35"/>
        <v>3</v>
      </c>
      <c r="P95" s="15">
        <f t="shared" si="36"/>
        <v>3.5</v>
      </c>
      <c r="R95" s="8"/>
      <c r="T95"/>
    </row>
    <row r="96" spans="2:20" ht="23.1" customHeight="1" x14ac:dyDescent="0.25">
      <c r="B96" s="25" t="s">
        <v>136</v>
      </c>
      <c r="C96" s="49">
        <f>AVERAGE('01.08 FORTPORTAL-KYENJOJO 2-24h'!C96,'03.08 FORTPORTAL-KYENJOJO-24h'!C96)</f>
        <v>0</v>
      </c>
      <c r="D96" s="49">
        <f>AVERAGE('01.08 FORTPORTAL-KYENJOJO 2-24h'!D96,'03.08 FORTPORTAL-KYENJOJO-24h'!D96)</f>
        <v>0</v>
      </c>
      <c r="E96" s="49">
        <f>AVERAGE('01.08 FORTPORTAL-KYENJOJO 2-24h'!E96,'03.08 FORTPORTAL-KYENJOJO-24h'!E96)</f>
        <v>0</v>
      </c>
      <c r="F96" s="49">
        <f>AVERAGE('01.08 FORTPORTAL-KYENJOJO 2-24h'!F96,'03.08 FORTPORTAL-KYENJOJO-24h'!F96)</f>
        <v>0.5</v>
      </c>
      <c r="G96" s="49">
        <f>AVERAGE('01.08 FORTPORTAL-KYENJOJO 2-24h'!G96,'03.08 FORTPORTAL-KYENJOJO-24h'!G96)</f>
        <v>0</v>
      </c>
      <c r="H96" s="49">
        <f>AVERAGE('01.08 FORTPORTAL-KYENJOJO 2-24h'!H96,'03.08 FORTPORTAL-KYENJOJO-24h'!H96)</f>
        <v>0</v>
      </c>
      <c r="I96" s="49">
        <f>AVERAGE('01.08 FORTPORTAL-KYENJOJO 2-24h'!I96,'03.08 FORTPORTAL-KYENJOJO-24h'!I96)</f>
        <v>1.5</v>
      </c>
      <c r="J96" s="49">
        <f>AVERAGE('01.08 FORTPORTAL-KYENJOJO 2-24h'!J96,'03.08 FORTPORTAL-KYENJOJO-24h'!J96)</f>
        <v>0</v>
      </c>
      <c r="K96" s="49">
        <f>AVERAGE('01.08 FORTPORTAL-KYENJOJO 2-24h'!K96,'03.08 FORTPORTAL-KYENJOJO-24h'!K96)</f>
        <v>0</v>
      </c>
      <c r="L96" s="49">
        <f>AVERAGE('01.08 FORTPORTAL-KYENJOJO 2-24h'!L96,'03.08 FORTPORTAL-KYENJOJO-24h'!L96)</f>
        <v>0</v>
      </c>
      <c r="M96" s="49">
        <f>AVERAGE('01.08 FORTPORTAL-KYENJOJO 2-24h'!M96,'03.08 FORTPORTAL-KYENJOJO-24h'!M96)</f>
        <v>0</v>
      </c>
      <c r="N96" s="49">
        <f>AVERAGE('01.08 FORTPORTAL-KYENJOJO 2-24h'!N96,'03.08 FORTPORTAL-KYENJOJO-24h'!N96)</f>
        <v>0</v>
      </c>
      <c r="O96" s="15">
        <f t="shared" si="35"/>
        <v>2</v>
      </c>
      <c r="P96" s="15">
        <f t="shared" si="36"/>
        <v>2</v>
      </c>
      <c r="R96" s="8"/>
      <c r="T96"/>
    </row>
    <row r="97" spans="2:20" ht="23.1" customHeight="1" x14ac:dyDescent="0.25">
      <c r="B97" s="23" t="s">
        <v>137</v>
      </c>
      <c r="C97" s="49">
        <f>AVERAGE('01.08 FORTPORTAL-KYENJOJO 2-24h'!C97,'03.08 FORTPORTAL-KYENJOJO-24h'!C97)</f>
        <v>0</v>
      </c>
      <c r="D97" s="49">
        <f>AVERAGE('01.08 FORTPORTAL-KYENJOJO 2-24h'!D97,'03.08 FORTPORTAL-KYENJOJO-24h'!D97)</f>
        <v>0</v>
      </c>
      <c r="E97" s="49">
        <f>AVERAGE('01.08 FORTPORTAL-KYENJOJO 2-24h'!E97,'03.08 FORTPORTAL-KYENJOJO-24h'!E97)</f>
        <v>0</v>
      </c>
      <c r="F97" s="49">
        <f>AVERAGE('01.08 FORTPORTAL-KYENJOJO 2-24h'!F97,'03.08 FORTPORTAL-KYENJOJO-24h'!F97)</f>
        <v>0</v>
      </c>
      <c r="G97" s="49">
        <f>AVERAGE('01.08 FORTPORTAL-KYENJOJO 2-24h'!G97,'03.08 FORTPORTAL-KYENJOJO-24h'!G97)</f>
        <v>0</v>
      </c>
      <c r="H97" s="49">
        <f>AVERAGE('01.08 FORTPORTAL-KYENJOJO 2-24h'!H97,'03.08 FORTPORTAL-KYENJOJO-24h'!H97)</f>
        <v>0</v>
      </c>
      <c r="I97" s="49">
        <f>AVERAGE('01.08 FORTPORTAL-KYENJOJO 2-24h'!I97,'03.08 FORTPORTAL-KYENJOJO-24h'!I97)</f>
        <v>1.5</v>
      </c>
      <c r="J97" s="49">
        <f>AVERAGE('01.08 FORTPORTAL-KYENJOJO 2-24h'!J97,'03.08 FORTPORTAL-KYENJOJO-24h'!J97)</f>
        <v>0</v>
      </c>
      <c r="K97" s="49">
        <f>AVERAGE('01.08 FORTPORTAL-KYENJOJO 2-24h'!K97,'03.08 FORTPORTAL-KYENJOJO-24h'!K97)</f>
        <v>0</v>
      </c>
      <c r="L97" s="49">
        <f>AVERAGE('01.08 FORTPORTAL-KYENJOJO 2-24h'!L97,'03.08 FORTPORTAL-KYENJOJO-24h'!L97)</f>
        <v>0</v>
      </c>
      <c r="M97" s="49">
        <f>AVERAGE('01.08 FORTPORTAL-KYENJOJO 2-24h'!M97,'03.08 FORTPORTAL-KYENJOJO-24h'!M97)</f>
        <v>0</v>
      </c>
      <c r="N97" s="49">
        <f>AVERAGE('01.08 FORTPORTAL-KYENJOJO 2-24h'!N97,'03.08 FORTPORTAL-KYENJOJO-24h'!N97)</f>
        <v>0</v>
      </c>
      <c r="O97" s="15">
        <f t="shared" si="35"/>
        <v>1.5</v>
      </c>
      <c r="P97" s="15">
        <f t="shared" si="36"/>
        <v>1.5</v>
      </c>
      <c r="R97" s="8"/>
      <c r="T97"/>
    </row>
    <row r="98" spans="2:20" ht="23.1" customHeight="1" x14ac:dyDescent="0.25">
      <c r="B98" s="24" t="s">
        <v>138</v>
      </c>
      <c r="C98" s="49">
        <f>AVERAGE('01.08 FORTPORTAL-KYENJOJO 2-24h'!C98,'03.08 FORTPORTAL-KYENJOJO-24h'!C98)</f>
        <v>0</v>
      </c>
      <c r="D98" s="49">
        <f>AVERAGE('01.08 FORTPORTAL-KYENJOJO 2-24h'!D98,'03.08 FORTPORTAL-KYENJOJO-24h'!D98)</f>
        <v>0</v>
      </c>
      <c r="E98" s="49">
        <f>AVERAGE('01.08 FORTPORTAL-KYENJOJO 2-24h'!E98,'03.08 FORTPORTAL-KYENJOJO-24h'!E98)</f>
        <v>0.5</v>
      </c>
      <c r="F98" s="49">
        <f>AVERAGE('01.08 FORTPORTAL-KYENJOJO 2-24h'!F98,'03.08 FORTPORTAL-KYENJOJO-24h'!F98)</f>
        <v>0.5</v>
      </c>
      <c r="G98" s="49">
        <f>AVERAGE('01.08 FORTPORTAL-KYENJOJO 2-24h'!G98,'03.08 FORTPORTAL-KYENJOJO-24h'!G98)</f>
        <v>0</v>
      </c>
      <c r="H98" s="49">
        <f>AVERAGE('01.08 FORTPORTAL-KYENJOJO 2-24h'!H98,'03.08 FORTPORTAL-KYENJOJO-24h'!H98)</f>
        <v>0</v>
      </c>
      <c r="I98" s="49">
        <f>AVERAGE('01.08 FORTPORTAL-KYENJOJO 2-24h'!I98,'03.08 FORTPORTAL-KYENJOJO-24h'!I98)</f>
        <v>0.5</v>
      </c>
      <c r="J98" s="49">
        <f>AVERAGE('01.08 FORTPORTAL-KYENJOJO 2-24h'!J98,'03.08 FORTPORTAL-KYENJOJO-24h'!J98)</f>
        <v>0.5</v>
      </c>
      <c r="K98" s="49">
        <f>AVERAGE('01.08 FORTPORTAL-KYENJOJO 2-24h'!K98,'03.08 FORTPORTAL-KYENJOJO-24h'!K98)</f>
        <v>0</v>
      </c>
      <c r="L98" s="49">
        <f>AVERAGE('01.08 FORTPORTAL-KYENJOJO 2-24h'!L98,'03.08 FORTPORTAL-KYENJOJO-24h'!L98)</f>
        <v>1.5</v>
      </c>
      <c r="M98" s="49">
        <f>AVERAGE('01.08 FORTPORTAL-KYENJOJO 2-24h'!M98,'03.08 FORTPORTAL-KYENJOJO-24h'!M98)</f>
        <v>0</v>
      </c>
      <c r="N98" s="49">
        <f>AVERAGE('01.08 FORTPORTAL-KYENJOJO 2-24h'!N98,'03.08 FORTPORTAL-KYENJOJO-24h'!N98)</f>
        <v>0</v>
      </c>
      <c r="O98" s="15">
        <f t="shared" si="35"/>
        <v>3.5</v>
      </c>
      <c r="P98" s="15">
        <f t="shared" si="36"/>
        <v>3.5</v>
      </c>
      <c r="R98" s="8"/>
      <c r="T98"/>
    </row>
    <row r="99" spans="2:20" ht="23.1" customHeight="1" x14ac:dyDescent="0.25">
      <c r="B99" s="23" t="s">
        <v>139</v>
      </c>
      <c r="C99" s="49">
        <f>AVERAGE('01.08 FORTPORTAL-KYENJOJO 2-24h'!C99,'03.08 FORTPORTAL-KYENJOJO-24h'!C99)</f>
        <v>0</v>
      </c>
      <c r="D99" s="49">
        <f>AVERAGE('01.08 FORTPORTAL-KYENJOJO 2-24h'!D99,'03.08 FORTPORTAL-KYENJOJO-24h'!D99)</f>
        <v>0</v>
      </c>
      <c r="E99" s="49">
        <f>AVERAGE('01.08 FORTPORTAL-KYENJOJO 2-24h'!E99,'03.08 FORTPORTAL-KYENJOJO-24h'!E99)</f>
        <v>0</v>
      </c>
      <c r="F99" s="49">
        <f>AVERAGE('01.08 FORTPORTAL-KYENJOJO 2-24h'!F99,'03.08 FORTPORTAL-KYENJOJO-24h'!F99)</f>
        <v>0.5</v>
      </c>
      <c r="G99" s="49">
        <f>AVERAGE('01.08 FORTPORTAL-KYENJOJO 2-24h'!G99,'03.08 FORTPORTAL-KYENJOJO-24h'!G99)</f>
        <v>0</v>
      </c>
      <c r="H99" s="49">
        <f>AVERAGE('01.08 FORTPORTAL-KYENJOJO 2-24h'!H99,'03.08 FORTPORTAL-KYENJOJO-24h'!H99)</f>
        <v>0</v>
      </c>
      <c r="I99" s="49">
        <f>AVERAGE('01.08 FORTPORTAL-KYENJOJO 2-24h'!I99,'03.08 FORTPORTAL-KYENJOJO-24h'!I99)</f>
        <v>0.5</v>
      </c>
      <c r="J99" s="49">
        <f>AVERAGE('01.08 FORTPORTAL-KYENJOJO 2-24h'!J99,'03.08 FORTPORTAL-KYENJOJO-24h'!J99)</f>
        <v>0</v>
      </c>
      <c r="K99" s="49">
        <f>AVERAGE('01.08 FORTPORTAL-KYENJOJO 2-24h'!K99,'03.08 FORTPORTAL-KYENJOJO-24h'!K99)</f>
        <v>0</v>
      </c>
      <c r="L99" s="49">
        <f>AVERAGE('01.08 FORTPORTAL-KYENJOJO 2-24h'!L99,'03.08 FORTPORTAL-KYENJOJO-24h'!L99)</f>
        <v>0</v>
      </c>
      <c r="M99" s="49">
        <f>AVERAGE('01.08 FORTPORTAL-KYENJOJO 2-24h'!M99,'03.08 FORTPORTAL-KYENJOJO-24h'!M99)</f>
        <v>0</v>
      </c>
      <c r="N99" s="49">
        <f>AVERAGE('01.08 FORTPORTAL-KYENJOJO 2-24h'!N99,'03.08 FORTPORTAL-KYENJOJO-24h'!N99)</f>
        <v>0</v>
      </c>
      <c r="O99" s="15">
        <f t="shared" si="35"/>
        <v>1</v>
      </c>
      <c r="P99" s="15">
        <f t="shared" si="36"/>
        <v>1</v>
      </c>
      <c r="R99" s="8"/>
      <c r="T99"/>
    </row>
    <row r="100" spans="2:20" ht="23.1" customHeight="1" x14ac:dyDescent="0.25">
      <c r="B100" s="25" t="s">
        <v>140</v>
      </c>
      <c r="C100" s="49">
        <f>AVERAGE('01.08 FORTPORTAL-KYENJOJO 2-24h'!C100,'03.08 FORTPORTAL-KYENJOJO-24h'!C100)</f>
        <v>0</v>
      </c>
      <c r="D100" s="49">
        <f>AVERAGE('01.08 FORTPORTAL-KYENJOJO 2-24h'!D100,'03.08 FORTPORTAL-KYENJOJO-24h'!D100)</f>
        <v>0</v>
      </c>
      <c r="E100" s="49">
        <f>AVERAGE('01.08 FORTPORTAL-KYENJOJO 2-24h'!E100,'03.08 FORTPORTAL-KYENJOJO-24h'!E100)</f>
        <v>0</v>
      </c>
      <c r="F100" s="49">
        <f>AVERAGE('01.08 FORTPORTAL-KYENJOJO 2-24h'!F100,'03.08 FORTPORTAL-KYENJOJO-24h'!F100)</f>
        <v>0.5</v>
      </c>
      <c r="G100" s="49">
        <f>AVERAGE('01.08 FORTPORTAL-KYENJOJO 2-24h'!G100,'03.08 FORTPORTAL-KYENJOJO-24h'!G100)</f>
        <v>0</v>
      </c>
      <c r="H100" s="49">
        <f>AVERAGE('01.08 FORTPORTAL-KYENJOJO 2-24h'!H100,'03.08 FORTPORTAL-KYENJOJO-24h'!H100)</f>
        <v>0</v>
      </c>
      <c r="I100" s="49">
        <f>AVERAGE('01.08 FORTPORTAL-KYENJOJO 2-24h'!I100,'03.08 FORTPORTAL-KYENJOJO-24h'!I100)</f>
        <v>0</v>
      </c>
      <c r="J100" s="49">
        <f>AVERAGE('01.08 FORTPORTAL-KYENJOJO 2-24h'!J100,'03.08 FORTPORTAL-KYENJOJO-24h'!J100)</f>
        <v>0</v>
      </c>
      <c r="K100" s="49">
        <f>AVERAGE('01.08 FORTPORTAL-KYENJOJO 2-24h'!K100,'03.08 FORTPORTAL-KYENJOJO-24h'!K100)</f>
        <v>0</v>
      </c>
      <c r="L100" s="49">
        <f>AVERAGE('01.08 FORTPORTAL-KYENJOJO 2-24h'!L100,'03.08 FORTPORTAL-KYENJOJO-24h'!L100)</f>
        <v>1</v>
      </c>
      <c r="M100" s="49">
        <f>AVERAGE('01.08 FORTPORTAL-KYENJOJO 2-24h'!M100,'03.08 FORTPORTAL-KYENJOJO-24h'!M100)</f>
        <v>0</v>
      </c>
      <c r="N100" s="49">
        <f>AVERAGE('01.08 FORTPORTAL-KYENJOJO 2-24h'!N100,'03.08 FORTPORTAL-KYENJOJO-24h'!N100)</f>
        <v>0</v>
      </c>
      <c r="O100" s="15">
        <f t="shared" si="35"/>
        <v>1.5</v>
      </c>
      <c r="P100" s="15">
        <f t="shared" si="36"/>
        <v>1.5</v>
      </c>
      <c r="R100" s="8"/>
      <c r="T100"/>
    </row>
    <row r="101" spans="2:20" ht="23.1" customHeight="1" x14ac:dyDescent="0.25">
      <c r="B101" s="23" t="s">
        <v>141</v>
      </c>
      <c r="C101" s="49">
        <f>AVERAGE('01.08 FORTPORTAL-KYENJOJO 2-24h'!C101,'03.08 FORTPORTAL-KYENJOJO-24h'!C101)</f>
        <v>0.5</v>
      </c>
      <c r="D101" s="49">
        <f>AVERAGE('01.08 FORTPORTAL-KYENJOJO 2-24h'!D101,'03.08 FORTPORTAL-KYENJOJO-24h'!D101)</f>
        <v>0</v>
      </c>
      <c r="E101" s="49">
        <f>AVERAGE('01.08 FORTPORTAL-KYENJOJO 2-24h'!E101,'03.08 FORTPORTAL-KYENJOJO-24h'!E101)</f>
        <v>1</v>
      </c>
      <c r="F101" s="49">
        <f>AVERAGE('01.08 FORTPORTAL-KYENJOJO 2-24h'!F101,'03.08 FORTPORTAL-KYENJOJO-24h'!F101)</f>
        <v>0</v>
      </c>
      <c r="G101" s="49">
        <f>AVERAGE('01.08 FORTPORTAL-KYENJOJO 2-24h'!G101,'03.08 FORTPORTAL-KYENJOJO-24h'!G101)</f>
        <v>0</v>
      </c>
      <c r="H101" s="49">
        <f>AVERAGE('01.08 FORTPORTAL-KYENJOJO 2-24h'!H101,'03.08 FORTPORTAL-KYENJOJO-24h'!H101)</f>
        <v>0</v>
      </c>
      <c r="I101" s="49">
        <f>AVERAGE('01.08 FORTPORTAL-KYENJOJO 2-24h'!I101,'03.08 FORTPORTAL-KYENJOJO-24h'!I101)</f>
        <v>0</v>
      </c>
      <c r="J101" s="49">
        <f>AVERAGE('01.08 FORTPORTAL-KYENJOJO 2-24h'!J101,'03.08 FORTPORTAL-KYENJOJO-24h'!J101)</f>
        <v>0</v>
      </c>
      <c r="K101" s="49">
        <f>AVERAGE('01.08 FORTPORTAL-KYENJOJO 2-24h'!K101,'03.08 FORTPORTAL-KYENJOJO-24h'!K101)</f>
        <v>0</v>
      </c>
      <c r="L101" s="49">
        <f>AVERAGE('01.08 FORTPORTAL-KYENJOJO 2-24h'!L101,'03.08 FORTPORTAL-KYENJOJO-24h'!L101)</f>
        <v>1.5</v>
      </c>
      <c r="M101" s="49">
        <f>AVERAGE('01.08 FORTPORTAL-KYENJOJO 2-24h'!M101,'03.08 FORTPORTAL-KYENJOJO-24h'!M101)</f>
        <v>0</v>
      </c>
      <c r="N101" s="49">
        <f>AVERAGE('01.08 FORTPORTAL-KYENJOJO 2-24h'!N101,'03.08 FORTPORTAL-KYENJOJO-24h'!N101)</f>
        <v>0</v>
      </c>
      <c r="O101" s="15">
        <f t="shared" si="35"/>
        <v>3</v>
      </c>
      <c r="P101" s="15">
        <f t="shared" si="36"/>
        <v>3</v>
      </c>
      <c r="R101" s="8"/>
      <c r="T101"/>
    </row>
    <row r="102" spans="2:20" ht="23.1" customHeight="1" x14ac:dyDescent="0.25">
      <c r="B102" s="24" t="s">
        <v>142</v>
      </c>
      <c r="C102" s="49">
        <f>AVERAGE('01.08 FORTPORTAL-KYENJOJO 2-24h'!C102,'03.08 FORTPORTAL-KYENJOJO-24h'!C102)</f>
        <v>1</v>
      </c>
      <c r="D102" s="49">
        <f>AVERAGE('01.08 FORTPORTAL-KYENJOJO 2-24h'!D102,'03.08 FORTPORTAL-KYENJOJO-24h'!D102)</f>
        <v>0</v>
      </c>
      <c r="E102" s="49">
        <f>AVERAGE('01.08 FORTPORTAL-KYENJOJO 2-24h'!E102,'03.08 FORTPORTAL-KYENJOJO-24h'!E102)</f>
        <v>0</v>
      </c>
      <c r="F102" s="49">
        <f>AVERAGE('01.08 FORTPORTAL-KYENJOJO 2-24h'!F102,'03.08 FORTPORTAL-KYENJOJO-24h'!F102)</f>
        <v>0</v>
      </c>
      <c r="G102" s="49">
        <f>AVERAGE('01.08 FORTPORTAL-KYENJOJO 2-24h'!G102,'03.08 FORTPORTAL-KYENJOJO-24h'!G102)</f>
        <v>0</v>
      </c>
      <c r="H102" s="49">
        <f>AVERAGE('01.08 FORTPORTAL-KYENJOJO 2-24h'!H102,'03.08 FORTPORTAL-KYENJOJO-24h'!H102)</f>
        <v>0</v>
      </c>
      <c r="I102" s="49">
        <f>AVERAGE('01.08 FORTPORTAL-KYENJOJO 2-24h'!I102,'03.08 FORTPORTAL-KYENJOJO-24h'!I102)</f>
        <v>0.5</v>
      </c>
      <c r="J102" s="49">
        <f>AVERAGE('01.08 FORTPORTAL-KYENJOJO 2-24h'!J102,'03.08 FORTPORTAL-KYENJOJO-24h'!J102)</f>
        <v>0</v>
      </c>
      <c r="K102" s="49">
        <f>AVERAGE('01.08 FORTPORTAL-KYENJOJO 2-24h'!K102,'03.08 FORTPORTAL-KYENJOJO-24h'!K102)</f>
        <v>0</v>
      </c>
      <c r="L102" s="49">
        <f>AVERAGE('01.08 FORTPORTAL-KYENJOJO 2-24h'!L102,'03.08 FORTPORTAL-KYENJOJO-24h'!L102)</f>
        <v>0</v>
      </c>
      <c r="M102" s="49">
        <f>AVERAGE('01.08 FORTPORTAL-KYENJOJO 2-24h'!M102,'03.08 FORTPORTAL-KYENJOJO-24h'!M102)</f>
        <v>0.5</v>
      </c>
      <c r="N102" s="49">
        <f>AVERAGE('01.08 FORTPORTAL-KYENJOJO 2-24h'!N102,'03.08 FORTPORTAL-KYENJOJO-24h'!N102)</f>
        <v>0</v>
      </c>
      <c r="O102" s="15">
        <f t="shared" si="35"/>
        <v>1.5</v>
      </c>
      <c r="P102" s="15">
        <f t="shared" si="36"/>
        <v>2</v>
      </c>
      <c r="R102" s="8"/>
      <c r="T102"/>
    </row>
    <row r="103" spans="2:20" ht="23.1" customHeight="1" x14ac:dyDescent="0.25">
      <c r="B103" s="23" t="s">
        <v>143</v>
      </c>
      <c r="C103" s="49">
        <f>AVERAGE('01.08 FORTPORTAL-KYENJOJO 2-24h'!C103,'03.08 FORTPORTAL-KYENJOJO-24h'!C103)</f>
        <v>0</v>
      </c>
      <c r="D103" s="49">
        <f>AVERAGE('01.08 FORTPORTAL-KYENJOJO 2-24h'!D103,'03.08 FORTPORTAL-KYENJOJO-24h'!D103)</f>
        <v>0</v>
      </c>
      <c r="E103" s="49">
        <f>AVERAGE('01.08 FORTPORTAL-KYENJOJO 2-24h'!E103,'03.08 FORTPORTAL-KYENJOJO-24h'!E103)</f>
        <v>1</v>
      </c>
      <c r="F103" s="49">
        <f>AVERAGE('01.08 FORTPORTAL-KYENJOJO 2-24h'!F103,'03.08 FORTPORTAL-KYENJOJO-24h'!F103)</f>
        <v>0</v>
      </c>
      <c r="G103" s="49">
        <f>AVERAGE('01.08 FORTPORTAL-KYENJOJO 2-24h'!G103,'03.08 FORTPORTAL-KYENJOJO-24h'!G103)</f>
        <v>0</v>
      </c>
      <c r="H103" s="49">
        <f>AVERAGE('01.08 FORTPORTAL-KYENJOJO 2-24h'!H103,'03.08 FORTPORTAL-KYENJOJO-24h'!H103)</f>
        <v>0</v>
      </c>
      <c r="I103" s="49">
        <f>AVERAGE('01.08 FORTPORTAL-KYENJOJO 2-24h'!I103,'03.08 FORTPORTAL-KYENJOJO-24h'!I103)</f>
        <v>0</v>
      </c>
      <c r="J103" s="49">
        <f>AVERAGE('01.08 FORTPORTAL-KYENJOJO 2-24h'!J103,'03.08 FORTPORTAL-KYENJOJO-24h'!J103)</f>
        <v>0</v>
      </c>
      <c r="K103" s="49">
        <f>AVERAGE('01.08 FORTPORTAL-KYENJOJO 2-24h'!K103,'03.08 FORTPORTAL-KYENJOJO-24h'!K103)</f>
        <v>0</v>
      </c>
      <c r="L103" s="49">
        <f>AVERAGE('01.08 FORTPORTAL-KYENJOJO 2-24h'!L103,'03.08 FORTPORTAL-KYENJOJO-24h'!L103)</f>
        <v>0</v>
      </c>
      <c r="M103" s="49">
        <f>AVERAGE('01.08 FORTPORTAL-KYENJOJO 2-24h'!M103,'03.08 FORTPORTAL-KYENJOJO-24h'!M103)</f>
        <v>1</v>
      </c>
      <c r="N103" s="49">
        <f>AVERAGE('01.08 FORTPORTAL-KYENJOJO 2-24h'!N103,'03.08 FORTPORTAL-KYENJOJO-24h'!N103)</f>
        <v>0</v>
      </c>
      <c r="O103" s="15">
        <f t="shared" si="35"/>
        <v>1</v>
      </c>
      <c r="P103" s="15">
        <f t="shared" si="36"/>
        <v>2</v>
      </c>
      <c r="R103" s="8"/>
      <c r="T103"/>
    </row>
    <row r="104" spans="2:20" ht="23.1" customHeight="1" x14ac:dyDescent="0.25">
      <c r="B104" s="25" t="s">
        <v>144</v>
      </c>
      <c r="C104" s="49">
        <f>AVERAGE('01.08 FORTPORTAL-KYENJOJO 2-24h'!C104,'03.08 FORTPORTAL-KYENJOJO-24h'!C104)</f>
        <v>1</v>
      </c>
      <c r="D104" s="49">
        <f>AVERAGE('01.08 FORTPORTAL-KYENJOJO 2-24h'!D104,'03.08 FORTPORTAL-KYENJOJO-24h'!D104)</f>
        <v>0</v>
      </c>
      <c r="E104" s="49">
        <f>AVERAGE('01.08 FORTPORTAL-KYENJOJO 2-24h'!E104,'03.08 FORTPORTAL-KYENJOJO-24h'!E104)</f>
        <v>2</v>
      </c>
      <c r="F104" s="49">
        <f>AVERAGE('01.08 FORTPORTAL-KYENJOJO 2-24h'!F104,'03.08 FORTPORTAL-KYENJOJO-24h'!F104)</f>
        <v>0.5</v>
      </c>
      <c r="G104" s="49">
        <f>AVERAGE('01.08 FORTPORTAL-KYENJOJO 2-24h'!G104,'03.08 FORTPORTAL-KYENJOJO-24h'!G104)</f>
        <v>0</v>
      </c>
      <c r="H104" s="49">
        <f>AVERAGE('01.08 FORTPORTAL-KYENJOJO 2-24h'!H104,'03.08 FORTPORTAL-KYENJOJO-24h'!H104)</f>
        <v>0</v>
      </c>
      <c r="I104" s="49">
        <f>AVERAGE('01.08 FORTPORTAL-KYENJOJO 2-24h'!I104,'03.08 FORTPORTAL-KYENJOJO-24h'!I104)</f>
        <v>0</v>
      </c>
      <c r="J104" s="49">
        <f>AVERAGE('01.08 FORTPORTAL-KYENJOJO 2-24h'!J104,'03.08 FORTPORTAL-KYENJOJO-24h'!J104)</f>
        <v>0</v>
      </c>
      <c r="K104" s="49">
        <f>AVERAGE('01.08 FORTPORTAL-KYENJOJO 2-24h'!K104,'03.08 FORTPORTAL-KYENJOJO-24h'!K104)</f>
        <v>0</v>
      </c>
      <c r="L104" s="49">
        <f>AVERAGE('01.08 FORTPORTAL-KYENJOJO 2-24h'!L104,'03.08 FORTPORTAL-KYENJOJO-24h'!L104)</f>
        <v>1</v>
      </c>
      <c r="M104" s="49">
        <f>AVERAGE('01.08 FORTPORTAL-KYENJOJO 2-24h'!M104,'03.08 FORTPORTAL-KYENJOJO-24h'!M104)</f>
        <v>0.5</v>
      </c>
      <c r="N104" s="49">
        <f>AVERAGE('01.08 FORTPORTAL-KYENJOJO 2-24h'!N104,'03.08 FORTPORTAL-KYENJOJO-24h'!N104)</f>
        <v>0</v>
      </c>
      <c r="O104" s="15">
        <f t="shared" si="35"/>
        <v>4.5</v>
      </c>
      <c r="P104" s="15">
        <f t="shared" si="36"/>
        <v>5</v>
      </c>
      <c r="R104" s="8"/>
      <c r="T104"/>
    </row>
    <row r="105" spans="2:20" ht="23.1" customHeight="1" x14ac:dyDescent="0.25">
      <c r="B105" s="23" t="s">
        <v>145</v>
      </c>
      <c r="C105" s="49">
        <f>AVERAGE('01.08 FORTPORTAL-KYENJOJO 2-24h'!C105,'03.08 FORTPORTAL-KYENJOJO-24h'!C105)</f>
        <v>1</v>
      </c>
      <c r="D105" s="49">
        <f>AVERAGE('01.08 FORTPORTAL-KYENJOJO 2-24h'!D105,'03.08 FORTPORTAL-KYENJOJO-24h'!D105)</f>
        <v>0</v>
      </c>
      <c r="E105" s="49">
        <f>AVERAGE('01.08 FORTPORTAL-KYENJOJO 2-24h'!E105,'03.08 FORTPORTAL-KYENJOJO-24h'!E105)</f>
        <v>1</v>
      </c>
      <c r="F105" s="49">
        <f>AVERAGE('01.08 FORTPORTAL-KYENJOJO 2-24h'!F105,'03.08 FORTPORTAL-KYENJOJO-24h'!F105)</f>
        <v>0</v>
      </c>
      <c r="G105" s="49">
        <f>AVERAGE('01.08 FORTPORTAL-KYENJOJO 2-24h'!G105,'03.08 FORTPORTAL-KYENJOJO-24h'!G105)</f>
        <v>0</v>
      </c>
      <c r="H105" s="49">
        <f>AVERAGE('01.08 FORTPORTAL-KYENJOJO 2-24h'!H105,'03.08 FORTPORTAL-KYENJOJO-24h'!H105)</f>
        <v>0</v>
      </c>
      <c r="I105" s="49">
        <f>AVERAGE('01.08 FORTPORTAL-KYENJOJO 2-24h'!I105,'03.08 FORTPORTAL-KYENJOJO-24h'!I105)</f>
        <v>0</v>
      </c>
      <c r="J105" s="49">
        <f>AVERAGE('01.08 FORTPORTAL-KYENJOJO 2-24h'!J105,'03.08 FORTPORTAL-KYENJOJO-24h'!J105)</f>
        <v>0</v>
      </c>
      <c r="K105" s="49">
        <f>AVERAGE('01.08 FORTPORTAL-KYENJOJO 2-24h'!K105,'03.08 FORTPORTAL-KYENJOJO-24h'!K105)</f>
        <v>0</v>
      </c>
      <c r="L105" s="49">
        <f>AVERAGE('01.08 FORTPORTAL-KYENJOJO 2-24h'!L105,'03.08 FORTPORTAL-KYENJOJO-24h'!L105)</f>
        <v>0</v>
      </c>
      <c r="M105" s="49">
        <f>AVERAGE('01.08 FORTPORTAL-KYENJOJO 2-24h'!M105,'03.08 FORTPORTAL-KYENJOJO-24h'!M105)</f>
        <v>0.5</v>
      </c>
      <c r="N105" s="49">
        <f>AVERAGE('01.08 FORTPORTAL-KYENJOJO 2-24h'!N105,'03.08 FORTPORTAL-KYENJOJO-24h'!N105)</f>
        <v>0</v>
      </c>
      <c r="O105" s="15">
        <f t="shared" si="35"/>
        <v>2</v>
      </c>
      <c r="P105" s="15">
        <f t="shared" si="36"/>
        <v>2.5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78.571428571428555</v>
      </c>
      <c r="D106" s="16">
        <f t="shared" ref="D106:P106" si="37">SUM(D10:D105)</f>
        <v>0</v>
      </c>
      <c r="E106" s="16">
        <f t="shared" si="37"/>
        <v>145.99999999999997</v>
      </c>
      <c r="F106" s="16">
        <f t="shared" si="37"/>
        <v>111.92857142857143</v>
      </c>
      <c r="G106" s="16">
        <f t="shared" si="37"/>
        <v>4.0714285714285712</v>
      </c>
      <c r="H106" s="16">
        <f t="shared" si="37"/>
        <v>23</v>
      </c>
      <c r="I106" s="16">
        <f t="shared" si="37"/>
        <v>82.357142857142861</v>
      </c>
      <c r="J106" s="16">
        <f t="shared" si="37"/>
        <v>13.142857142857142</v>
      </c>
      <c r="K106" s="16">
        <f t="shared" si="37"/>
        <v>4.2857142857142847</v>
      </c>
      <c r="L106" s="16">
        <f t="shared" si="37"/>
        <v>44.071428571428569</v>
      </c>
      <c r="M106" s="16">
        <f t="shared" si="37"/>
        <v>66.214285714285694</v>
      </c>
      <c r="N106" s="16">
        <f t="shared" si="37"/>
        <v>0.42857142857142855</v>
      </c>
      <c r="O106" s="16">
        <f t="shared" si="37"/>
        <v>507.85714285714289</v>
      </c>
      <c r="P106" s="16">
        <f t="shared" si="37"/>
        <v>574.07142857142844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0.13686699017046161</v>
      </c>
      <c r="D107" s="43">
        <f t="shared" si="38"/>
        <v>0</v>
      </c>
      <c r="E107" s="43">
        <f t="shared" si="38"/>
        <v>0.25432375264402141</v>
      </c>
      <c r="F107" s="43">
        <f t="shared" si="38"/>
        <v>0.19497324872464855</v>
      </c>
      <c r="G107" s="43">
        <f t="shared" si="38"/>
        <v>7.0921985815602853E-3</v>
      </c>
      <c r="H107" s="43">
        <f t="shared" si="38"/>
        <v>4.0064700758989678E-2</v>
      </c>
      <c r="I107" s="43">
        <f t="shared" si="38"/>
        <v>0.14346149060594754</v>
      </c>
      <c r="J107" s="43">
        <f t="shared" si="38"/>
        <v>2.2894114719422674E-2</v>
      </c>
      <c r="K107" s="43">
        <f t="shared" si="38"/>
        <v>7.4654721911160881E-3</v>
      </c>
      <c r="L107" s="43">
        <f t="shared" si="38"/>
        <v>7.6769939031977125E-2</v>
      </c>
      <c r="M107" s="43">
        <f t="shared" si="38"/>
        <v>0.11534154535274355</v>
      </c>
      <c r="N107" s="43">
        <f t="shared" si="38"/>
        <v>7.4654721911160892E-4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0.15471167369901542</v>
      </c>
      <c r="D108" s="44">
        <f t="shared" ref="D108:N108" si="39">D106/$O$106</f>
        <v>0</v>
      </c>
      <c r="E108" s="44">
        <f t="shared" si="39"/>
        <v>0.28748241912798866</v>
      </c>
      <c r="F108" s="44">
        <f t="shared" si="39"/>
        <v>0.22039381153305204</v>
      </c>
      <c r="G108" s="44">
        <f t="shared" si="39"/>
        <v>8.0168776371307999E-3</v>
      </c>
      <c r="H108" s="44">
        <f t="shared" si="39"/>
        <v>4.5288326300984526E-2</v>
      </c>
      <c r="I108" s="44">
        <f t="shared" si="39"/>
        <v>0.16216596343178621</v>
      </c>
      <c r="J108" s="44">
        <f t="shared" si="39"/>
        <v>2.5879043600562587E-2</v>
      </c>
      <c r="K108" s="44">
        <f t="shared" si="39"/>
        <v>8.4388185654008414E-3</v>
      </c>
      <c r="L108" s="44">
        <f t="shared" si="39"/>
        <v>8.6779184247538665E-2</v>
      </c>
      <c r="M108" s="44"/>
      <c r="N108" s="44">
        <f t="shared" si="39"/>
        <v>8.438818565400843E-4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3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zoomScale="60" workbookViewId="0">
      <selection activeCell="C106" sqref="C106:N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FORTPORTAL-KYENJOJO'!C3:G3</f>
        <v>C4 - STN107-FORTPORTAL-KYENJONJO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164</v>
      </c>
      <c r="E5" s="66"/>
      <c r="F5" s="41" t="s">
        <v>1</v>
      </c>
      <c r="G5" s="63" t="str">
        <f>'Avg Week FORTPORTAL-KYENJONJO'!G5:H5</f>
        <v>xxx</v>
      </c>
      <c r="H5" s="64"/>
      <c r="I5" s="14"/>
      <c r="J5" s="2" t="s">
        <v>5</v>
      </c>
      <c r="K5" s="63" t="str">
        <f>'Avg Week FORTPORTAL-KYENJONJO'!K5:L5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7" t="s">
        <v>161</v>
      </c>
      <c r="E6" s="68"/>
      <c r="F6" s="2" t="s">
        <v>2</v>
      </c>
      <c r="G6" s="67" t="s">
        <v>161</v>
      </c>
      <c r="H6" s="68"/>
      <c r="J6" s="2" t="s">
        <v>21</v>
      </c>
      <c r="K6" s="63" t="str">
        <f>'Avg Week FORTPORTAL-KYENJONJO'!K6:L6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KYENJOJO-FORTPORTAL'!C10+'Avg Week FORTPORTAL-KYENJONJO'!C10</f>
        <v>1.7142857142857144</v>
      </c>
      <c r="D10" s="49">
        <f>0.45*('Avg Week KYENJOJO-FORTPORTAL'!E10+'Avg Week FORTPORTAL-KYENJONJO'!E10)</f>
        <v>1.0928571428571427</v>
      </c>
      <c r="E10" s="49">
        <f>0.55*('Avg Week KYENJOJO-FORTPORTAL'!E10+'Avg Week FORTPORTAL-KYENJONJO'!E10)</f>
        <v>1.3357142857142856</v>
      </c>
      <c r="F10" s="49">
        <f>'Avg Week KYENJOJO-FORTPORTAL'!F10+'Avg Week FORTPORTAL-KYENJONJO'!F10</f>
        <v>4.7142857142857144</v>
      </c>
      <c r="G10" s="49">
        <f>'Avg Week KYENJOJO-FORTPORTAL'!G10+'Avg Week FORTPORTAL-KYENJONJO'!G10</f>
        <v>0.14285714285714285</v>
      </c>
      <c r="H10" s="49">
        <f>'Avg Week KYENJOJO-FORTPORTAL'!H10+'Avg Week FORTPORTAL-KYENJONJO'!H10</f>
        <v>0</v>
      </c>
      <c r="I10" s="49">
        <f>'Avg Week KYENJOJO-FORTPORTAL'!I10+'Avg Week FORTPORTAL-KYENJONJO'!I10</f>
        <v>1.5714285714285714</v>
      </c>
      <c r="J10" s="49">
        <f>'Avg Week KYENJOJO-FORTPORTAL'!J10+'Avg Week FORTPORTAL-KYENJONJO'!J10</f>
        <v>0.42857142857142855</v>
      </c>
      <c r="K10" s="49">
        <f>'Avg Week KYENJOJO-FORTPORTAL'!K10+'Avg Week FORTPORTAL-KYENJONJO'!K10</f>
        <v>0.14285714285714285</v>
      </c>
      <c r="L10" s="49">
        <f>'Avg Week KYENJOJO-FORTPORTAL'!L10+'Avg Week FORTPORTAL-KYENJONJO'!L10</f>
        <v>1.8571428571428572</v>
      </c>
      <c r="M10" s="49">
        <f>'Avg Week KYENJOJO-FORTPORTAL'!M10+'Avg Week FORTPORTAL-KYENJONJO'!M10</f>
        <v>3.2857142857142856</v>
      </c>
      <c r="N10" s="49">
        <f>'Avg Week KYENJOJO-FORTPORTAL'!N10+'Avg Week FORTPORTAL-KYENJONJO'!N10</f>
        <v>0</v>
      </c>
      <c r="O10" s="15">
        <f t="shared" ref="O10:O73" si="0">SUM(C10:L10,N10)</f>
        <v>13</v>
      </c>
      <c r="P10" s="15">
        <f t="shared" ref="P10:P73" si="1">SUM(C10:N10)</f>
        <v>16.285714285714285</v>
      </c>
      <c r="R10" s="1" t="s">
        <v>6</v>
      </c>
      <c r="S10" s="17">
        <f t="shared" ref="S10:AF10" si="2">SUM(C10:C13)</f>
        <v>7.7142857142857153</v>
      </c>
      <c r="T10" s="17">
        <f t="shared" si="2"/>
        <v>3.9214285714285713</v>
      </c>
      <c r="U10" s="17">
        <f t="shared" si="2"/>
        <v>4.7928571428571436</v>
      </c>
      <c r="V10" s="17">
        <f t="shared" si="2"/>
        <v>13.428571428571431</v>
      </c>
      <c r="W10" s="17">
        <f t="shared" si="2"/>
        <v>0.5714285714285714</v>
      </c>
      <c r="X10" s="17">
        <f t="shared" si="2"/>
        <v>1.1428571428571428</v>
      </c>
      <c r="Y10" s="17">
        <f t="shared" si="2"/>
        <v>6.2857142857142856</v>
      </c>
      <c r="Z10" s="17">
        <f t="shared" si="2"/>
        <v>1.714285714285714</v>
      </c>
      <c r="AA10" s="17">
        <f t="shared" si="2"/>
        <v>1.4285714285714284</v>
      </c>
      <c r="AB10" s="17">
        <f t="shared" si="2"/>
        <v>6.1428571428571423</v>
      </c>
      <c r="AC10" s="17">
        <f t="shared" si="2"/>
        <v>9.428571428571427</v>
      </c>
      <c r="AD10" s="17">
        <f t="shared" si="2"/>
        <v>0</v>
      </c>
      <c r="AE10" s="31">
        <f t="shared" si="2"/>
        <v>47.142857142857139</v>
      </c>
      <c r="AF10" s="31">
        <f t="shared" si="2"/>
        <v>56.571428571428569</v>
      </c>
    </row>
    <row r="11" spans="2:32" s="6" customFormat="1" ht="23.1" customHeight="1" x14ac:dyDescent="0.25">
      <c r="B11" s="23" t="s">
        <v>38</v>
      </c>
      <c r="C11" s="49">
        <f>'Avg Week KYENJOJO-FORTPORTAL'!C11+'Avg Week FORTPORTAL-KYENJONJO'!C11</f>
        <v>2.4285714285714288</v>
      </c>
      <c r="D11" s="49">
        <f>0.45*('Avg Week KYENJOJO-FORTPORTAL'!E11+'Avg Week FORTPORTAL-KYENJONJO'!E11)</f>
        <v>0.70714285714285718</v>
      </c>
      <c r="E11" s="49">
        <f>0.55*('Avg Week KYENJOJO-FORTPORTAL'!E11+'Avg Week FORTPORTAL-KYENJONJO'!E11)</f>
        <v>0.86428571428571432</v>
      </c>
      <c r="F11" s="49">
        <f>'Avg Week KYENJOJO-FORTPORTAL'!F11+'Avg Week FORTPORTAL-KYENJONJO'!F11</f>
        <v>3.8571428571428577</v>
      </c>
      <c r="G11" s="49">
        <f>'Avg Week KYENJOJO-FORTPORTAL'!G11+'Avg Week FORTPORTAL-KYENJONJO'!G11</f>
        <v>0</v>
      </c>
      <c r="H11" s="49">
        <f>'Avg Week KYENJOJO-FORTPORTAL'!H11+'Avg Week FORTPORTAL-KYENJONJO'!H11</f>
        <v>0</v>
      </c>
      <c r="I11" s="49">
        <f>'Avg Week KYENJOJO-FORTPORTAL'!I11+'Avg Week FORTPORTAL-KYENJONJO'!I11</f>
        <v>1.1428571428571428</v>
      </c>
      <c r="J11" s="49">
        <f>'Avg Week KYENJOJO-FORTPORTAL'!J11+'Avg Week FORTPORTAL-KYENJONJO'!J11</f>
        <v>0.42857142857142855</v>
      </c>
      <c r="K11" s="49">
        <f>'Avg Week KYENJOJO-FORTPORTAL'!K11+'Avg Week FORTPORTAL-KYENJONJO'!K11</f>
        <v>1</v>
      </c>
      <c r="L11" s="49">
        <f>'Avg Week KYENJOJO-FORTPORTAL'!L11+'Avg Week FORTPORTAL-KYENJONJO'!L11</f>
        <v>2.2857142857142856</v>
      </c>
      <c r="M11" s="49">
        <f>'Avg Week KYENJOJO-FORTPORTAL'!M11+'Avg Week FORTPORTAL-KYENJONJO'!M11</f>
        <v>2</v>
      </c>
      <c r="N11" s="49">
        <f>'Avg Week KYENJOJO-FORTPORTAL'!N11+'Avg Week FORTPORTAL-KYENJONJO'!N11</f>
        <v>0</v>
      </c>
      <c r="O11" s="15">
        <f t="shared" si="0"/>
        <v>12.714285714285715</v>
      </c>
      <c r="P11" s="15">
        <f t="shared" si="1"/>
        <v>14.714285714285715</v>
      </c>
      <c r="R11" s="1" t="s">
        <v>7</v>
      </c>
      <c r="S11" s="17">
        <f t="shared" ref="S11:AF11" si="3">SUM(C14:C17)</f>
        <v>7.8571428571428559</v>
      </c>
      <c r="T11" s="17">
        <f t="shared" si="3"/>
        <v>5.9142857142857146</v>
      </c>
      <c r="U11" s="17">
        <f t="shared" si="3"/>
        <v>7.2285714285714295</v>
      </c>
      <c r="V11" s="17">
        <f t="shared" si="3"/>
        <v>13.857142857142858</v>
      </c>
      <c r="W11" s="17">
        <f t="shared" si="3"/>
        <v>0.14285714285714285</v>
      </c>
      <c r="X11" s="17">
        <f t="shared" si="3"/>
        <v>0.8571428571428571</v>
      </c>
      <c r="Y11" s="17">
        <f t="shared" si="3"/>
        <v>5.4285714285714288</v>
      </c>
      <c r="Z11" s="17">
        <f t="shared" si="3"/>
        <v>0.71428571428571419</v>
      </c>
      <c r="AA11" s="17">
        <f t="shared" si="3"/>
        <v>0.42857142857142855</v>
      </c>
      <c r="AB11" s="17">
        <f t="shared" si="3"/>
        <v>2.714285714285714</v>
      </c>
      <c r="AC11" s="17">
        <f t="shared" si="3"/>
        <v>8.5714285714285712</v>
      </c>
      <c r="AD11" s="17">
        <f t="shared" si="3"/>
        <v>0</v>
      </c>
      <c r="AE11" s="31">
        <f t="shared" si="3"/>
        <v>45.142857142857146</v>
      </c>
      <c r="AF11" s="31">
        <f t="shared" si="3"/>
        <v>53.714285714285715</v>
      </c>
    </row>
    <row r="12" spans="2:32" ht="23.1" customHeight="1" x14ac:dyDescent="0.25">
      <c r="B12" s="23" t="s">
        <v>39</v>
      </c>
      <c r="C12" s="49">
        <f>'Avg Week KYENJOJO-FORTPORTAL'!C12+'Avg Week FORTPORTAL-KYENJONJO'!C12</f>
        <v>1.4285714285714286</v>
      </c>
      <c r="D12" s="49">
        <f>0.45*('Avg Week KYENJOJO-FORTPORTAL'!E12+'Avg Week FORTPORTAL-KYENJONJO'!E12)</f>
        <v>1.157142857142857</v>
      </c>
      <c r="E12" s="49">
        <f>0.55*('Avg Week KYENJOJO-FORTPORTAL'!E12+'Avg Week FORTPORTAL-KYENJONJO'!E12)</f>
        <v>1.4142857142857144</v>
      </c>
      <c r="F12" s="49">
        <f>'Avg Week KYENJOJO-FORTPORTAL'!F12+'Avg Week FORTPORTAL-KYENJONJO'!F12</f>
        <v>2.5714285714285712</v>
      </c>
      <c r="G12" s="49">
        <f>'Avg Week KYENJOJO-FORTPORTAL'!G12+'Avg Week FORTPORTAL-KYENJONJO'!G12</f>
        <v>0</v>
      </c>
      <c r="H12" s="49">
        <f>'Avg Week KYENJOJO-FORTPORTAL'!H12+'Avg Week FORTPORTAL-KYENJONJO'!H12</f>
        <v>0.5714285714285714</v>
      </c>
      <c r="I12" s="49">
        <f>'Avg Week KYENJOJO-FORTPORTAL'!I12+'Avg Week FORTPORTAL-KYENJONJO'!I12</f>
        <v>1.8571428571428572</v>
      </c>
      <c r="J12" s="49">
        <f>'Avg Week KYENJOJO-FORTPORTAL'!J12+'Avg Week FORTPORTAL-KYENJONJO'!J12</f>
        <v>0.5714285714285714</v>
      </c>
      <c r="K12" s="49">
        <f>'Avg Week KYENJOJO-FORTPORTAL'!K12+'Avg Week FORTPORTAL-KYENJONJO'!K12</f>
        <v>0.2857142857142857</v>
      </c>
      <c r="L12" s="49">
        <f>'Avg Week KYENJOJO-FORTPORTAL'!L12+'Avg Week FORTPORTAL-KYENJONJO'!L12</f>
        <v>0.7142857142857143</v>
      </c>
      <c r="M12" s="49">
        <f>'Avg Week KYENJOJO-FORTPORTAL'!M12+'Avg Week FORTPORTAL-KYENJONJO'!M12</f>
        <v>1.8571428571428572</v>
      </c>
      <c r="N12" s="49">
        <f>'Avg Week KYENJOJO-FORTPORTAL'!N12+'Avg Week FORTPORTAL-KYENJONJO'!N12</f>
        <v>0</v>
      </c>
      <c r="O12" s="15">
        <f t="shared" si="0"/>
        <v>10.571428571428571</v>
      </c>
      <c r="P12" s="15">
        <f t="shared" si="1"/>
        <v>12.428571428571429</v>
      </c>
      <c r="R12" s="1" t="s">
        <v>8</v>
      </c>
      <c r="S12" s="17">
        <f t="shared" ref="S12:AF12" si="4">SUM(C18:C21)</f>
        <v>10.714285714285714</v>
      </c>
      <c r="T12" s="17">
        <f t="shared" si="4"/>
        <v>7.9071428571428566</v>
      </c>
      <c r="U12" s="17">
        <f t="shared" si="4"/>
        <v>9.6642857142857146</v>
      </c>
      <c r="V12" s="17">
        <f t="shared" si="4"/>
        <v>13.428571428571429</v>
      </c>
      <c r="W12" s="17">
        <f t="shared" si="4"/>
        <v>0.14285714285714285</v>
      </c>
      <c r="X12" s="17">
        <f t="shared" si="4"/>
        <v>2.1428571428571428</v>
      </c>
      <c r="Y12" s="17">
        <f t="shared" si="4"/>
        <v>3.8571428571428572</v>
      </c>
      <c r="Z12" s="17">
        <f t="shared" si="4"/>
        <v>0.5714285714285714</v>
      </c>
      <c r="AA12" s="17">
        <f t="shared" si="4"/>
        <v>0.42857142857142855</v>
      </c>
      <c r="AB12" s="17">
        <f t="shared" si="4"/>
        <v>6.1428571428571423</v>
      </c>
      <c r="AC12" s="17">
        <f t="shared" si="4"/>
        <v>8.5714285714285712</v>
      </c>
      <c r="AD12" s="17">
        <f t="shared" si="4"/>
        <v>0</v>
      </c>
      <c r="AE12" s="31">
        <f t="shared" si="4"/>
        <v>55</v>
      </c>
      <c r="AF12" s="31">
        <f t="shared" si="4"/>
        <v>63.571428571428569</v>
      </c>
    </row>
    <row r="13" spans="2:32" ht="23.1" customHeight="1" x14ac:dyDescent="0.25">
      <c r="B13" s="23" t="s">
        <v>40</v>
      </c>
      <c r="C13" s="49">
        <f>'Avg Week KYENJOJO-FORTPORTAL'!C13+'Avg Week FORTPORTAL-KYENJONJO'!C13</f>
        <v>2.1428571428571428</v>
      </c>
      <c r="D13" s="49">
        <f>0.45*('Avg Week KYENJOJO-FORTPORTAL'!E13+'Avg Week FORTPORTAL-KYENJONJO'!E13)</f>
        <v>0.9642857142857143</v>
      </c>
      <c r="E13" s="49">
        <f>0.55*('Avg Week KYENJOJO-FORTPORTAL'!E13+'Avg Week FORTPORTAL-KYENJONJO'!E13)</f>
        <v>1.1785714285714286</v>
      </c>
      <c r="F13" s="49">
        <f>'Avg Week KYENJOJO-FORTPORTAL'!F13+'Avg Week FORTPORTAL-KYENJONJO'!F13</f>
        <v>2.2857142857142856</v>
      </c>
      <c r="G13" s="49">
        <f>'Avg Week KYENJOJO-FORTPORTAL'!G13+'Avg Week FORTPORTAL-KYENJONJO'!G13</f>
        <v>0.42857142857142855</v>
      </c>
      <c r="H13" s="49">
        <f>'Avg Week KYENJOJO-FORTPORTAL'!H13+'Avg Week FORTPORTAL-KYENJONJO'!H13</f>
        <v>0.5714285714285714</v>
      </c>
      <c r="I13" s="49">
        <f>'Avg Week KYENJOJO-FORTPORTAL'!I13+'Avg Week FORTPORTAL-KYENJONJO'!I13</f>
        <v>1.7142857142857142</v>
      </c>
      <c r="J13" s="49">
        <f>'Avg Week KYENJOJO-FORTPORTAL'!J13+'Avg Week FORTPORTAL-KYENJONJO'!J13</f>
        <v>0.2857142857142857</v>
      </c>
      <c r="K13" s="49">
        <f>'Avg Week KYENJOJO-FORTPORTAL'!K13+'Avg Week FORTPORTAL-KYENJONJO'!K13</f>
        <v>0</v>
      </c>
      <c r="L13" s="49">
        <f>'Avg Week KYENJOJO-FORTPORTAL'!L13+'Avg Week FORTPORTAL-KYENJONJO'!L13</f>
        <v>1.2857142857142856</v>
      </c>
      <c r="M13" s="49">
        <f>'Avg Week KYENJOJO-FORTPORTAL'!M13+'Avg Week FORTPORTAL-KYENJONJO'!M13</f>
        <v>2.2857142857142856</v>
      </c>
      <c r="N13" s="49">
        <f>'Avg Week KYENJOJO-FORTPORTAL'!N13+'Avg Week FORTPORTAL-KYENJONJO'!N13</f>
        <v>0</v>
      </c>
      <c r="O13" s="15">
        <f t="shared" si="0"/>
        <v>10.857142857142858</v>
      </c>
      <c r="P13" s="15">
        <f t="shared" si="1"/>
        <v>13.142857142857142</v>
      </c>
      <c r="R13" s="1" t="s">
        <v>9</v>
      </c>
      <c r="S13" s="17">
        <f t="shared" ref="S13:AF13" si="5">SUM(C22:C25)</f>
        <v>11.571428571428571</v>
      </c>
      <c r="T13" s="17">
        <f t="shared" si="5"/>
        <v>11.057142857142857</v>
      </c>
      <c r="U13" s="17">
        <f t="shared" si="5"/>
        <v>13.514285714285716</v>
      </c>
      <c r="V13" s="17">
        <f t="shared" si="5"/>
        <v>18.428571428571427</v>
      </c>
      <c r="W13" s="17">
        <f t="shared" si="5"/>
        <v>0.14285714285714285</v>
      </c>
      <c r="X13" s="17">
        <f t="shared" si="5"/>
        <v>2.1428571428571423</v>
      </c>
      <c r="Y13" s="17">
        <f t="shared" si="5"/>
        <v>7</v>
      </c>
      <c r="Z13" s="17">
        <f t="shared" si="5"/>
        <v>1.2857142857142856</v>
      </c>
      <c r="AA13" s="17">
        <f t="shared" si="5"/>
        <v>0.5714285714285714</v>
      </c>
      <c r="AB13" s="17">
        <f t="shared" si="5"/>
        <v>5</v>
      </c>
      <c r="AC13" s="17">
        <f t="shared" si="5"/>
        <v>9.4285714285714288</v>
      </c>
      <c r="AD13" s="17">
        <f t="shared" si="5"/>
        <v>0.14285714285714285</v>
      </c>
      <c r="AE13" s="31">
        <f t="shared" si="5"/>
        <v>70.857142857142861</v>
      </c>
      <c r="AF13" s="31">
        <f t="shared" si="5"/>
        <v>80.285714285714278</v>
      </c>
    </row>
    <row r="14" spans="2:32" ht="23.1" customHeight="1" x14ac:dyDescent="0.25">
      <c r="B14" s="23" t="s">
        <v>41</v>
      </c>
      <c r="C14" s="49">
        <f>'Avg Week KYENJOJO-FORTPORTAL'!C14+'Avg Week FORTPORTAL-KYENJONJO'!C14</f>
        <v>2.8571428571428572</v>
      </c>
      <c r="D14" s="49">
        <f>0.45*('Avg Week KYENJOJO-FORTPORTAL'!E14+'Avg Week FORTPORTAL-KYENJONJO'!E14)</f>
        <v>1.2857142857142858</v>
      </c>
      <c r="E14" s="49">
        <f>0.55*('Avg Week KYENJOJO-FORTPORTAL'!E14+'Avg Week FORTPORTAL-KYENJONJO'!E14)</f>
        <v>1.5714285714285716</v>
      </c>
      <c r="F14" s="49">
        <f>'Avg Week KYENJOJO-FORTPORTAL'!F14+'Avg Week FORTPORTAL-KYENJONJO'!F14</f>
        <v>3.4285714285714288</v>
      </c>
      <c r="G14" s="49">
        <f>'Avg Week KYENJOJO-FORTPORTAL'!G14+'Avg Week FORTPORTAL-KYENJONJO'!G14</f>
        <v>0</v>
      </c>
      <c r="H14" s="49">
        <f>'Avg Week KYENJOJO-FORTPORTAL'!H14+'Avg Week FORTPORTAL-KYENJONJO'!H14</f>
        <v>0.14285714285714285</v>
      </c>
      <c r="I14" s="49">
        <f>'Avg Week KYENJOJO-FORTPORTAL'!I14+'Avg Week FORTPORTAL-KYENJONJO'!I14</f>
        <v>2</v>
      </c>
      <c r="J14" s="49">
        <f>'Avg Week KYENJOJO-FORTPORTAL'!J14+'Avg Week FORTPORTAL-KYENJONJO'!J14</f>
        <v>0.14285714285714285</v>
      </c>
      <c r="K14" s="49">
        <f>'Avg Week KYENJOJO-FORTPORTAL'!K14+'Avg Week FORTPORTAL-KYENJONJO'!K14</f>
        <v>0</v>
      </c>
      <c r="L14" s="49">
        <f>'Avg Week KYENJOJO-FORTPORTAL'!L14+'Avg Week FORTPORTAL-KYENJONJO'!L14</f>
        <v>0.42857142857142855</v>
      </c>
      <c r="M14" s="49">
        <f>'Avg Week KYENJOJO-FORTPORTAL'!M14+'Avg Week FORTPORTAL-KYENJONJO'!M14</f>
        <v>2.2857142857142856</v>
      </c>
      <c r="N14" s="49">
        <f>'Avg Week KYENJOJO-FORTPORTAL'!N14+'Avg Week FORTPORTAL-KYENJONJO'!N14</f>
        <v>0</v>
      </c>
      <c r="O14" s="15">
        <f t="shared" si="0"/>
        <v>11.857142857142858</v>
      </c>
      <c r="P14" s="15">
        <f t="shared" si="1"/>
        <v>14.142857142857142</v>
      </c>
      <c r="R14" s="1" t="s">
        <v>10</v>
      </c>
      <c r="S14" s="17">
        <f t="shared" ref="S14:AF14" si="6">SUM(C26:C29)</f>
        <v>8</v>
      </c>
      <c r="T14" s="17">
        <f t="shared" si="6"/>
        <v>10.735714285714288</v>
      </c>
      <c r="U14" s="17">
        <f t="shared" si="6"/>
        <v>13.121428571428574</v>
      </c>
      <c r="V14" s="17">
        <f t="shared" si="6"/>
        <v>16.571428571428569</v>
      </c>
      <c r="W14" s="17">
        <f t="shared" si="6"/>
        <v>0.14285714285714285</v>
      </c>
      <c r="X14" s="17">
        <f t="shared" si="6"/>
        <v>2.4285714285714288</v>
      </c>
      <c r="Y14" s="17">
        <f t="shared" si="6"/>
        <v>6</v>
      </c>
      <c r="Z14" s="17">
        <f t="shared" si="6"/>
        <v>0.42857142857142855</v>
      </c>
      <c r="AA14" s="17">
        <f t="shared" si="6"/>
        <v>0.14285714285714285</v>
      </c>
      <c r="AB14" s="17">
        <f t="shared" si="6"/>
        <v>3.8571428571428572</v>
      </c>
      <c r="AC14" s="17">
        <f t="shared" si="6"/>
        <v>12.428571428571427</v>
      </c>
      <c r="AD14" s="17">
        <f t="shared" si="6"/>
        <v>0</v>
      </c>
      <c r="AE14" s="31">
        <f t="shared" si="6"/>
        <v>61.428571428571431</v>
      </c>
      <c r="AF14" s="31">
        <f t="shared" si="6"/>
        <v>73.857142857142847</v>
      </c>
    </row>
    <row r="15" spans="2:32" ht="23.1" customHeight="1" x14ac:dyDescent="0.25">
      <c r="B15" s="23" t="s">
        <v>42</v>
      </c>
      <c r="C15" s="49">
        <f>'Avg Week KYENJOJO-FORTPORTAL'!C15+'Avg Week FORTPORTAL-KYENJONJO'!C15</f>
        <v>1.2857142857142856</v>
      </c>
      <c r="D15" s="49">
        <f>0.45*('Avg Week KYENJOJO-FORTPORTAL'!E15+'Avg Week FORTPORTAL-KYENJONJO'!E15)</f>
        <v>1.35</v>
      </c>
      <c r="E15" s="49">
        <f>0.55*('Avg Week KYENJOJO-FORTPORTAL'!E15+'Avg Week FORTPORTAL-KYENJONJO'!E15)</f>
        <v>1.6500000000000001</v>
      </c>
      <c r="F15" s="49">
        <f>'Avg Week KYENJOJO-FORTPORTAL'!F15+'Avg Week FORTPORTAL-KYENJONJO'!F15</f>
        <v>2.7142857142857144</v>
      </c>
      <c r="G15" s="49">
        <f>'Avg Week KYENJOJO-FORTPORTAL'!G15+'Avg Week FORTPORTAL-KYENJONJO'!G15</f>
        <v>0</v>
      </c>
      <c r="H15" s="49">
        <f>'Avg Week KYENJOJO-FORTPORTAL'!H15+'Avg Week FORTPORTAL-KYENJONJO'!H15</f>
        <v>0.14285714285714285</v>
      </c>
      <c r="I15" s="49">
        <f>'Avg Week KYENJOJO-FORTPORTAL'!I15+'Avg Week FORTPORTAL-KYENJONJO'!I15</f>
        <v>1.2857142857142856</v>
      </c>
      <c r="J15" s="49">
        <f>'Avg Week KYENJOJO-FORTPORTAL'!J15+'Avg Week FORTPORTAL-KYENJONJO'!J15</f>
        <v>0.2857142857142857</v>
      </c>
      <c r="K15" s="49">
        <f>'Avg Week KYENJOJO-FORTPORTAL'!K15+'Avg Week FORTPORTAL-KYENJONJO'!K15</f>
        <v>0.14285714285714285</v>
      </c>
      <c r="L15" s="49">
        <f>'Avg Week KYENJOJO-FORTPORTAL'!L15+'Avg Week FORTPORTAL-KYENJONJO'!L15</f>
        <v>0.8571428571428571</v>
      </c>
      <c r="M15" s="49">
        <f>'Avg Week KYENJOJO-FORTPORTAL'!M15+'Avg Week FORTPORTAL-KYENJONJO'!M15</f>
        <v>1.5714285714285714</v>
      </c>
      <c r="N15" s="49">
        <f>'Avg Week KYENJOJO-FORTPORTAL'!N15+'Avg Week FORTPORTAL-KYENJONJO'!N15</f>
        <v>0</v>
      </c>
      <c r="O15" s="15">
        <f t="shared" si="0"/>
        <v>9.7142857142857153</v>
      </c>
      <c r="P15" s="15">
        <f t="shared" si="1"/>
        <v>11.285714285714286</v>
      </c>
      <c r="R15" s="1" t="s">
        <v>11</v>
      </c>
      <c r="S15" s="17">
        <f t="shared" ref="S15:AF15" si="7">SUM(C30:C33)</f>
        <v>9.5714285714285712</v>
      </c>
      <c r="T15" s="17">
        <f t="shared" si="7"/>
        <v>7.9071428571428566</v>
      </c>
      <c r="U15" s="17">
        <f t="shared" si="7"/>
        <v>9.6642857142857146</v>
      </c>
      <c r="V15" s="17">
        <f t="shared" si="7"/>
        <v>18.142857142857142</v>
      </c>
      <c r="W15" s="17">
        <f t="shared" si="7"/>
        <v>0.8571428571428571</v>
      </c>
      <c r="X15" s="17">
        <f t="shared" si="7"/>
        <v>4.4285714285714288</v>
      </c>
      <c r="Y15" s="17">
        <f t="shared" si="7"/>
        <v>6.2857142857142856</v>
      </c>
      <c r="Z15" s="17">
        <f t="shared" si="7"/>
        <v>1.857142857142857</v>
      </c>
      <c r="AA15" s="17">
        <f t="shared" si="7"/>
        <v>0</v>
      </c>
      <c r="AB15" s="17">
        <f t="shared" si="7"/>
        <v>3.7142857142857135</v>
      </c>
      <c r="AC15" s="17">
        <f t="shared" si="7"/>
        <v>9.2857142857142847</v>
      </c>
      <c r="AD15" s="17">
        <f t="shared" si="7"/>
        <v>0</v>
      </c>
      <c r="AE15" s="31">
        <f t="shared" si="7"/>
        <v>62.428571428571423</v>
      </c>
      <c r="AF15" s="31">
        <f t="shared" si="7"/>
        <v>71.714285714285708</v>
      </c>
    </row>
    <row r="16" spans="2:32" ht="23.1" customHeight="1" x14ac:dyDescent="0.25">
      <c r="B16" s="23" t="s">
        <v>43</v>
      </c>
      <c r="C16" s="49">
        <f>'Avg Week KYENJOJO-FORTPORTAL'!C16+'Avg Week FORTPORTAL-KYENJONJO'!C16</f>
        <v>1.5714285714285714</v>
      </c>
      <c r="D16" s="49">
        <f>0.45*('Avg Week KYENJOJO-FORTPORTAL'!E16+'Avg Week FORTPORTAL-KYENJONJO'!E16)</f>
        <v>1.5428571428571429</v>
      </c>
      <c r="E16" s="49">
        <f>0.55*('Avg Week KYENJOJO-FORTPORTAL'!E16+'Avg Week FORTPORTAL-KYENJONJO'!E16)</f>
        <v>1.8857142857142859</v>
      </c>
      <c r="F16" s="49">
        <f>'Avg Week KYENJOJO-FORTPORTAL'!F16+'Avg Week FORTPORTAL-KYENJONJO'!F16</f>
        <v>4.5714285714285712</v>
      </c>
      <c r="G16" s="49">
        <f>'Avg Week KYENJOJO-FORTPORTAL'!G16+'Avg Week FORTPORTAL-KYENJONJO'!G16</f>
        <v>0.14285714285714285</v>
      </c>
      <c r="H16" s="49">
        <f>'Avg Week KYENJOJO-FORTPORTAL'!H16+'Avg Week FORTPORTAL-KYENJONJO'!H16</f>
        <v>0.2857142857142857</v>
      </c>
      <c r="I16" s="49">
        <f>'Avg Week KYENJOJO-FORTPORTAL'!I16+'Avg Week FORTPORTAL-KYENJONJO'!I16</f>
        <v>1</v>
      </c>
      <c r="J16" s="49">
        <f>'Avg Week KYENJOJO-FORTPORTAL'!J16+'Avg Week FORTPORTAL-KYENJONJO'!J16</f>
        <v>0</v>
      </c>
      <c r="K16" s="49">
        <f>'Avg Week KYENJOJO-FORTPORTAL'!K16+'Avg Week FORTPORTAL-KYENJONJO'!K16</f>
        <v>0.14285714285714285</v>
      </c>
      <c r="L16" s="49">
        <f>'Avg Week KYENJOJO-FORTPORTAL'!L16+'Avg Week FORTPORTAL-KYENJONJO'!L16</f>
        <v>0.71428571428571419</v>
      </c>
      <c r="M16" s="49">
        <f>'Avg Week KYENJOJO-FORTPORTAL'!M16+'Avg Week FORTPORTAL-KYENJONJO'!M16</f>
        <v>3.1428571428571428</v>
      </c>
      <c r="N16" s="49">
        <f>'Avg Week KYENJOJO-FORTPORTAL'!N16+'Avg Week FORTPORTAL-KYENJONJO'!N16</f>
        <v>0</v>
      </c>
      <c r="O16" s="15">
        <f t="shared" si="0"/>
        <v>11.857142857142856</v>
      </c>
      <c r="P16" s="15">
        <f t="shared" si="1"/>
        <v>14.999999999999998</v>
      </c>
      <c r="R16" s="1" t="s">
        <v>12</v>
      </c>
      <c r="S16" s="17">
        <f t="shared" ref="S16:AF16" si="8">SUM(C34:C37)</f>
        <v>10.285714285714285</v>
      </c>
      <c r="T16" s="17">
        <f t="shared" si="8"/>
        <v>8.2285714285714295</v>
      </c>
      <c r="U16" s="17">
        <f t="shared" si="8"/>
        <v>10.057142857142857</v>
      </c>
      <c r="V16" s="17">
        <f t="shared" si="8"/>
        <v>18.857142857142858</v>
      </c>
      <c r="W16" s="17">
        <f t="shared" si="8"/>
        <v>0</v>
      </c>
      <c r="X16" s="17">
        <f t="shared" si="8"/>
        <v>2.714285714285714</v>
      </c>
      <c r="Y16" s="17">
        <f t="shared" si="8"/>
        <v>6</v>
      </c>
      <c r="Z16" s="17">
        <f t="shared" si="8"/>
        <v>0.99999999999999978</v>
      </c>
      <c r="AA16" s="17">
        <f t="shared" si="8"/>
        <v>0.2857142857142857</v>
      </c>
      <c r="AB16" s="17">
        <f t="shared" si="8"/>
        <v>3.5714285714285712</v>
      </c>
      <c r="AC16" s="17">
        <f t="shared" si="8"/>
        <v>8.8571428571428577</v>
      </c>
      <c r="AD16" s="17">
        <f t="shared" si="8"/>
        <v>0</v>
      </c>
      <c r="AE16" s="31">
        <f t="shared" si="8"/>
        <v>60.999999999999993</v>
      </c>
      <c r="AF16" s="31">
        <f t="shared" si="8"/>
        <v>69.857142857142861</v>
      </c>
    </row>
    <row r="17" spans="2:32" ht="23.1" customHeight="1" x14ac:dyDescent="0.25">
      <c r="B17" s="23" t="s">
        <v>44</v>
      </c>
      <c r="C17" s="49">
        <f>'Avg Week KYENJOJO-FORTPORTAL'!C17+'Avg Week FORTPORTAL-KYENJONJO'!C17</f>
        <v>2.1428571428571428</v>
      </c>
      <c r="D17" s="49">
        <f>0.45*('Avg Week KYENJOJO-FORTPORTAL'!E17+'Avg Week FORTPORTAL-KYENJONJO'!E17)</f>
        <v>1.7357142857142855</v>
      </c>
      <c r="E17" s="49">
        <f>0.55*('Avg Week KYENJOJO-FORTPORTAL'!E17+'Avg Week FORTPORTAL-KYENJONJO'!E17)</f>
        <v>2.1214285714285714</v>
      </c>
      <c r="F17" s="49">
        <f>'Avg Week KYENJOJO-FORTPORTAL'!F17+'Avg Week FORTPORTAL-KYENJONJO'!F17</f>
        <v>3.1428571428571428</v>
      </c>
      <c r="G17" s="49">
        <f>'Avg Week KYENJOJO-FORTPORTAL'!G17+'Avg Week FORTPORTAL-KYENJONJO'!G17</f>
        <v>0</v>
      </c>
      <c r="H17" s="49">
        <f>'Avg Week KYENJOJO-FORTPORTAL'!H17+'Avg Week FORTPORTAL-KYENJONJO'!H17</f>
        <v>0.2857142857142857</v>
      </c>
      <c r="I17" s="49">
        <f>'Avg Week KYENJOJO-FORTPORTAL'!I17+'Avg Week FORTPORTAL-KYENJONJO'!I17</f>
        <v>1.1428571428571428</v>
      </c>
      <c r="J17" s="49">
        <f>'Avg Week KYENJOJO-FORTPORTAL'!J17+'Avg Week FORTPORTAL-KYENJONJO'!J17</f>
        <v>0.2857142857142857</v>
      </c>
      <c r="K17" s="49">
        <f>'Avg Week KYENJOJO-FORTPORTAL'!K17+'Avg Week FORTPORTAL-KYENJONJO'!K17</f>
        <v>0.14285714285714285</v>
      </c>
      <c r="L17" s="49">
        <f>'Avg Week KYENJOJO-FORTPORTAL'!L17+'Avg Week FORTPORTAL-KYENJONJO'!L17</f>
        <v>0.71428571428571419</v>
      </c>
      <c r="M17" s="49">
        <f>'Avg Week KYENJOJO-FORTPORTAL'!M17+'Avg Week FORTPORTAL-KYENJONJO'!M17</f>
        <v>1.5714285714285714</v>
      </c>
      <c r="N17" s="49">
        <f>'Avg Week KYENJOJO-FORTPORTAL'!N17+'Avg Week FORTPORTAL-KYENJONJO'!N17</f>
        <v>0</v>
      </c>
      <c r="O17" s="15">
        <f t="shared" si="0"/>
        <v>11.714285714285714</v>
      </c>
      <c r="P17" s="15">
        <f t="shared" si="1"/>
        <v>13.285714285714285</v>
      </c>
      <c r="R17" s="1" t="s">
        <v>13</v>
      </c>
      <c r="S17" s="17">
        <f t="shared" ref="S17:AF17" si="9">SUM(C38:C41)</f>
        <v>10.142857142857142</v>
      </c>
      <c r="T17" s="17">
        <f t="shared" si="9"/>
        <v>8.5500000000000007</v>
      </c>
      <c r="U17" s="17">
        <f t="shared" si="9"/>
        <v>10.450000000000001</v>
      </c>
      <c r="V17" s="17">
        <f t="shared" si="9"/>
        <v>15.857142857142858</v>
      </c>
      <c r="W17" s="17">
        <f t="shared" si="9"/>
        <v>0.5714285714285714</v>
      </c>
      <c r="X17" s="17">
        <f t="shared" si="9"/>
        <v>4.2857142857142847</v>
      </c>
      <c r="Y17" s="17">
        <f t="shared" si="9"/>
        <v>8</v>
      </c>
      <c r="Z17" s="17">
        <f t="shared" si="9"/>
        <v>0.8571428571428571</v>
      </c>
      <c r="AA17" s="17">
        <f t="shared" si="9"/>
        <v>0.2857142857142857</v>
      </c>
      <c r="AB17" s="17">
        <f t="shared" si="9"/>
        <v>4.8571428571428577</v>
      </c>
      <c r="AC17" s="17">
        <f t="shared" si="9"/>
        <v>11.428571428571431</v>
      </c>
      <c r="AD17" s="17">
        <f t="shared" si="9"/>
        <v>0</v>
      </c>
      <c r="AE17" s="31">
        <f t="shared" si="9"/>
        <v>63.857142857142847</v>
      </c>
      <c r="AF17" s="31">
        <f t="shared" si="9"/>
        <v>75.285714285714278</v>
      </c>
    </row>
    <row r="18" spans="2:32" ht="23.1" customHeight="1" x14ac:dyDescent="0.25">
      <c r="B18" s="23" t="s">
        <v>45</v>
      </c>
      <c r="C18" s="49">
        <f>'Avg Week KYENJOJO-FORTPORTAL'!C18+'Avg Week FORTPORTAL-KYENJONJO'!C18</f>
        <v>2.5714285714285712</v>
      </c>
      <c r="D18" s="49">
        <f>0.45*('Avg Week KYENJOJO-FORTPORTAL'!E18+'Avg Week FORTPORTAL-KYENJONJO'!E18)</f>
        <v>2.0571428571428569</v>
      </c>
      <c r="E18" s="49">
        <f>0.55*('Avg Week KYENJOJO-FORTPORTAL'!E18+'Avg Week FORTPORTAL-KYENJONJO'!E18)</f>
        <v>2.5142857142857142</v>
      </c>
      <c r="F18" s="49">
        <f>'Avg Week KYENJOJO-FORTPORTAL'!F18+'Avg Week FORTPORTAL-KYENJONJO'!F18</f>
        <v>3</v>
      </c>
      <c r="G18" s="49">
        <f>'Avg Week KYENJOJO-FORTPORTAL'!G18+'Avg Week FORTPORTAL-KYENJONJO'!G18</f>
        <v>0</v>
      </c>
      <c r="H18" s="49">
        <f>'Avg Week KYENJOJO-FORTPORTAL'!H18+'Avg Week FORTPORTAL-KYENJONJO'!H18</f>
        <v>0.42857142857142855</v>
      </c>
      <c r="I18" s="49">
        <f>'Avg Week KYENJOJO-FORTPORTAL'!I18+'Avg Week FORTPORTAL-KYENJONJO'!I18</f>
        <v>0.71428571428571419</v>
      </c>
      <c r="J18" s="49">
        <f>'Avg Week KYENJOJO-FORTPORTAL'!J18+'Avg Week FORTPORTAL-KYENJONJO'!J18</f>
        <v>0</v>
      </c>
      <c r="K18" s="49">
        <f>'Avg Week KYENJOJO-FORTPORTAL'!K18+'Avg Week FORTPORTAL-KYENJONJO'!K18</f>
        <v>0.14285714285714285</v>
      </c>
      <c r="L18" s="49">
        <f>'Avg Week KYENJOJO-FORTPORTAL'!L18+'Avg Week FORTPORTAL-KYENJONJO'!L18</f>
        <v>1.5714285714285714</v>
      </c>
      <c r="M18" s="49">
        <f>'Avg Week KYENJOJO-FORTPORTAL'!M18+'Avg Week FORTPORTAL-KYENJONJO'!M18</f>
        <v>2.2857142857142856</v>
      </c>
      <c r="N18" s="49">
        <f>'Avg Week KYENJOJO-FORTPORTAL'!N18+'Avg Week FORTPORTAL-KYENJONJO'!N18</f>
        <v>0</v>
      </c>
      <c r="O18" s="15">
        <f t="shared" si="0"/>
        <v>12.999999999999998</v>
      </c>
      <c r="P18" s="15">
        <f t="shared" si="1"/>
        <v>15.285714285714285</v>
      </c>
      <c r="R18" s="1" t="s">
        <v>14</v>
      </c>
      <c r="S18" s="17">
        <f t="shared" ref="S18:AF18" si="10">SUM(C42:C45)</f>
        <v>11.428571428571429</v>
      </c>
      <c r="T18" s="17">
        <f t="shared" si="10"/>
        <v>9.5785714285714292</v>
      </c>
      <c r="U18" s="17">
        <f t="shared" si="10"/>
        <v>11.707142857142857</v>
      </c>
      <c r="V18" s="17">
        <f t="shared" si="10"/>
        <v>16.285714285714285</v>
      </c>
      <c r="W18" s="17">
        <f t="shared" si="10"/>
        <v>0.42857142857142855</v>
      </c>
      <c r="X18" s="17">
        <f t="shared" si="10"/>
        <v>4</v>
      </c>
      <c r="Y18" s="17">
        <f t="shared" si="10"/>
        <v>6</v>
      </c>
      <c r="Z18" s="17">
        <f t="shared" si="10"/>
        <v>0.2857142857142857</v>
      </c>
      <c r="AA18" s="17">
        <f t="shared" si="10"/>
        <v>0.14285714285714285</v>
      </c>
      <c r="AB18" s="17">
        <f t="shared" si="10"/>
        <v>3.714285714285714</v>
      </c>
      <c r="AC18" s="17">
        <f t="shared" si="10"/>
        <v>10.714285714285714</v>
      </c>
      <c r="AD18" s="17">
        <f t="shared" si="10"/>
        <v>0</v>
      </c>
      <c r="AE18" s="31">
        <f t="shared" si="10"/>
        <v>63.571428571428569</v>
      </c>
      <c r="AF18" s="31">
        <f t="shared" si="10"/>
        <v>74.285714285714278</v>
      </c>
    </row>
    <row r="19" spans="2:32" ht="23.1" customHeight="1" x14ac:dyDescent="0.25">
      <c r="B19" s="23" t="s">
        <v>46</v>
      </c>
      <c r="C19" s="49">
        <f>'Avg Week KYENJOJO-FORTPORTAL'!C19+'Avg Week FORTPORTAL-KYENJONJO'!C19</f>
        <v>1.8571428571428572</v>
      </c>
      <c r="D19" s="49">
        <f>0.45*('Avg Week KYENJOJO-FORTPORTAL'!E19+'Avg Week FORTPORTAL-KYENJONJO'!E19)</f>
        <v>1.8</v>
      </c>
      <c r="E19" s="49">
        <f>0.55*('Avg Week KYENJOJO-FORTPORTAL'!E19+'Avg Week FORTPORTAL-KYENJONJO'!E19)</f>
        <v>2.2000000000000002</v>
      </c>
      <c r="F19" s="49">
        <f>'Avg Week KYENJOJO-FORTPORTAL'!F19+'Avg Week FORTPORTAL-KYENJONJO'!F19</f>
        <v>4.1428571428571423</v>
      </c>
      <c r="G19" s="49">
        <f>'Avg Week KYENJOJO-FORTPORTAL'!G19+'Avg Week FORTPORTAL-KYENJONJO'!G19</f>
        <v>0</v>
      </c>
      <c r="H19" s="49">
        <f>'Avg Week KYENJOJO-FORTPORTAL'!H19+'Avg Week FORTPORTAL-KYENJONJO'!H19</f>
        <v>0.2857142857142857</v>
      </c>
      <c r="I19" s="49">
        <f>'Avg Week KYENJOJO-FORTPORTAL'!I19+'Avg Week FORTPORTAL-KYENJONJO'!I19</f>
        <v>1.5714285714285714</v>
      </c>
      <c r="J19" s="49">
        <f>'Avg Week KYENJOJO-FORTPORTAL'!J19+'Avg Week FORTPORTAL-KYENJONJO'!J19</f>
        <v>0.14285714285714285</v>
      </c>
      <c r="K19" s="49">
        <f>'Avg Week KYENJOJO-FORTPORTAL'!K19+'Avg Week FORTPORTAL-KYENJONJO'!K19</f>
        <v>0</v>
      </c>
      <c r="L19" s="49">
        <f>'Avg Week KYENJOJO-FORTPORTAL'!L19+'Avg Week FORTPORTAL-KYENJONJO'!L19</f>
        <v>2</v>
      </c>
      <c r="M19" s="49">
        <f>'Avg Week KYENJOJO-FORTPORTAL'!M19+'Avg Week FORTPORTAL-KYENJONJO'!M19</f>
        <v>1.5714285714285714</v>
      </c>
      <c r="N19" s="49">
        <f>'Avg Week KYENJOJO-FORTPORTAL'!N19+'Avg Week FORTPORTAL-KYENJONJO'!N19</f>
        <v>0</v>
      </c>
      <c r="O19" s="15">
        <f t="shared" si="0"/>
        <v>14</v>
      </c>
      <c r="P19" s="15">
        <f t="shared" si="1"/>
        <v>15.571428571428571</v>
      </c>
      <c r="R19" s="1" t="s">
        <v>15</v>
      </c>
      <c r="S19" s="17">
        <f t="shared" ref="S19:AF19" si="11">SUM(C46:C49)</f>
        <v>11.571428571428573</v>
      </c>
      <c r="T19" s="17">
        <f t="shared" si="11"/>
        <v>9.8357142857142854</v>
      </c>
      <c r="U19" s="17">
        <f t="shared" si="11"/>
        <v>12.021428571428572</v>
      </c>
      <c r="V19" s="17">
        <f t="shared" si="11"/>
        <v>17</v>
      </c>
      <c r="W19" s="17">
        <f t="shared" si="11"/>
        <v>0.42857142857142855</v>
      </c>
      <c r="X19" s="17">
        <f t="shared" si="11"/>
        <v>2.8571428571428568</v>
      </c>
      <c r="Y19" s="17">
        <f t="shared" si="11"/>
        <v>8.5714285714285712</v>
      </c>
      <c r="Z19" s="17">
        <f t="shared" si="11"/>
        <v>0.42857142857142855</v>
      </c>
      <c r="AA19" s="17">
        <f t="shared" si="11"/>
        <v>0.2857142857142857</v>
      </c>
      <c r="AB19" s="17">
        <f t="shared" si="11"/>
        <v>5.1428571428571423</v>
      </c>
      <c r="AC19" s="17">
        <f t="shared" si="11"/>
        <v>9.7142857142857135</v>
      </c>
      <c r="AD19" s="17">
        <f t="shared" si="11"/>
        <v>0.2857142857142857</v>
      </c>
      <c r="AE19" s="31">
        <f t="shared" si="11"/>
        <v>68.428571428571431</v>
      </c>
      <c r="AF19" s="31">
        <f t="shared" si="11"/>
        <v>78.142857142857139</v>
      </c>
    </row>
    <row r="20" spans="2:32" ht="23.1" customHeight="1" x14ac:dyDescent="0.25">
      <c r="B20" s="23" t="s">
        <v>47</v>
      </c>
      <c r="C20" s="49">
        <f>'Avg Week KYENJOJO-FORTPORTAL'!C20+'Avg Week FORTPORTAL-KYENJONJO'!C20</f>
        <v>3.1428571428571428</v>
      </c>
      <c r="D20" s="49">
        <f>0.45*('Avg Week KYENJOJO-FORTPORTAL'!E20+'Avg Week FORTPORTAL-KYENJONJO'!E20)</f>
        <v>2.1857142857142859</v>
      </c>
      <c r="E20" s="49">
        <f>0.55*('Avg Week KYENJOJO-FORTPORTAL'!E20+'Avg Week FORTPORTAL-KYENJONJO'!E20)</f>
        <v>2.6714285714285717</v>
      </c>
      <c r="F20" s="49">
        <f>'Avg Week KYENJOJO-FORTPORTAL'!F20+'Avg Week FORTPORTAL-KYENJONJO'!F20</f>
        <v>2.7142857142857144</v>
      </c>
      <c r="G20" s="49">
        <f>'Avg Week KYENJOJO-FORTPORTAL'!G20+'Avg Week FORTPORTAL-KYENJONJO'!G20</f>
        <v>0</v>
      </c>
      <c r="H20" s="49">
        <f>'Avg Week KYENJOJO-FORTPORTAL'!H20+'Avg Week FORTPORTAL-KYENJONJO'!H20</f>
        <v>0.85714285714285721</v>
      </c>
      <c r="I20" s="49">
        <f>'Avg Week KYENJOJO-FORTPORTAL'!I20+'Avg Week FORTPORTAL-KYENJONJO'!I20</f>
        <v>0.71428571428571419</v>
      </c>
      <c r="J20" s="49">
        <f>'Avg Week KYENJOJO-FORTPORTAL'!J20+'Avg Week FORTPORTAL-KYENJONJO'!J20</f>
        <v>0.14285714285714285</v>
      </c>
      <c r="K20" s="49">
        <f>'Avg Week KYENJOJO-FORTPORTAL'!K20+'Avg Week FORTPORTAL-KYENJONJO'!K20</f>
        <v>0.14285714285714285</v>
      </c>
      <c r="L20" s="49">
        <f>'Avg Week KYENJOJO-FORTPORTAL'!L20+'Avg Week FORTPORTAL-KYENJONJO'!L20</f>
        <v>1.2857142857142856</v>
      </c>
      <c r="M20" s="49">
        <f>'Avg Week KYENJOJO-FORTPORTAL'!M20+'Avg Week FORTPORTAL-KYENJONJO'!M20</f>
        <v>2.8571428571428572</v>
      </c>
      <c r="N20" s="49">
        <f>'Avg Week KYENJOJO-FORTPORTAL'!N20+'Avg Week FORTPORTAL-KYENJONJO'!N20</f>
        <v>0</v>
      </c>
      <c r="O20" s="15">
        <f t="shared" si="0"/>
        <v>13.857142857142858</v>
      </c>
      <c r="P20" s="15">
        <f t="shared" si="1"/>
        <v>16.714285714285715</v>
      </c>
      <c r="R20" s="1" t="s">
        <v>16</v>
      </c>
      <c r="S20" s="17">
        <f t="shared" ref="S20:AF20" si="12">SUM(C50:C53)</f>
        <v>13.714285714285715</v>
      </c>
      <c r="T20" s="17">
        <f t="shared" si="12"/>
        <v>12.278571428571428</v>
      </c>
      <c r="U20" s="17">
        <f t="shared" si="12"/>
        <v>15.007142857142856</v>
      </c>
      <c r="V20" s="17">
        <f t="shared" si="12"/>
        <v>18</v>
      </c>
      <c r="W20" s="17">
        <f t="shared" si="12"/>
        <v>0.71428571428571419</v>
      </c>
      <c r="X20" s="17">
        <f t="shared" si="12"/>
        <v>4.2857142857142856</v>
      </c>
      <c r="Y20" s="17">
        <f t="shared" si="12"/>
        <v>7.7142857142857135</v>
      </c>
      <c r="Z20" s="17">
        <f t="shared" si="12"/>
        <v>1.1428571428571428</v>
      </c>
      <c r="AA20" s="17">
        <f t="shared" si="12"/>
        <v>0</v>
      </c>
      <c r="AB20" s="17">
        <f t="shared" si="12"/>
        <v>5.8571428571428577</v>
      </c>
      <c r="AC20" s="17">
        <f t="shared" si="12"/>
        <v>11.714285714285715</v>
      </c>
      <c r="AD20" s="17">
        <f t="shared" si="12"/>
        <v>0</v>
      </c>
      <c r="AE20" s="31">
        <f t="shared" si="12"/>
        <v>78.714285714285708</v>
      </c>
      <c r="AF20" s="31">
        <f t="shared" si="12"/>
        <v>90.428571428571416</v>
      </c>
    </row>
    <row r="21" spans="2:32" ht="23.1" customHeight="1" x14ac:dyDescent="0.25">
      <c r="B21" s="23" t="s">
        <v>48</v>
      </c>
      <c r="C21" s="49">
        <f>'Avg Week KYENJOJO-FORTPORTAL'!C21+'Avg Week FORTPORTAL-KYENJONJO'!C21</f>
        <v>3.1428571428571428</v>
      </c>
      <c r="D21" s="49">
        <f>0.45*('Avg Week KYENJOJO-FORTPORTAL'!E21+'Avg Week FORTPORTAL-KYENJONJO'!E21)</f>
        <v>1.8642857142857141</v>
      </c>
      <c r="E21" s="49">
        <f>0.55*('Avg Week KYENJOJO-FORTPORTAL'!E21+'Avg Week FORTPORTAL-KYENJONJO'!E21)</f>
        <v>2.2785714285714285</v>
      </c>
      <c r="F21" s="49">
        <f>'Avg Week KYENJOJO-FORTPORTAL'!F21+'Avg Week FORTPORTAL-KYENJONJO'!F21</f>
        <v>3.5714285714285712</v>
      </c>
      <c r="G21" s="49">
        <f>'Avg Week KYENJOJO-FORTPORTAL'!G21+'Avg Week FORTPORTAL-KYENJONJO'!G21</f>
        <v>0.14285714285714285</v>
      </c>
      <c r="H21" s="49">
        <f>'Avg Week KYENJOJO-FORTPORTAL'!H21+'Avg Week FORTPORTAL-KYENJONJO'!H21</f>
        <v>0.5714285714285714</v>
      </c>
      <c r="I21" s="49">
        <f>'Avg Week KYENJOJO-FORTPORTAL'!I21+'Avg Week FORTPORTAL-KYENJONJO'!I21</f>
        <v>0.8571428571428571</v>
      </c>
      <c r="J21" s="49">
        <f>'Avg Week KYENJOJO-FORTPORTAL'!J21+'Avg Week FORTPORTAL-KYENJONJO'!J21</f>
        <v>0.2857142857142857</v>
      </c>
      <c r="K21" s="49">
        <f>'Avg Week KYENJOJO-FORTPORTAL'!K21+'Avg Week FORTPORTAL-KYENJONJO'!K21</f>
        <v>0.14285714285714285</v>
      </c>
      <c r="L21" s="49">
        <f>'Avg Week KYENJOJO-FORTPORTAL'!L21+'Avg Week FORTPORTAL-KYENJONJO'!L21</f>
        <v>1.2857142857142856</v>
      </c>
      <c r="M21" s="49">
        <f>'Avg Week KYENJOJO-FORTPORTAL'!M21+'Avg Week FORTPORTAL-KYENJONJO'!M21</f>
        <v>1.8571428571428572</v>
      </c>
      <c r="N21" s="49">
        <f>'Avg Week KYENJOJO-FORTPORTAL'!N21+'Avg Week FORTPORTAL-KYENJONJO'!N21</f>
        <v>0</v>
      </c>
      <c r="O21" s="15">
        <f t="shared" si="0"/>
        <v>14.142857142857142</v>
      </c>
      <c r="P21" s="15">
        <f t="shared" si="1"/>
        <v>16</v>
      </c>
      <c r="R21" s="36" t="s">
        <v>20</v>
      </c>
      <c r="S21" s="34">
        <f t="shared" ref="S21:AF21" si="13">SUM(C54:C57)</f>
        <v>10.857142857142858</v>
      </c>
      <c r="T21" s="17">
        <f t="shared" si="13"/>
        <v>9.8357142857142854</v>
      </c>
      <c r="U21" s="17">
        <f t="shared" si="13"/>
        <v>12.021428571428572</v>
      </c>
      <c r="V21" s="17">
        <f t="shared" si="13"/>
        <v>14</v>
      </c>
      <c r="W21" s="17">
        <f t="shared" si="13"/>
        <v>1.2857142857142856</v>
      </c>
      <c r="X21" s="17">
        <f t="shared" si="13"/>
        <v>3.8571428571428568</v>
      </c>
      <c r="Y21" s="17">
        <f t="shared" si="13"/>
        <v>11.285714285714288</v>
      </c>
      <c r="Z21" s="17">
        <f t="shared" si="13"/>
        <v>2.1428571428571428</v>
      </c>
      <c r="AA21" s="17">
        <f t="shared" si="13"/>
        <v>0.71428571428571419</v>
      </c>
      <c r="AB21" s="17">
        <f t="shared" si="13"/>
        <v>3.8571428571428568</v>
      </c>
      <c r="AC21" s="17">
        <f t="shared" si="13"/>
        <v>10</v>
      </c>
      <c r="AD21" s="17">
        <f t="shared" si="13"/>
        <v>0</v>
      </c>
      <c r="AE21" s="31">
        <f t="shared" si="13"/>
        <v>69.857142857142861</v>
      </c>
      <c r="AF21" s="31">
        <f t="shared" si="13"/>
        <v>79.857142857142861</v>
      </c>
    </row>
    <row r="22" spans="2:32" ht="23.1" customHeight="1" x14ac:dyDescent="0.25">
      <c r="B22" s="23" t="s">
        <v>49</v>
      </c>
      <c r="C22" s="49">
        <f>'Avg Week KYENJOJO-FORTPORTAL'!C22+'Avg Week FORTPORTAL-KYENJONJO'!C22</f>
        <v>4.1428571428571423</v>
      </c>
      <c r="D22" s="49">
        <f>0.45*('Avg Week KYENJOJO-FORTPORTAL'!E22+'Avg Week FORTPORTAL-KYENJONJO'!E22)</f>
        <v>3.0214285714285714</v>
      </c>
      <c r="E22" s="49">
        <f>0.55*('Avg Week KYENJOJO-FORTPORTAL'!E22+'Avg Week FORTPORTAL-KYENJONJO'!E22)</f>
        <v>3.6928571428571431</v>
      </c>
      <c r="F22" s="49">
        <f>'Avg Week KYENJOJO-FORTPORTAL'!F22+'Avg Week FORTPORTAL-KYENJONJO'!F22</f>
        <v>4</v>
      </c>
      <c r="G22" s="49">
        <f>'Avg Week KYENJOJO-FORTPORTAL'!G22+'Avg Week FORTPORTAL-KYENJONJO'!G22</f>
        <v>0</v>
      </c>
      <c r="H22" s="49">
        <f>'Avg Week KYENJOJO-FORTPORTAL'!H22+'Avg Week FORTPORTAL-KYENJONJO'!H22</f>
        <v>0.2857142857142857</v>
      </c>
      <c r="I22" s="49">
        <f>'Avg Week KYENJOJO-FORTPORTAL'!I22+'Avg Week FORTPORTAL-KYENJONJO'!I22</f>
        <v>2.1428571428571428</v>
      </c>
      <c r="J22" s="49">
        <f>'Avg Week KYENJOJO-FORTPORTAL'!J22+'Avg Week FORTPORTAL-KYENJONJO'!J22</f>
        <v>0.42857142857142855</v>
      </c>
      <c r="K22" s="49">
        <f>'Avg Week KYENJOJO-FORTPORTAL'!K22+'Avg Week FORTPORTAL-KYENJONJO'!K22</f>
        <v>0.2857142857142857</v>
      </c>
      <c r="L22" s="49">
        <f>'Avg Week KYENJOJO-FORTPORTAL'!L22+'Avg Week FORTPORTAL-KYENJONJO'!L22</f>
        <v>1</v>
      </c>
      <c r="M22" s="49">
        <f>'Avg Week KYENJOJO-FORTPORTAL'!M22+'Avg Week FORTPORTAL-KYENJONJO'!M22</f>
        <v>1.8571428571428572</v>
      </c>
      <c r="N22" s="49">
        <f>'Avg Week KYENJOJO-FORTPORTAL'!N22+'Avg Week FORTPORTAL-KYENJONJO'!N22</f>
        <v>0</v>
      </c>
      <c r="O22" s="15">
        <f t="shared" si="0"/>
        <v>19</v>
      </c>
      <c r="P22" s="15">
        <f t="shared" si="1"/>
        <v>20.857142857142858</v>
      </c>
      <c r="R22" s="1" t="s">
        <v>146</v>
      </c>
      <c r="S22" s="34">
        <f>SUM(C58:C61)</f>
        <v>8.5</v>
      </c>
      <c r="T22" s="34">
        <f t="shared" ref="T22:AF22" si="14">SUM(D58:D61)</f>
        <v>3.375</v>
      </c>
      <c r="U22" s="34">
        <f t="shared" si="14"/>
        <v>4.125</v>
      </c>
      <c r="V22" s="34">
        <f t="shared" si="14"/>
        <v>6.5</v>
      </c>
      <c r="W22" s="34">
        <f t="shared" si="14"/>
        <v>0.5</v>
      </c>
      <c r="X22" s="34">
        <f t="shared" si="14"/>
        <v>0</v>
      </c>
      <c r="Y22" s="34">
        <f t="shared" si="14"/>
        <v>6.5</v>
      </c>
      <c r="Z22" s="34">
        <f t="shared" si="14"/>
        <v>1</v>
      </c>
      <c r="AA22" s="34">
        <f t="shared" si="14"/>
        <v>0.5</v>
      </c>
      <c r="AB22" s="34">
        <f t="shared" si="14"/>
        <v>6</v>
      </c>
      <c r="AC22" s="34">
        <f t="shared" si="14"/>
        <v>7</v>
      </c>
      <c r="AD22" s="34">
        <f t="shared" si="14"/>
        <v>0</v>
      </c>
      <c r="AE22" s="31">
        <f t="shared" si="14"/>
        <v>37</v>
      </c>
      <c r="AF22" s="31">
        <f t="shared" si="14"/>
        <v>44</v>
      </c>
    </row>
    <row r="23" spans="2:32" ht="23.1" customHeight="1" x14ac:dyDescent="0.25">
      <c r="B23" s="23" t="s">
        <v>50</v>
      </c>
      <c r="C23" s="49">
        <f>'Avg Week KYENJOJO-FORTPORTAL'!C23+'Avg Week FORTPORTAL-KYENJONJO'!C23</f>
        <v>2.4285714285714288</v>
      </c>
      <c r="D23" s="49">
        <f>0.45*('Avg Week KYENJOJO-FORTPORTAL'!E23+'Avg Week FORTPORTAL-KYENJONJO'!E23)</f>
        <v>2.25</v>
      </c>
      <c r="E23" s="49">
        <f>0.55*('Avg Week KYENJOJO-FORTPORTAL'!E23+'Avg Week FORTPORTAL-KYENJONJO'!E23)</f>
        <v>2.75</v>
      </c>
      <c r="F23" s="49">
        <f>'Avg Week KYENJOJO-FORTPORTAL'!F23+'Avg Week FORTPORTAL-KYENJONJO'!F23</f>
        <v>3.7142857142857144</v>
      </c>
      <c r="G23" s="49">
        <f>'Avg Week KYENJOJO-FORTPORTAL'!G23+'Avg Week FORTPORTAL-KYENJONJO'!G23</f>
        <v>0</v>
      </c>
      <c r="H23" s="49">
        <f>'Avg Week KYENJOJO-FORTPORTAL'!H23+'Avg Week FORTPORTAL-KYENJONJO'!H23</f>
        <v>0.71428571428571419</v>
      </c>
      <c r="I23" s="49">
        <f>'Avg Week KYENJOJO-FORTPORTAL'!I23+'Avg Week FORTPORTAL-KYENJONJO'!I23</f>
        <v>1.2857142857142856</v>
      </c>
      <c r="J23" s="49">
        <f>'Avg Week KYENJOJO-FORTPORTAL'!J23+'Avg Week FORTPORTAL-KYENJONJO'!J23</f>
        <v>0.2857142857142857</v>
      </c>
      <c r="K23" s="49">
        <f>'Avg Week KYENJOJO-FORTPORTAL'!K23+'Avg Week FORTPORTAL-KYENJONJO'!K23</f>
        <v>0.14285714285714285</v>
      </c>
      <c r="L23" s="49">
        <f>'Avg Week KYENJOJO-FORTPORTAL'!L23+'Avg Week FORTPORTAL-KYENJONJO'!L23</f>
        <v>1</v>
      </c>
      <c r="M23" s="49">
        <f>'Avg Week KYENJOJO-FORTPORTAL'!M23+'Avg Week FORTPORTAL-KYENJONJO'!M23</f>
        <v>2.4285714285714288</v>
      </c>
      <c r="N23" s="49">
        <f>'Avg Week KYENJOJO-FORTPORTAL'!N23+'Avg Week FORTPORTAL-KYENJONJO'!N23</f>
        <v>0.14285714285714285</v>
      </c>
      <c r="O23" s="15">
        <f t="shared" si="0"/>
        <v>14.714285714285714</v>
      </c>
      <c r="P23" s="15">
        <f t="shared" si="1"/>
        <v>17.142857142857142</v>
      </c>
      <c r="R23" s="1" t="s">
        <v>147</v>
      </c>
      <c r="S23" s="34">
        <f>SUM(C62:C65)</f>
        <v>8.5</v>
      </c>
      <c r="T23" s="34">
        <f t="shared" ref="T23:AF23" si="15">SUM(D62:D65)</f>
        <v>5.8500000000000005</v>
      </c>
      <c r="U23" s="34">
        <f t="shared" si="15"/>
        <v>7.1500000000000012</v>
      </c>
      <c r="V23" s="34">
        <f t="shared" si="15"/>
        <v>7</v>
      </c>
      <c r="W23" s="34">
        <f t="shared" si="15"/>
        <v>1</v>
      </c>
      <c r="X23" s="34">
        <f t="shared" si="15"/>
        <v>3</v>
      </c>
      <c r="Y23" s="34">
        <f t="shared" si="15"/>
        <v>10.5</v>
      </c>
      <c r="Z23" s="34">
        <f t="shared" si="15"/>
        <v>0.5</v>
      </c>
      <c r="AA23" s="34">
        <f t="shared" si="15"/>
        <v>0</v>
      </c>
      <c r="AB23" s="34">
        <f t="shared" si="15"/>
        <v>5</v>
      </c>
      <c r="AC23" s="34">
        <f t="shared" si="15"/>
        <v>6.5</v>
      </c>
      <c r="AD23" s="34">
        <f t="shared" si="15"/>
        <v>0</v>
      </c>
      <c r="AE23" s="31">
        <f t="shared" si="15"/>
        <v>48.5</v>
      </c>
      <c r="AF23" s="31">
        <f t="shared" si="15"/>
        <v>55</v>
      </c>
    </row>
    <row r="24" spans="2:32" ht="23.1" customHeight="1" x14ac:dyDescent="0.25">
      <c r="B24" s="23" t="s">
        <v>51</v>
      </c>
      <c r="C24" s="49">
        <f>'Avg Week KYENJOJO-FORTPORTAL'!C24+'Avg Week FORTPORTAL-KYENJONJO'!C24</f>
        <v>2.8571428571428572</v>
      </c>
      <c r="D24" s="49">
        <f>0.45*('Avg Week KYENJOJO-FORTPORTAL'!E24+'Avg Week FORTPORTAL-KYENJONJO'!E24)</f>
        <v>3.15</v>
      </c>
      <c r="E24" s="49">
        <f>0.55*('Avg Week KYENJOJO-FORTPORTAL'!E24+'Avg Week FORTPORTAL-KYENJONJO'!E24)</f>
        <v>3.8500000000000005</v>
      </c>
      <c r="F24" s="49">
        <f>'Avg Week KYENJOJO-FORTPORTAL'!F24+'Avg Week FORTPORTAL-KYENJONJO'!F24</f>
        <v>3.5714285714285712</v>
      </c>
      <c r="G24" s="49">
        <f>'Avg Week KYENJOJO-FORTPORTAL'!G24+'Avg Week FORTPORTAL-KYENJONJO'!G24</f>
        <v>0</v>
      </c>
      <c r="H24" s="49">
        <f>'Avg Week KYENJOJO-FORTPORTAL'!H24+'Avg Week FORTPORTAL-KYENJONJO'!H24</f>
        <v>0.71428571428571419</v>
      </c>
      <c r="I24" s="49">
        <f>'Avg Week KYENJOJO-FORTPORTAL'!I24+'Avg Week FORTPORTAL-KYENJONJO'!I24</f>
        <v>1.1428571428571428</v>
      </c>
      <c r="J24" s="49">
        <f>'Avg Week KYENJOJO-FORTPORTAL'!J24+'Avg Week FORTPORTAL-KYENJONJO'!J24</f>
        <v>0.42857142857142855</v>
      </c>
      <c r="K24" s="49">
        <f>'Avg Week KYENJOJO-FORTPORTAL'!K24+'Avg Week FORTPORTAL-KYENJONJO'!K24</f>
        <v>0</v>
      </c>
      <c r="L24" s="49">
        <f>'Avg Week KYENJOJO-FORTPORTAL'!L24+'Avg Week FORTPORTAL-KYENJONJO'!L24</f>
        <v>1.2857142857142856</v>
      </c>
      <c r="M24" s="49">
        <f>'Avg Week KYENJOJO-FORTPORTAL'!M24+'Avg Week FORTPORTAL-KYENJONJO'!M24</f>
        <v>2.1428571428571428</v>
      </c>
      <c r="N24" s="49">
        <f>'Avg Week KYENJOJO-FORTPORTAL'!N24+'Avg Week FORTPORTAL-KYENJONJO'!N24</f>
        <v>0</v>
      </c>
      <c r="O24" s="15">
        <f t="shared" si="0"/>
        <v>17</v>
      </c>
      <c r="P24" s="15">
        <f t="shared" si="1"/>
        <v>19.142857142857142</v>
      </c>
      <c r="R24" s="1" t="s">
        <v>148</v>
      </c>
      <c r="S24" s="34">
        <f>SUM(C66:C69)</f>
        <v>2.5</v>
      </c>
      <c r="T24" s="34">
        <f t="shared" ref="T24:AF24" si="16">SUM(D66:D69)</f>
        <v>3.8249999999999997</v>
      </c>
      <c r="U24" s="34">
        <f t="shared" si="16"/>
        <v>4.6750000000000007</v>
      </c>
      <c r="V24" s="34">
        <f t="shared" si="16"/>
        <v>2</v>
      </c>
      <c r="W24" s="34">
        <f t="shared" si="16"/>
        <v>0</v>
      </c>
      <c r="X24" s="34">
        <f t="shared" si="16"/>
        <v>1.5</v>
      </c>
      <c r="Y24" s="34">
        <f t="shared" si="16"/>
        <v>13</v>
      </c>
      <c r="Z24" s="34">
        <f t="shared" si="16"/>
        <v>1</v>
      </c>
      <c r="AA24" s="34">
        <f t="shared" si="16"/>
        <v>0</v>
      </c>
      <c r="AB24" s="34">
        <f t="shared" si="16"/>
        <v>5</v>
      </c>
      <c r="AC24" s="34">
        <f t="shared" si="16"/>
        <v>2</v>
      </c>
      <c r="AD24" s="34">
        <f t="shared" si="16"/>
        <v>0</v>
      </c>
      <c r="AE24" s="31">
        <f t="shared" si="16"/>
        <v>33.5</v>
      </c>
      <c r="AF24" s="31">
        <f t="shared" si="16"/>
        <v>35.5</v>
      </c>
    </row>
    <row r="25" spans="2:32" ht="23.1" customHeight="1" x14ac:dyDescent="0.25">
      <c r="B25" s="23" t="s">
        <v>52</v>
      </c>
      <c r="C25" s="49">
        <f>'Avg Week KYENJOJO-FORTPORTAL'!C25+'Avg Week FORTPORTAL-KYENJONJO'!C25</f>
        <v>2.1428571428571428</v>
      </c>
      <c r="D25" s="49">
        <f>0.45*('Avg Week KYENJOJO-FORTPORTAL'!E25+'Avg Week FORTPORTAL-KYENJONJO'!E25)</f>
        <v>2.6357142857142861</v>
      </c>
      <c r="E25" s="49">
        <f>0.55*('Avg Week KYENJOJO-FORTPORTAL'!E25+'Avg Week FORTPORTAL-KYENJONJO'!E25)</f>
        <v>3.221428571428572</v>
      </c>
      <c r="F25" s="49">
        <f>'Avg Week KYENJOJO-FORTPORTAL'!F25+'Avg Week FORTPORTAL-KYENJONJO'!F25</f>
        <v>7.1428571428571423</v>
      </c>
      <c r="G25" s="49">
        <f>'Avg Week KYENJOJO-FORTPORTAL'!G25+'Avg Week FORTPORTAL-KYENJONJO'!G25</f>
        <v>0.14285714285714285</v>
      </c>
      <c r="H25" s="49">
        <f>'Avg Week KYENJOJO-FORTPORTAL'!H25+'Avg Week FORTPORTAL-KYENJONJO'!H25</f>
        <v>0.42857142857142855</v>
      </c>
      <c r="I25" s="49">
        <f>'Avg Week KYENJOJO-FORTPORTAL'!I25+'Avg Week FORTPORTAL-KYENJONJO'!I25</f>
        <v>2.4285714285714284</v>
      </c>
      <c r="J25" s="49">
        <f>'Avg Week KYENJOJO-FORTPORTAL'!J25+'Avg Week FORTPORTAL-KYENJONJO'!J25</f>
        <v>0.14285714285714285</v>
      </c>
      <c r="K25" s="49">
        <f>'Avg Week KYENJOJO-FORTPORTAL'!K25+'Avg Week FORTPORTAL-KYENJONJO'!K25</f>
        <v>0.14285714285714285</v>
      </c>
      <c r="L25" s="49">
        <f>'Avg Week KYENJOJO-FORTPORTAL'!L25+'Avg Week FORTPORTAL-KYENJONJO'!L25</f>
        <v>1.7142857142857144</v>
      </c>
      <c r="M25" s="49">
        <f>'Avg Week KYENJOJO-FORTPORTAL'!M25+'Avg Week FORTPORTAL-KYENJONJO'!M25</f>
        <v>3</v>
      </c>
      <c r="N25" s="49">
        <f>'Avg Week KYENJOJO-FORTPORTAL'!N25+'Avg Week FORTPORTAL-KYENJONJO'!N25</f>
        <v>0</v>
      </c>
      <c r="O25" s="15">
        <f t="shared" si="0"/>
        <v>20.142857142857142</v>
      </c>
      <c r="P25" s="15">
        <f t="shared" si="1"/>
        <v>23.142857142857142</v>
      </c>
      <c r="R25" s="1" t="s">
        <v>149</v>
      </c>
      <c r="S25" s="34">
        <f>SUM(C70:C73)</f>
        <v>6.5</v>
      </c>
      <c r="T25" s="34">
        <f t="shared" ref="T25:AF25" si="17">SUM(D70:D73)</f>
        <v>1.575</v>
      </c>
      <c r="U25" s="34">
        <f t="shared" si="17"/>
        <v>1.925</v>
      </c>
      <c r="V25" s="34">
        <f t="shared" si="17"/>
        <v>5.5</v>
      </c>
      <c r="W25" s="34">
        <f t="shared" si="17"/>
        <v>0.5</v>
      </c>
      <c r="X25" s="34">
        <f t="shared" si="17"/>
        <v>1</v>
      </c>
      <c r="Y25" s="34">
        <f t="shared" si="17"/>
        <v>14.5</v>
      </c>
      <c r="Z25" s="34">
        <f t="shared" si="17"/>
        <v>6.5</v>
      </c>
      <c r="AA25" s="34">
        <f t="shared" si="17"/>
        <v>0.5</v>
      </c>
      <c r="AB25" s="34">
        <f t="shared" si="17"/>
        <v>7</v>
      </c>
      <c r="AC25" s="34">
        <f t="shared" si="17"/>
        <v>2.5</v>
      </c>
      <c r="AD25" s="34">
        <f t="shared" si="17"/>
        <v>0</v>
      </c>
      <c r="AE25" s="31">
        <f t="shared" si="17"/>
        <v>45.5</v>
      </c>
      <c r="AF25" s="31">
        <f t="shared" si="17"/>
        <v>48</v>
      </c>
    </row>
    <row r="26" spans="2:32" ht="23.1" customHeight="1" x14ac:dyDescent="0.25">
      <c r="B26" s="23" t="s">
        <v>53</v>
      </c>
      <c r="C26" s="49">
        <f>'Avg Week KYENJOJO-FORTPORTAL'!C26+'Avg Week FORTPORTAL-KYENJONJO'!C26</f>
        <v>2.4285714285714288</v>
      </c>
      <c r="D26" s="49">
        <f>0.45*('Avg Week KYENJOJO-FORTPORTAL'!E26+'Avg Week FORTPORTAL-KYENJONJO'!E26)</f>
        <v>3.6642857142857141</v>
      </c>
      <c r="E26" s="49">
        <f>0.55*('Avg Week KYENJOJO-FORTPORTAL'!E26+'Avg Week FORTPORTAL-KYENJONJO'!E26)</f>
        <v>4.4785714285714286</v>
      </c>
      <c r="F26" s="49">
        <f>'Avg Week KYENJOJO-FORTPORTAL'!F26+'Avg Week FORTPORTAL-KYENJONJO'!F26</f>
        <v>4.5714285714285712</v>
      </c>
      <c r="G26" s="49">
        <f>'Avg Week KYENJOJO-FORTPORTAL'!G26+'Avg Week FORTPORTAL-KYENJONJO'!G26</f>
        <v>0.14285714285714285</v>
      </c>
      <c r="H26" s="49">
        <f>'Avg Week KYENJOJO-FORTPORTAL'!H26+'Avg Week FORTPORTAL-KYENJONJO'!H26</f>
        <v>0.7142857142857143</v>
      </c>
      <c r="I26" s="49">
        <f>'Avg Week KYENJOJO-FORTPORTAL'!I26+'Avg Week FORTPORTAL-KYENJONJO'!I26</f>
        <v>1.5714285714285714</v>
      </c>
      <c r="J26" s="49">
        <f>'Avg Week KYENJOJO-FORTPORTAL'!J26+'Avg Week FORTPORTAL-KYENJONJO'!J26</f>
        <v>0.14285714285714285</v>
      </c>
      <c r="K26" s="49">
        <f>'Avg Week KYENJOJO-FORTPORTAL'!K26+'Avg Week FORTPORTAL-KYENJONJO'!K26</f>
        <v>0.14285714285714285</v>
      </c>
      <c r="L26" s="49">
        <f>'Avg Week KYENJOJO-FORTPORTAL'!L26+'Avg Week FORTPORTAL-KYENJONJO'!L26</f>
        <v>0.8571428571428571</v>
      </c>
      <c r="M26" s="49">
        <f>'Avg Week KYENJOJO-FORTPORTAL'!M26+'Avg Week FORTPORTAL-KYENJONJO'!M26</f>
        <v>3.2857142857142856</v>
      </c>
      <c r="N26" s="49">
        <f>'Avg Week KYENJOJO-FORTPORTAL'!N26+'Avg Week FORTPORTAL-KYENJONJO'!N26</f>
        <v>0</v>
      </c>
      <c r="O26" s="15">
        <f t="shared" si="0"/>
        <v>18.714285714285715</v>
      </c>
      <c r="P26" s="15">
        <f t="shared" si="1"/>
        <v>22</v>
      </c>
      <c r="R26" s="1" t="s">
        <v>150</v>
      </c>
      <c r="S26" s="34">
        <f>SUM(C74:C77)</f>
        <v>4</v>
      </c>
      <c r="T26" s="34">
        <f t="shared" ref="T26:AF26" si="18">SUM(D74:D77)</f>
        <v>0.45</v>
      </c>
      <c r="U26" s="34">
        <f t="shared" si="18"/>
        <v>0.55000000000000004</v>
      </c>
      <c r="V26" s="34">
        <f t="shared" si="18"/>
        <v>1.5</v>
      </c>
      <c r="W26" s="34">
        <f t="shared" si="18"/>
        <v>0</v>
      </c>
      <c r="X26" s="34">
        <f t="shared" si="18"/>
        <v>2.5</v>
      </c>
      <c r="Y26" s="34">
        <f t="shared" si="18"/>
        <v>13.5</v>
      </c>
      <c r="Z26" s="34">
        <f t="shared" si="18"/>
        <v>1</v>
      </c>
      <c r="AA26" s="34">
        <f t="shared" si="18"/>
        <v>0</v>
      </c>
      <c r="AB26" s="34">
        <f t="shared" si="18"/>
        <v>2</v>
      </c>
      <c r="AC26" s="34">
        <f t="shared" si="18"/>
        <v>0</v>
      </c>
      <c r="AD26" s="34">
        <f t="shared" si="18"/>
        <v>0</v>
      </c>
      <c r="AE26" s="31">
        <f t="shared" si="18"/>
        <v>25.5</v>
      </c>
      <c r="AF26" s="31">
        <f t="shared" si="18"/>
        <v>25.5</v>
      </c>
    </row>
    <row r="27" spans="2:32" ht="23.1" customHeight="1" x14ac:dyDescent="0.25">
      <c r="B27" s="23" t="s">
        <v>54</v>
      </c>
      <c r="C27" s="49">
        <f>'Avg Week KYENJOJO-FORTPORTAL'!C27+'Avg Week FORTPORTAL-KYENJONJO'!C27</f>
        <v>2.4285714285714288</v>
      </c>
      <c r="D27" s="49">
        <f>0.45*('Avg Week KYENJOJO-FORTPORTAL'!E27+'Avg Week FORTPORTAL-KYENJONJO'!E27)</f>
        <v>2.5714285714285716</v>
      </c>
      <c r="E27" s="49">
        <f>0.55*('Avg Week KYENJOJO-FORTPORTAL'!E27+'Avg Week FORTPORTAL-KYENJONJO'!E27)</f>
        <v>3.1428571428571432</v>
      </c>
      <c r="F27" s="49">
        <f>'Avg Week KYENJOJO-FORTPORTAL'!F27+'Avg Week FORTPORTAL-KYENJONJO'!F27</f>
        <v>5.1428571428571423</v>
      </c>
      <c r="G27" s="49">
        <f>'Avg Week KYENJOJO-FORTPORTAL'!G27+'Avg Week FORTPORTAL-KYENJONJO'!G27</f>
        <v>0</v>
      </c>
      <c r="H27" s="49">
        <f>'Avg Week KYENJOJO-FORTPORTAL'!H27+'Avg Week FORTPORTAL-KYENJONJO'!H27</f>
        <v>0.85714285714285721</v>
      </c>
      <c r="I27" s="49">
        <f>'Avg Week KYENJOJO-FORTPORTAL'!I27+'Avg Week FORTPORTAL-KYENJONJO'!I27</f>
        <v>1.1428571428571428</v>
      </c>
      <c r="J27" s="49">
        <f>'Avg Week KYENJOJO-FORTPORTAL'!J27+'Avg Week FORTPORTAL-KYENJONJO'!J27</f>
        <v>0.14285714285714285</v>
      </c>
      <c r="K27" s="49">
        <f>'Avg Week KYENJOJO-FORTPORTAL'!K27+'Avg Week FORTPORTAL-KYENJONJO'!K27</f>
        <v>0</v>
      </c>
      <c r="L27" s="49">
        <f>'Avg Week KYENJOJO-FORTPORTAL'!L27+'Avg Week FORTPORTAL-KYENJONJO'!L27</f>
        <v>0.8571428571428571</v>
      </c>
      <c r="M27" s="49">
        <f>'Avg Week KYENJOJO-FORTPORTAL'!M27+'Avg Week FORTPORTAL-KYENJONJO'!M27</f>
        <v>3</v>
      </c>
      <c r="N27" s="49">
        <f>'Avg Week KYENJOJO-FORTPORTAL'!N27+'Avg Week FORTPORTAL-KYENJONJO'!N27</f>
        <v>0</v>
      </c>
      <c r="O27" s="15">
        <f t="shared" si="0"/>
        <v>16.285714285714285</v>
      </c>
      <c r="P27" s="15">
        <f t="shared" si="1"/>
        <v>19.285714285714285</v>
      </c>
      <c r="R27" s="1" t="s">
        <v>151</v>
      </c>
      <c r="S27" s="34">
        <f>SUM(C78:C81)</f>
        <v>0.5</v>
      </c>
      <c r="T27" s="34">
        <f t="shared" ref="T27:AF27" si="19">SUM(D78:D81)</f>
        <v>1.8</v>
      </c>
      <c r="U27" s="34">
        <f t="shared" si="19"/>
        <v>2.2000000000000002</v>
      </c>
      <c r="V27" s="34">
        <f t="shared" si="19"/>
        <v>2</v>
      </c>
      <c r="W27" s="34">
        <f t="shared" si="19"/>
        <v>0</v>
      </c>
      <c r="X27" s="34">
        <f t="shared" si="19"/>
        <v>2.5</v>
      </c>
      <c r="Y27" s="34">
        <f t="shared" si="19"/>
        <v>15</v>
      </c>
      <c r="Z27" s="34">
        <f t="shared" si="19"/>
        <v>0</v>
      </c>
      <c r="AA27" s="34">
        <f t="shared" si="19"/>
        <v>1.5</v>
      </c>
      <c r="AB27" s="34">
        <f t="shared" si="19"/>
        <v>4</v>
      </c>
      <c r="AC27" s="34">
        <f t="shared" si="19"/>
        <v>0</v>
      </c>
      <c r="AD27" s="34">
        <f t="shared" si="19"/>
        <v>0</v>
      </c>
      <c r="AE27" s="31">
        <f t="shared" si="19"/>
        <v>29.5</v>
      </c>
      <c r="AF27" s="31">
        <f t="shared" si="19"/>
        <v>29.5</v>
      </c>
    </row>
    <row r="28" spans="2:32" ht="23.1" customHeight="1" x14ac:dyDescent="0.25">
      <c r="B28" s="23" t="s">
        <v>55</v>
      </c>
      <c r="C28" s="49">
        <f>'Avg Week KYENJOJO-FORTPORTAL'!C28+'Avg Week FORTPORTAL-KYENJONJO'!C28</f>
        <v>1.5714285714285714</v>
      </c>
      <c r="D28" s="49">
        <f>0.45*('Avg Week KYENJOJO-FORTPORTAL'!E28+'Avg Week FORTPORTAL-KYENJONJO'!E28)</f>
        <v>2.7</v>
      </c>
      <c r="E28" s="49">
        <f>0.55*('Avg Week KYENJOJO-FORTPORTAL'!E28+'Avg Week FORTPORTAL-KYENJONJO'!E28)</f>
        <v>3.3000000000000003</v>
      </c>
      <c r="F28" s="49">
        <f>'Avg Week KYENJOJO-FORTPORTAL'!F28+'Avg Week FORTPORTAL-KYENJONJO'!F28</f>
        <v>4</v>
      </c>
      <c r="G28" s="49">
        <f>'Avg Week KYENJOJO-FORTPORTAL'!G28+'Avg Week FORTPORTAL-KYENJONJO'!G28</f>
        <v>0</v>
      </c>
      <c r="H28" s="49">
        <f>'Avg Week KYENJOJO-FORTPORTAL'!H28+'Avg Week FORTPORTAL-KYENJONJO'!H28</f>
        <v>0.5714285714285714</v>
      </c>
      <c r="I28" s="49">
        <f>'Avg Week KYENJOJO-FORTPORTAL'!I28+'Avg Week FORTPORTAL-KYENJONJO'!I28</f>
        <v>1.4285714285714286</v>
      </c>
      <c r="J28" s="49">
        <f>'Avg Week KYENJOJO-FORTPORTAL'!J28+'Avg Week FORTPORTAL-KYENJONJO'!J28</f>
        <v>0</v>
      </c>
      <c r="K28" s="49">
        <f>'Avg Week KYENJOJO-FORTPORTAL'!K28+'Avg Week FORTPORTAL-KYENJONJO'!K28</f>
        <v>0</v>
      </c>
      <c r="L28" s="49">
        <f>'Avg Week KYENJOJO-FORTPORTAL'!L28+'Avg Week FORTPORTAL-KYENJONJO'!L28</f>
        <v>1</v>
      </c>
      <c r="M28" s="49">
        <f>'Avg Week KYENJOJO-FORTPORTAL'!M28+'Avg Week FORTPORTAL-KYENJONJO'!M28</f>
        <v>2.8571428571428572</v>
      </c>
      <c r="N28" s="49">
        <f>'Avg Week KYENJOJO-FORTPORTAL'!N28+'Avg Week FORTPORTAL-KYENJONJO'!N28</f>
        <v>0</v>
      </c>
      <c r="O28" s="15">
        <f t="shared" si="0"/>
        <v>14.571428571428571</v>
      </c>
      <c r="P28" s="15">
        <f t="shared" si="1"/>
        <v>17.428571428571427</v>
      </c>
      <c r="R28" s="1" t="s">
        <v>152</v>
      </c>
      <c r="S28" s="34">
        <f>SUM(C82:C85)</f>
        <v>1</v>
      </c>
      <c r="T28" s="34">
        <f t="shared" ref="T28:AF28" si="20">SUM(D82:D85)</f>
        <v>1.35</v>
      </c>
      <c r="U28" s="34">
        <f t="shared" si="20"/>
        <v>1.6500000000000001</v>
      </c>
      <c r="V28" s="34">
        <f t="shared" si="20"/>
        <v>0.5</v>
      </c>
      <c r="W28" s="34">
        <f t="shared" si="20"/>
        <v>0</v>
      </c>
      <c r="X28" s="34">
        <f t="shared" si="20"/>
        <v>1</v>
      </c>
      <c r="Y28" s="34">
        <f t="shared" si="20"/>
        <v>13.5</v>
      </c>
      <c r="Z28" s="34">
        <f t="shared" si="20"/>
        <v>0</v>
      </c>
      <c r="AA28" s="34">
        <f t="shared" si="20"/>
        <v>2</v>
      </c>
      <c r="AB28" s="34">
        <f t="shared" si="20"/>
        <v>4</v>
      </c>
      <c r="AC28" s="34">
        <f t="shared" si="20"/>
        <v>0</v>
      </c>
      <c r="AD28" s="34">
        <f t="shared" si="20"/>
        <v>0</v>
      </c>
      <c r="AE28" s="31">
        <f t="shared" si="20"/>
        <v>25</v>
      </c>
      <c r="AF28" s="31">
        <f t="shared" si="20"/>
        <v>25</v>
      </c>
    </row>
    <row r="29" spans="2:32" ht="23.1" customHeight="1" x14ac:dyDescent="0.25">
      <c r="B29" s="23" t="s">
        <v>56</v>
      </c>
      <c r="C29" s="49">
        <f>'Avg Week KYENJOJO-FORTPORTAL'!C29+'Avg Week FORTPORTAL-KYENJONJO'!C29</f>
        <v>1.5714285714285714</v>
      </c>
      <c r="D29" s="49">
        <f>0.45*('Avg Week KYENJOJO-FORTPORTAL'!E29+'Avg Week FORTPORTAL-KYENJONJO'!E29)</f>
        <v>1.8</v>
      </c>
      <c r="E29" s="49">
        <f>0.55*('Avg Week KYENJOJO-FORTPORTAL'!E29+'Avg Week FORTPORTAL-KYENJONJO'!E29)</f>
        <v>2.2000000000000002</v>
      </c>
      <c r="F29" s="49">
        <f>'Avg Week KYENJOJO-FORTPORTAL'!F29+'Avg Week FORTPORTAL-KYENJONJO'!F29</f>
        <v>2.8571428571428572</v>
      </c>
      <c r="G29" s="49">
        <f>'Avg Week KYENJOJO-FORTPORTAL'!G29+'Avg Week FORTPORTAL-KYENJONJO'!G29</f>
        <v>0</v>
      </c>
      <c r="H29" s="49">
        <f>'Avg Week KYENJOJO-FORTPORTAL'!H29+'Avg Week FORTPORTAL-KYENJONJO'!H29</f>
        <v>0.2857142857142857</v>
      </c>
      <c r="I29" s="49">
        <f>'Avg Week KYENJOJO-FORTPORTAL'!I29+'Avg Week FORTPORTAL-KYENJONJO'!I29</f>
        <v>1.8571428571428572</v>
      </c>
      <c r="J29" s="49">
        <f>'Avg Week KYENJOJO-FORTPORTAL'!J29+'Avg Week FORTPORTAL-KYENJONJO'!J29</f>
        <v>0.14285714285714285</v>
      </c>
      <c r="K29" s="49">
        <f>'Avg Week KYENJOJO-FORTPORTAL'!K29+'Avg Week FORTPORTAL-KYENJONJO'!K29</f>
        <v>0</v>
      </c>
      <c r="L29" s="49">
        <f>'Avg Week KYENJOJO-FORTPORTAL'!L29+'Avg Week FORTPORTAL-KYENJONJO'!L29</f>
        <v>1.1428571428571428</v>
      </c>
      <c r="M29" s="49">
        <f>'Avg Week KYENJOJO-FORTPORTAL'!M29+'Avg Week FORTPORTAL-KYENJONJO'!M29</f>
        <v>3.2857142857142856</v>
      </c>
      <c r="N29" s="49">
        <f>'Avg Week KYENJOJO-FORTPORTAL'!N29+'Avg Week FORTPORTAL-KYENJONJO'!N29</f>
        <v>0</v>
      </c>
      <c r="O29" s="15">
        <f t="shared" si="0"/>
        <v>11.857142857142858</v>
      </c>
      <c r="P29" s="15">
        <f t="shared" si="1"/>
        <v>15.142857142857142</v>
      </c>
      <c r="R29" s="1" t="s">
        <v>153</v>
      </c>
      <c r="S29" s="34">
        <f>SUM(C86:C89)</f>
        <v>1.5</v>
      </c>
      <c r="T29" s="34">
        <f t="shared" ref="T29:AF29" si="21">SUM(D86:D89)</f>
        <v>1.125</v>
      </c>
      <c r="U29" s="34">
        <f t="shared" si="21"/>
        <v>1.375</v>
      </c>
      <c r="V29" s="34">
        <f t="shared" si="21"/>
        <v>0.5</v>
      </c>
      <c r="W29" s="34">
        <f t="shared" si="21"/>
        <v>0.5</v>
      </c>
      <c r="X29" s="34">
        <f t="shared" si="21"/>
        <v>0.5</v>
      </c>
      <c r="Y29" s="34">
        <f t="shared" si="21"/>
        <v>8</v>
      </c>
      <c r="Z29" s="34">
        <f t="shared" si="21"/>
        <v>0</v>
      </c>
      <c r="AA29" s="34">
        <f t="shared" si="21"/>
        <v>0</v>
      </c>
      <c r="AB29" s="34">
        <f t="shared" si="21"/>
        <v>5</v>
      </c>
      <c r="AC29" s="34">
        <f t="shared" si="21"/>
        <v>0</v>
      </c>
      <c r="AD29" s="34">
        <f t="shared" si="21"/>
        <v>0</v>
      </c>
      <c r="AE29" s="31">
        <f t="shared" si="21"/>
        <v>18.5</v>
      </c>
      <c r="AF29" s="31">
        <f t="shared" si="21"/>
        <v>18.5</v>
      </c>
    </row>
    <row r="30" spans="2:32" ht="23.1" customHeight="1" x14ac:dyDescent="0.25">
      <c r="B30" s="23" t="s">
        <v>57</v>
      </c>
      <c r="C30" s="49">
        <f>'Avg Week KYENJOJO-FORTPORTAL'!C30+'Avg Week FORTPORTAL-KYENJONJO'!C30</f>
        <v>1.7142857142857144</v>
      </c>
      <c r="D30" s="49">
        <f>0.45*('Avg Week KYENJOJO-FORTPORTAL'!E30+'Avg Week FORTPORTAL-KYENJONJO'!E30)</f>
        <v>2.3785714285714286</v>
      </c>
      <c r="E30" s="49">
        <f>0.55*('Avg Week KYENJOJO-FORTPORTAL'!E30+'Avg Week FORTPORTAL-KYENJONJO'!E30)</f>
        <v>2.9071428571428575</v>
      </c>
      <c r="F30" s="49">
        <f>'Avg Week KYENJOJO-FORTPORTAL'!F30+'Avg Week FORTPORTAL-KYENJONJO'!F30</f>
        <v>4.7142857142857144</v>
      </c>
      <c r="G30" s="49">
        <f>'Avg Week KYENJOJO-FORTPORTAL'!G30+'Avg Week FORTPORTAL-KYENJONJO'!G30</f>
        <v>0.14285714285714285</v>
      </c>
      <c r="H30" s="49">
        <f>'Avg Week KYENJOJO-FORTPORTAL'!H30+'Avg Week FORTPORTAL-KYENJONJO'!H30</f>
        <v>1.1428571428571428</v>
      </c>
      <c r="I30" s="49">
        <f>'Avg Week KYENJOJO-FORTPORTAL'!I30+'Avg Week FORTPORTAL-KYENJONJO'!I30</f>
        <v>1.5714285714285714</v>
      </c>
      <c r="J30" s="49">
        <f>'Avg Week KYENJOJO-FORTPORTAL'!J30+'Avg Week FORTPORTAL-KYENJONJO'!J30</f>
        <v>0.2857142857142857</v>
      </c>
      <c r="K30" s="49">
        <f>'Avg Week KYENJOJO-FORTPORTAL'!K30+'Avg Week FORTPORTAL-KYENJONJO'!K30</f>
        <v>0</v>
      </c>
      <c r="L30" s="49">
        <f>'Avg Week KYENJOJO-FORTPORTAL'!L30+'Avg Week FORTPORTAL-KYENJONJO'!L30</f>
        <v>0.8571428571428571</v>
      </c>
      <c r="M30" s="49">
        <f>'Avg Week KYENJOJO-FORTPORTAL'!M30+'Avg Week FORTPORTAL-KYENJONJO'!M30</f>
        <v>2</v>
      </c>
      <c r="N30" s="49">
        <f>'Avg Week KYENJOJO-FORTPORTAL'!N30+'Avg Week FORTPORTAL-KYENJONJO'!N30</f>
        <v>0</v>
      </c>
      <c r="O30" s="15">
        <f t="shared" si="0"/>
        <v>15.714285714285715</v>
      </c>
      <c r="P30" s="15">
        <f t="shared" si="1"/>
        <v>17.714285714285715</v>
      </c>
      <c r="R30" s="1" t="s">
        <v>154</v>
      </c>
      <c r="S30" s="34">
        <f>SUM(C90:C93)</f>
        <v>1</v>
      </c>
      <c r="T30" s="34">
        <f t="shared" ref="T30:AF30" si="22">SUM(D90:D93)</f>
        <v>0.22500000000000001</v>
      </c>
      <c r="U30" s="34">
        <f t="shared" si="22"/>
        <v>0.27500000000000002</v>
      </c>
      <c r="V30" s="34">
        <f t="shared" si="22"/>
        <v>0</v>
      </c>
      <c r="W30" s="34">
        <f t="shared" si="22"/>
        <v>0</v>
      </c>
      <c r="X30" s="34">
        <f t="shared" si="22"/>
        <v>0.5</v>
      </c>
      <c r="Y30" s="34">
        <f t="shared" si="22"/>
        <v>5</v>
      </c>
      <c r="Z30" s="34">
        <f t="shared" si="22"/>
        <v>0</v>
      </c>
      <c r="AA30" s="34">
        <f t="shared" si="22"/>
        <v>0</v>
      </c>
      <c r="AB30" s="34">
        <f t="shared" si="22"/>
        <v>2</v>
      </c>
      <c r="AC30" s="34">
        <f t="shared" si="22"/>
        <v>0</v>
      </c>
      <c r="AD30" s="34">
        <f t="shared" si="22"/>
        <v>0</v>
      </c>
      <c r="AE30" s="31">
        <f t="shared" si="22"/>
        <v>9</v>
      </c>
      <c r="AF30" s="31">
        <f t="shared" si="22"/>
        <v>9</v>
      </c>
    </row>
    <row r="31" spans="2:32" ht="23.1" customHeight="1" x14ac:dyDescent="0.25">
      <c r="B31" s="24" t="s">
        <v>58</v>
      </c>
      <c r="C31" s="49">
        <f>'Avg Week KYENJOJO-FORTPORTAL'!C31+'Avg Week FORTPORTAL-KYENJONJO'!C31</f>
        <v>3.2857142857142856</v>
      </c>
      <c r="D31" s="49">
        <f>0.45*('Avg Week KYENJOJO-FORTPORTAL'!E31+'Avg Week FORTPORTAL-KYENJONJO'!E31)</f>
        <v>1.9285714285714286</v>
      </c>
      <c r="E31" s="49">
        <f>0.55*('Avg Week KYENJOJO-FORTPORTAL'!E31+'Avg Week FORTPORTAL-KYENJONJO'!E31)</f>
        <v>2.3571428571428572</v>
      </c>
      <c r="F31" s="49">
        <f>'Avg Week KYENJOJO-FORTPORTAL'!F31+'Avg Week FORTPORTAL-KYENJONJO'!F31</f>
        <v>4.5714285714285712</v>
      </c>
      <c r="G31" s="49">
        <f>'Avg Week KYENJOJO-FORTPORTAL'!G31+'Avg Week FORTPORTAL-KYENJONJO'!G31</f>
        <v>0.2857142857142857</v>
      </c>
      <c r="H31" s="49">
        <f>'Avg Week KYENJOJO-FORTPORTAL'!H31+'Avg Week FORTPORTAL-KYENJONJO'!H31</f>
        <v>0.8571428571428571</v>
      </c>
      <c r="I31" s="49">
        <f>'Avg Week KYENJOJO-FORTPORTAL'!I31+'Avg Week FORTPORTAL-KYENJONJO'!I31</f>
        <v>1.4285714285714284</v>
      </c>
      <c r="J31" s="49">
        <f>'Avg Week KYENJOJO-FORTPORTAL'!J31+'Avg Week FORTPORTAL-KYENJONJO'!J31</f>
        <v>0.71428571428571419</v>
      </c>
      <c r="K31" s="49">
        <f>'Avg Week KYENJOJO-FORTPORTAL'!K31+'Avg Week FORTPORTAL-KYENJONJO'!K31</f>
        <v>0</v>
      </c>
      <c r="L31" s="49">
        <f>'Avg Week KYENJOJO-FORTPORTAL'!L31+'Avg Week FORTPORTAL-KYENJONJO'!L31</f>
        <v>0.71428571428571419</v>
      </c>
      <c r="M31" s="49">
        <f>'Avg Week KYENJOJO-FORTPORTAL'!M31+'Avg Week FORTPORTAL-KYENJONJO'!M31</f>
        <v>3.2857142857142856</v>
      </c>
      <c r="N31" s="49">
        <f>'Avg Week KYENJOJO-FORTPORTAL'!N31+'Avg Week FORTPORTAL-KYENJONJO'!N31</f>
        <v>0</v>
      </c>
      <c r="O31" s="15">
        <f t="shared" si="0"/>
        <v>16.142857142857142</v>
      </c>
      <c r="P31" s="15">
        <f t="shared" si="1"/>
        <v>19.428571428571427</v>
      </c>
      <c r="R31" s="1" t="s">
        <v>155</v>
      </c>
      <c r="S31" s="34">
        <f>SUM(C94:C97)</f>
        <v>0.5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2</v>
      </c>
      <c r="W31" s="34">
        <f t="shared" si="23"/>
        <v>0.5</v>
      </c>
      <c r="X31" s="34">
        <f t="shared" si="23"/>
        <v>0</v>
      </c>
      <c r="Y31" s="34">
        <f t="shared" si="23"/>
        <v>6.5</v>
      </c>
      <c r="Z31" s="34">
        <f t="shared" si="23"/>
        <v>0</v>
      </c>
      <c r="AA31" s="34">
        <f t="shared" si="23"/>
        <v>0</v>
      </c>
      <c r="AB31" s="34">
        <f t="shared" si="23"/>
        <v>1.5</v>
      </c>
      <c r="AC31" s="34">
        <f t="shared" si="23"/>
        <v>0.5</v>
      </c>
      <c r="AD31" s="34">
        <f t="shared" si="23"/>
        <v>0</v>
      </c>
      <c r="AE31" s="31">
        <f t="shared" si="23"/>
        <v>11</v>
      </c>
      <c r="AF31" s="31">
        <f t="shared" si="23"/>
        <v>11.5</v>
      </c>
    </row>
    <row r="32" spans="2:32" ht="23.1" customHeight="1" x14ac:dyDescent="0.25">
      <c r="B32" s="24" t="s">
        <v>59</v>
      </c>
      <c r="C32" s="49">
        <f>'Avg Week KYENJOJO-FORTPORTAL'!C32+'Avg Week FORTPORTAL-KYENJONJO'!C32</f>
        <v>2.2857142857142856</v>
      </c>
      <c r="D32" s="49">
        <f>0.45*('Avg Week KYENJOJO-FORTPORTAL'!E32+'Avg Week FORTPORTAL-KYENJONJO'!E32)</f>
        <v>1.4785714285714286</v>
      </c>
      <c r="E32" s="49">
        <f>0.55*('Avg Week KYENJOJO-FORTPORTAL'!E32+'Avg Week FORTPORTAL-KYENJONJO'!E32)</f>
        <v>1.8071428571428572</v>
      </c>
      <c r="F32" s="49">
        <f>'Avg Week KYENJOJO-FORTPORTAL'!F32+'Avg Week FORTPORTAL-KYENJONJO'!F32</f>
        <v>4.5714285714285712</v>
      </c>
      <c r="G32" s="49">
        <f>'Avg Week KYENJOJO-FORTPORTAL'!G32+'Avg Week FORTPORTAL-KYENJONJO'!G32</f>
        <v>0</v>
      </c>
      <c r="H32" s="49">
        <f>'Avg Week KYENJOJO-FORTPORTAL'!H32+'Avg Week FORTPORTAL-KYENJONJO'!H32</f>
        <v>1.4285714285714284</v>
      </c>
      <c r="I32" s="49">
        <f>'Avg Week KYENJOJO-FORTPORTAL'!I32+'Avg Week FORTPORTAL-KYENJONJO'!I32</f>
        <v>1.7142857142857142</v>
      </c>
      <c r="J32" s="49">
        <f>'Avg Week KYENJOJO-FORTPORTAL'!J32+'Avg Week FORTPORTAL-KYENJONJO'!J32</f>
        <v>0.42857142857142855</v>
      </c>
      <c r="K32" s="49">
        <f>'Avg Week KYENJOJO-FORTPORTAL'!K32+'Avg Week FORTPORTAL-KYENJONJO'!K32</f>
        <v>0</v>
      </c>
      <c r="L32" s="49">
        <f>'Avg Week KYENJOJO-FORTPORTAL'!L32+'Avg Week FORTPORTAL-KYENJONJO'!L32</f>
        <v>1.5714285714285714</v>
      </c>
      <c r="M32" s="49">
        <f>'Avg Week KYENJOJO-FORTPORTAL'!M32+'Avg Week FORTPORTAL-KYENJONJO'!M32</f>
        <v>1.7142857142857144</v>
      </c>
      <c r="N32" s="49">
        <f>'Avg Week KYENJOJO-FORTPORTAL'!N32+'Avg Week FORTPORTAL-KYENJONJO'!N32</f>
        <v>0</v>
      </c>
      <c r="O32" s="15">
        <f t="shared" si="0"/>
        <v>15.285714285714285</v>
      </c>
      <c r="P32" s="15">
        <f t="shared" si="1"/>
        <v>17</v>
      </c>
      <c r="R32" s="1" t="s">
        <v>156</v>
      </c>
      <c r="S32" s="34">
        <f>SUM(C98:C101)</f>
        <v>0.5</v>
      </c>
      <c r="T32" s="34">
        <f t="shared" ref="T32:AF32" si="24">SUM(D98:D101)</f>
        <v>0.9</v>
      </c>
      <c r="U32" s="34">
        <f t="shared" si="24"/>
        <v>1.1000000000000001</v>
      </c>
      <c r="V32" s="34">
        <f t="shared" si="24"/>
        <v>2.5</v>
      </c>
      <c r="W32" s="34">
        <f t="shared" si="24"/>
        <v>0</v>
      </c>
      <c r="X32" s="34">
        <f t="shared" si="24"/>
        <v>0</v>
      </c>
      <c r="Y32" s="34">
        <f t="shared" si="24"/>
        <v>5.5</v>
      </c>
      <c r="Z32" s="34">
        <f t="shared" si="24"/>
        <v>0.5</v>
      </c>
      <c r="AA32" s="34">
        <f t="shared" si="24"/>
        <v>0</v>
      </c>
      <c r="AB32" s="34">
        <f t="shared" si="24"/>
        <v>4.5</v>
      </c>
      <c r="AC32" s="34">
        <f t="shared" si="24"/>
        <v>0</v>
      </c>
      <c r="AD32" s="34">
        <f t="shared" si="24"/>
        <v>0</v>
      </c>
      <c r="AE32" s="31">
        <f t="shared" si="24"/>
        <v>15.5</v>
      </c>
      <c r="AF32" s="31">
        <f t="shared" si="24"/>
        <v>15.5</v>
      </c>
    </row>
    <row r="33" spans="2:32" ht="23.1" customHeight="1" x14ac:dyDescent="0.25">
      <c r="B33" s="23" t="s">
        <v>60</v>
      </c>
      <c r="C33" s="49">
        <f>'Avg Week KYENJOJO-FORTPORTAL'!C33+'Avg Week FORTPORTAL-KYENJONJO'!C33</f>
        <v>2.2857142857142856</v>
      </c>
      <c r="D33" s="49">
        <f>0.45*('Avg Week KYENJOJO-FORTPORTAL'!E33+'Avg Week FORTPORTAL-KYENJONJO'!E33)</f>
        <v>2.121428571428571</v>
      </c>
      <c r="E33" s="49">
        <f>0.55*('Avg Week KYENJOJO-FORTPORTAL'!E33+'Avg Week FORTPORTAL-KYENJONJO'!E33)</f>
        <v>2.5928571428571425</v>
      </c>
      <c r="F33" s="49">
        <f>'Avg Week KYENJOJO-FORTPORTAL'!F33+'Avg Week FORTPORTAL-KYENJONJO'!F33</f>
        <v>4.2857142857142856</v>
      </c>
      <c r="G33" s="49">
        <f>'Avg Week KYENJOJO-FORTPORTAL'!G33+'Avg Week FORTPORTAL-KYENJONJO'!G33</f>
        <v>0.42857142857142855</v>
      </c>
      <c r="H33" s="49">
        <f>'Avg Week KYENJOJO-FORTPORTAL'!H33+'Avg Week FORTPORTAL-KYENJONJO'!H33</f>
        <v>1</v>
      </c>
      <c r="I33" s="49">
        <f>'Avg Week KYENJOJO-FORTPORTAL'!I33+'Avg Week FORTPORTAL-KYENJONJO'!I33</f>
        <v>1.5714285714285714</v>
      </c>
      <c r="J33" s="49">
        <f>'Avg Week KYENJOJO-FORTPORTAL'!J33+'Avg Week FORTPORTAL-KYENJONJO'!J33</f>
        <v>0.42857142857142855</v>
      </c>
      <c r="K33" s="49">
        <f>'Avg Week KYENJOJO-FORTPORTAL'!K33+'Avg Week FORTPORTAL-KYENJONJO'!K33</f>
        <v>0</v>
      </c>
      <c r="L33" s="49">
        <f>'Avg Week KYENJOJO-FORTPORTAL'!L33+'Avg Week FORTPORTAL-KYENJONJO'!L33</f>
        <v>0.5714285714285714</v>
      </c>
      <c r="M33" s="49">
        <f>'Avg Week KYENJOJO-FORTPORTAL'!M33+'Avg Week FORTPORTAL-KYENJONJO'!M33</f>
        <v>2.2857142857142856</v>
      </c>
      <c r="N33" s="49">
        <f>'Avg Week KYENJOJO-FORTPORTAL'!N33+'Avg Week FORTPORTAL-KYENJONJO'!N33</f>
        <v>0</v>
      </c>
      <c r="O33" s="15">
        <f t="shared" si="0"/>
        <v>15.285714285714285</v>
      </c>
      <c r="P33" s="15">
        <f t="shared" si="1"/>
        <v>17.571428571428569</v>
      </c>
      <c r="R33" s="1" t="s">
        <v>157</v>
      </c>
      <c r="S33" s="34">
        <f>SUM(C102:C105)</f>
        <v>4.5</v>
      </c>
      <c r="T33" s="34">
        <f t="shared" ref="T33:AF33" si="25">SUM(D102:D105)</f>
        <v>2.7</v>
      </c>
      <c r="U33" s="34">
        <f t="shared" si="25"/>
        <v>3.3</v>
      </c>
      <c r="V33" s="34">
        <f t="shared" si="25"/>
        <v>2.5</v>
      </c>
      <c r="W33" s="34">
        <f t="shared" si="25"/>
        <v>0</v>
      </c>
      <c r="X33" s="34">
        <f t="shared" si="25"/>
        <v>0</v>
      </c>
      <c r="Y33" s="34">
        <f t="shared" si="25"/>
        <v>4</v>
      </c>
      <c r="Z33" s="34">
        <f t="shared" si="25"/>
        <v>1</v>
      </c>
      <c r="AA33" s="34">
        <f t="shared" si="25"/>
        <v>0</v>
      </c>
      <c r="AB33" s="34">
        <f t="shared" si="25"/>
        <v>2</v>
      </c>
      <c r="AC33" s="34">
        <f t="shared" si="25"/>
        <v>4</v>
      </c>
      <c r="AD33" s="34">
        <f t="shared" si="25"/>
        <v>0</v>
      </c>
      <c r="AE33" s="31">
        <f t="shared" si="25"/>
        <v>20</v>
      </c>
      <c r="AF33" s="31">
        <f t="shared" si="25"/>
        <v>24</v>
      </c>
    </row>
    <row r="34" spans="2:32" ht="23.1" customHeight="1" x14ac:dyDescent="0.25">
      <c r="B34" s="24" t="s">
        <v>61</v>
      </c>
      <c r="C34" s="49">
        <f>'Avg Week KYENJOJO-FORTPORTAL'!C34+'Avg Week FORTPORTAL-KYENJONJO'!C34</f>
        <v>3.5714285714285712</v>
      </c>
      <c r="D34" s="49">
        <f>0.45*('Avg Week KYENJOJO-FORTPORTAL'!E34+'Avg Week FORTPORTAL-KYENJONJO'!E34)</f>
        <v>1.9928571428571431</v>
      </c>
      <c r="E34" s="49">
        <f>0.55*('Avg Week KYENJOJO-FORTPORTAL'!E34+'Avg Week FORTPORTAL-KYENJONJO'!E34)</f>
        <v>2.4357142857142859</v>
      </c>
      <c r="F34" s="49">
        <f>'Avg Week KYENJOJO-FORTPORTAL'!F34+'Avg Week FORTPORTAL-KYENJONJO'!F34</f>
        <v>5</v>
      </c>
      <c r="G34" s="49">
        <f>'Avg Week KYENJOJO-FORTPORTAL'!G34+'Avg Week FORTPORTAL-KYENJONJO'!G34</f>
        <v>0</v>
      </c>
      <c r="H34" s="49">
        <f>'Avg Week KYENJOJO-FORTPORTAL'!H34+'Avg Week FORTPORTAL-KYENJONJO'!H34</f>
        <v>0.71428571428571419</v>
      </c>
      <c r="I34" s="49">
        <f>'Avg Week KYENJOJO-FORTPORTAL'!I34+'Avg Week FORTPORTAL-KYENJONJO'!I34</f>
        <v>1.7142857142857144</v>
      </c>
      <c r="J34" s="49">
        <f>'Avg Week KYENJOJO-FORTPORTAL'!J34+'Avg Week FORTPORTAL-KYENJONJO'!J34</f>
        <v>0.71428571428571419</v>
      </c>
      <c r="K34" s="49">
        <f>'Avg Week KYENJOJO-FORTPORTAL'!K34+'Avg Week FORTPORTAL-KYENJONJO'!K34</f>
        <v>0.14285714285714285</v>
      </c>
      <c r="L34" s="49">
        <f>'Avg Week KYENJOJO-FORTPORTAL'!L34+'Avg Week FORTPORTAL-KYENJONJO'!L34</f>
        <v>1.1428571428571428</v>
      </c>
      <c r="M34" s="49">
        <f>'Avg Week KYENJOJO-FORTPORTAL'!M34+'Avg Week FORTPORTAL-KYENJONJO'!M34</f>
        <v>2.2857142857142856</v>
      </c>
      <c r="N34" s="49">
        <f>'Avg Week KYENJOJO-FORTPORTAL'!N34+'Avg Week FORTPORTAL-KYENJONJO'!N34</f>
        <v>0</v>
      </c>
      <c r="O34" s="15">
        <f t="shared" si="0"/>
        <v>17.428571428571427</v>
      </c>
      <c r="P34" s="15">
        <f t="shared" si="1"/>
        <v>19.714285714285712</v>
      </c>
      <c r="R34" s="38" t="s">
        <v>90</v>
      </c>
      <c r="S34" s="39">
        <f t="shared" ref="S34:AF34" si="26">MAX(S10:S12)</f>
        <v>10.714285714285714</v>
      </c>
      <c r="T34" s="39">
        <f t="shared" si="26"/>
        <v>7.9071428571428566</v>
      </c>
      <c r="U34" s="39">
        <f t="shared" si="26"/>
        <v>9.6642857142857146</v>
      </c>
      <c r="V34" s="39">
        <f t="shared" si="26"/>
        <v>13.857142857142858</v>
      </c>
      <c r="W34" s="39">
        <f t="shared" si="26"/>
        <v>0.5714285714285714</v>
      </c>
      <c r="X34" s="39">
        <f t="shared" si="26"/>
        <v>2.1428571428571428</v>
      </c>
      <c r="Y34" s="39">
        <f t="shared" si="26"/>
        <v>6.2857142857142856</v>
      </c>
      <c r="Z34" s="39">
        <f t="shared" si="26"/>
        <v>1.714285714285714</v>
      </c>
      <c r="AA34" s="39">
        <f t="shared" si="26"/>
        <v>1.4285714285714284</v>
      </c>
      <c r="AB34" s="39">
        <f t="shared" si="26"/>
        <v>6.1428571428571423</v>
      </c>
      <c r="AC34" s="39">
        <f t="shared" si="26"/>
        <v>9.428571428571427</v>
      </c>
      <c r="AD34" s="39">
        <f t="shared" si="26"/>
        <v>0</v>
      </c>
      <c r="AE34" s="40">
        <f t="shared" si="26"/>
        <v>55</v>
      </c>
      <c r="AF34" s="40">
        <f t="shared" si="26"/>
        <v>63.571428571428569</v>
      </c>
    </row>
    <row r="35" spans="2:32" ht="23.1" customHeight="1" x14ac:dyDescent="0.25">
      <c r="B35" s="24" t="s">
        <v>62</v>
      </c>
      <c r="C35" s="49">
        <f>'Avg Week KYENJOJO-FORTPORTAL'!C35+'Avg Week FORTPORTAL-KYENJONJO'!C35</f>
        <v>2.2857142857142856</v>
      </c>
      <c r="D35" s="49">
        <f>0.45*('Avg Week KYENJOJO-FORTPORTAL'!E35+'Avg Week FORTPORTAL-KYENJONJO'!E35)</f>
        <v>2.1214285714285714</v>
      </c>
      <c r="E35" s="49">
        <f>0.55*('Avg Week KYENJOJO-FORTPORTAL'!E35+'Avg Week FORTPORTAL-KYENJONJO'!E35)</f>
        <v>2.592857142857143</v>
      </c>
      <c r="F35" s="49">
        <f>'Avg Week KYENJOJO-FORTPORTAL'!F35+'Avg Week FORTPORTAL-KYENJONJO'!F35</f>
        <v>6</v>
      </c>
      <c r="G35" s="49">
        <f>'Avg Week KYENJOJO-FORTPORTAL'!G35+'Avg Week FORTPORTAL-KYENJONJO'!G35</f>
        <v>0</v>
      </c>
      <c r="H35" s="49">
        <f>'Avg Week KYENJOJO-FORTPORTAL'!H35+'Avg Week FORTPORTAL-KYENJONJO'!H35</f>
        <v>1.1428571428571428</v>
      </c>
      <c r="I35" s="49">
        <f>'Avg Week KYENJOJO-FORTPORTAL'!I35+'Avg Week FORTPORTAL-KYENJONJO'!I35</f>
        <v>1.4285714285714284</v>
      </c>
      <c r="J35" s="49">
        <f>'Avg Week KYENJOJO-FORTPORTAL'!J35+'Avg Week FORTPORTAL-KYENJONJO'!J35</f>
        <v>0.14285714285714285</v>
      </c>
      <c r="K35" s="49">
        <f>'Avg Week KYENJOJO-FORTPORTAL'!K35+'Avg Week FORTPORTAL-KYENJONJO'!K35</f>
        <v>0</v>
      </c>
      <c r="L35" s="49">
        <f>'Avg Week KYENJOJO-FORTPORTAL'!L35+'Avg Week FORTPORTAL-KYENJONJO'!L35</f>
        <v>1.1428571428571428</v>
      </c>
      <c r="M35" s="49">
        <f>'Avg Week KYENJOJO-FORTPORTAL'!M35+'Avg Week FORTPORTAL-KYENJONJO'!M35</f>
        <v>1.8571428571428572</v>
      </c>
      <c r="N35" s="49">
        <f>'Avg Week KYENJOJO-FORTPORTAL'!N35+'Avg Week FORTPORTAL-KYENJONJO'!N35</f>
        <v>0</v>
      </c>
      <c r="O35" s="15">
        <f t="shared" si="0"/>
        <v>16.857142857142858</v>
      </c>
      <c r="P35" s="15">
        <f t="shared" si="1"/>
        <v>18.714285714285715</v>
      </c>
      <c r="R35" s="38" t="s">
        <v>91</v>
      </c>
      <c r="S35" s="39">
        <f t="shared" ref="S35:AF35" si="27">MAX(S13:S18)</f>
        <v>11.571428571428571</v>
      </c>
      <c r="T35" s="39">
        <f t="shared" si="27"/>
        <v>11.057142857142857</v>
      </c>
      <c r="U35" s="39">
        <f t="shared" si="27"/>
        <v>13.514285714285716</v>
      </c>
      <c r="V35" s="39">
        <f t="shared" si="27"/>
        <v>18.857142857142858</v>
      </c>
      <c r="W35" s="39">
        <f t="shared" si="27"/>
        <v>0.8571428571428571</v>
      </c>
      <c r="X35" s="39">
        <f t="shared" si="27"/>
        <v>4.4285714285714288</v>
      </c>
      <c r="Y35" s="39">
        <f t="shared" si="27"/>
        <v>8</v>
      </c>
      <c r="Z35" s="39">
        <f t="shared" si="27"/>
        <v>1.857142857142857</v>
      </c>
      <c r="AA35" s="39">
        <f t="shared" si="27"/>
        <v>0.5714285714285714</v>
      </c>
      <c r="AB35" s="39">
        <f t="shared" si="27"/>
        <v>5</v>
      </c>
      <c r="AC35" s="39">
        <f t="shared" si="27"/>
        <v>12.428571428571427</v>
      </c>
      <c r="AD35" s="39">
        <f t="shared" si="27"/>
        <v>0.14285714285714285</v>
      </c>
      <c r="AE35" s="40">
        <f t="shared" si="27"/>
        <v>70.857142857142861</v>
      </c>
      <c r="AF35" s="40">
        <f t="shared" si="27"/>
        <v>80.285714285714278</v>
      </c>
    </row>
    <row r="36" spans="2:32" ht="23.1" customHeight="1" x14ac:dyDescent="0.25">
      <c r="B36" s="24" t="s">
        <v>63</v>
      </c>
      <c r="C36" s="49">
        <f>'Avg Week KYENJOJO-FORTPORTAL'!C36+'Avg Week FORTPORTAL-KYENJONJO'!C36</f>
        <v>2.4285714285714288</v>
      </c>
      <c r="D36" s="49">
        <f>0.45*('Avg Week KYENJOJO-FORTPORTAL'!E36+'Avg Week FORTPORTAL-KYENJONJO'!E36)</f>
        <v>1.9928571428571431</v>
      </c>
      <c r="E36" s="49">
        <f>0.55*('Avg Week KYENJOJO-FORTPORTAL'!E36+'Avg Week FORTPORTAL-KYENJONJO'!E36)</f>
        <v>2.4357142857142859</v>
      </c>
      <c r="F36" s="49">
        <f>'Avg Week KYENJOJO-FORTPORTAL'!F36+'Avg Week FORTPORTAL-KYENJONJO'!F36</f>
        <v>4.1428571428571423</v>
      </c>
      <c r="G36" s="49">
        <f>'Avg Week KYENJOJO-FORTPORTAL'!G36+'Avg Week FORTPORTAL-KYENJONJO'!G36</f>
        <v>0</v>
      </c>
      <c r="H36" s="49">
        <f>'Avg Week KYENJOJO-FORTPORTAL'!H36+'Avg Week FORTPORTAL-KYENJONJO'!H36</f>
        <v>0.14285714285714285</v>
      </c>
      <c r="I36" s="49">
        <f>'Avg Week KYENJOJO-FORTPORTAL'!I36+'Avg Week FORTPORTAL-KYENJONJO'!I36</f>
        <v>2.2857142857142856</v>
      </c>
      <c r="J36" s="49">
        <f>'Avg Week KYENJOJO-FORTPORTAL'!J36+'Avg Week FORTPORTAL-KYENJONJO'!J36</f>
        <v>0.14285714285714285</v>
      </c>
      <c r="K36" s="49">
        <f>'Avg Week KYENJOJO-FORTPORTAL'!K36+'Avg Week FORTPORTAL-KYENJONJO'!K36</f>
        <v>0</v>
      </c>
      <c r="L36" s="49">
        <f>'Avg Week KYENJOJO-FORTPORTAL'!L36+'Avg Week FORTPORTAL-KYENJONJO'!L36</f>
        <v>0.5714285714285714</v>
      </c>
      <c r="M36" s="49">
        <f>'Avg Week KYENJOJO-FORTPORTAL'!M36+'Avg Week FORTPORTAL-KYENJONJO'!M36</f>
        <v>2.4285714285714288</v>
      </c>
      <c r="N36" s="49">
        <f>'Avg Week KYENJOJO-FORTPORTAL'!N36+'Avg Week FORTPORTAL-KYENJONJO'!N36</f>
        <v>0</v>
      </c>
      <c r="O36" s="15">
        <f t="shared" si="0"/>
        <v>14.142857142857141</v>
      </c>
      <c r="P36" s="15">
        <f t="shared" si="1"/>
        <v>16.571428571428569</v>
      </c>
      <c r="R36" s="38" t="s">
        <v>92</v>
      </c>
      <c r="S36" s="39">
        <f t="shared" ref="S36:AF36" si="28">MAX(S19:S21)</f>
        <v>13.714285714285715</v>
      </c>
      <c r="T36" s="39">
        <f t="shared" si="28"/>
        <v>12.278571428571428</v>
      </c>
      <c r="U36" s="39">
        <f t="shared" si="28"/>
        <v>15.007142857142856</v>
      </c>
      <c r="V36" s="39">
        <f t="shared" si="28"/>
        <v>18</v>
      </c>
      <c r="W36" s="39">
        <f t="shared" si="28"/>
        <v>1.2857142857142856</v>
      </c>
      <c r="X36" s="39">
        <f t="shared" si="28"/>
        <v>4.2857142857142856</v>
      </c>
      <c r="Y36" s="39">
        <f t="shared" si="28"/>
        <v>11.285714285714288</v>
      </c>
      <c r="Z36" s="39">
        <f t="shared" si="28"/>
        <v>2.1428571428571428</v>
      </c>
      <c r="AA36" s="39">
        <f t="shared" si="28"/>
        <v>0.71428571428571419</v>
      </c>
      <c r="AB36" s="39">
        <f t="shared" si="28"/>
        <v>5.8571428571428577</v>
      </c>
      <c r="AC36" s="39">
        <f t="shared" si="28"/>
        <v>11.714285714285715</v>
      </c>
      <c r="AD36" s="39">
        <f t="shared" si="28"/>
        <v>0.2857142857142857</v>
      </c>
      <c r="AE36" s="40">
        <f t="shared" si="28"/>
        <v>78.714285714285708</v>
      </c>
      <c r="AF36" s="40">
        <f t="shared" si="28"/>
        <v>90.428571428571416</v>
      </c>
    </row>
    <row r="37" spans="2:32" ht="23.1" customHeight="1" x14ac:dyDescent="0.25">
      <c r="B37" s="23" t="s">
        <v>64</v>
      </c>
      <c r="C37" s="49">
        <f>'Avg Week KYENJOJO-FORTPORTAL'!C37+'Avg Week FORTPORTAL-KYENJONJO'!C37</f>
        <v>2</v>
      </c>
      <c r="D37" s="49">
        <f>0.45*('Avg Week KYENJOJO-FORTPORTAL'!E37+'Avg Week FORTPORTAL-KYENJONJO'!E37)</f>
        <v>2.1214285714285714</v>
      </c>
      <c r="E37" s="49">
        <f>0.55*('Avg Week KYENJOJO-FORTPORTAL'!E37+'Avg Week FORTPORTAL-KYENJONJO'!E37)</f>
        <v>2.592857142857143</v>
      </c>
      <c r="F37" s="49">
        <f>'Avg Week KYENJOJO-FORTPORTAL'!F37+'Avg Week FORTPORTAL-KYENJONJO'!F37</f>
        <v>3.7142857142857144</v>
      </c>
      <c r="G37" s="49">
        <f>'Avg Week KYENJOJO-FORTPORTAL'!G37+'Avg Week FORTPORTAL-KYENJONJO'!G37</f>
        <v>0</v>
      </c>
      <c r="H37" s="49">
        <f>'Avg Week KYENJOJO-FORTPORTAL'!H37+'Avg Week FORTPORTAL-KYENJONJO'!H37</f>
        <v>0.7142857142857143</v>
      </c>
      <c r="I37" s="49">
        <f>'Avg Week KYENJOJO-FORTPORTAL'!I37+'Avg Week FORTPORTAL-KYENJONJO'!I37</f>
        <v>0.5714285714285714</v>
      </c>
      <c r="J37" s="49">
        <f>'Avg Week KYENJOJO-FORTPORTAL'!J37+'Avg Week FORTPORTAL-KYENJONJO'!J37</f>
        <v>0</v>
      </c>
      <c r="K37" s="49">
        <f>'Avg Week KYENJOJO-FORTPORTAL'!K37+'Avg Week FORTPORTAL-KYENJONJO'!K37</f>
        <v>0.14285714285714285</v>
      </c>
      <c r="L37" s="49">
        <f>'Avg Week KYENJOJO-FORTPORTAL'!L37+'Avg Week FORTPORTAL-KYENJONJO'!L37</f>
        <v>0.7142857142857143</v>
      </c>
      <c r="M37" s="49">
        <f>'Avg Week KYENJOJO-FORTPORTAL'!M37+'Avg Week FORTPORTAL-KYENJONJO'!M37</f>
        <v>2.2857142857142856</v>
      </c>
      <c r="N37" s="49">
        <f>'Avg Week KYENJOJO-FORTPORTAL'!N37+'Avg Week FORTPORTAL-KYENJONJO'!N37</f>
        <v>0</v>
      </c>
      <c r="O37" s="15">
        <f t="shared" si="0"/>
        <v>12.571428571428571</v>
      </c>
      <c r="P37" s="15">
        <f t="shared" si="1"/>
        <v>14.857142857142858</v>
      </c>
      <c r="R37" s="37" t="s">
        <v>85</v>
      </c>
      <c r="S37" s="35">
        <f t="shared" ref="S37:AF37" si="29">SUM(S10:S12)</f>
        <v>26.285714285714285</v>
      </c>
      <c r="T37" s="16">
        <f t="shared" si="29"/>
        <v>17.74285714285714</v>
      </c>
      <c r="U37" s="16">
        <f t="shared" si="29"/>
        <v>21.685714285714287</v>
      </c>
      <c r="V37" s="16">
        <f t="shared" si="29"/>
        <v>40.714285714285715</v>
      </c>
      <c r="W37" s="16">
        <f t="shared" si="29"/>
        <v>0.85714285714285698</v>
      </c>
      <c r="X37" s="16">
        <f t="shared" si="29"/>
        <v>4.1428571428571423</v>
      </c>
      <c r="Y37" s="16">
        <f t="shared" si="29"/>
        <v>15.571428571428573</v>
      </c>
      <c r="Z37" s="16">
        <f t="shared" si="29"/>
        <v>2.9999999999999991</v>
      </c>
      <c r="AA37" s="16">
        <f t="shared" si="29"/>
        <v>2.2857142857142856</v>
      </c>
      <c r="AB37" s="16">
        <f t="shared" si="29"/>
        <v>14.999999999999998</v>
      </c>
      <c r="AC37" s="16">
        <f t="shared" si="29"/>
        <v>26.571428571428569</v>
      </c>
      <c r="AD37" s="16">
        <f t="shared" si="29"/>
        <v>0</v>
      </c>
      <c r="AE37" s="32">
        <f t="shared" si="29"/>
        <v>147.28571428571428</v>
      </c>
      <c r="AF37" s="32">
        <f t="shared" si="29"/>
        <v>173.85714285714283</v>
      </c>
    </row>
    <row r="38" spans="2:32" ht="23.1" customHeight="1" x14ac:dyDescent="0.25">
      <c r="B38" s="24" t="s">
        <v>65</v>
      </c>
      <c r="C38" s="49">
        <f>'Avg Week KYENJOJO-FORTPORTAL'!C38+'Avg Week FORTPORTAL-KYENJONJO'!C38</f>
        <v>2.4285714285714284</v>
      </c>
      <c r="D38" s="49">
        <f>0.45*('Avg Week KYENJOJO-FORTPORTAL'!E38+'Avg Week FORTPORTAL-KYENJONJO'!E38)</f>
        <v>2.1214285714285714</v>
      </c>
      <c r="E38" s="49">
        <f>0.55*('Avg Week KYENJOJO-FORTPORTAL'!E38+'Avg Week FORTPORTAL-KYENJONJO'!E38)</f>
        <v>2.592857142857143</v>
      </c>
      <c r="F38" s="49">
        <f>'Avg Week KYENJOJO-FORTPORTAL'!F38+'Avg Week FORTPORTAL-KYENJONJO'!F38</f>
        <v>4.4285714285714288</v>
      </c>
      <c r="G38" s="49">
        <f>'Avg Week KYENJOJO-FORTPORTAL'!G38+'Avg Week FORTPORTAL-KYENJONJO'!G38</f>
        <v>0</v>
      </c>
      <c r="H38" s="49">
        <f>'Avg Week KYENJOJO-FORTPORTAL'!H38+'Avg Week FORTPORTAL-KYENJONJO'!H38</f>
        <v>1.2857142857142856</v>
      </c>
      <c r="I38" s="49">
        <f>'Avg Week KYENJOJO-FORTPORTAL'!I38+'Avg Week FORTPORTAL-KYENJONJO'!I38</f>
        <v>1.7142857142857142</v>
      </c>
      <c r="J38" s="49">
        <f>'Avg Week KYENJOJO-FORTPORTAL'!J38+'Avg Week FORTPORTAL-KYENJONJO'!J38</f>
        <v>0.14285714285714285</v>
      </c>
      <c r="K38" s="49">
        <f>'Avg Week KYENJOJO-FORTPORTAL'!K38+'Avg Week FORTPORTAL-KYENJONJO'!K38</f>
        <v>0</v>
      </c>
      <c r="L38" s="49">
        <f>'Avg Week KYENJOJO-FORTPORTAL'!L38+'Avg Week FORTPORTAL-KYENJONJO'!L38</f>
        <v>1.1428571428571428</v>
      </c>
      <c r="M38" s="49">
        <f>'Avg Week KYENJOJO-FORTPORTAL'!M38+'Avg Week FORTPORTAL-KYENJONJO'!M38</f>
        <v>2.7142857142857144</v>
      </c>
      <c r="N38" s="49">
        <f>'Avg Week KYENJOJO-FORTPORTAL'!N38+'Avg Week FORTPORTAL-KYENJONJO'!N38</f>
        <v>0</v>
      </c>
      <c r="O38" s="15">
        <f t="shared" si="0"/>
        <v>15.857142857142856</v>
      </c>
      <c r="P38" s="15">
        <f t="shared" si="1"/>
        <v>18.571428571428569</v>
      </c>
      <c r="R38" s="28" t="s">
        <v>86</v>
      </c>
      <c r="S38" s="16">
        <f t="shared" ref="S38:AF38" si="30">SUM(S13:S18)</f>
        <v>61</v>
      </c>
      <c r="T38" s="16">
        <f t="shared" si="30"/>
        <v>56.057142857142857</v>
      </c>
      <c r="U38" s="16">
        <f t="shared" si="30"/>
        <v>68.51428571428572</v>
      </c>
      <c r="V38" s="16">
        <f t="shared" si="30"/>
        <v>104.14285714285714</v>
      </c>
      <c r="W38" s="16">
        <f t="shared" si="30"/>
        <v>2.1428571428571428</v>
      </c>
      <c r="X38" s="16">
        <f t="shared" si="30"/>
        <v>20</v>
      </c>
      <c r="Y38" s="16">
        <f t="shared" si="30"/>
        <v>39.285714285714285</v>
      </c>
      <c r="Z38" s="16">
        <f t="shared" si="30"/>
        <v>5.7142857142857135</v>
      </c>
      <c r="AA38" s="16">
        <f t="shared" si="30"/>
        <v>1.4285714285714284</v>
      </c>
      <c r="AB38" s="16">
        <f t="shared" si="30"/>
        <v>24.714285714285715</v>
      </c>
      <c r="AC38" s="16">
        <f t="shared" si="30"/>
        <v>62.142857142857146</v>
      </c>
      <c r="AD38" s="16">
        <f t="shared" si="30"/>
        <v>0.14285714285714285</v>
      </c>
      <c r="AE38" s="32">
        <f t="shared" si="30"/>
        <v>383.14285714285711</v>
      </c>
      <c r="AF38" s="32">
        <f t="shared" si="30"/>
        <v>445.28571428571422</v>
      </c>
    </row>
    <row r="39" spans="2:32" ht="23.1" customHeight="1" x14ac:dyDescent="0.25">
      <c r="B39" s="24" t="s">
        <v>66</v>
      </c>
      <c r="C39" s="49">
        <f>'Avg Week KYENJOJO-FORTPORTAL'!C39+'Avg Week FORTPORTAL-KYENJONJO'!C39</f>
        <v>2.2857142857142856</v>
      </c>
      <c r="D39" s="49">
        <f>0.45*('Avg Week KYENJOJO-FORTPORTAL'!E39+'Avg Week FORTPORTAL-KYENJONJO'!E39)</f>
        <v>1.9285714285714286</v>
      </c>
      <c r="E39" s="49">
        <f>0.55*('Avg Week KYENJOJO-FORTPORTAL'!E39+'Avg Week FORTPORTAL-KYENJONJO'!E39)</f>
        <v>2.3571428571428572</v>
      </c>
      <c r="F39" s="49">
        <f>'Avg Week KYENJOJO-FORTPORTAL'!F39+'Avg Week FORTPORTAL-KYENJONJO'!F39</f>
        <v>4</v>
      </c>
      <c r="G39" s="49">
        <f>'Avg Week KYENJOJO-FORTPORTAL'!G39+'Avg Week FORTPORTAL-KYENJONJO'!G39</f>
        <v>0.14285714285714285</v>
      </c>
      <c r="H39" s="49">
        <f>'Avg Week KYENJOJO-FORTPORTAL'!H39+'Avg Week FORTPORTAL-KYENJONJO'!H39</f>
        <v>1.5714285714285714</v>
      </c>
      <c r="I39" s="49">
        <f>'Avg Week KYENJOJO-FORTPORTAL'!I39+'Avg Week FORTPORTAL-KYENJONJO'!I39</f>
        <v>2.2857142857142856</v>
      </c>
      <c r="J39" s="49">
        <f>'Avg Week KYENJOJO-FORTPORTAL'!J39+'Avg Week FORTPORTAL-KYENJONJO'!J39</f>
        <v>0.2857142857142857</v>
      </c>
      <c r="K39" s="49">
        <f>'Avg Week KYENJOJO-FORTPORTAL'!K39+'Avg Week FORTPORTAL-KYENJONJO'!K39</f>
        <v>0.14285714285714285</v>
      </c>
      <c r="L39" s="49">
        <f>'Avg Week KYENJOJO-FORTPORTAL'!L39+'Avg Week FORTPORTAL-KYENJONJO'!L39</f>
        <v>1.5714285714285714</v>
      </c>
      <c r="M39" s="49">
        <f>'Avg Week KYENJOJO-FORTPORTAL'!M39+'Avg Week FORTPORTAL-KYENJONJO'!M39</f>
        <v>3.4285714285714288</v>
      </c>
      <c r="N39" s="49">
        <f>'Avg Week KYENJOJO-FORTPORTAL'!N39+'Avg Week FORTPORTAL-KYENJONJO'!N39</f>
        <v>0</v>
      </c>
      <c r="O39" s="15">
        <f t="shared" si="0"/>
        <v>16.571428571428569</v>
      </c>
      <c r="P39" s="15">
        <f t="shared" si="1"/>
        <v>20</v>
      </c>
      <c r="R39" s="29" t="s">
        <v>87</v>
      </c>
      <c r="S39" s="16">
        <f t="shared" ref="S39:AF39" si="31">SUM(S19:S21)</f>
        <v>36.142857142857146</v>
      </c>
      <c r="T39" s="16">
        <f t="shared" si="31"/>
        <v>31.95</v>
      </c>
      <c r="U39" s="16">
        <f t="shared" si="31"/>
        <v>39.049999999999997</v>
      </c>
      <c r="V39" s="16">
        <f t="shared" si="31"/>
        <v>49</v>
      </c>
      <c r="W39" s="16">
        <f t="shared" si="31"/>
        <v>2.4285714285714284</v>
      </c>
      <c r="X39" s="16">
        <f t="shared" si="31"/>
        <v>11</v>
      </c>
      <c r="Y39" s="16">
        <f t="shared" si="31"/>
        <v>27.571428571428573</v>
      </c>
      <c r="Z39" s="16">
        <f t="shared" si="31"/>
        <v>3.7142857142857144</v>
      </c>
      <c r="AA39" s="16">
        <f t="shared" si="31"/>
        <v>0.99999999999999989</v>
      </c>
      <c r="AB39" s="16">
        <f t="shared" si="31"/>
        <v>14.857142857142858</v>
      </c>
      <c r="AC39" s="16">
        <f t="shared" si="31"/>
        <v>31.428571428571431</v>
      </c>
      <c r="AD39" s="16">
        <f t="shared" si="31"/>
        <v>0.2857142857142857</v>
      </c>
      <c r="AE39" s="32">
        <f t="shared" si="31"/>
        <v>217</v>
      </c>
      <c r="AF39" s="32">
        <f t="shared" si="31"/>
        <v>248.42857142857142</v>
      </c>
    </row>
    <row r="40" spans="2:32" ht="23.1" customHeight="1" x14ac:dyDescent="0.25">
      <c r="B40" s="24" t="s">
        <v>67</v>
      </c>
      <c r="C40" s="49">
        <f>'Avg Week KYENJOJO-FORTPORTAL'!C40+'Avg Week FORTPORTAL-KYENJONJO'!C40</f>
        <v>2.4285714285714288</v>
      </c>
      <c r="D40" s="49">
        <f>0.45*('Avg Week KYENJOJO-FORTPORTAL'!E40+'Avg Week FORTPORTAL-KYENJONJO'!E40)</f>
        <v>1.9928571428571431</v>
      </c>
      <c r="E40" s="49">
        <f>0.55*('Avg Week KYENJOJO-FORTPORTAL'!E40+'Avg Week FORTPORTAL-KYENJONJO'!E40)</f>
        <v>2.4357142857142859</v>
      </c>
      <c r="F40" s="49">
        <f>'Avg Week KYENJOJO-FORTPORTAL'!F40+'Avg Week FORTPORTAL-KYENJONJO'!F40</f>
        <v>3.7142857142857144</v>
      </c>
      <c r="G40" s="49">
        <f>'Avg Week KYENJOJO-FORTPORTAL'!G40+'Avg Week FORTPORTAL-KYENJONJO'!G40</f>
        <v>0.2857142857142857</v>
      </c>
      <c r="H40" s="49">
        <f>'Avg Week KYENJOJO-FORTPORTAL'!H40+'Avg Week FORTPORTAL-KYENJONJO'!H40</f>
        <v>0.5714285714285714</v>
      </c>
      <c r="I40" s="49">
        <f>'Avg Week KYENJOJO-FORTPORTAL'!I40+'Avg Week FORTPORTAL-KYENJONJO'!I40</f>
        <v>2.2857142857142856</v>
      </c>
      <c r="J40" s="49">
        <f>'Avg Week KYENJOJO-FORTPORTAL'!J40+'Avg Week FORTPORTAL-KYENJONJO'!J40</f>
        <v>0.42857142857142855</v>
      </c>
      <c r="K40" s="49">
        <f>'Avg Week KYENJOJO-FORTPORTAL'!K40+'Avg Week FORTPORTAL-KYENJONJO'!K40</f>
        <v>0.14285714285714285</v>
      </c>
      <c r="L40" s="49">
        <f>'Avg Week KYENJOJO-FORTPORTAL'!L40+'Avg Week FORTPORTAL-KYENJONJO'!L40</f>
        <v>0.71428571428571419</v>
      </c>
      <c r="M40" s="49">
        <f>'Avg Week KYENJOJO-FORTPORTAL'!M40+'Avg Week FORTPORTAL-KYENJONJO'!M40</f>
        <v>2.5714285714285712</v>
      </c>
      <c r="N40" s="49">
        <f>'Avg Week KYENJOJO-FORTPORTAL'!N40+'Avg Week FORTPORTAL-KYENJONJO'!N40</f>
        <v>0</v>
      </c>
      <c r="O40" s="15">
        <f t="shared" si="0"/>
        <v>15</v>
      </c>
      <c r="P40" s="15">
        <f t="shared" si="1"/>
        <v>17.571428571428569</v>
      </c>
      <c r="R40" s="5" t="s">
        <v>17</v>
      </c>
      <c r="S40" s="16">
        <f t="shared" ref="S40:AF40" si="32">SUM(S10:S21)</f>
        <v>123.42857142857142</v>
      </c>
      <c r="T40" s="16">
        <f t="shared" si="32"/>
        <v>105.75000000000001</v>
      </c>
      <c r="U40" s="16">
        <f t="shared" si="32"/>
        <v>129.25</v>
      </c>
      <c r="V40" s="16">
        <f t="shared" si="32"/>
        <v>193.85714285714283</v>
      </c>
      <c r="W40" s="16">
        <f t="shared" si="32"/>
        <v>5.4285714285714279</v>
      </c>
      <c r="X40" s="16">
        <f t="shared" si="32"/>
        <v>35.142857142857139</v>
      </c>
      <c r="Y40" s="16">
        <f t="shared" si="32"/>
        <v>82.428571428571431</v>
      </c>
      <c r="Z40" s="16">
        <f t="shared" si="32"/>
        <v>12.428571428571427</v>
      </c>
      <c r="AA40" s="16">
        <f t="shared" si="32"/>
        <v>4.7142857142857135</v>
      </c>
      <c r="AB40" s="16">
        <f t="shared" si="32"/>
        <v>54.571428571428577</v>
      </c>
      <c r="AC40" s="16">
        <f t="shared" si="32"/>
        <v>120.14285714285714</v>
      </c>
      <c r="AD40" s="16">
        <f t="shared" si="32"/>
        <v>0.42857142857142855</v>
      </c>
      <c r="AE40" s="32">
        <f t="shared" si="32"/>
        <v>747.42857142857144</v>
      </c>
      <c r="AF40" s="32">
        <f t="shared" si="32"/>
        <v>867.57142857142856</v>
      </c>
    </row>
    <row r="41" spans="2:32" ht="23.1" customHeight="1" x14ac:dyDescent="0.25">
      <c r="B41" s="23" t="s">
        <v>68</v>
      </c>
      <c r="C41" s="49">
        <f>'Avg Week KYENJOJO-FORTPORTAL'!C41+'Avg Week FORTPORTAL-KYENJONJO'!C41</f>
        <v>3</v>
      </c>
      <c r="D41" s="49">
        <f>0.45*('Avg Week KYENJOJO-FORTPORTAL'!E41+'Avg Week FORTPORTAL-KYENJONJO'!E41)</f>
        <v>2.5071428571428571</v>
      </c>
      <c r="E41" s="49">
        <f>0.55*('Avg Week KYENJOJO-FORTPORTAL'!E41+'Avg Week FORTPORTAL-KYENJONJO'!E41)</f>
        <v>3.0642857142857145</v>
      </c>
      <c r="F41" s="49">
        <f>'Avg Week KYENJOJO-FORTPORTAL'!F41+'Avg Week FORTPORTAL-KYENJONJO'!F41</f>
        <v>3.7142857142857144</v>
      </c>
      <c r="G41" s="49">
        <f>'Avg Week KYENJOJO-FORTPORTAL'!G41+'Avg Week FORTPORTAL-KYENJONJO'!G41</f>
        <v>0.14285714285714285</v>
      </c>
      <c r="H41" s="49">
        <f>'Avg Week KYENJOJO-FORTPORTAL'!H41+'Avg Week FORTPORTAL-KYENJONJO'!H41</f>
        <v>0.8571428571428571</v>
      </c>
      <c r="I41" s="49">
        <f>'Avg Week KYENJOJO-FORTPORTAL'!I41+'Avg Week FORTPORTAL-KYENJONJO'!I41</f>
        <v>1.7142857142857142</v>
      </c>
      <c r="J41" s="49">
        <f>'Avg Week KYENJOJO-FORTPORTAL'!J41+'Avg Week FORTPORTAL-KYENJONJO'!J41</f>
        <v>0</v>
      </c>
      <c r="K41" s="49">
        <f>'Avg Week KYENJOJO-FORTPORTAL'!K41+'Avg Week FORTPORTAL-KYENJONJO'!K41</f>
        <v>0</v>
      </c>
      <c r="L41" s="49">
        <f>'Avg Week KYENJOJO-FORTPORTAL'!L41+'Avg Week FORTPORTAL-KYENJONJO'!L41</f>
        <v>1.4285714285714284</v>
      </c>
      <c r="M41" s="49">
        <f>'Avg Week KYENJOJO-FORTPORTAL'!M41+'Avg Week FORTPORTAL-KYENJONJO'!M41</f>
        <v>2.7142857142857144</v>
      </c>
      <c r="N41" s="49">
        <f>'Avg Week KYENJOJO-FORTPORTAL'!N41+'Avg Week FORTPORTAL-KYENJONJO'!N41</f>
        <v>0</v>
      </c>
      <c r="O41" s="15">
        <f t="shared" si="0"/>
        <v>16.428571428571427</v>
      </c>
      <c r="P41" s="15">
        <f t="shared" si="1"/>
        <v>19.142857142857142</v>
      </c>
      <c r="R41" s="5" t="s">
        <v>174</v>
      </c>
      <c r="S41" s="52">
        <f>SUM(S10:S33)</f>
        <v>162.92857142857142</v>
      </c>
      <c r="T41" s="52">
        <f t="shared" ref="T41:AD41" si="33">SUM(T10:T33)</f>
        <v>128.92500000000001</v>
      </c>
      <c r="U41" s="52">
        <f t="shared" si="33"/>
        <v>157.57500000000005</v>
      </c>
      <c r="V41" s="52">
        <f t="shared" si="33"/>
        <v>226.35714285714283</v>
      </c>
      <c r="W41" s="52">
        <f t="shared" si="33"/>
        <v>8.428571428571427</v>
      </c>
      <c r="X41" s="52">
        <f t="shared" si="33"/>
        <v>47.642857142857139</v>
      </c>
      <c r="Y41" s="52">
        <f t="shared" si="33"/>
        <v>197.92857142857144</v>
      </c>
      <c r="Z41" s="52">
        <f t="shared" si="33"/>
        <v>23.928571428571427</v>
      </c>
      <c r="AA41" s="52">
        <f t="shared" si="33"/>
        <v>9.2142857142857135</v>
      </c>
      <c r="AB41" s="52">
        <f t="shared" si="33"/>
        <v>102.57142857142858</v>
      </c>
      <c r="AC41" s="52">
        <f t="shared" si="33"/>
        <v>142.64285714285714</v>
      </c>
      <c r="AD41" s="52">
        <f t="shared" si="33"/>
        <v>0.42857142857142855</v>
      </c>
      <c r="AE41" s="53">
        <f>SUM(AE10:AE33)</f>
        <v>1065.9285714285716</v>
      </c>
      <c r="AF41" s="53">
        <f>SUM(AF10:AF33)</f>
        <v>1208.5714285714284</v>
      </c>
    </row>
    <row r="42" spans="2:32" ht="23.1" customHeight="1" x14ac:dyDescent="0.25">
      <c r="B42" s="24" t="s">
        <v>69</v>
      </c>
      <c r="C42" s="49">
        <f>'Avg Week KYENJOJO-FORTPORTAL'!C42+'Avg Week FORTPORTAL-KYENJONJO'!C42</f>
        <v>3</v>
      </c>
      <c r="D42" s="49">
        <f>0.45*('Avg Week KYENJOJO-FORTPORTAL'!E42+'Avg Week FORTPORTAL-KYENJONJO'!E42)</f>
        <v>1.7357142857142855</v>
      </c>
      <c r="E42" s="49">
        <f>0.55*('Avg Week KYENJOJO-FORTPORTAL'!E42+'Avg Week FORTPORTAL-KYENJONJO'!E42)</f>
        <v>2.1214285714285714</v>
      </c>
      <c r="F42" s="49">
        <f>'Avg Week KYENJOJO-FORTPORTAL'!F42+'Avg Week FORTPORTAL-KYENJONJO'!F42</f>
        <v>5</v>
      </c>
      <c r="G42" s="49">
        <f>'Avg Week KYENJOJO-FORTPORTAL'!G42+'Avg Week FORTPORTAL-KYENJONJO'!G42</f>
        <v>0</v>
      </c>
      <c r="H42" s="49">
        <f>'Avg Week KYENJOJO-FORTPORTAL'!H42+'Avg Week FORTPORTAL-KYENJONJO'!H42</f>
        <v>0.71428571428571419</v>
      </c>
      <c r="I42" s="49">
        <f>'Avg Week KYENJOJO-FORTPORTAL'!I42+'Avg Week FORTPORTAL-KYENJONJO'!I42</f>
        <v>1.7142857142857144</v>
      </c>
      <c r="J42" s="49">
        <f>'Avg Week KYENJOJO-FORTPORTAL'!J42+'Avg Week FORTPORTAL-KYENJONJO'!J42</f>
        <v>0</v>
      </c>
      <c r="K42" s="49">
        <f>'Avg Week KYENJOJO-FORTPORTAL'!K42+'Avg Week FORTPORTAL-KYENJONJO'!K42</f>
        <v>0</v>
      </c>
      <c r="L42" s="49">
        <f>'Avg Week KYENJOJO-FORTPORTAL'!L42+'Avg Week FORTPORTAL-KYENJONJO'!L42</f>
        <v>1.2857142857142858</v>
      </c>
      <c r="M42" s="49">
        <f>'Avg Week KYENJOJO-FORTPORTAL'!M42+'Avg Week FORTPORTAL-KYENJONJO'!M42</f>
        <v>3</v>
      </c>
      <c r="N42" s="49">
        <f>'Avg Week KYENJOJO-FORTPORTAL'!N42+'Avg Week FORTPORTAL-KYENJONJO'!N42</f>
        <v>0</v>
      </c>
      <c r="O42" s="15">
        <f t="shared" si="0"/>
        <v>15.571428571428571</v>
      </c>
      <c r="P42" s="15">
        <f t="shared" si="1"/>
        <v>18.571428571428569</v>
      </c>
      <c r="R42" s="5" t="s">
        <v>160</v>
      </c>
      <c r="S42" s="48">
        <f>S41/S40</f>
        <v>1.3200231481481481</v>
      </c>
      <c r="T42" s="48">
        <v>0</v>
      </c>
      <c r="U42" s="48">
        <f t="shared" ref="U42:AF42" si="34">U41/U40</f>
        <v>1.219148936170213</v>
      </c>
      <c r="V42" s="48">
        <f t="shared" si="34"/>
        <v>1.1676492262343405</v>
      </c>
      <c r="W42" s="48">
        <f t="shared" si="34"/>
        <v>1.5526315789473684</v>
      </c>
      <c r="X42" s="48">
        <f t="shared" si="34"/>
        <v>1.3556910569105691</v>
      </c>
      <c r="Y42" s="48">
        <f t="shared" si="34"/>
        <v>2.401213171577123</v>
      </c>
      <c r="Z42" s="48">
        <f t="shared" si="34"/>
        <v>1.9252873563218391</v>
      </c>
      <c r="AA42" s="48">
        <f t="shared" si="34"/>
        <v>1.9545454545454548</v>
      </c>
      <c r="AB42" s="48">
        <f t="shared" si="34"/>
        <v>1.8795811518324608</v>
      </c>
      <c r="AC42" s="48">
        <f t="shared" si="34"/>
        <v>1.1872770511296076</v>
      </c>
      <c r="AD42" s="48">
        <f t="shared" si="34"/>
        <v>1</v>
      </c>
      <c r="AE42" s="51">
        <f t="shared" si="34"/>
        <v>1.4261276758409787</v>
      </c>
      <c r="AF42" s="51">
        <f t="shared" si="34"/>
        <v>1.3930512102749875</v>
      </c>
    </row>
    <row r="43" spans="2:32" ht="23.1" customHeight="1" x14ac:dyDescent="0.25">
      <c r="B43" s="23" t="s">
        <v>70</v>
      </c>
      <c r="C43" s="49">
        <f>'Avg Week KYENJOJO-FORTPORTAL'!C43+'Avg Week FORTPORTAL-KYENJONJO'!C43</f>
        <v>3.5714285714285712</v>
      </c>
      <c r="D43" s="49">
        <f>0.45*('Avg Week KYENJOJO-FORTPORTAL'!E43+'Avg Week FORTPORTAL-KYENJONJO'!E43)</f>
        <v>2.7</v>
      </c>
      <c r="E43" s="49">
        <f>0.55*('Avg Week KYENJOJO-FORTPORTAL'!E43+'Avg Week FORTPORTAL-KYENJONJO'!E43)</f>
        <v>3.3000000000000003</v>
      </c>
      <c r="F43" s="49">
        <f>'Avg Week KYENJOJO-FORTPORTAL'!F43+'Avg Week FORTPORTAL-KYENJONJO'!F43</f>
        <v>2.4285714285714288</v>
      </c>
      <c r="G43" s="49">
        <f>'Avg Week KYENJOJO-FORTPORTAL'!G43+'Avg Week FORTPORTAL-KYENJONJO'!G43</f>
        <v>0.14285714285714285</v>
      </c>
      <c r="H43" s="49">
        <f>'Avg Week KYENJOJO-FORTPORTAL'!H43+'Avg Week FORTPORTAL-KYENJONJO'!H43</f>
        <v>1.1428571428571428</v>
      </c>
      <c r="I43" s="49">
        <f>'Avg Week KYENJOJO-FORTPORTAL'!I43+'Avg Week FORTPORTAL-KYENJONJO'!I43</f>
        <v>1.8571428571428572</v>
      </c>
      <c r="J43" s="49">
        <f>'Avg Week KYENJOJO-FORTPORTAL'!J43+'Avg Week FORTPORTAL-KYENJONJO'!J43</f>
        <v>0</v>
      </c>
      <c r="K43" s="49">
        <f>'Avg Week KYENJOJO-FORTPORTAL'!K43+'Avg Week FORTPORTAL-KYENJONJO'!K43</f>
        <v>0</v>
      </c>
      <c r="L43" s="49">
        <f>'Avg Week KYENJOJO-FORTPORTAL'!L43+'Avg Week FORTPORTAL-KYENJONJO'!L43</f>
        <v>1.2857142857142856</v>
      </c>
      <c r="M43" s="49">
        <f>'Avg Week KYENJOJO-FORTPORTAL'!M43+'Avg Week FORTPORTAL-KYENJONJO'!M43</f>
        <v>2.7142857142857144</v>
      </c>
      <c r="N43" s="49">
        <f>'Avg Week KYENJOJO-FORTPORTAL'!N43+'Avg Week FORTPORTAL-KYENJONJO'!N43</f>
        <v>0</v>
      </c>
      <c r="O43" s="15">
        <f t="shared" si="0"/>
        <v>16.428571428571427</v>
      </c>
      <c r="P43" s="15">
        <f t="shared" si="1"/>
        <v>19.142857142857142</v>
      </c>
    </row>
    <row r="44" spans="2:32" ht="23.1" customHeight="1" x14ac:dyDescent="0.25">
      <c r="B44" s="25" t="s">
        <v>71</v>
      </c>
      <c r="C44" s="49">
        <f>'Avg Week KYENJOJO-FORTPORTAL'!C44+'Avg Week FORTPORTAL-KYENJONJO'!C44</f>
        <v>2.8571428571428572</v>
      </c>
      <c r="D44" s="49">
        <f>0.45*('Avg Week KYENJOJO-FORTPORTAL'!E44+'Avg Week FORTPORTAL-KYENJONJO'!E44)</f>
        <v>2.1857142857142859</v>
      </c>
      <c r="E44" s="49">
        <f>0.55*('Avg Week KYENJOJO-FORTPORTAL'!E44+'Avg Week FORTPORTAL-KYENJONJO'!E44)</f>
        <v>2.6714285714285717</v>
      </c>
      <c r="F44" s="49">
        <f>'Avg Week KYENJOJO-FORTPORTAL'!F44+'Avg Week FORTPORTAL-KYENJONJO'!F44</f>
        <v>5.4285714285714288</v>
      </c>
      <c r="G44" s="49">
        <f>'Avg Week KYENJOJO-FORTPORTAL'!G44+'Avg Week FORTPORTAL-KYENJONJO'!G44</f>
        <v>0.2857142857142857</v>
      </c>
      <c r="H44" s="49">
        <f>'Avg Week KYENJOJO-FORTPORTAL'!H44+'Avg Week FORTPORTAL-KYENJONJO'!H44</f>
        <v>0.85714285714285721</v>
      </c>
      <c r="I44" s="49">
        <f>'Avg Week KYENJOJO-FORTPORTAL'!I44+'Avg Week FORTPORTAL-KYENJONJO'!I44</f>
        <v>0.71428571428571419</v>
      </c>
      <c r="J44" s="49">
        <f>'Avg Week KYENJOJO-FORTPORTAL'!J44+'Avg Week FORTPORTAL-KYENJONJO'!J44</f>
        <v>0</v>
      </c>
      <c r="K44" s="49">
        <f>'Avg Week KYENJOJO-FORTPORTAL'!K44+'Avg Week FORTPORTAL-KYENJONJO'!K44</f>
        <v>0.14285714285714285</v>
      </c>
      <c r="L44" s="49">
        <f>'Avg Week KYENJOJO-FORTPORTAL'!L44+'Avg Week FORTPORTAL-KYENJONJO'!L44</f>
        <v>0.71428571428571419</v>
      </c>
      <c r="M44" s="49">
        <f>'Avg Week KYENJOJO-FORTPORTAL'!M44+'Avg Week FORTPORTAL-KYENJONJO'!M44</f>
        <v>1.8571428571428572</v>
      </c>
      <c r="N44" s="49">
        <f>'Avg Week KYENJOJO-FORTPORTAL'!N44+'Avg Week FORTPORTAL-KYENJONJO'!N44</f>
        <v>0</v>
      </c>
      <c r="O44" s="15">
        <f t="shared" si="0"/>
        <v>15.857142857142856</v>
      </c>
      <c r="P44" s="15">
        <f t="shared" si="1"/>
        <v>17.714285714285712</v>
      </c>
    </row>
    <row r="45" spans="2:32" ht="23.1" customHeight="1" x14ac:dyDescent="0.25">
      <c r="B45" s="23" t="s">
        <v>72</v>
      </c>
      <c r="C45" s="49">
        <f>'Avg Week KYENJOJO-FORTPORTAL'!C45+'Avg Week FORTPORTAL-KYENJONJO'!C45</f>
        <v>2</v>
      </c>
      <c r="D45" s="49">
        <f>0.45*('Avg Week KYENJOJO-FORTPORTAL'!E45+'Avg Week FORTPORTAL-KYENJONJO'!E45)</f>
        <v>2.9571428571428573</v>
      </c>
      <c r="E45" s="49">
        <f>0.55*('Avg Week KYENJOJO-FORTPORTAL'!E45+'Avg Week FORTPORTAL-KYENJONJO'!E45)</f>
        <v>3.6142857142857143</v>
      </c>
      <c r="F45" s="49">
        <f>'Avg Week KYENJOJO-FORTPORTAL'!F45+'Avg Week FORTPORTAL-KYENJONJO'!F45</f>
        <v>3.4285714285714288</v>
      </c>
      <c r="G45" s="49">
        <f>'Avg Week KYENJOJO-FORTPORTAL'!G45+'Avg Week FORTPORTAL-KYENJONJO'!G45</f>
        <v>0</v>
      </c>
      <c r="H45" s="49">
        <f>'Avg Week KYENJOJO-FORTPORTAL'!H45+'Avg Week FORTPORTAL-KYENJONJO'!H45</f>
        <v>1.2857142857142856</v>
      </c>
      <c r="I45" s="49">
        <f>'Avg Week KYENJOJO-FORTPORTAL'!I45+'Avg Week FORTPORTAL-KYENJONJO'!I45</f>
        <v>1.7142857142857142</v>
      </c>
      <c r="J45" s="49">
        <f>'Avg Week KYENJOJO-FORTPORTAL'!J45+'Avg Week FORTPORTAL-KYENJONJO'!J45</f>
        <v>0.2857142857142857</v>
      </c>
      <c r="K45" s="49">
        <f>'Avg Week KYENJOJO-FORTPORTAL'!K45+'Avg Week FORTPORTAL-KYENJONJO'!K45</f>
        <v>0</v>
      </c>
      <c r="L45" s="49">
        <f>'Avg Week KYENJOJO-FORTPORTAL'!L45+'Avg Week FORTPORTAL-KYENJONJO'!L45</f>
        <v>0.42857142857142855</v>
      </c>
      <c r="M45" s="49">
        <f>'Avg Week KYENJOJO-FORTPORTAL'!M45+'Avg Week FORTPORTAL-KYENJONJO'!M45</f>
        <v>3.1428571428571428</v>
      </c>
      <c r="N45" s="49">
        <f>'Avg Week KYENJOJO-FORTPORTAL'!N45+'Avg Week FORTPORTAL-KYENJONJO'!N45</f>
        <v>0</v>
      </c>
      <c r="O45" s="15">
        <f t="shared" si="0"/>
        <v>15.714285714285714</v>
      </c>
      <c r="P45" s="15">
        <f t="shared" si="1"/>
        <v>18.857142857142858</v>
      </c>
    </row>
    <row r="46" spans="2:32" ht="23.1" customHeight="1" x14ac:dyDescent="0.25">
      <c r="B46" s="24" t="s">
        <v>73</v>
      </c>
      <c r="C46" s="49">
        <f>'Avg Week KYENJOJO-FORTPORTAL'!C46+'Avg Week FORTPORTAL-KYENJONJO'!C46</f>
        <v>4</v>
      </c>
      <c r="D46" s="49">
        <f>0.45*('Avg Week KYENJOJO-FORTPORTAL'!E46+'Avg Week FORTPORTAL-KYENJONJO'!E46)</f>
        <v>2.5071428571428571</v>
      </c>
      <c r="E46" s="49">
        <f>0.55*('Avg Week KYENJOJO-FORTPORTAL'!E46+'Avg Week FORTPORTAL-KYENJONJO'!E46)</f>
        <v>3.0642857142857145</v>
      </c>
      <c r="F46" s="49">
        <f>'Avg Week KYENJOJO-FORTPORTAL'!F46+'Avg Week FORTPORTAL-KYENJONJO'!F46</f>
        <v>5.5714285714285712</v>
      </c>
      <c r="G46" s="49">
        <f>'Avg Week KYENJOJO-FORTPORTAL'!G46+'Avg Week FORTPORTAL-KYENJONJO'!G46</f>
        <v>0</v>
      </c>
      <c r="H46" s="49">
        <f>'Avg Week KYENJOJO-FORTPORTAL'!H46+'Avg Week FORTPORTAL-KYENJONJO'!H46</f>
        <v>0.85714285714285721</v>
      </c>
      <c r="I46" s="49">
        <f>'Avg Week KYENJOJO-FORTPORTAL'!I46+'Avg Week FORTPORTAL-KYENJONJO'!I46</f>
        <v>2.4285714285714284</v>
      </c>
      <c r="J46" s="49">
        <f>'Avg Week KYENJOJO-FORTPORTAL'!J46+'Avg Week FORTPORTAL-KYENJONJO'!J46</f>
        <v>0</v>
      </c>
      <c r="K46" s="49">
        <f>'Avg Week KYENJOJO-FORTPORTAL'!K46+'Avg Week FORTPORTAL-KYENJONJO'!K46</f>
        <v>0.2857142857142857</v>
      </c>
      <c r="L46" s="49">
        <f>'Avg Week KYENJOJO-FORTPORTAL'!L46+'Avg Week FORTPORTAL-KYENJONJO'!L46</f>
        <v>1.2857142857142856</v>
      </c>
      <c r="M46" s="49">
        <f>'Avg Week KYENJOJO-FORTPORTAL'!M46+'Avg Week FORTPORTAL-KYENJONJO'!M46</f>
        <v>2.5714285714285712</v>
      </c>
      <c r="N46" s="49">
        <f>'Avg Week KYENJOJO-FORTPORTAL'!N46+'Avg Week FORTPORTAL-KYENJONJO'!N46</f>
        <v>0.14285714285714285</v>
      </c>
      <c r="O46" s="15">
        <f t="shared" si="0"/>
        <v>20.142857142857139</v>
      </c>
      <c r="P46" s="15">
        <f t="shared" si="1"/>
        <v>22.714285714285712</v>
      </c>
      <c r="R46" s="8"/>
      <c r="T46"/>
    </row>
    <row r="47" spans="2:32" ht="23.1" customHeight="1" x14ac:dyDescent="0.25">
      <c r="B47" s="24" t="s">
        <v>74</v>
      </c>
      <c r="C47" s="49">
        <f>'Avg Week KYENJOJO-FORTPORTAL'!C47+'Avg Week FORTPORTAL-KYENJONJO'!C47</f>
        <v>3</v>
      </c>
      <c r="D47" s="49">
        <f>0.45*('Avg Week KYENJOJO-FORTPORTAL'!E47+'Avg Week FORTPORTAL-KYENJONJO'!E47)</f>
        <v>2.1214285714285714</v>
      </c>
      <c r="E47" s="49">
        <f>0.55*('Avg Week KYENJOJO-FORTPORTAL'!E47+'Avg Week FORTPORTAL-KYENJONJO'!E47)</f>
        <v>2.592857142857143</v>
      </c>
      <c r="F47" s="49">
        <f>'Avg Week KYENJOJO-FORTPORTAL'!F47+'Avg Week FORTPORTAL-KYENJONJO'!F47</f>
        <v>3.7142857142857144</v>
      </c>
      <c r="G47" s="49">
        <f>'Avg Week KYENJOJO-FORTPORTAL'!G47+'Avg Week FORTPORTAL-KYENJONJO'!G47</f>
        <v>0</v>
      </c>
      <c r="H47" s="49">
        <f>'Avg Week KYENJOJO-FORTPORTAL'!H47+'Avg Week FORTPORTAL-KYENJONJO'!H47</f>
        <v>0.42857142857142855</v>
      </c>
      <c r="I47" s="49">
        <f>'Avg Week KYENJOJO-FORTPORTAL'!I47+'Avg Week FORTPORTAL-KYENJONJO'!I47</f>
        <v>2.5714285714285712</v>
      </c>
      <c r="J47" s="49">
        <f>'Avg Week KYENJOJO-FORTPORTAL'!J47+'Avg Week FORTPORTAL-KYENJONJO'!J47</f>
        <v>0.14285714285714285</v>
      </c>
      <c r="K47" s="49">
        <f>'Avg Week KYENJOJO-FORTPORTAL'!K47+'Avg Week FORTPORTAL-KYENJONJO'!K47</f>
        <v>0</v>
      </c>
      <c r="L47" s="49">
        <f>'Avg Week KYENJOJO-FORTPORTAL'!L47+'Avg Week FORTPORTAL-KYENJONJO'!L47</f>
        <v>0.7142857142857143</v>
      </c>
      <c r="M47" s="49">
        <f>'Avg Week KYENJOJO-FORTPORTAL'!M47+'Avg Week FORTPORTAL-KYENJONJO'!M47</f>
        <v>3.1428571428571428</v>
      </c>
      <c r="N47" s="49">
        <f>'Avg Week KYENJOJO-FORTPORTAL'!N47+'Avg Week FORTPORTAL-KYENJONJO'!N47</f>
        <v>0.14285714285714285</v>
      </c>
      <c r="O47" s="15">
        <f t="shared" si="0"/>
        <v>15.428571428571429</v>
      </c>
      <c r="P47" s="15">
        <f t="shared" si="1"/>
        <v>18.571428571428573</v>
      </c>
      <c r="R47" s="8"/>
      <c r="T47"/>
    </row>
    <row r="48" spans="2:32" ht="23.1" customHeight="1" x14ac:dyDescent="0.25">
      <c r="B48" s="24" t="s">
        <v>75</v>
      </c>
      <c r="C48" s="49">
        <f>'Avg Week KYENJOJO-FORTPORTAL'!C48+'Avg Week FORTPORTAL-KYENJONJO'!C48</f>
        <v>1.4285714285714284</v>
      </c>
      <c r="D48" s="49">
        <f>0.45*('Avg Week KYENJOJO-FORTPORTAL'!E48+'Avg Week FORTPORTAL-KYENJONJO'!E48)</f>
        <v>2.8285714285714287</v>
      </c>
      <c r="E48" s="49">
        <f>0.55*('Avg Week KYENJOJO-FORTPORTAL'!E48+'Avg Week FORTPORTAL-KYENJONJO'!E48)</f>
        <v>3.4571428571428573</v>
      </c>
      <c r="F48" s="49">
        <f>'Avg Week KYENJOJO-FORTPORTAL'!F48+'Avg Week FORTPORTAL-KYENJONJO'!F48</f>
        <v>4.5714285714285712</v>
      </c>
      <c r="G48" s="49">
        <f>'Avg Week KYENJOJO-FORTPORTAL'!G48+'Avg Week FORTPORTAL-KYENJONJO'!G48</f>
        <v>0.42857142857142855</v>
      </c>
      <c r="H48" s="49">
        <f>'Avg Week KYENJOJO-FORTPORTAL'!H48+'Avg Week FORTPORTAL-KYENJONJO'!H48</f>
        <v>1</v>
      </c>
      <c r="I48" s="49">
        <f>'Avg Week KYENJOJO-FORTPORTAL'!I48+'Avg Week FORTPORTAL-KYENJONJO'!I48</f>
        <v>1.4285714285714284</v>
      </c>
      <c r="J48" s="49">
        <f>'Avg Week KYENJOJO-FORTPORTAL'!J48+'Avg Week FORTPORTAL-KYENJONJO'!J48</f>
        <v>0</v>
      </c>
      <c r="K48" s="49">
        <f>'Avg Week KYENJOJO-FORTPORTAL'!K48+'Avg Week FORTPORTAL-KYENJONJO'!K48</f>
        <v>0</v>
      </c>
      <c r="L48" s="49">
        <f>'Avg Week KYENJOJO-FORTPORTAL'!L48+'Avg Week FORTPORTAL-KYENJONJO'!L48</f>
        <v>1.2857142857142856</v>
      </c>
      <c r="M48" s="49">
        <f>'Avg Week KYENJOJO-FORTPORTAL'!M48+'Avg Week FORTPORTAL-KYENJONJO'!M48</f>
        <v>1.8571428571428572</v>
      </c>
      <c r="N48" s="49">
        <f>'Avg Week KYENJOJO-FORTPORTAL'!N48+'Avg Week FORTPORTAL-KYENJONJO'!N48</f>
        <v>0</v>
      </c>
      <c r="O48" s="15">
        <f t="shared" si="0"/>
        <v>16.428571428571427</v>
      </c>
      <c r="P48" s="15">
        <f t="shared" si="1"/>
        <v>18.285714285714285</v>
      </c>
      <c r="R48" s="8"/>
      <c r="T48"/>
    </row>
    <row r="49" spans="2:20" ht="23.1" customHeight="1" x14ac:dyDescent="0.25">
      <c r="B49" s="23" t="s">
        <v>76</v>
      </c>
      <c r="C49" s="49">
        <f>'Avg Week KYENJOJO-FORTPORTAL'!C49+'Avg Week FORTPORTAL-KYENJONJO'!C49</f>
        <v>3.1428571428571432</v>
      </c>
      <c r="D49" s="49">
        <f>0.45*('Avg Week KYENJOJO-FORTPORTAL'!E49+'Avg Week FORTPORTAL-KYENJONJO'!E49)</f>
        <v>2.3785714285714286</v>
      </c>
      <c r="E49" s="49">
        <f>0.55*('Avg Week KYENJOJO-FORTPORTAL'!E49+'Avg Week FORTPORTAL-KYENJONJO'!E49)</f>
        <v>2.9071428571428575</v>
      </c>
      <c r="F49" s="49">
        <f>'Avg Week KYENJOJO-FORTPORTAL'!F49+'Avg Week FORTPORTAL-KYENJONJO'!F49</f>
        <v>3.1428571428571428</v>
      </c>
      <c r="G49" s="49">
        <f>'Avg Week KYENJOJO-FORTPORTAL'!G49+'Avg Week FORTPORTAL-KYENJONJO'!G49</f>
        <v>0</v>
      </c>
      <c r="H49" s="49">
        <f>'Avg Week KYENJOJO-FORTPORTAL'!H49+'Avg Week FORTPORTAL-KYENJONJO'!H49</f>
        <v>0.5714285714285714</v>
      </c>
      <c r="I49" s="49">
        <f>'Avg Week KYENJOJO-FORTPORTAL'!I49+'Avg Week FORTPORTAL-KYENJONJO'!I49</f>
        <v>2.1428571428571428</v>
      </c>
      <c r="J49" s="49">
        <f>'Avg Week KYENJOJO-FORTPORTAL'!J49+'Avg Week FORTPORTAL-KYENJONJO'!J49</f>
        <v>0.2857142857142857</v>
      </c>
      <c r="K49" s="49">
        <f>'Avg Week KYENJOJO-FORTPORTAL'!K49+'Avg Week FORTPORTAL-KYENJONJO'!K49</f>
        <v>0</v>
      </c>
      <c r="L49" s="49">
        <f>'Avg Week KYENJOJO-FORTPORTAL'!L49+'Avg Week FORTPORTAL-KYENJONJO'!L49</f>
        <v>1.8571428571428572</v>
      </c>
      <c r="M49" s="49">
        <f>'Avg Week KYENJOJO-FORTPORTAL'!M49+'Avg Week FORTPORTAL-KYENJONJO'!M49</f>
        <v>2.1428571428571428</v>
      </c>
      <c r="N49" s="49">
        <f>'Avg Week KYENJOJO-FORTPORTAL'!N49+'Avg Week FORTPORTAL-KYENJONJO'!N49</f>
        <v>0</v>
      </c>
      <c r="O49" s="15">
        <f t="shared" si="0"/>
        <v>16.428571428571431</v>
      </c>
      <c r="P49" s="15">
        <f t="shared" si="1"/>
        <v>18.571428571428573</v>
      </c>
      <c r="R49" s="8"/>
      <c r="T49"/>
    </row>
    <row r="50" spans="2:20" ht="23.1" customHeight="1" x14ac:dyDescent="0.25">
      <c r="B50" s="24" t="s">
        <v>77</v>
      </c>
      <c r="C50" s="49">
        <f>'Avg Week KYENJOJO-FORTPORTAL'!C50+'Avg Week FORTPORTAL-KYENJONJO'!C50</f>
        <v>2.4285714285714288</v>
      </c>
      <c r="D50" s="49">
        <f>0.45*('Avg Week KYENJOJO-FORTPORTAL'!E50+'Avg Week FORTPORTAL-KYENJONJO'!E50)</f>
        <v>2.8285714285714287</v>
      </c>
      <c r="E50" s="49">
        <f>0.55*('Avg Week KYENJOJO-FORTPORTAL'!E50+'Avg Week FORTPORTAL-KYENJONJO'!E50)</f>
        <v>3.4571428571428573</v>
      </c>
      <c r="F50" s="49">
        <f>'Avg Week KYENJOJO-FORTPORTAL'!F50+'Avg Week FORTPORTAL-KYENJONJO'!F50</f>
        <v>4.5714285714285712</v>
      </c>
      <c r="G50" s="49">
        <f>'Avg Week KYENJOJO-FORTPORTAL'!G50+'Avg Week FORTPORTAL-KYENJONJO'!G50</f>
        <v>0.2857142857142857</v>
      </c>
      <c r="H50" s="49">
        <f>'Avg Week KYENJOJO-FORTPORTAL'!H50+'Avg Week FORTPORTAL-KYENJONJO'!H50</f>
        <v>1.1428571428571428</v>
      </c>
      <c r="I50" s="49">
        <f>'Avg Week KYENJOJO-FORTPORTAL'!I50+'Avg Week FORTPORTAL-KYENJONJO'!I50</f>
        <v>2.1428571428571428</v>
      </c>
      <c r="J50" s="49">
        <f>'Avg Week KYENJOJO-FORTPORTAL'!J50+'Avg Week FORTPORTAL-KYENJONJO'!J50</f>
        <v>0</v>
      </c>
      <c r="K50" s="49">
        <f>'Avg Week KYENJOJO-FORTPORTAL'!K50+'Avg Week FORTPORTAL-KYENJONJO'!K50</f>
        <v>0</v>
      </c>
      <c r="L50" s="49">
        <f>'Avg Week KYENJOJO-FORTPORTAL'!L50+'Avg Week FORTPORTAL-KYENJONJO'!L50</f>
        <v>1.7142857142857144</v>
      </c>
      <c r="M50" s="49">
        <f>'Avg Week KYENJOJO-FORTPORTAL'!M50+'Avg Week FORTPORTAL-KYENJONJO'!M50</f>
        <v>2.7142857142857144</v>
      </c>
      <c r="N50" s="49">
        <f>'Avg Week KYENJOJO-FORTPORTAL'!N50+'Avg Week FORTPORTAL-KYENJONJO'!N50</f>
        <v>0</v>
      </c>
      <c r="O50" s="15">
        <f t="shared" si="0"/>
        <v>18.571428571428573</v>
      </c>
      <c r="P50" s="15">
        <f t="shared" si="1"/>
        <v>21.285714285714288</v>
      </c>
      <c r="R50" s="8"/>
      <c r="T50"/>
    </row>
    <row r="51" spans="2:20" ht="23.1" customHeight="1" x14ac:dyDescent="0.25">
      <c r="B51" s="24" t="s">
        <v>78</v>
      </c>
      <c r="C51" s="49">
        <f>'Avg Week KYENJOJO-FORTPORTAL'!C51+'Avg Week FORTPORTAL-KYENJONJO'!C51</f>
        <v>4.4285714285714288</v>
      </c>
      <c r="D51" s="49">
        <f>0.45*('Avg Week KYENJOJO-FORTPORTAL'!E51+'Avg Week FORTPORTAL-KYENJONJO'!E51)</f>
        <v>3.4714285714285715</v>
      </c>
      <c r="E51" s="49">
        <f>0.55*('Avg Week KYENJOJO-FORTPORTAL'!E51+'Avg Week FORTPORTAL-KYENJONJO'!E51)</f>
        <v>4.2428571428571429</v>
      </c>
      <c r="F51" s="49">
        <f>'Avg Week KYENJOJO-FORTPORTAL'!F51+'Avg Week FORTPORTAL-KYENJONJO'!F51</f>
        <v>5</v>
      </c>
      <c r="G51" s="49">
        <f>'Avg Week KYENJOJO-FORTPORTAL'!G51+'Avg Week FORTPORTAL-KYENJONJO'!G51</f>
        <v>0</v>
      </c>
      <c r="H51" s="49">
        <f>'Avg Week KYENJOJO-FORTPORTAL'!H51+'Avg Week FORTPORTAL-KYENJONJO'!H51</f>
        <v>0.8571428571428571</v>
      </c>
      <c r="I51" s="49">
        <f>'Avg Week KYENJOJO-FORTPORTAL'!I51+'Avg Week FORTPORTAL-KYENJONJO'!I51</f>
        <v>1.4285714285714286</v>
      </c>
      <c r="J51" s="49">
        <f>'Avg Week KYENJOJO-FORTPORTAL'!J51+'Avg Week FORTPORTAL-KYENJONJO'!J51</f>
        <v>0</v>
      </c>
      <c r="K51" s="49">
        <f>'Avg Week KYENJOJO-FORTPORTAL'!K51+'Avg Week FORTPORTAL-KYENJONJO'!K51</f>
        <v>0</v>
      </c>
      <c r="L51" s="49">
        <f>'Avg Week KYENJOJO-FORTPORTAL'!L51+'Avg Week FORTPORTAL-KYENJONJO'!L51</f>
        <v>1.2857142857142856</v>
      </c>
      <c r="M51" s="49">
        <f>'Avg Week KYENJOJO-FORTPORTAL'!M51+'Avg Week FORTPORTAL-KYENJONJO'!M51</f>
        <v>2.7142857142857144</v>
      </c>
      <c r="N51" s="49">
        <f>'Avg Week KYENJOJO-FORTPORTAL'!N51+'Avg Week FORTPORTAL-KYENJONJO'!N51</f>
        <v>0</v>
      </c>
      <c r="O51" s="15">
        <f t="shared" si="0"/>
        <v>20.714285714285712</v>
      </c>
      <c r="P51" s="15">
        <f t="shared" si="1"/>
        <v>23.428571428571427</v>
      </c>
      <c r="R51" s="8"/>
      <c r="T51"/>
    </row>
    <row r="52" spans="2:20" ht="23.1" customHeight="1" x14ac:dyDescent="0.25">
      <c r="B52" s="24" t="s">
        <v>79</v>
      </c>
      <c r="C52" s="49">
        <f>'Avg Week KYENJOJO-FORTPORTAL'!C52+'Avg Week FORTPORTAL-KYENJONJO'!C52</f>
        <v>4.5714285714285712</v>
      </c>
      <c r="D52" s="49">
        <f>0.45*('Avg Week KYENJOJO-FORTPORTAL'!E52+'Avg Week FORTPORTAL-KYENJONJO'!E52)</f>
        <v>3.407142857142857</v>
      </c>
      <c r="E52" s="49">
        <f>0.55*('Avg Week KYENJOJO-FORTPORTAL'!E52+'Avg Week FORTPORTAL-KYENJONJO'!E52)</f>
        <v>4.1642857142857146</v>
      </c>
      <c r="F52" s="49">
        <f>'Avg Week KYENJOJO-FORTPORTAL'!F52+'Avg Week FORTPORTAL-KYENJONJO'!F52</f>
        <v>4.5714285714285712</v>
      </c>
      <c r="G52" s="49">
        <f>'Avg Week KYENJOJO-FORTPORTAL'!G52+'Avg Week FORTPORTAL-KYENJONJO'!G52</f>
        <v>0.2857142857142857</v>
      </c>
      <c r="H52" s="49">
        <f>'Avg Week KYENJOJO-FORTPORTAL'!H52+'Avg Week FORTPORTAL-KYENJONJO'!H52</f>
        <v>1</v>
      </c>
      <c r="I52" s="49">
        <f>'Avg Week KYENJOJO-FORTPORTAL'!I52+'Avg Week FORTPORTAL-KYENJONJO'!I52</f>
        <v>2.2857142857142856</v>
      </c>
      <c r="J52" s="49">
        <f>'Avg Week KYENJOJO-FORTPORTAL'!J52+'Avg Week FORTPORTAL-KYENJONJO'!J52</f>
        <v>0.42857142857142855</v>
      </c>
      <c r="K52" s="49">
        <f>'Avg Week KYENJOJO-FORTPORTAL'!K52+'Avg Week FORTPORTAL-KYENJONJO'!K52</f>
        <v>0</v>
      </c>
      <c r="L52" s="49">
        <f>'Avg Week KYENJOJO-FORTPORTAL'!L52+'Avg Week FORTPORTAL-KYENJONJO'!L52</f>
        <v>1.7142857142857144</v>
      </c>
      <c r="M52" s="49">
        <f>'Avg Week KYENJOJO-FORTPORTAL'!M52+'Avg Week FORTPORTAL-KYENJONJO'!M52</f>
        <v>3.1428571428571432</v>
      </c>
      <c r="N52" s="49">
        <f>'Avg Week KYENJOJO-FORTPORTAL'!N52+'Avg Week FORTPORTAL-KYENJONJO'!N52</f>
        <v>0</v>
      </c>
      <c r="O52" s="15">
        <f t="shared" si="0"/>
        <v>22.428571428571427</v>
      </c>
      <c r="P52" s="15">
        <f t="shared" si="1"/>
        <v>25.571428571428569</v>
      </c>
      <c r="R52" s="8"/>
      <c r="T52"/>
    </row>
    <row r="53" spans="2:20" ht="23.1" customHeight="1" x14ac:dyDescent="0.25">
      <c r="B53" s="23" t="s">
        <v>80</v>
      </c>
      <c r="C53" s="49">
        <f>'Avg Week KYENJOJO-FORTPORTAL'!C53+'Avg Week FORTPORTAL-KYENJONJO'!C53</f>
        <v>2.2857142857142856</v>
      </c>
      <c r="D53" s="49">
        <f>0.45*('Avg Week KYENJOJO-FORTPORTAL'!E53+'Avg Week FORTPORTAL-KYENJONJO'!E53)</f>
        <v>2.5714285714285712</v>
      </c>
      <c r="E53" s="49">
        <f>0.55*('Avg Week KYENJOJO-FORTPORTAL'!E53+'Avg Week FORTPORTAL-KYENJONJO'!E53)</f>
        <v>3.1428571428571428</v>
      </c>
      <c r="F53" s="49">
        <f>'Avg Week KYENJOJO-FORTPORTAL'!F53+'Avg Week FORTPORTAL-KYENJONJO'!F53</f>
        <v>3.8571428571428568</v>
      </c>
      <c r="G53" s="49">
        <f>'Avg Week KYENJOJO-FORTPORTAL'!G53+'Avg Week FORTPORTAL-KYENJONJO'!G53</f>
        <v>0.14285714285714285</v>
      </c>
      <c r="H53" s="49">
        <f>'Avg Week KYENJOJO-FORTPORTAL'!H53+'Avg Week FORTPORTAL-KYENJONJO'!H53</f>
        <v>1.2857142857142856</v>
      </c>
      <c r="I53" s="49">
        <f>'Avg Week KYENJOJO-FORTPORTAL'!I53+'Avg Week FORTPORTAL-KYENJONJO'!I53</f>
        <v>1.8571428571428572</v>
      </c>
      <c r="J53" s="49">
        <f>'Avg Week KYENJOJO-FORTPORTAL'!J53+'Avg Week FORTPORTAL-KYENJONJO'!J53</f>
        <v>0.7142857142857143</v>
      </c>
      <c r="K53" s="49">
        <f>'Avg Week KYENJOJO-FORTPORTAL'!K53+'Avg Week FORTPORTAL-KYENJONJO'!K53</f>
        <v>0</v>
      </c>
      <c r="L53" s="49">
        <f>'Avg Week KYENJOJO-FORTPORTAL'!L53+'Avg Week FORTPORTAL-KYENJONJO'!L53</f>
        <v>1.1428571428571428</v>
      </c>
      <c r="M53" s="49">
        <f>'Avg Week KYENJOJO-FORTPORTAL'!M53+'Avg Week FORTPORTAL-KYENJONJO'!M53</f>
        <v>3.1428571428571428</v>
      </c>
      <c r="N53" s="49">
        <f>'Avg Week KYENJOJO-FORTPORTAL'!N53+'Avg Week FORTPORTAL-KYENJONJO'!N53</f>
        <v>0</v>
      </c>
      <c r="O53" s="15">
        <f t="shared" si="0"/>
        <v>17</v>
      </c>
      <c r="P53" s="15">
        <f t="shared" si="1"/>
        <v>20.142857142857142</v>
      </c>
      <c r="R53" s="8"/>
      <c r="T53"/>
    </row>
    <row r="54" spans="2:20" ht="23.1" customHeight="1" x14ac:dyDescent="0.25">
      <c r="B54" s="23" t="s">
        <v>81</v>
      </c>
      <c r="C54" s="49">
        <f>'Avg Week KYENJOJO-FORTPORTAL'!C54+'Avg Week FORTPORTAL-KYENJONJO'!C54</f>
        <v>3.1428571428571432</v>
      </c>
      <c r="D54" s="49">
        <f>0.45*('Avg Week KYENJOJO-FORTPORTAL'!E54+'Avg Week FORTPORTAL-KYENJONJO'!E54)</f>
        <v>2.8928571428571432</v>
      </c>
      <c r="E54" s="49">
        <f>0.55*('Avg Week KYENJOJO-FORTPORTAL'!E54+'Avg Week FORTPORTAL-KYENJONJO'!E54)</f>
        <v>3.535714285714286</v>
      </c>
      <c r="F54" s="49">
        <f>'Avg Week KYENJOJO-FORTPORTAL'!F54+'Avg Week FORTPORTAL-KYENJONJO'!F54</f>
        <v>3.8571428571428577</v>
      </c>
      <c r="G54" s="49">
        <f>'Avg Week KYENJOJO-FORTPORTAL'!G54+'Avg Week FORTPORTAL-KYENJONJO'!G54</f>
        <v>0.42857142857142855</v>
      </c>
      <c r="H54" s="49">
        <f>'Avg Week KYENJOJO-FORTPORTAL'!H54+'Avg Week FORTPORTAL-KYENJONJO'!H54</f>
        <v>0.5714285714285714</v>
      </c>
      <c r="I54" s="49">
        <f>'Avg Week KYENJOJO-FORTPORTAL'!I54+'Avg Week FORTPORTAL-KYENJONJO'!I54</f>
        <v>1.4285714285714286</v>
      </c>
      <c r="J54" s="49">
        <f>'Avg Week KYENJOJO-FORTPORTAL'!J54+'Avg Week FORTPORTAL-KYENJONJO'!J54</f>
        <v>0.85714285714285721</v>
      </c>
      <c r="K54" s="49">
        <f>'Avg Week KYENJOJO-FORTPORTAL'!K54+'Avg Week FORTPORTAL-KYENJONJO'!K54</f>
        <v>0.2857142857142857</v>
      </c>
      <c r="L54" s="49">
        <f>'Avg Week KYENJOJO-FORTPORTAL'!L54+'Avg Week FORTPORTAL-KYENJONJO'!L54</f>
        <v>0.5714285714285714</v>
      </c>
      <c r="M54" s="49">
        <f>'Avg Week KYENJOJO-FORTPORTAL'!M54+'Avg Week FORTPORTAL-KYENJONJO'!M54</f>
        <v>2.4285714285714284</v>
      </c>
      <c r="N54" s="49">
        <f>'Avg Week KYENJOJO-FORTPORTAL'!N54+'Avg Week FORTPORTAL-KYENJONJO'!N54</f>
        <v>0</v>
      </c>
      <c r="O54" s="15">
        <f t="shared" si="0"/>
        <v>17.571428571428573</v>
      </c>
      <c r="P54" s="15">
        <f t="shared" si="1"/>
        <v>20</v>
      </c>
      <c r="R54" s="8"/>
      <c r="T54"/>
    </row>
    <row r="55" spans="2:20" ht="23.1" customHeight="1" x14ac:dyDescent="0.25">
      <c r="B55" s="23" t="s">
        <v>82</v>
      </c>
      <c r="C55" s="49">
        <f>'Avg Week KYENJOJO-FORTPORTAL'!C55+'Avg Week FORTPORTAL-KYENJONJO'!C55</f>
        <v>2.1428571428571428</v>
      </c>
      <c r="D55" s="49">
        <f>0.45*('Avg Week KYENJOJO-FORTPORTAL'!E55+'Avg Week FORTPORTAL-KYENJONJO'!E55)</f>
        <v>2.25</v>
      </c>
      <c r="E55" s="49">
        <f>0.55*('Avg Week KYENJOJO-FORTPORTAL'!E55+'Avg Week FORTPORTAL-KYENJONJO'!E55)</f>
        <v>2.75</v>
      </c>
      <c r="F55" s="49">
        <f>'Avg Week KYENJOJO-FORTPORTAL'!F55+'Avg Week FORTPORTAL-KYENJONJO'!F55</f>
        <v>3.4285714285714288</v>
      </c>
      <c r="G55" s="49">
        <f>'Avg Week KYENJOJO-FORTPORTAL'!G55+'Avg Week FORTPORTAL-KYENJONJO'!G55</f>
        <v>0.42857142857142855</v>
      </c>
      <c r="H55" s="49">
        <f>'Avg Week KYENJOJO-FORTPORTAL'!H55+'Avg Week FORTPORTAL-KYENJONJO'!H55</f>
        <v>1.1428571428571428</v>
      </c>
      <c r="I55" s="49">
        <f>'Avg Week KYENJOJO-FORTPORTAL'!I55+'Avg Week FORTPORTAL-KYENJONJO'!I55</f>
        <v>2.2857142857142856</v>
      </c>
      <c r="J55" s="49">
        <f>'Avg Week KYENJOJO-FORTPORTAL'!J55+'Avg Week FORTPORTAL-KYENJONJO'!J55</f>
        <v>0.14285714285714285</v>
      </c>
      <c r="K55" s="49">
        <f>'Avg Week KYENJOJO-FORTPORTAL'!K55+'Avg Week FORTPORTAL-KYENJONJO'!K55</f>
        <v>0</v>
      </c>
      <c r="L55" s="49">
        <f>'Avg Week KYENJOJO-FORTPORTAL'!L55+'Avg Week FORTPORTAL-KYENJONJO'!L55</f>
        <v>1</v>
      </c>
      <c r="M55" s="49">
        <f>'Avg Week KYENJOJO-FORTPORTAL'!M55+'Avg Week FORTPORTAL-KYENJONJO'!M55</f>
        <v>3.5714285714285712</v>
      </c>
      <c r="N55" s="49">
        <f>'Avg Week KYENJOJO-FORTPORTAL'!N55+'Avg Week FORTPORTAL-KYENJONJO'!N55</f>
        <v>0</v>
      </c>
      <c r="O55" s="15">
        <f t="shared" si="0"/>
        <v>15.571428571428569</v>
      </c>
      <c r="P55" s="15">
        <f t="shared" si="1"/>
        <v>19.142857142857139</v>
      </c>
      <c r="R55" s="8"/>
      <c r="T55"/>
    </row>
    <row r="56" spans="2:20" ht="23.1" customHeight="1" x14ac:dyDescent="0.25">
      <c r="B56" s="23" t="s">
        <v>83</v>
      </c>
      <c r="C56" s="49">
        <f>'Avg Week KYENJOJO-FORTPORTAL'!C56+'Avg Week FORTPORTAL-KYENJONJO'!C56</f>
        <v>3</v>
      </c>
      <c r="D56" s="49">
        <f>0.45*('Avg Week KYENJOJO-FORTPORTAL'!E56+'Avg Week FORTPORTAL-KYENJONJO'!E56)</f>
        <v>2.8285714285714287</v>
      </c>
      <c r="E56" s="49">
        <f>0.55*('Avg Week KYENJOJO-FORTPORTAL'!E56+'Avg Week FORTPORTAL-KYENJONJO'!E56)</f>
        <v>3.4571428571428573</v>
      </c>
      <c r="F56" s="49">
        <f>'Avg Week KYENJOJO-FORTPORTAL'!F56+'Avg Week FORTPORTAL-KYENJONJO'!F56</f>
        <v>4.4285714285714288</v>
      </c>
      <c r="G56" s="49">
        <f>'Avg Week KYENJOJO-FORTPORTAL'!G56+'Avg Week FORTPORTAL-KYENJONJO'!G56</f>
        <v>0.14285714285714285</v>
      </c>
      <c r="H56" s="49">
        <f>'Avg Week KYENJOJO-FORTPORTAL'!H56+'Avg Week FORTPORTAL-KYENJONJO'!H56</f>
        <v>0.8571428571428571</v>
      </c>
      <c r="I56" s="49">
        <f>'Avg Week KYENJOJO-FORTPORTAL'!I56+'Avg Week FORTPORTAL-KYENJONJO'!I56</f>
        <v>4.8571428571428577</v>
      </c>
      <c r="J56" s="49">
        <f>'Avg Week KYENJOJO-FORTPORTAL'!J56+'Avg Week FORTPORTAL-KYENJONJO'!J56</f>
        <v>0.8571428571428571</v>
      </c>
      <c r="K56" s="49">
        <f>'Avg Week KYENJOJO-FORTPORTAL'!K56+'Avg Week FORTPORTAL-KYENJONJO'!K56</f>
        <v>0.42857142857142855</v>
      </c>
      <c r="L56" s="49">
        <f>'Avg Week KYENJOJO-FORTPORTAL'!L56+'Avg Week FORTPORTAL-KYENJONJO'!L56</f>
        <v>0.8571428571428571</v>
      </c>
      <c r="M56" s="49">
        <f>'Avg Week KYENJOJO-FORTPORTAL'!M56+'Avg Week FORTPORTAL-KYENJONJO'!M56</f>
        <v>1.8571428571428572</v>
      </c>
      <c r="N56" s="49">
        <f>'Avg Week KYENJOJO-FORTPORTAL'!N56+'Avg Week FORTPORTAL-KYENJONJO'!N56</f>
        <v>0</v>
      </c>
      <c r="O56" s="15">
        <f t="shared" si="0"/>
        <v>21.714285714285715</v>
      </c>
      <c r="P56" s="15">
        <f t="shared" si="1"/>
        <v>23.571428571428573</v>
      </c>
      <c r="R56" s="8"/>
      <c r="T56"/>
    </row>
    <row r="57" spans="2:20" ht="23.1" customHeight="1" x14ac:dyDescent="0.25">
      <c r="B57" s="23" t="s">
        <v>84</v>
      </c>
      <c r="C57" s="49">
        <f>'Avg Week KYENJOJO-FORTPORTAL'!C57+'Avg Week FORTPORTAL-KYENJONJO'!C57</f>
        <v>2.5714285714285712</v>
      </c>
      <c r="D57" s="49">
        <f>0.45*('Avg Week KYENJOJO-FORTPORTAL'!E57+'Avg Week FORTPORTAL-KYENJONJO'!E57)</f>
        <v>1.8642857142857145</v>
      </c>
      <c r="E57" s="49">
        <f>0.55*('Avg Week KYENJOJO-FORTPORTAL'!E57+'Avg Week FORTPORTAL-KYENJONJO'!E57)</f>
        <v>2.2785714285714289</v>
      </c>
      <c r="F57" s="49">
        <f>'Avg Week KYENJOJO-FORTPORTAL'!F57+'Avg Week FORTPORTAL-KYENJONJO'!F57</f>
        <v>2.2857142857142856</v>
      </c>
      <c r="G57" s="49">
        <f>'Avg Week KYENJOJO-FORTPORTAL'!G57+'Avg Week FORTPORTAL-KYENJONJO'!G57</f>
        <v>0.2857142857142857</v>
      </c>
      <c r="H57" s="49">
        <f>'Avg Week KYENJOJO-FORTPORTAL'!H57+'Avg Week FORTPORTAL-KYENJONJO'!H57</f>
        <v>1.2857142857142856</v>
      </c>
      <c r="I57" s="49">
        <f>'Avg Week KYENJOJO-FORTPORTAL'!I57+'Avg Week FORTPORTAL-KYENJONJO'!I57</f>
        <v>2.7142857142857144</v>
      </c>
      <c r="J57" s="49">
        <f>'Avg Week KYENJOJO-FORTPORTAL'!J57+'Avg Week FORTPORTAL-KYENJONJO'!J57</f>
        <v>0.2857142857142857</v>
      </c>
      <c r="K57" s="49">
        <f>'Avg Week KYENJOJO-FORTPORTAL'!K57+'Avg Week FORTPORTAL-KYENJONJO'!K57</f>
        <v>0</v>
      </c>
      <c r="L57" s="49">
        <f>'Avg Week KYENJOJO-FORTPORTAL'!L57+'Avg Week FORTPORTAL-KYENJONJO'!L57</f>
        <v>1.4285714285714284</v>
      </c>
      <c r="M57" s="49">
        <f>'Avg Week KYENJOJO-FORTPORTAL'!M57+'Avg Week FORTPORTAL-KYENJONJO'!M57</f>
        <v>2.1428571428571428</v>
      </c>
      <c r="N57" s="49">
        <f>'Avg Week KYENJOJO-FORTPORTAL'!N57+'Avg Week FORTPORTAL-KYENJONJO'!N57</f>
        <v>0</v>
      </c>
      <c r="O57" s="15">
        <f t="shared" si="0"/>
        <v>15.000000000000004</v>
      </c>
      <c r="P57" s="15">
        <f t="shared" si="1"/>
        <v>17.142857142857146</v>
      </c>
      <c r="R57" s="8"/>
      <c r="T57"/>
    </row>
    <row r="58" spans="2:20" ht="23.1" customHeight="1" x14ac:dyDescent="0.25">
      <c r="B58" s="23" t="s">
        <v>99</v>
      </c>
      <c r="C58" s="49">
        <f>'Avg Week KYENJOJO-FORTPORTAL'!C58+'Avg Week FORTPORTAL-KYENJONJO'!C58</f>
        <v>3.5</v>
      </c>
      <c r="D58" s="49">
        <f>0.45*('Avg Week KYENJOJO-FORTPORTAL'!E58+'Avg Week FORTPORTAL-KYENJONJO'!E58)</f>
        <v>0.67500000000000004</v>
      </c>
      <c r="E58" s="49">
        <f>0.55*('Avg Week KYENJOJO-FORTPORTAL'!E58+'Avg Week FORTPORTAL-KYENJONJO'!E58)</f>
        <v>0.82500000000000007</v>
      </c>
      <c r="F58" s="49">
        <f>'Avg Week KYENJOJO-FORTPORTAL'!F58+'Avg Week FORTPORTAL-KYENJONJO'!F58</f>
        <v>3</v>
      </c>
      <c r="G58" s="49">
        <f>'Avg Week KYENJOJO-FORTPORTAL'!G58+'Avg Week FORTPORTAL-KYENJONJO'!G58</f>
        <v>0.5</v>
      </c>
      <c r="H58" s="49">
        <f>'Avg Week KYENJOJO-FORTPORTAL'!H58+'Avg Week FORTPORTAL-KYENJONJO'!H58</f>
        <v>0</v>
      </c>
      <c r="I58" s="49">
        <f>'Avg Week KYENJOJO-FORTPORTAL'!I58+'Avg Week FORTPORTAL-KYENJONJO'!I58</f>
        <v>2</v>
      </c>
      <c r="J58" s="49">
        <f>'Avg Week KYENJOJO-FORTPORTAL'!J58+'Avg Week FORTPORTAL-KYENJONJO'!J58</f>
        <v>0</v>
      </c>
      <c r="K58" s="49">
        <f>'Avg Week KYENJOJO-FORTPORTAL'!K58+'Avg Week FORTPORTAL-KYENJONJO'!K58</f>
        <v>0.5</v>
      </c>
      <c r="L58" s="49">
        <f>'Avg Week KYENJOJO-FORTPORTAL'!L58+'Avg Week FORTPORTAL-KYENJONJO'!L58</f>
        <v>3</v>
      </c>
      <c r="M58" s="49">
        <f>'Avg Week KYENJOJO-FORTPORTAL'!M58+'Avg Week FORTPORTAL-KYENJONJO'!M58</f>
        <v>2.5</v>
      </c>
      <c r="N58" s="49">
        <f>'Avg Week KYENJOJO-FORTPORTAL'!N58+'Avg Week FORTPORTAL-KYENJONJO'!N58</f>
        <v>0</v>
      </c>
      <c r="O58" s="15">
        <f t="shared" si="0"/>
        <v>14</v>
      </c>
      <c r="P58" s="15">
        <f t="shared" si="1"/>
        <v>16.5</v>
      </c>
      <c r="R58" s="8"/>
      <c r="T58"/>
    </row>
    <row r="59" spans="2:20" ht="23.1" customHeight="1" x14ac:dyDescent="0.25">
      <c r="B59" s="23" t="s">
        <v>100</v>
      </c>
      <c r="C59" s="49">
        <f>'Avg Week KYENJOJO-FORTPORTAL'!C59+'Avg Week FORTPORTAL-KYENJONJO'!C59</f>
        <v>2.5</v>
      </c>
      <c r="D59" s="49">
        <f>0.45*('Avg Week KYENJOJO-FORTPORTAL'!E59+'Avg Week FORTPORTAL-KYENJONJO'!E59)</f>
        <v>0.9</v>
      </c>
      <c r="E59" s="49">
        <f>0.55*('Avg Week KYENJOJO-FORTPORTAL'!E59+'Avg Week FORTPORTAL-KYENJONJO'!E59)</f>
        <v>1.1000000000000001</v>
      </c>
      <c r="F59" s="49">
        <f>'Avg Week KYENJOJO-FORTPORTAL'!F59+'Avg Week FORTPORTAL-KYENJONJO'!F59</f>
        <v>0.5</v>
      </c>
      <c r="G59" s="49">
        <f>'Avg Week KYENJOJO-FORTPORTAL'!G59+'Avg Week FORTPORTAL-KYENJONJO'!G59</f>
        <v>0</v>
      </c>
      <c r="H59" s="49">
        <f>'Avg Week KYENJOJO-FORTPORTAL'!H59+'Avg Week FORTPORTAL-KYENJONJO'!H59</f>
        <v>0</v>
      </c>
      <c r="I59" s="49">
        <f>'Avg Week KYENJOJO-FORTPORTAL'!I59+'Avg Week FORTPORTAL-KYENJONJO'!I59</f>
        <v>1</v>
      </c>
      <c r="J59" s="49">
        <f>'Avg Week KYENJOJO-FORTPORTAL'!J59+'Avg Week FORTPORTAL-KYENJONJO'!J59</f>
        <v>0</v>
      </c>
      <c r="K59" s="49">
        <f>'Avg Week KYENJOJO-FORTPORTAL'!K59+'Avg Week FORTPORTAL-KYENJONJO'!K59</f>
        <v>0</v>
      </c>
      <c r="L59" s="49">
        <f>'Avg Week KYENJOJO-FORTPORTAL'!L59+'Avg Week FORTPORTAL-KYENJONJO'!L59</f>
        <v>1</v>
      </c>
      <c r="M59" s="49">
        <f>'Avg Week KYENJOJO-FORTPORTAL'!M59+'Avg Week FORTPORTAL-KYENJONJO'!M59</f>
        <v>1</v>
      </c>
      <c r="N59" s="49">
        <f>'Avg Week KYENJOJO-FORTPORTAL'!N59+'Avg Week FORTPORTAL-KYENJONJO'!N59</f>
        <v>0</v>
      </c>
      <c r="O59" s="15">
        <f t="shared" si="0"/>
        <v>7</v>
      </c>
      <c r="P59" s="15">
        <f t="shared" si="1"/>
        <v>8</v>
      </c>
      <c r="R59" s="8"/>
      <c r="T59"/>
    </row>
    <row r="60" spans="2:20" ht="23.1" customHeight="1" x14ac:dyDescent="0.25">
      <c r="B60" s="23" t="s">
        <v>101</v>
      </c>
      <c r="C60" s="49">
        <f>'Avg Week KYENJOJO-FORTPORTAL'!C60+'Avg Week FORTPORTAL-KYENJONJO'!C60</f>
        <v>0.5</v>
      </c>
      <c r="D60" s="49">
        <f>0.45*('Avg Week KYENJOJO-FORTPORTAL'!E60+'Avg Week FORTPORTAL-KYENJONJO'!E60)</f>
        <v>1.125</v>
      </c>
      <c r="E60" s="49">
        <f>0.55*('Avg Week KYENJOJO-FORTPORTAL'!E60+'Avg Week FORTPORTAL-KYENJONJO'!E60)</f>
        <v>1.375</v>
      </c>
      <c r="F60" s="49">
        <f>'Avg Week KYENJOJO-FORTPORTAL'!F60+'Avg Week FORTPORTAL-KYENJONJO'!F60</f>
        <v>0.5</v>
      </c>
      <c r="G60" s="49">
        <f>'Avg Week KYENJOJO-FORTPORTAL'!G60+'Avg Week FORTPORTAL-KYENJONJO'!G60</f>
        <v>0</v>
      </c>
      <c r="H60" s="49">
        <f>'Avg Week KYENJOJO-FORTPORTAL'!H60+'Avg Week FORTPORTAL-KYENJONJO'!H60</f>
        <v>0</v>
      </c>
      <c r="I60" s="49">
        <f>'Avg Week KYENJOJO-FORTPORTAL'!I60+'Avg Week FORTPORTAL-KYENJONJO'!I60</f>
        <v>2</v>
      </c>
      <c r="J60" s="49">
        <f>'Avg Week KYENJOJO-FORTPORTAL'!J60+'Avg Week FORTPORTAL-KYENJONJO'!J60</f>
        <v>0</v>
      </c>
      <c r="K60" s="49">
        <f>'Avg Week KYENJOJO-FORTPORTAL'!K60+'Avg Week FORTPORTAL-KYENJONJO'!K60</f>
        <v>0</v>
      </c>
      <c r="L60" s="49">
        <f>'Avg Week KYENJOJO-FORTPORTAL'!L60+'Avg Week FORTPORTAL-KYENJONJO'!L60</f>
        <v>0</v>
      </c>
      <c r="M60" s="49">
        <f>'Avg Week KYENJOJO-FORTPORTAL'!M60+'Avg Week FORTPORTAL-KYENJONJO'!M60</f>
        <v>1</v>
      </c>
      <c r="N60" s="49">
        <f>'Avg Week KYENJOJO-FORTPORTAL'!N60+'Avg Week FORTPORTAL-KYENJONJO'!N60</f>
        <v>0</v>
      </c>
      <c r="O60" s="15">
        <f t="shared" si="0"/>
        <v>5.5</v>
      </c>
      <c r="P60" s="15">
        <f t="shared" si="1"/>
        <v>6.5</v>
      </c>
      <c r="R60" s="8"/>
      <c r="T60"/>
    </row>
    <row r="61" spans="2:20" ht="23.1" customHeight="1" x14ac:dyDescent="0.25">
      <c r="B61" s="23" t="s">
        <v>102</v>
      </c>
      <c r="C61" s="49">
        <f>'Avg Week KYENJOJO-FORTPORTAL'!C61+'Avg Week FORTPORTAL-KYENJONJO'!C61</f>
        <v>2</v>
      </c>
      <c r="D61" s="49">
        <f>0.45*('Avg Week KYENJOJO-FORTPORTAL'!E61+'Avg Week FORTPORTAL-KYENJONJO'!E61)</f>
        <v>0.67500000000000004</v>
      </c>
      <c r="E61" s="49">
        <f>0.55*('Avg Week KYENJOJO-FORTPORTAL'!E61+'Avg Week FORTPORTAL-KYENJONJO'!E61)</f>
        <v>0.82500000000000007</v>
      </c>
      <c r="F61" s="49">
        <f>'Avg Week KYENJOJO-FORTPORTAL'!F61+'Avg Week FORTPORTAL-KYENJONJO'!F61</f>
        <v>2.5</v>
      </c>
      <c r="G61" s="49">
        <f>'Avg Week KYENJOJO-FORTPORTAL'!G61+'Avg Week FORTPORTAL-KYENJONJO'!G61</f>
        <v>0</v>
      </c>
      <c r="H61" s="49">
        <f>'Avg Week KYENJOJO-FORTPORTAL'!H61+'Avg Week FORTPORTAL-KYENJONJO'!H61</f>
        <v>0</v>
      </c>
      <c r="I61" s="49">
        <f>'Avg Week KYENJOJO-FORTPORTAL'!I61+'Avg Week FORTPORTAL-KYENJONJO'!I61</f>
        <v>1.5</v>
      </c>
      <c r="J61" s="49">
        <f>'Avg Week KYENJOJO-FORTPORTAL'!J61+'Avg Week FORTPORTAL-KYENJONJO'!J61</f>
        <v>1</v>
      </c>
      <c r="K61" s="49">
        <f>'Avg Week KYENJOJO-FORTPORTAL'!K61+'Avg Week FORTPORTAL-KYENJONJO'!K61</f>
        <v>0</v>
      </c>
      <c r="L61" s="49">
        <f>'Avg Week KYENJOJO-FORTPORTAL'!L61+'Avg Week FORTPORTAL-KYENJONJO'!L61</f>
        <v>2</v>
      </c>
      <c r="M61" s="49">
        <f>'Avg Week KYENJOJO-FORTPORTAL'!M61+'Avg Week FORTPORTAL-KYENJONJO'!M61</f>
        <v>2.5</v>
      </c>
      <c r="N61" s="49">
        <f>'Avg Week KYENJOJO-FORTPORTAL'!N61+'Avg Week FORTPORTAL-KYENJONJO'!N61</f>
        <v>0</v>
      </c>
      <c r="O61" s="15">
        <f t="shared" si="0"/>
        <v>10.5</v>
      </c>
      <c r="P61" s="15">
        <f t="shared" si="1"/>
        <v>13</v>
      </c>
      <c r="R61" s="8"/>
      <c r="T61"/>
    </row>
    <row r="62" spans="2:20" ht="23.1" customHeight="1" x14ac:dyDescent="0.25">
      <c r="B62" s="23" t="s">
        <v>107</v>
      </c>
      <c r="C62" s="49">
        <f>'Avg Week KYENJOJO-FORTPORTAL'!C62+'Avg Week FORTPORTAL-KYENJONJO'!C62</f>
        <v>0.5</v>
      </c>
      <c r="D62" s="49">
        <f>0.45*('Avg Week KYENJOJO-FORTPORTAL'!E62+'Avg Week FORTPORTAL-KYENJONJO'!E62)</f>
        <v>1.35</v>
      </c>
      <c r="E62" s="49">
        <f>0.55*('Avg Week KYENJOJO-FORTPORTAL'!E62+'Avg Week FORTPORTAL-KYENJONJO'!E62)</f>
        <v>1.6500000000000001</v>
      </c>
      <c r="F62" s="49">
        <f>'Avg Week KYENJOJO-FORTPORTAL'!F62+'Avg Week FORTPORTAL-KYENJONJO'!F62</f>
        <v>2.5</v>
      </c>
      <c r="G62" s="49">
        <f>'Avg Week KYENJOJO-FORTPORTAL'!G62+'Avg Week FORTPORTAL-KYENJONJO'!G62</f>
        <v>0</v>
      </c>
      <c r="H62" s="49">
        <f>'Avg Week KYENJOJO-FORTPORTAL'!H62+'Avg Week FORTPORTAL-KYENJONJO'!H62</f>
        <v>1.5</v>
      </c>
      <c r="I62" s="49">
        <f>'Avg Week KYENJOJO-FORTPORTAL'!I62+'Avg Week FORTPORTAL-KYENJONJO'!I62</f>
        <v>3</v>
      </c>
      <c r="J62" s="49">
        <f>'Avg Week KYENJOJO-FORTPORTAL'!J62+'Avg Week FORTPORTAL-KYENJONJO'!J62</f>
        <v>0.5</v>
      </c>
      <c r="K62" s="49">
        <f>'Avg Week KYENJOJO-FORTPORTAL'!K62+'Avg Week FORTPORTAL-KYENJONJO'!K62</f>
        <v>0</v>
      </c>
      <c r="L62" s="49">
        <f>'Avg Week KYENJOJO-FORTPORTAL'!L62+'Avg Week FORTPORTAL-KYENJONJO'!L62</f>
        <v>0.5</v>
      </c>
      <c r="M62" s="49">
        <f>'Avg Week KYENJOJO-FORTPORTAL'!M62+'Avg Week FORTPORTAL-KYENJONJO'!M62</f>
        <v>3</v>
      </c>
      <c r="N62" s="49">
        <f>'Avg Week KYENJOJO-FORTPORTAL'!N62+'Avg Week FORTPORTAL-KYENJONJO'!N62</f>
        <v>0</v>
      </c>
      <c r="O62" s="15">
        <f t="shared" si="0"/>
        <v>11.5</v>
      </c>
      <c r="P62" s="15">
        <f t="shared" si="1"/>
        <v>14.5</v>
      </c>
      <c r="R62" s="8"/>
      <c r="T62"/>
    </row>
    <row r="63" spans="2:20" ht="23.1" customHeight="1" x14ac:dyDescent="0.25">
      <c r="B63" s="23" t="s">
        <v>108</v>
      </c>
      <c r="C63" s="49">
        <f>'Avg Week KYENJOJO-FORTPORTAL'!C63+'Avg Week FORTPORTAL-KYENJONJO'!C63</f>
        <v>2</v>
      </c>
      <c r="D63" s="49">
        <f>0.45*('Avg Week KYENJOJO-FORTPORTAL'!E63+'Avg Week FORTPORTAL-KYENJONJO'!E63)</f>
        <v>1.8</v>
      </c>
      <c r="E63" s="49">
        <f>0.55*('Avg Week KYENJOJO-FORTPORTAL'!E63+'Avg Week FORTPORTAL-KYENJONJO'!E63)</f>
        <v>2.2000000000000002</v>
      </c>
      <c r="F63" s="49">
        <f>'Avg Week KYENJOJO-FORTPORTAL'!F63+'Avg Week FORTPORTAL-KYENJONJO'!F63</f>
        <v>3</v>
      </c>
      <c r="G63" s="49">
        <f>'Avg Week KYENJOJO-FORTPORTAL'!G63+'Avg Week FORTPORTAL-KYENJONJO'!G63</f>
        <v>0</v>
      </c>
      <c r="H63" s="49">
        <f>'Avg Week KYENJOJO-FORTPORTAL'!H63+'Avg Week FORTPORTAL-KYENJONJO'!H63</f>
        <v>0</v>
      </c>
      <c r="I63" s="49">
        <f>'Avg Week KYENJOJO-FORTPORTAL'!I63+'Avg Week FORTPORTAL-KYENJONJO'!I63</f>
        <v>3.5</v>
      </c>
      <c r="J63" s="49">
        <f>'Avg Week KYENJOJO-FORTPORTAL'!J63+'Avg Week FORTPORTAL-KYENJONJO'!J63</f>
        <v>0</v>
      </c>
      <c r="K63" s="49">
        <f>'Avg Week KYENJOJO-FORTPORTAL'!K63+'Avg Week FORTPORTAL-KYENJONJO'!K63</f>
        <v>0</v>
      </c>
      <c r="L63" s="49">
        <f>'Avg Week KYENJOJO-FORTPORTAL'!L63+'Avg Week FORTPORTAL-KYENJONJO'!L63</f>
        <v>0.5</v>
      </c>
      <c r="M63" s="49">
        <f>'Avg Week KYENJOJO-FORTPORTAL'!M63+'Avg Week FORTPORTAL-KYENJONJO'!M63</f>
        <v>1</v>
      </c>
      <c r="N63" s="49">
        <f>'Avg Week KYENJOJO-FORTPORTAL'!N63+'Avg Week FORTPORTAL-KYENJONJO'!N63</f>
        <v>0</v>
      </c>
      <c r="O63" s="15">
        <f t="shared" si="0"/>
        <v>13</v>
      </c>
      <c r="P63" s="15">
        <f t="shared" si="1"/>
        <v>14</v>
      </c>
      <c r="R63" s="8"/>
      <c r="T63"/>
    </row>
    <row r="64" spans="2:20" ht="23.1" customHeight="1" x14ac:dyDescent="0.25">
      <c r="B64" s="23" t="s">
        <v>109</v>
      </c>
      <c r="C64" s="49">
        <f>'Avg Week KYENJOJO-FORTPORTAL'!C64+'Avg Week FORTPORTAL-KYENJONJO'!C64</f>
        <v>4</v>
      </c>
      <c r="D64" s="49">
        <f>0.45*('Avg Week KYENJOJO-FORTPORTAL'!E64+'Avg Week FORTPORTAL-KYENJONJO'!E64)</f>
        <v>0.9</v>
      </c>
      <c r="E64" s="49">
        <f>0.55*('Avg Week KYENJOJO-FORTPORTAL'!E64+'Avg Week FORTPORTAL-KYENJONJO'!E64)</f>
        <v>1.1000000000000001</v>
      </c>
      <c r="F64" s="49">
        <f>'Avg Week KYENJOJO-FORTPORTAL'!F64+'Avg Week FORTPORTAL-KYENJONJO'!F64</f>
        <v>0</v>
      </c>
      <c r="G64" s="49">
        <f>'Avg Week KYENJOJO-FORTPORTAL'!G64+'Avg Week FORTPORTAL-KYENJONJO'!G64</f>
        <v>0</v>
      </c>
      <c r="H64" s="49">
        <f>'Avg Week KYENJOJO-FORTPORTAL'!H64+'Avg Week FORTPORTAL-KYENJONJO'!H64</f>
        <v>0.5</v>
      </c>
      <c r="I64" s="49">
        <f>'Avg Week KYENJOJO-FORTPORTAL'!I64+'Avg Week FORTPORTAL-KYENJONJO'!I64</f>
        <v>2</v>
      </c>
      <c r="J64" s="49">
        <f>'Avg Week KYENJOJO-FORTPORTAL'!J64+'Avg Week FORTPORTAL-KYENJONJO'!J64</f>
        <v>0</v>
      </c>
      <c r="K64" s="49">
        <f>'Avg Week KYENJOJO-FORTPORTAL'!K64+'Avg Week FORTPORTAL-KYENJONJO'!K64</f>
        <v>0</v>
      </c>
      <c r="L64" s="49">
        <f>'Avg Week KYENJOJO-FORTPORTAL'!L64+'Avg Week FORTPORTAL-KYENJONJO'!L64</f>
        <v>1.5</v>
      </c>
      <c r="M64" s="49">
        <f>'Avg Week KYENJOJO-FORTPORTAL'!M64+'Avg Week FORTPORTAL-KYENJONJO'!M64</f>
        <v>2</v>
      </c>
      <c r="N64" s="49">
        <f>'Avg Week KYENJOJO-FORTPORTAL'!N64+'Avg Week FORTPORTAL-KYENJONJO'!N64</f>
        <v>0</v>
      </c>
      <c r="O64" s="15">
        <f t="shared" si="0"/>
        <v>10</v>
      </c>
      <c r="P64" s="15">
        <f t="shared" si="1"/>
        <v>12</v>
      </c>
      <c r="R64" s="8"/>
      <c r="T64"/>
    </row>
    <row r="65" spans="2:20" ht="23.1" customHeight="1" x14ac:dyDescent="0.25">
      <c r="B65" s="23" t="s">
        <v>158</v>
      </c>
      <c r="C65" s="49">
        <f>'Avg Week KYENJOJO-FORTPORTAL'!C65+'Avg Week FORTPORTAL-KYENJONJO'!C65</f>
        <v>2</v>
      </c>
      <c r="D65" s="49">
        <f>0.45*('Avg Week KYENJOJO-FORTPORTAL'!E65+'Avg Week FORTPORTAL-KYENJONJO'!E65)</f>
        <v>1.8</v>
      </c>
      <c r="E65" s="49">
        <f>0.55*('Avg Week KYENJOJO-FORTPORTAL'!E65+'Avg Week FORTPORTAL-KYENJONJO'!E65)</f>
        <v>2.2000000000000002</v>
      </c>
      <c r="F65" s="49">
        <f>'Avg Week KYENJOJO-FORTPORTAL'!F65+'Avg Week FORTPORTAL-KYENJONJO'!F65</f>
        <v>1.5</v>
      </c>
      <c r="G65" s="49">
        <f>'Avg Week KYENJOJO-FORTPORTAL'!G65+'Avg Week FORTPORTAL-KYENJONJO'!G65</f>
        <v>1</v>
      </c>
      <c r="H65" s="49">
        <f>'Avg Week KYENJOJO-FORTPORTAL'!H65+'Avg Week FORTPORTAL-KYENJONJO'!H65</f>
        <v>1</v>
      </c>
      <c r="I65" s="49">
        <f>'Avg Week KYENJOJO-FORTPORTAL'!I65+'Avg Week FORTPORTAL-KYENJONJO'!I65</f>
        <v>2</v>
      </c>
      <c r="J65" s="49">
        <f>'Avg Week KYENJOJO-FORTPORTAL'!J65+'Avg Week FORTPORTAL-KYENJONJO'!J65</f>
        <v>0</v>
      </c>
      <c r="K65" s="49">
        <f>'Avg Week KYENJOJO-FORTPORTAL'!K65+'Avg Week FORTPORTAL-KYENJONJO'!K65</f>
        <v>0</v>
      </c>
      <c r="L65" s="49">
        <f>'Avg Week KYENJOJO-FORTPORTAL'!L65+'Avg Week FORTPORTAL-KYENJONJO'!L65</f>
        <v>2.5</v>
      </c>
      <c r="M65" s="49">
        <f>'Avg Week KYENJOJO-FORTPORTAL'!M65+'Avg Week FORTPORTAL-KYENJONJO'!M65</f>
        <v>0.5</v>
      </c>
      <c r="N65" s="49">
        <f>'Avg Week KYENJOJO-FORTPORTAL'!N65+'Avg Week FORTPORTAL-KYENJONJO'!N65</f>
        <v>0</v>
      </c>
      <c r="O65" s="15">
        <f t="shared" si="0"/>
        <v>14</v>
      </c>
      <c r="P65" s="15">
        <f t="shared" si="1"/>
        <v>14.5</v>
      </c>
      <c r="R65" s="8"/>
      <c r="T65"/>
    </row>
    <row r="66" spans="2:20" ht="23.1" customHeight="1" x14ac:dyDescent="0.25">
      <c r="B66" s="23" t="s">
        <v>103</v>
      </c>
      <c r="C66" s="49">
        <f>'Avg Week KYENJOJO-FORTPORTAL'!C66+'Avg Week FORTPORTAL-KYENJONJO'!C66</f>
        <v>0.5</v>
      </c>
      <c r="D66" s="49">
        <f>0.45*('Avg Week KYENJOJO-FORTPORTAL'!E66+'Avg Week FORTPORTAL-KYENJONJO'!E66)</f>
        <v>0.9</v>
      </c>
      <c r="E66" s="49">
        <f>0.55*('Avg Week KYENJOJO-FORTPORTAL'!E66+'Avg Week FORTPORTAL-KYENJONJO'!E66)</f>
        <v>1.1000000000000001</v>
      </c>
      <c r="F66" s="49">
        <f>'Avg Week KYENJOJO-FORTPORTAL'!F66+'Avg Week FORTPORTAL-KYENJONJO'!F66</f>
        <v>0</v>
      </c>
      <c r="G66" s="49">
        <f>'Avg Week KYENJOJO-FORTPORTAL'!G66+'Avg Week FORTPORTAL-KYENJONJO'!G66</f>
        <v>0</v>
      </c>
      <c r="H66" s="49">
        <f>'Avg Week KYENJOJO-FORTPORTAL'!H66+'Avg Week FORTPORTAL-KYENJONJO'!H66</f>
        <v>0.5</v>
      </c>
      <c r="I66" s="49">
        <f>'Avg Week KYENJOJO-FORTPORTAL'!I66+'Avg Week FORTPORTAL-KYENJONJO'!I66</f>
        <v>4.5</v>
      </c>
      <c r="J66" s="49">
        <f>'Avg Week KYENJOJO-FORTPORTAL'!J66+'Avg Week FORTPORTAL-KYENJONJO'!J66</f>
        <v>0</v>
      </c>
      <c r="K66" s="49">
        <f>'Avg Week KYENJOJO-FORTPORTAL'!K66+'Avg Week FORTPORTAL-KYENJONJO'!K66</f>
        <v>0</v>
      </c>
      <c r="L66" s="49">
        <f>'Avg Week KYENJOJO-FORTPORTAL'!L66+'Avg Week FORTPORTAL-KYENJONJO'!L66</f>
        <v>2.5</v>
      </c>
      <c r="M66" s="49">
        <f>'Avg Week KYENJOJO-FORTPORTAL'!M66+'Avg Week FORTPORTAL-KYENJONJO'!M66</f>
        <v>0.5</v>
      </c>
      <c r="N66" s="49">
        <f>'Avg Week KYENJOJO-FORTPORTAL'!N66+'Avg Week FORTPORTAL-KYENJONJO'!N66</f>
        <v>0</v>
      </c>
      <c r="O66" s="15">
        <f t="shared" si="0"/>
        <v>10</v>
      </c>
      <c r="P66" s="15">
        <f t="shared" si="1"/>
        <v>10.5</v>
      </c>
      <c r="R66" s="8"/>
      <c r="T66"/>
    </row>
    <row r="67" spans="2:20" ht="23.1" customHeight="1" x14ac:dyDescent="0.25">
      <c r="B67" s="23" t="s">
        <v>104</v>
      </c>
      <c r="C67" s="49">
        <f>'Avg Week KYENJOJO-FORTPORTAL'!C67+'Avg Week FORTPORTAL-KYENJONJO'!C67</f>
        <v>0.5</v>
      </c>
      <c r="D67" s="49">
        <f>0.45*('Avg Week KYENJOJO-FORTPORTAL'!E67+'Avg Week FORTPORTAL-KYENJONJO'!E67)</f>
        <v>1.35</v>
      </c>
      <c r="E67" s="49">
        <f>0.55*('Avg Week KYENJOJO-FORTPORTAL'!E67+'Avg Week FORTPORTAL-KYENJONJO'!E67)</f>
        <v>1.6500000000000001</v>
      </c>
      <c r="F67" s="49">
        <f>'Avg Week KYENJOJO-FORTPORTAL'!F67+'Avg Week FORTPORTAL-KYENJONJO'!F67</f>
        <v>0</v>
      </c>
      <c r="G67" s="49">
        <f>'Avg Week KYENJOJO-FORTPORTAL'!G67+'Avg Week FORTPORTAL-KYENJONJO'!G67</f>
        <v>0</v>
      </c>
      <c r="H67" s="49">
        <f>'Avg Week KYENJOJO-FORTPORTAL'!H67+'Avg Week FORTPORTAL-KYENJONJO'!H67</f>
        <v>0.5</v>
      </c>
      <c r="I67" s="49">
        <f>'Avg Week KYENJOJO-FORTPORTAL'!I67+'Avg Week FORTPORTAL-KYENJONJO'!I67</f>
        <v>2.5</v>
      </c>
      <c r="J67" s="49">
        <f>'Avg Week KYENJOJO-FORTPORTAL'!J67+'Avg Week FORTPORTAL-KYENJONJO'!J67</f>
        <v>0</v>
      </c>
      <c r="K67" s="49">
        <f>'Avg Week KYENJOJO-FORTPORTAL'!K67+'Avg Week FORTPORTAL-KYENJONJO'!K67</f>
        <v>0</v>
      </c>
      <c r="L67" s="49">
        <f>'Avg Week KYENJOJO-FORTPORTAL'!L67+'Avg Week FORTPORTAL-KYENJONJO'!L67</f>
        <v>0</v>
      </c>
      <c r="M67" s="49">
        <f>'Avg Week KYENJOJO-FORTPORTAL'!M67+'Avg Week FORTPORTAL-KYENJONJO'!M67</f>
        <v>1</v>
      </c>
      <c r="N67" s="49">
        <f>'Avg Week KYENJOJO-FORTPORTAL'!N67+'Avg Week FORTPORTAL-KYENJONJO'!N67</f>
        <v>0</v>
      </c>
      <c r="O67" s="15">
        <f t="shared" si="0"/>
        <v>6.5</v>
      </c>
      <c r="P67" s="15">
        <f t="shared" si="1"/>
        <v>7.5</v>
      </c>
      <c r="R67" s="8"/>
      <c r="T67"/>
    </row>
    <row r="68" spans="2:20" ht="23.1" customHeight="1" x14ac:dyDescent="0.25">
      <c r="B68" s="23" t="s">
        <v>105</v>
      </c>
      <c r="C68" s="49">
        <f>'Avg Week KYENJOJO-FORTPORTAL'!C68+'Avg Week FORTPORTAL-KYENJONJO'!C68</f>
        <v>1</v>
      </c>
      <c r="D68" s="49">
        <f>0.45*('Avg Week KYENJOJO-FORTPORTAL'!E68+'Avg Week FORTPORTAL-KYENJONJO'!E68)</f>
        <v>0.67500000000000004</v>
      </c>
      <c r="E68" s="49">
        <f>0.55*('Avg Week KYENJOJO-FORTPORTAL'!E68+'Avg Week FORTPORTAL-KYENJONJO'!E68)</f>
        <v>0.82500000000000007</v>
      </c>
      <c r="F68" s="49">
        <f>'Avg Week KYENJOJO-FORTPORTAL'!F68+'Avg Week FORTPORTAL-KYENJONJO'!F68</f>
        <v>0.5</v>
      </c>
      <c r="G68" s="49">
        <f>'Avg Week KYENJOJO-FORTPORTAL'!G68+'Avg Week FORTPORTAL-KYENJONJO'!G68</f>
        <v>0</v>
      </c>
      <c r="H68" s="49">
        <f>'Avg Week KYENJOJO-FORTPORTAL'!H68+'Avg Week FORTPORTAL-KYENJONJO'!H68</f>
        <v>0</v>
      </c>
      <c r="I68" s="49">
        <f>'Avg Week KYENJOJO-FORTPORTAL'!I68+'Avg Week FORTPORTAL-KYENJONJO'!I68</f>
        <v>3.5</v>
      </c>
      <c r="J68" s="49">
        <f>'Avg Week KYENJOJO-FORTPORTAL'!J68+'Avg Week FORTPORTAL-KYENJONJO'!J68</f>
        <v>0.5</v>
      </c>
      <c r="K68" s="49">
        <f>'Avg Week KYENJOJO-FORTPORTAL'!K68+'Avg Week FORTPORTAL-KYENJONJO'!K68</f>
        <v>0</v>
      </c>
      <c r="L68" s="49">
        <f>'Avg Week KYENJOJO-FORTPORTAL'!L68+'Avg Week FORTPORTAL-KYENJONJO'!L68</f>
        <v>1.5</v>
      </c>
      <c r="M68" s="49">
        <f>'Avg Week KYENJOJO-FORTPORTAL'!M68+'Avg Week FORTPORTAL-KYENJONJO'!M68</f>
        <v>0</v>
      </c>
      <c r="N68" s="49">
        <f>'Avg Week KYENJOJO-FORTPORTAL'!N68+'Avg Week FORTPORTAL-KYENJONJO'!N68</f>
        <v>0</v>
      </c>
      <c r="O68" s="15">
        <f t="shared" si="0"/>
        <v>8.5</v>
      </c>
      <c r="P68" s="15">
        <f t="shared" si="1"/>
        <v>8.5</v>
      </c>
      <c r="R68" s="8"/>
      <c r="T68"/>
    </row>
    <row r="69" spans="2:20" ht="23.1" customHeight="1" x14ac:dyDescent="0.25">
      <c r="B69" s="23" t="s">
        <v>106</v>
      </c>
      <c r="C69" s="49">
        <f>'Avg Week KYENJOJO-FORTPORTAL'!C69+'Avg Week FORTPORTAL-KYENJONJO'!C69</f>
        <v>0.5</v>
      </c>
      <c r="D69" s="49">
        <f>0.45*('Avg Week KYENJOJO-FORTPORTAL'!E69+'Avg Week FORTPORTAL-KYENJONJO'!E69)</f>
        <v>0.9</v>
      </c>
      <c r="E69" s="49">
        <f>0.55*('Avg Week KYENJOJO-FORTPORTAL'!E69+'Avg Week FORTPORTAL-KYENJONJO'!E69)</f>
        <v>1.1000000000000001</v>
      </c>
      <c r="F69" s="49">
        <f>'Avg Week KYENJOJO-FORTPORTAL'!F69+'Avg Week FORTPORTAL-KYENJONJO'!F69</f>
        <v>1.5</v>
      </c>
      <c r="G69" s="49">
        <f>'Avg Week KYENJOJO-FORTPORTAL'!G69+'Avg Week FORTPORTAL-KYENJONJO'!G69</f>
        <v>0</v>
      </c>
      <c r="H69" s="49">
        <f>'Avg Week KYENJOJO-FORTPORTAL'!H69+'Avg Week FORTPORTAL-KYENJONJO'!H69</f>
        <v>0.5</v>
      </c>
      <c r="I69" s="49">
        <f>'Avg Week KYENJOJO-FORTPORTAL'!I69+'Avg Week FORTPORTAL-KYENJONJO'!I69</f>
        <v>2.5</v>
      </c>
      <c r="J69" s="49">
        <f>'Avg Week KYENJOJO-FORTPORTAL'!J69+'Avg Week FORTPORTAL-KYENJONJO'!J69</f>
        <v>0.5</v>
      </c>
      <c r="K69" s="49">
        <f>'Avg Week KYENJOJO-FORTPORTAL'!K69+'Avg Week FORTPORTAL-KYENJONJO'!K69</f>
        <v>0</v>
      </c>
      <c r="L69" s="49">
        <f>'Avg Week KYENJOJO-FORTPORTAL'!L69+'Avg Week FORTPORTAL-KYENJONJO'!L69</f>
        <v>1</v>
      </c>
      <c r="M69" s="49">
        <f>'Avg Week KYENJOJO-FORTPORTAL'!M69+'Avg Week FORTPORTAL-KYENJONJO'!M69</f>
        <v>0.5</v>
      </c>
      <c r="N69" s="49">
        <f>'Avg Week KYENJOJO-FORTPORTAL'!N69+'Avg Week FORTPORTAL-KYENJONJO'!N69</f>
        <v>0</v>
      </c>
      <c r="O69" s="15">
        <f t="shared" si="0"/>
        <v>8.5</v>
      </c>
      <c r="P69" s="15">
        <f t="shared" si="1"/>
        <v>9</v>
      </c>
      <c r="R69" s="8"/>
      <c r="T69"/>
    </row>
    <row r="70" spans="2:20" ht="23.1" customHeight="1" x14ac:dyDescent="0.25">
      <c r="B70" s="23" t="s">
        <v>110</v>
      </c>
      <c r="C70" s="49">
        <f>'Avg Week KYENJOJO-FORTPORTAL'!C70+'Avg Week FORTPORTAL-KYENJONJO'!C70</f>
        <v>2</v>
      </c>
      <c r="D70" s="49">
        <f>0.45*('Avg Week KYENJOJO-FORTPORTAL'!E70+'Avg Week FORTPORTAL-KYENJONJO'!E70)</f>
        <v>0.22500000000000001</v>
      </c>
      <c r="E70" s="49">
        <f>0.55*('Avg Week KYENJOJO-FORTPORTAL'!E70+'Avg Week FORTPORTAL-KYENJONJO'!E70)</f>
        <v>0.27500000000000002</v>
      </c>
      <c r="F70" s="49">
        <f>'Avg Week KYENJOJO-FORTPORTAL'!F70+'Avg Week FORTPORTAL-KYENJONJO'!F70</f>
        <v>0.5</v>
      </c>
      <c r="G70" s="49">
        <f>'Avg Week KYENJOJO-FORTPORTAL'!G70+'Avg Week FORTPORTAL-KYENJONJO'!G70</f>
        <v>0</v>
      </c>
      <c r="H70" s="49">
        <f>'Avg Week KYENJOJO-FORTPORTAL'!H70+'Avg Week FORTPORTAL-KYENJONJO'!H70</f>
        <v>0</v>
      </c>
      <c r="I70" s="49">
        <f>'Avg Week KYENJOJO-FORTPORTAL'!I70+'Avg Week FORTPORTAL-KYENJONJO'!I70</f>
        <v>3.5</v>
      </c>
      <c r="J70" s="49">
        <f>'Avg Week KYENJOJO-FORTPORTAL'!J70+'Avg Week FORTPORTAL-KYENJONJO'!J70</f>
        <v>1</v>
      </c>
      <c r="K70" s="49">
        <f>'Avg Week KYENJOJO-FORTPORTAL'!K70+'Avg Week FORTPORTAL-KYENJONJO'!K70</f>
        <v>0</v>
      </c>
      <c r="L70" s="49">
        <f>'Avg Week KYENJOJO-FORTPORTAL'!L70+'Avg Week FORTPORTAL-KYENJONJO'!L70</f>
        <v>2</v>
      </c>
      <c r="M70" s="49">
        <f>'Avg Week KYENJOJO-FORTPORTAL'!M70+'Avg Week FORTPORTAL-KYENJONJO'!M70</f>
        <v>1</v>
      </c>
      <c r="N70" s="49">
        <f>'Avg Week KYENJOJO-FORTPORTAL'!N70+'Avg Week FORTPORTAL-KYENJONJO'!N70</f>
        <v>0</v>
      </c>
      <c r="O70" s="15">
        <f t="shared" si="0"/>
        <v>9.5</v>
      </c>
      <c r="P70" s="15">
        <f t="shared" si="1"/>
        <v>10.5</v>
      </c>
      <c r="R70" s="8"/>
      <c r="T70"/>
    </row>
    <row r="71" spans="2:20" ht="23.1" customHeight="1" x14ac:dyDescent="0.25">
      <c r="B71" s="23" t="s">
        <v>111</v>
      </c>
      <c r="C71" s="49">
        <f>'Avg Week KYENJOJO-FORTPORTAL'!C71+'Avg Week FORTPORTAL-KYENJONJO'!C71</f>
        <v>1.5</v>
      </c>
      <c r="D71" s="49">
        <f>0.45*('Avg Week KYENJOJO-FORTPORTAL'!E71+'Avg Week FORTPORTAL-KYENJONJO'!E71)</f>
        <v>0.22500000000000001</v>
      </c>
      <c r="E71" s="49">
        <f>0.55*('Avg Week KYENJOJO-FORTPORTAL'!E71+'Avg Week FORTPORTAL-KYENJONJO'!E71)</f>
        <v>0.27500000000000002</v>
      </c>
      <c r="F71" s="49">
        <f>'Avg Week KYENJOJO-FORTPORTAL'!F71+'Avg Week FORTPORTAL-KYENJONJO'!F71</f>
        <v>0.5</v>
      </c>
      <c r="G71" s="49">
        <f>'Avg Week KYENJOJO-FORTPORTAL'!G71+'Avg Week FORTPORTAL-KYENJONJO'!G71</f>
        <v>0</v>
      </c>
      <c r="H71" s="49">
        <f>'Avg Week KYENJOJO-FORTPORTAL'!H71+'Avg Week FORTPORTAL-KYENJONJO'!H71</f>
        <v>0.5</v>
      </c>
      <c r="I71" s="49">
        <f>'Avg Week KYENJOJO-FORTPORTAL'!I71+'Avg Week FORTPORTAL-KYENJONJO'!I71</f>
        <v>3</v>
      </c>
      <c r="J71" s="49">
        <f>'Avg Week KYENJOJO-FORTPORTAL'!J71+'Avg Week FORTPORTAL-KYENJONJO'!J71</f>
        <v>1.5</v>
      </c>
      <c r="K71" s="49">
        <f>'Avg Week KYENJOJO-FORTPORTAL'!K71+'Avg Week FORTPORTAL-KYENJONJO'!K71</f>
        <v>0.5</v>
      </c>
      <c r="L71" s="49">
        <f>'Avg Week KYENJOJO-FORTPORTAL'!L71+'Avg Week FORTPORTAL-KYENJONJO'!L71</f>
        <v>3</v>
      </c>
      <c r="M71" s="49">
        <f>'Avg Week KYENJOJO-FORTPORTAL'!M71+'Avg Week FORTPORTAL-KYENJONJO'!M71</f>
        <v>1.5</v>
      </c>
      <c r="N71" s="49">
        <f>'Avg Week KYENJOJO-FORTPORTAL'!N71+'Avg Week FORTPORTAL-KYENJONJO'!N71</f>
        <v>0</v>
      </c>
      <c r="O71" s="15">
        <f t="shared" si="0"/>
        <v>11</v>
      </c>
      <c r="P71" s="15">
        <f t="shared" si="1"/>
        <v>12.5</v>
      </c>
      <c r="R71" s="8"/>
      <c r="T71"/>
    </row>
    <row r="72" spans="2:20" ht="23.1" customHeight="1" x14ac:dyDescent="0.25">
      <c r="B72" s="23" t="s">
        <v>112</v>
      </c>
      <c r="C72" s="49">
        <f>'Avg Week KYENJOJO-FORTPORTAL'!C72+'Avg Week FORTPORTAL-KYENJONJO'!C72</f>
        <v>1.5</v>
      </c>
      <c r="D72" s="49">
        <f>0.45*('Avg Week KYENJOJO-FORTPORTAL'!E72+'Avg Week FORTPORTAL-KYENJONJO'!E72)</f>
        <v>0.67500000000000004</v>
      </c>
      <c r="E72" s="49">
        <f>0.55*('Avg Week KYENJOJO-FORTPORTAL'!E72+'Avg Week FORTPORTAL-KYENJONJO'!E72)</f>
        <v>0.82500000000000007</v>
      </c>
      <c r="F72" s="49">
        <f>'Avg Week KYENJOJO-FORTPORTAL'!F72+'Avg Week FORTPORTAL-KYENJONJO'!F72</f>
        <v>1.5</v>
      </c>
      <c r="G72" s="49">
        <f>'Avg Week KYENJOJO-FORTPORTAL'!G72+'Avg Week FORTPORTAL-KYENJONJO'!G72</f>
        <v>0</v>
      </c>
      <c r="H72" s="49">
        <f>'Avg Week KYENJOJO-FORTPORTAL'!H72+'Avg Week FORTPORTAL-KYENJONJO'!H72</f>
        <v>0.5</v>
      </c>
      <c r="I72" s="49">
        <f>'Avg Week KYENJOJO-FORTPORTAL'!I72+'Avg Week FORTPORTAL-KYENJONJO'!I72</f>
        <v>6</v>
      </c>
      <c r="J72" s="49">
        <f>'Avg Week KYENJOJO-FORTPORTAL'!J72+'Avg Week FORTPORTAL-KYENJONJO'!J72</f>
        <v>2.5</v>
      </c>
      <c r="K72" s="49">
        <f>'Avg Week KYENJOJO-FORTPORTAL'!K72+'Avg Week FORTPORTAL-KYENJONJO'!K72</f>
        <v>0</v>
      </c>
      <c r="L72" s="49">
        <f>'Avg Week KYENJOJO-FORTPORTAL'!L72+'Avg Week FORTPORTAL-KYENJONJO'!L72</f>
        <v>1</v>
      </c>
      <c r="M72" s="49">
        <f>'Avg Week KYENJOJO-FORTPORTAL'!M72+'Avg Week FORTPORTAL-KYENJONJO'!M72</f>
        <v>0</v>
      </c>
      <c r="N72" s="49">
        <f>'Avg Week KYENJOJO-FORTPORTAL'!N72+'Avg Week FORTPORTAL-KYENJONJO'!N72</f>
        <v>0</v>
      </c>
      <c r="O72" s="15">
        <f t="shared" si="0"/>
        <v>14.5</v>
      </c>
      <c r="P72" s="15">
        <f t="shared" si="1"/>
        <v>14.5</v>
      </c>
      <c r="R72" s="8"/>
      <c r="T72"/>
    </row>
    <row r="73" spans="2:20" ht="23.1" customHeight="1" x14ac:dyDescent="0.25">
      <c r="B73" s="23" t="s">
        <v>113</v>
      </c>
      <c r="C73" s="49">
        <f>'Avg Week KYENJOJO-FORTPORTAL'!C73+'Avg Week FORTPORTAL-KYENJONJO'!C73</f>
        <v>1.5</v>
      </c>
      <c r="D73" s="49">
        <f>0.45*('Avg Week KYENJOJO-FORTPORTAL'!E73+'Avg Week FORTPORTAL-KYENJONJO'!E73)</f>
        <v>0.45</v>
      </c>
      <c r="E73" s="49">
        <f>0.55*('Avg Week KYENJOJO-FORTPORTAL'!E73+'Avg Week FORTPORTAL-KYENJONJO'!E73)</f>
        <v>0.55000000000000004</v>
      </c>
      <c r="F73" s="49">
        <f>'Avg Week KYENJOJO-FORTPORTAL'!F73+'Avg Week FORTPORTAL-KYENJONJO'!F73</f>
        <v>3</v>
      </c>
      <c r="G73" s="49">
        <f>'Avg Week KYENJOJO-FORTPORTAL'!G73+'Avg Week FORTPORTAL-KYENJONJO'!G73</f>
        <v>0.5</v>
      </c>
      <c r="H73" s="49">
        <f>'Avg Week KYENJOJO-FORTPORTAL'!H73+'Avg Week FORTPORTAL-KYENJONJO'!H73</f>
        <v>0</v>
      </c>
      <c r="I73" s="49">
        <f>'Avg Week KYENJOJO-FORTPORTAL'!I73+'Avg Week FORTPORTAL-KYENJONJO'!I73</f>
        <v>2</v>
      </c>
      <c r="J73" s="49">
        <f>'Avg Week KYENJOJO-FORTPORTAL'!J73+'Avg Week FORTPORTAL-KYENJONJO'!J73</f>
        <v>1.5</v>
      </c>
      <c r="K73" s="49">
        <f>'Avg Week KYENJOJO-FORTPORTAL'!K73+'Avg Week FORTPORTAL-KYENJONJO'!K73</f>
        <v>0</v>
      </c>
      <c r="L73" s="49">
        <f>'Avg Week KYENJOJO-FORTPORTAL'!L73+'Avg Week FORTPORTAL-KYENJONJO'!L73</f>
        <v>1</v>
      </c>
      <c r="M73" s="49">
        <f>'Avg Week KYENJOJO-FORTPORTAL'!M73+'Avg Week FORTPORTAL-KYENJONJO'!M73</f>
        <v>0</v>
      </c>
      <c r="N73" s="49">
        <f>'Avg Week KYENJOJO-FORTPORTAL'!N73+'Avg Week FORTPORTAL-KYENJONJO'!N73</f>
        <v>0</v>
      </c>
      <c r="O73" s="15">
        <f t="shared" si="0"/>
        <v>10.5</v>
      </c>
      <c r="P73" s="15">
        <f t="shared" si="1"/>
        <v>10.5</v>
      </c>
      <c r="R73" s="8"/>
      <c r="T73"/>
    </row>
    <row r="74" spans="2:20" ht="23.1" customHeight="1" x14ac:dyDescent="0.25">
      <c r="B74" s="23" t="s">
        <v>114</v>
      </c>
      <c r="C74" s="49">
        <f>'Avg Week KYENJOJO-FORTPORTAL'!C74+'Avg Week FORTPORTAL-KYENJONJO'!C74</f>
        <v>1.5</v>
      </c>
      <c r="D74" s="49">
        <f>0.45*('Avg Week KYENJOJO-FORTPORTAL'!E74+'Avg Week FORTPORTAL-KYENJONJO'!E74)</f>
        <v>0</v>
      </c>
      <c r="E74" s="49">
        <f>0.55*('Avg Week KYENJOJO-FORTPORTAL'!E74+'Avg Week FORTPORTAL-KYENJONJO'!E74)</f>
        <v>0</v>
      </c>
      <c r="F74" s="49">
        <f>'Avg Week KYENJOJO-FORTPORTAL'!F74+'Avg Week FORTPORTAL-KYENJONJO'!F74</f>
        <v>0.5</v>
      </c>
      <c r="G74" s="49">
        <f>'Avg Week KYENJOJO-FORTPORTAL'!G74+'Avg Week FORTPORTAL-KYENJONJO'!G74</f>
        <v>0</v>
      </c>
      <c r="H74" s="49">
        <f>'Avg Week KYENJOJO-FORTPORTAL'!H74+'Avg Week FORTPORTAL-KYENJONJO'!H74</f>
        <v>2</v>
      </c>
      <c r="I74" s="49">
        <f>'Avg Week KYENJOJO-FORTPORTAL'!I74+'Avg Week FORTPORTAL-KYENJONJO'!I74</f>
        <v>4.5</v>
      </c>
      <c r="J74" s="49">
        <f>'Avg Week KYENJOJO-FORTPORTAL'!J74+'Avg Week FORTPORTAL-KYENJONJO'!J74</f>
        <v>0</v>
      </c>
      <c r="K74" s="49">
        <f>'Avg Week KYENJOJO-FORTPORTAL'!K74+'Avg Week FORTPORTAL-KYENJONJO'!K74</f>
        <v>0</v>
      </c>
      <c r="L74" s="49">
        <f>'Avg Week KYENJOJO-FORTPORTAL'!L74+'Avg Week FORTPORTAL-KYENJONJO'!L74</f>
        <v>0.5</v>
      </c>
      <c r="M74" s="49">
        <f>'Avg Week KYENJOJO-FORTPORTAL'!M74+'Avg Week FORTPORTAL-KYENJONJO'!M74</f>
        <v>0</v>
      </c>
      <c r="N74" s="49">
        <f>'Avg Week KYENJOJO-FORTPORTAL'!N74+'Avg Week FORTPORTAL-KYENJONJO'!N74</f>
        <v>0</v>
      </c>
      <c r="O74" s="15">
        <f t="shared" ref="O74:O105" si="35">SUM(C74:L74,N74)</f>
        <v>9</v>
      </c>
      <c r="P74" s="15">
        <f t="shared" ref="P74:P105" si="36">SUM(C74:N74)</f>
        <v>9</v>
      </c>
      <c r="R74" s="8"/>
      <c r="T74"/>
    </row>
    <row r="75" spans="2:20" ht="23.1" customHeight="1" x14ac:dyDescent="0.25">
      <c r="B75" s="23" t="s">
        <v>115</v>
      </c>
      <c r="C75" s="49">
        <f>'Avg Week KYENJOJO-FORTPORTAL'!C75+'Avg Week FORTPORTAL-KYENJONJO'!C75</f>
        <v>1</v>
      </c>
      <c r="D75" s="49">
        <f>0.45*('Avg Week KYENJOJO-FORTPORTAL'!E75+'Avg Week FORTPORTAL-KYENJONJO'!E75)</f>
        <v>0.45</v>
      </c>
      <c r="E75" s="49">
        <f>0.55*('Avg Week KYENJOJO-FORTPORTAL'!E75+'Avg Week FORTPORTAL-KYENJONJO'!E75)</f>
        <v>0.55000000000000004</v>
      </c>
      <c r="F75" s="49">
        <f>'Avg Week KYENJOJO-FORTPORTAL'!F75+'Avg Week FORTPORTAL-KYENJONJO'!F75</f>
        <v>0.5</v>
      </c>
      <c r="G75" s="49">
        <f>'Avg Week KYENJOJO-FORTPORTAL'!G75+'Avg Week FORTPORTAL-KYENJONJO'!G75</f>
        <v>0</v>
      </c>
      <c r="H75" s="49">
        <f>'Avg Week KYENJOJO-FORTPORTAL'!H75+'Avg Week FORTPORTAL-KYENJONJO'!H75</f>
        <v>0</v>
      </c>
      <c r="I75" s="49">
        <f>'Avg Week KYENJOJO-FORTPORTAL'!I75+'Avg Week FORTPORTAL-KYENJONJO'!I75</f>
        <v>3</v>
      </c>
      <c r="J75" s="49">
        <f>'Avg Week KYENJOJO-FORTPORTAL'!J75+'Avg Week FORTPORTAL-KYENJONJO'!J75</f>
        <v>0</v>
      </c>
      <c r="K75" s="49">
        <f>'Avg Week KYENJOJO-FORTPORTAL'!K75+'Avg Week FORTPORTAL-KYENJONJO'!K75</f>
        <v>0</v>
      </c>
      <c r="L75" s="49">
        <f>'Avg Week KYENJOJO-FORTPORTAL'!L75+'Avg Week FORTPORTAL-KYENJONJO'!L75</f>
        <v>0.5</v>
      </c>
      <c r="M75" s="49">
        <f>'Avg Week KYENJOJO-FORTPORTAL'!M75+'Avg Week FORTPORTAL-KYENJONJO'!M75</f>
        <v>0</v>
      </c>
      <c r="N75" s="49">
        <f>'Avg Week KYENJOJO-FORTPORTAL'!N75+'Avg Week FORTPORTAL-KYENJONJO'!N75</f>
        <v>0</v>
      </c>
      <c r="O75" s="15">
        <f t="shared" si="35"/>
        <v>6</v>
      </c>
      <c r="P75" s="15">
        <f t="shared" si="36"/>
        <v>6</v>
      </c>
      <c r="R75" s="8"/>
      <c r="T75"/>
    </row>
    <row r="76" spans="2:20" ht="23.1" customHeight="1" x14ac:dyDescent="0.25">
      <c r="B76" s="23" t="s">
        <v>116</v>
      </c>
      <c r="C76" s="49">
        <f>'Avg Week KYENJOJO-FORTPORTAL'!C76+'Avg Week FORTPORTAL-KYENJONJO'!C76</f>
        <v>1</v>
      </c>
      <c r="D76" s="49">
        <f>0.45*('Avg Week KYENJOJO-FORTPORTAL'!E76+'Avg Week FORTPORTAL-KYENJONJO'!E76)</f>
        <v>0</v>
      </c>
      <c r="E76" s="49">
        <f>0.55*('Avg Week KYENJOJO-FORTPORTAL'!E76+'Avg Week FORTPORTAL-KYENJONJO'!E76)</f>
        <v>0</v>
      </c>
      <c r="F76" s="49">
        <f>'Avg Week KYENJOJO-FORTPORTAL'!F76+'Avg Week FORTPORTAL-KYENJONJO'!F76</f>
        <v>0</v>
      </c>
      <c r="G76" s="49">
        <f>'Avg Week KYENJOJO-FORTPORTAL'!G76+'Avg Week FORTPORTAL-KYENJONJO'!G76</f>
        <v>0</v>
      </c>
      <c r="H76" s="49">
        <f>'Avg Week KYENJOJO-FORTPORTAL'!H76+'Avg Week FORTPORTAL-KYENJONJO'!H76</f>
        <v>0</v>
      </c>
      <c r="I76" s="49">
        <f>'Avg Week KYENJOJO-FORTPORTAL'!I76+'Avg Week FORTPORTAL-KYENJONJO'!I76</f>
        <v>2.5</v>
      </c>
      <c r="J76" s="49">
        <f>'Avg Week KYENJOJO-FORTPORTAL'!J76+'Avg Week FORTPORTAL-KYENJONJO'!J76</f>
        <v>0.5</v>
      </c>
      <c r="K76" s="49">
        <f>'Avg Week KYENJOJO-FORTPORTAL'!K76+'Avg Week FORTPORTAL-KYENJONJO'!K76</f>
        <v>0</v>
      </c>
      <c r="L76" s="49">
        <f>'Avg Week KYENJOJO-FORTPORTAL'!L76+'Avg Week FORTPORTAL-KYENJONJO'!L76</f>
        <v>0.5</v>
      </c>
      <c r="M76" s="49">
        <f>'Avg Week KYENJOJO-FORTPORTAL'!M76+'Avg Week FORTPORTAL-KYENJONJO'!M76</f>
        <v>0</v>
      </c>
      <c r="N76" s="49">
        <f>'Avg Week KYENJOJO-FORTPORTAL'!N76+'Avg Week FORTPORTAL-KYENJONJO'!N76</f>
        <v>0</v>
      </c>
      <c r="O76" s="15">
        <f t="shared" si="35"/>
        <v>4.5</v>
      </c>
      <c r="P76" s="15">
        <f t="shared" si="36"/>
        <v>4.5</v>
      </c>
      <c r="R76" s="8"/>
      <c r="T76"/>
    </row>
    <row r="77" spans="2:20" ht="23.1" customHeight="1" x14ac:dyDescent="0.25">
      <c r="B77" s="23" t="s">
        <v>117</v>
      </c>
      <c r="C77" s="49">
        <f>'Avg Week KYENJOJO-FORTPORTAL'!C77+'Avg Week FORTPORTAL-KYENJONJO'!C77</f>
        <v>0.5</v>
      </c>
      <c r="D77" s="49">
        <f>0.45*('Avg Week KYENJOJO-FORTPORTAL'!E77+'Avg Week FORTPORTAL-KYENJONJO'!E77)</f>
        <v>0</v>
      </c>
      <c r="E77" s="49">
        <f>0.55*('Avg Week KYENJOJO-FORTPORTAL'!E77+'Avg Week FORTPORTAL-KYENJONJO'!E77)</f>
        <v>0</v>
      </c>
      <c r="F77" s="49">
        <f>'Avg Week KYENJOJO-FORTPORTAL'!F77+'Avg Week FORTPORTAL-KYENJONJO'!F77</f>
        <v>0.5</v>
      </c>
      <c r="G77" s="49">
        <f>'Avg Week KYENJOJO-FORTPORTAL'!G77+'Avg Week FORTPORTAL-KYENJONJO'!G77</f>
        <v>0</v>
      </c>
      <c r="H77" s="49">
        <f>'Avg Week KYENJOJO-FORTPORTAL'!H77+'Avg Week FORTPORTAL-KYENJONJO'!H77</f>
        <v>0.5</v>
      </c>
      <c r="I77" s="49">
        <f>'Avg Week KYENJOJO-FORTPORTAL'!I77+'Avg Week FORTPORTAL-KYENJONJO'!I77</f>
        <v>3.5</v>
      </c>
      <c r="J77" s="49">
        <f>'Avg Week KYENJOJO-FORTPORTAL'!J77+'Avg Week FORTPORTAL-KYENJONJO'!J77</f>
        <v>0.5</v>
      </c>
      <c r="K77" s="49">
        <f>'Avg Week KYENJOJO-FORTPORTAL'!K77+'Avg Week FORTPORTAL-KYENJONJO'!K77</f>
        <v>0</v>
      </c>
      <c r="L77" s="49">
        <f>'Avg Week KYENJOJO-FORTPORTAL'!L77+'Avg Week FORTPORTAL-KYENJONJO'!L77</f>
        <v>0.5</v>
      </c>
      <c r="M77" s="49">
        <f>'Avg Week KYENJOJO-FORTPORTAL'!M77+'Avg Week FORTPORTAL-KYENJONJO'!M77</f>
        <v>0</v>
      </c>
      <c r="N77" s="49">
        <f>'Avg Week KYENJOJO-FORTPORTAL'!N77+'Avg Week FORTPORTAL-KYENJONJO'!N77</f>
        <v>0</v>
      </c>
      <c r="O77" s="15">
        <f t="shared" si="35"/>
        <v>6</v>
      </c>
      <c r="P77" s="15">
        <f t="shared" si="36"/>
        <v>6</v>
      </c>
      <c r="R77" s="8"/>
      <c r="T77"/>
    </row>
    <row r="78" spans="2:20" ht="23.1" customHeight="1" x14ac:dyDescent="0.25">
      <c r="B78" s="24" t="s">
        <v>118</v>
      </c>
      <c r="C78" s="49">
        <f>'Avg Week KYENJOJO-FORTPORTAL'!C78+'Avg Week FORTPORTAL-KYENJONJO'!C78</f>
        <v>0.5</v>
      </c>
      <c r="D78" s="49">
        <f>0.45*('Avg Week KYENJOJO-FORTPORTAL'!E78+'Avg Week FORTPORTAL-KYENJONJO'!E78)</f>
        <v>0</v>
      </c>
      <c r="E78" s="49">
        <f>0.55*('Avg Week KYENJOJO-FORTPORTAL'!E78+'Avg Week FORTPORTAL-KYENJONJO'!E78)</f>
        <v>0</v>
      </c>
      <c r="F78" s="49">
        <f>'Avg Week KYENJOJO-FORTPORTAL'!F78+'Avg Week FORTPORTAL-KYENJONJO'!F78</f>
        <v>0</v>
      </c>
      <c r="G78" s="49">
        <f>'Avg Week KYENJOJO-FORTPORTAL'!G78+'Avg Week FORTPORTAL-KYENJONJO'!G78</f>
        <v>0</v>
      </c>
      <c r="H78" s="49">
        <f>'Avg Week KYENJOJO-FORTPORTAL'!H78+'Avg Week FORTPORTAL-KYENJONJO'!H78</f>
        <v>1.5</v>
      </c>
      <c r="I78" s="49">
        <f>'Avg Week KYENJOJO-FORTPORTAL'!I78+'Avg Week FORTPORTAL-KYENJONJO'!I78</f>
        <v>2</v>
      </c>
      <c r="J78" s="49">
        <f>'Avg Week KYENJOJO-FORTPORTAL'!J78+'Avg Week FORTPORTAL-KYENJONJO'!J78</f>
        <v>0</v>
      </c>
      <c r="K78" s="49">
        <f>'Avg Week KYENJOJO-FORTPORTAL'!K78+'Avg Week FORTPORTAL-KYENJONJO'!K78</f>
        <v>0.5</v>
      </c>
      <c r="L78" s="49">
        <f>'Avg Week KYENJOJO-FORTPORTAL'!L78+'Avg Week FORTPORTAL-KYENJONJO'!L78</f>
        <v>0.5</v>
      </c>
      <c r="M78" s="49">
        <f>'Avg Week KYENJOJO-FORTPORTAL'!M78+'Avg Week FORTPORTAL-KYENJONJO'!M78</f>
        <v>0</v>
      </c>
      <c r="N78" s="49">
        <f>'Avg Week KYENJOJO-FORTPORTAL'!N78+'Avg Week FORTPORTAL-KYENJONJO'!N78</f>
        <v>0</v>
      </c>
      <c r="O78" s="15">
        <f t="shared" si="35"/>
        <v>5</v>
      </c>
      <c r="P78" s="15">
        <f t="shared" si="36"/>
        <v>5</v>
      </c>
      <c r="R78" s="8"/>
      <c r="T78"/>
    </row>
    <row r="79" spans="2:20" ht="23.1" customHeight="1" x14ac:dyDescent="0.25">
      <c r="B79" s="23" t="s">
        <v>119</v>
      </c>
      <c r="C79" s="49">
        <f>'Avg Week KYENJOJO-FORTPORTAL'!C79+'Avg Week FORTPORTAL-KYENJONJO'!C79</f>
        <v>0</v>
      </c>
      <c r="D79" s="49">
        <f>0.45*('Avg Week KYENJOJO-FORTPORTAL'!E79+'Avg Week FORTPORTAL-KYENJONJO'!E79)</f>
        <v>0.9</v>
      </c>
      <c r="E79" s="49">
        <f>0.55*('Avg Week KYENJOJO-FORTPORTAL'!E79+'Avg Week FORTPORTAL-KYENJONJO'!E79)</f>
        <v>1.1000000000000001</v>
      </c>
      <c r="F79" s="49">
        <f>'Avg Week KYENJOJO-FORTPORTAL'!F79+'Avg Week FORTPORTAL-KYENJONJO'!F79</f>
        <v>1</v>
      </c>
      <c r="G79" s="49">
        <f>'Avg Week KYENJOJO-FORTPORTAL'!G79+'Avg Week FORTPORTAL-KYENJONJO'!G79</f>
        <v>0</v>
      </c>
      <c r="H79" s="49">
        <f>'Avg Week KYENJOJO-FORTPORTAL'!H79+'Avg Week FORTPORTAL-KYENJONJO'!H79</f>
        <v>0</v>
      </c>
      <c r="I79" s="49">
        <f>'Avg Week KYENJOJO-FORTPORTAL'!I79+'Avg Week FORTPORTAL-KYENJONJO'!I79</f>
        <v>2.5</v>
      </c>
      <c r="J79" s="49">
        <f>'Avg Week KYENJOJO-FORTPORTAL'!J79+'Avg Week FORTPORTAL-KYENJONJO'!J79</f>
        <v>0</v>
      </c>
      <c r="K79" s="49">
        <f>'Avg Week KYENJOJO-FORTPORTAL'!K79+'Avg Week FORTPORTAL-KYENJONJO'!K79</f>
        <v>0</v>
      </c>
      <c r="L79" s="49">
        <f>'Avg Week KYENJOJO-FORTPORTAL'!L79+'Avg Week FORTPORTAL-KYENJONJO'!L79</f>
        <v>0.5</v>
      </c>
      <c r="M79" s="49">
        <f>'Avg Week KYENJOJO-FORTPORTAL'!M79+'Avg Week FORTPORTAL-KYENJONJO'!M79</f>
        <v>0</v>
      </c>
      <c r="N79" s="49">
        <f>'Avg Week KYENJOJO-FORTPORTAL'!N79+'Avg Week FORTPORTAL-KYENJONJO'!N79</f>
        <v>0</v>
      </c>
      <c r="O79" s="15">
        <f t="shared" si="35"/>
        <v>6</v>
      </c>
      <c r="P79" s="15">
        <f t="shared" si="36"/>
        <v>6</v>
      </c>
      <c r="R79" s="8"/>
      <c r="T79"/>
    </row>
    <row r="80" spans="2:20" ht="23.1" customHeight="1" x14ac:dyDescent="0.25">
      <c r="B80" s="25" t="s">
        <v>120</v>
      </c>
      <c r="C80" s="49">
        <f>'Avg Week KYENJOJO-FORTPORTAL'!C80+'Avg Week FORTPORTAL-KYENJONJO'!C80</f>
        <v>0</v>
      </c>
      <c r="D80" s="49">
        <f>0.45*('Avg Week KYENJOJO-FORTPORTAL'!E80+'Avg Week FORTPORTAL-KYENJONJO'!E80)</f>
        <v>0.22500000000000001</v>
      </c>
      <c r="E80" s="49">
        <f>0.55*('Avg Week KYENJOJO-FORTPORTAL'!E80+'Avg Week FORTPORTAL-KYENJONJO'!E80)</f>
        <v>0.27500000000000002</v>
      </c>
      <c r="F80" s="49">
        <f>'Avg Week KYENJOJO-FORTPORTAL'!F80+'Avg Week FORTPORTAL-KYENJONJO'!F80</f>
        <v>1</v>
      </c>
      <c r="G80" s="49">
        <f>'Avg Week KYENJOJO-FORTPORTAL'!G80+'Avg Week FORTPORTAL-KYENJONJO'!G80</f>
        <v>0</v>
      </c>
      <c r="H80" s="49">
        <f>'Avg Week KYENJOJO-FORTPORTAL'!H80+'Avg Week FORTPORTAL-KYENJONJO'!H80</f>
        <v>0</v>
      </c>
      <c r="I80" s="49">
        <f>'Avg Week KYENJOJO-FORTPORTAL'!I80+'Avg Week FORTPORTAL-KYENJONJO'!I80</f>
        <v>5.5</v>
      </c>
      <c r="J80" s="49">
        <f>'Avg Week KYENJOJO-FORTPORTAL'!J80+'Avg Week FORTPORTAL-KYENJONJO'!J80</f>
        <v>0</v>
      </c>
      <c r="K80" s="49">
        <f>'Avg Week KYENJOJO-FORTPORTAL'!K80+'Avg Week FORTPORTAL-KYENJONJO'!K80</f>
        <v>0</v>
      </c>
      <c r="L80" s="49">
        <f>'Avg Week KYENJOJO-FORTPORTAL'!L80+'Avg Week FORTPORTAL-KYENJONJO'!L80</f>
        <v>2</v>
      </c>
      <c r="M80" s="49">
        <f>'Avg Week KYENJOJO-FORTPORTAL'!M80+'Avg Week FORTPORTAL-KYENJONJO'!M80</f>
        <v>0</v>
      </c>
      <c r="N80" s="49">
        <f>'Avg Week KYENJOJO-FORTPORTAL'!N80+'Avg Week FORTPORTAL-KYENJONJO'!N80</f>
        <v>0</v>
      </c>
      <c r="O80" s="15">
        <f t="shared" si="35"/>
        <v>9</v>
      </c>
      <c r="P80" s="15">
        <f t="shared" si="36"/>
        <v>9</v>
      </c>
      <c r="R80" s="8"/>
      <c r="T80"/>
    </row>
    <row r="81" spans="2:20" ht="23.1" customHeight="1" x14ac:dyDescent="0.25">
      <c r="B81" s="23" t="s">
        <v>121</v>
      </c>
      <c r="C81" s="49">
        <f>'Avg Week KYENJOJO-FORTPORTAL'!C81+'Avg Week FORTPORTAL-KYENJONJO'!C81</f>
        <v>0</v>
      </c>
      <c r="D81" s="49">
        <f>0.45*('Avg Week KYENJOJO-FORTPORTAL'!E81+'Avg Week FORTPORTAL-KYENJONJO'!E81)</f>
        <v>0.67500000000000004</v>
      </c>
      <c r="E81" s="49">
        <f>0.55*('Avg Week KYENJOJO-FORTPORTAL'!E81+'Avg Week FORTPORTAL-KYENJONJO'!E81)</f>
        <v>0.82500000000000007</v>
      </c>
      <c r="F81" s="49">
        <f>'Avg Week KYENJOJO-FORTPORTAL'!F81+'Avg Week FORTPORTAL-KYENJONJO'!F81</f>
        <v>0</v>
      </c>
      <c r="G81" s="49">
        <f>'Avg Week KYENJOJO-FORTPORTAL'!G81+'Avg Week FORTPORTAL-KYENJONJO'!G81</f>
        <v>0</v>
      </c>
      <c r="H81" s="49">
        <f>'Avg Week KYENJOJO-FORTPORTAL'!H81+'Avg Week FORTPORTAL-KYENJONJO'!H81</f>
        <v>1</v>
      </c>
      <c r="I81" s="49">
        <f>'Avg Week KYENJOJO-FORTPORTAL'!I81+'Avg Week FORTPORTAL-KYENJONJO'!I81</f>
        <v>5</v>
      </c>
      <c r="J81" s="49">
        <f>'Avg Week KYENJOJO-FORTPORTAL'!J81+'Avg Week FORTPORTAL-KYENJONJO'!J81</f>
        <v>0</v>
      </c>
      <c r="K81" s="49">
        <f>'Avg Week KYENJOJO-FORTPORTAL'!K81+'Avg Week FORTPORTAL-KYENJONJO'!K81</f>
        <v>1</v>
      </c>
      <c r="L81" s="49">
        <f>'Avg Week KYENJOJO-FORTPORTAL'!L81+'Avg Week FORTPORTAL-KYENJONJO'!L81</f>
        <v>1</v>
      </c>
      <c r="M81" s="49">
        <f>'Avg Week KYENJOJO-FORTPORTAL'!M81+'Avg Week FORTPORTAL-KYENJONJO'!M81</f>
        <v>0</v>
      </c>
      <c r="N81" s="49">
        <f>'Avg Week KYENJOJO-FORTPORTAL'!N81+'Avg Week FORTPORTAL-KYENJONJO'!N81</f>
        <v>0</v>
      </c>
      <c r="O81" s="15">
        <f t="shared" si="35"/>
        <v>9.5</v>
      </c>
      <c r="P81" s="15">
        <f t="shared" si="36"/>
        <v>9.5</v>
      </c>
      <c r="R81" s="8"/>
      <c r="T81"/>
    </row>
    <row r="82" spans="2:20" ht="23.1" customHeight="1" x14ac:dyDescent="0.25">
      <c r="B82" s="24" t="s">
        <v>122</v>
      </c>
      <c r="C82" s="49">
        <f>'Avg Week KYENJOJO-FORTPORTAL'!C82+'Avg Week FORTPORTAL-KYENJONJO'!C82</f>
        <v>0.5</v>
      </c>
      <c r="D82" s="49">
        <f>0.45*('Avg Week KYENJOJO-FORTPORTAL'!E82+'Avg Week FORTPORTAL-KYENJONJO'!E82)</f>
        <v>0</v>
      </c>
      <c r="E82" s="49">
        <f>0.55*('Avg Week KYENJOJO-FORTPORTAL'!E82+'Avg Week FORTPORTAL-KYENJONJO'!E82)</f>
        <v>0</v>
      </c>
      <c r="F82" s="49">
        <f>'Avg Week KYENJOJO-FORTPORTAL'!F82+'Avg Week FORTPORTAL-KYENJONJO'!F82</f>
        <v>0</v>
      </c>
      <c r="G82" s="49">
        <f>'Avg Week KYENJOJO-FORTPORTAL'!G82+'Avg Week FORTPORTAL-KYENJONJO'!G82</f>
        <v>0</v>
      </c>
      <c r="H82" s="49">
        <f>'Avg Week KYENJOJO-FORTPORTAL'!H82+'Avg Week FORTPORTAL-KYENJONJO'!H82</f>
        <v>0.5</v>
      </c>
      <c r="I82" s="49">
        <f>'Avg Week KYENJOJO-FORTPORTAL'!I82+'Avg Week FORTPORTAL-KYENJONJO'!I82</f>
        <v>3.5</v>
      </c>
      <c r="J82" s="49">
        <f>'Avg Week KYENJOJO-FORTPORTAL'!J82+'Avg Week FORTPORTAL-KYENJONJO'!J82</f>
        <v>0</v>
      </c>
      <c r="K82" s="49">
        <f>'Avg Week KYENJOJO-FORTPORTAL'!K82+'Avg Week FORTPORTAL-KYENJONJO'!K82</f>
        <v>1</v>
      </c>
      <c r="L82" s="49">
        <f>'Avg Week KYENJOJO-FORTPORTAL'!L82+'Avg Week FORTPORTAL-KYENJONJO'!L82</f>
        <v>0.5</v>
      </c>
      <c r="M82" s="49">
        <f>'Avg Week KYENJOJO-FORTPORTAL'!M82+'Avg Week FORTPORTAL-KYENJONJO'!M82</f>
        <v>0</v>
      </c>
      <c r="N82" s="49">
        <f>'Avg Week KYENJOJO-FORTPORTAL'!N82+'Avg Week FORTPORTAL-KYENJONJO'!N82</f>
        <v>0</v>
      </c>
      <c r="O82" s="15">
        <f t="shared" si="35"/>
        <v>6</v>
      </c>
      <c r="P82" s="15">
        <f t="shared" si="36"/>
        <v>6</v>
      </c>
      <c r="R82" s="8"/>
      <c r="T82"/>
    </row>
    <row r="83" spans="2:20" ht="23.1" customHeight="1" x14ac:dyDescent="0.25">
      <c r="B83" s="23" t="s">
        <v>123</v>
      </c>
      <c r="C83" s="49">
        <f>'Avg Week KYENJOJO-FORTPORTAL'!C83+'Avg Week FORTPORTAL-KYENJONJO'!C83</f>
        <v>0.5</v>
      </c>
      <c r="D83" s="49">
        <f>0.45*('Avg Week KYENJOJO-FORTPORTAL'!E83+'Avg Week FORTPORTAL-KYENJONJO'!E83)</f>
        <v>0.45</v>
      </c>
      <c r="E83" s="49">
        <f>0.55*('Avg Week KYENJOJO-FORTPORTAL'!E83+'Avg Week FORTPORTAL-KYENJONJO'!E83)</f>
        <v>0.55000000000000004</v>
      </c>
      <c r="F83" s="49">
        <f>'Avg Week KYENJOJO-FORTPORTAL'!F83+'Avg Week FORTPORTAL-KYENJONJO'!F83</f>
        <v>0</v>
      </c>
      <c r="G83" s="49">
        <f>'Avg Week KYENJOJO-FORTPORTAL'!G83+'Avg Week FORTPORTAL-KYENJONJO'!G83</f>
        <v>0</v>
      </c>
      <c r="H83" s="49">
        <f>'Avg Week KYENJOJO-FORTPORTAL'!H83+'Avg Week FORTPORTAL-KYENJONJO'!H83</f>
        <v>0</v>
      </c>
      <c r="I83" s="49">
        <f>'Avg Week KYENJOJO-FORTPORTAL'!I83+'Avg Week FORTPORTAL-KYENJONJO'!I83</f>
        <v>2.5</v>
      </c>
      <c r="J83" s="49">
        <f>'Avg Week KYENJOJO-FORTPORTAL'!J83+'Avg Week FORTPORTAL-KYENJONJO'!J83</f>
        <v>0</v>
      </c>
      <c r="K83" s="49">
        <f>'Avg Week KYENJOJO-FORTPORTAL'!K83+'Avg Week FORTPORTAL-KYENJONJO'!K83</f>
        <v>0</v>
      </c>
      <c r="L83" s="49">
        <f>'Avg Week KYENJOJO-FORTPORTAL'!L83+'Avg Week FORTPORTAL-KYENJONJO'!L83</f>
        <v>1</v>
      </c>
      <c r="M83" s="49">
        <f>'Avg Week KYENJOJO-FORTPORTAL'!M83+'Avg Week FORTPORTAL-KYENJONJO'!M83</f>
        <v>0</v>
      </c>
      <c r="N83" s="49">
        <f>'Avg Week KYENJOJO-FORTPORTAL'!N83+'Avg Week FORTPORTAL-KYENJONJO'!N83</f>
        <v>0</v>
      </c>
      <c r="O83" s="15">
        <f t="shared" si="35"/>
        <v>5</v>
      </c>
      <c r="P83" s="15">
        <f t="shared" si="36"/>
        <v>5</v>
      </c>
      <c r="R83" s="8"/>
      <c r="T83"/>
    </row>
    <row r="84" spans="2:20" ht="23.1" customHeight="1" x14ac:dyDescent="0.25">
      <c r="B84" s="25" t="s">
        <v>124</v>
      </c>
      <c r="C84" s="49">
        <f>'Avg Week KYENJOJO-FORTPORTAL'!C84+'Avg Week FORTPORTAL-KYENJONJO'!C84</f>
        <v>0</v>
      </c>
      <c r="D84" s="49">
        <f>0.45*('Avg Week KYENJOJO-FORTPORTAL'!E84+'Avg Week FORTPORTAL-KYENJONJO'!E84)</f>
        <v>0.22500000000000001</v>
      </c>
      <c r="E84" s="49">
        <f>0.55*('Avg Week KYENJOJO-FORTPORTAL'!E84+'Avg Week FORTPORTAL-KYENJONJO'!E84)</f>
        <v>0.27500000000000002</v>
      </c>
      <c r="F84" s="49">
        <f>'Avg Week KYENJOJO-FORTPORTAL'!F84+'Avg Week FORTPORTAL-KYENJONJO'!F84</f>
        <v>0.5</v>
      </c>
      <c r="G84" s="49">
        <f>'Avg Week KYENJOJO-FORTPORTAL'!G84+'Avg Week FORTPORTAL-KYENJONJO'!G84</f>
        <v>0</v>
      </c>
      <c r="H84" s="49">
        <f>'Avg Week KYENJOJO-FORTPORTAL'!H84+'Avg Week FORTPORTAL-KYENJONJO'!H84</f>
        <v>0</v>
      </c>
      <c r="I84" s="49">
        <f>'Avg Week KYENJOJO-FORTPORTAL'!I84+'Avg Week FORTPORTAL-KYENJONJO'!I84</f>
        <v>4.5</v>
      </c>
      <c r="J84" s="49">
        <f>'Avg Week KYENJOJO-FORTPORTAL'!J84+'Avg Week FORTPORTAL-KYENJONJO'!J84</f>
        <v>0</v>
      </c>
      <c r="K84" s="49">
        <f>'Avg Week KYENJOJO-FORTPORTAL'!K84+'Avg Week FORTPORTAL-KYENJONJO'!K84</f>
        <v>0.5</v>
      </c>
      <c r="L84" s="49">
        <f>'Avg Week KYENJOJO-FORTPORTAL'!L84+'Avg Week FORTPORTAL-KYENJONJO'!L84</f>
        <v>1.5</v>
      </c>
      <c r="M84" s="49">
        <f>'Avg Week KYENJOJO-FORTPORTAL'!M84+'Avg Week FORTPORTAL-KYENJONJO'!M84</f>
        <v>0</v>
      </c>
      <c r="N84" s="49">
        <f>'Avg Week KYENJOJO-FORTPORTAL'!N84+'Avg Week FORTPORTAL-KYENJONJO'!N84</f>
        <v>0</v>
      </c>
      <c r="O84" s="15">
        <f t="shared" si="35"/>
        <v>7.5</v>
      </c>
      <c r="P84" s="15">
        <f t="shared" si="36"/>
        <v>7.5</v>
      </c>
      <c r="R84" s="8"/>
      <c r="T84"/>
    </row>
    <row r="85" spans="2:20" ht="23.1" customHeight="1" x14ac:dyDescent="0.25">
      <c r="B85" s="23" t="s">
        <v>125</v>
      </c>
      <c r="C85" s="49">
        <f>'Avg Week KYENJOJO-FORTPORTAL'!C85+'Avg Week FORTPORTAL-KYENJONJO'!C85</f>
        <v>0</v>
      </c>
      <c r="D85" s="49">
        <f>0.45*('Avg Week KYENJOJO-FORTPORTAL'!E85+'Avg Week FORTPORTAL-KYENJONJO'!E85)</f>
        <v>0.67500000000000004</v>
      </c>
      <c r="E85" s="49">
        <f>0.55*('Avg Week KYENJOJO-FORTPORTAL'!E85+'Avg Week FORTPORTAL-KYENJONJO'!E85)</f>
        <v>0.82500000000000007</v>
      </c>
      <c r="F85" s="49">
        <f>'Avg Week KYENJOJO-FORTPORTAL'!F85+'Avg Week FORTPORTAL-KYENJONJO'!F85</f>
        <v>0</v>
      </c>
      <c r="G85" s="49">
        <f>'Avg Week KYENJOJO-FORTPORTAL'!G85+'Avg Week FORTPORTAL-KYENJONJO'!G85</f>
        <v>0</v>
      </c>
      <c r="H85" s="49">
        <f>'Avg Week KYENJOJO-FORTPORTAL'!H85+'Avg Week FORTPORTAL-KYENJONJO'!H85</f>
        <v>0.5</v>
      </c>
      <c r="I85" s="49">
        <f>'Avg Week KYENJOJO-FORTPORTAL'!I85+'Avg Week FORTPORTAL-KYENJONJO'!I85</f>
        <v>3</v>
      </c>
      <c r="J85" s="49">
        <f>'Avg Week KYENJOJO-FORTPORTAL'!J85+'Avg Week FORTPORTAL-KYENJONJO'!J85</f>
        <v>0</v>
      </c>
      <c r="K85" s="49">
        <f>'Avg Week KYENJOJO-FORTPORTAL'!K85+'Avg Week FORTPORTAL-KYENJONJO'!K85</f>
        <v>0.5</v>
      </c>
      <c r="L85" s="49">
        <f>'Avg Week KYENJOJO-FORTPORTAL'!L85+'Avg Week FORTPORTAL-KYENJONJO'!L85</f>
        <v>1</v>
      </c>
      <c r="M85" s="49">
        <f>'Avg Week KYENJOJO-FORTPORTAL'!M85+'Avg Week FORTPORTAL-KYENJONJO'!M85</f>
        <v>0</v>
      </c>
      <c r="N85" s="49">
        <f>'Avg Week KYENJOJO-FORTPORTAL'!N85+'Avg Week FORTPORTAL-KYENJONJO'!N85</f>
        <v>0</v>
      </c>
      <c r="O85" s="15">
        <f t="shared" si="35"/>
        <v>6.5</v>
      </c>
      <c r="P85" s="15">
        <f t="shared" si="36"/>
        <v>6.5</v>
      </c>
      <c r="R85" s="8"/>
      <c r="T85"/>
    </row>
    <row r="86" spans="2:20" ht="23.1" customHeight="1" x14ac:dyDescent="0.25">
      <c r="B86" s="24" t="s">
        <v>126</v>
      </c>
      <c r="C86" s="49">
        <f>'Avg Week KYENJOJO-FORTPORTAL'!C86+'Avg Week FORTPORTAL-KYENJONJO'!C86</f>
        <v>0</v>
      </c>
      <c r="D86" s="49">
        <f>0.45*('Avg Week KYENJOJO-FORTPORTAL'!E86+'Avg Week FORTPORTAL-KYENJONJO'!E86)</f>
        <v>0.67500000000000004</v>
      </c>
      <c r="E86" s="49">
        <f>0.55*('Avg Week KYENJOJO-FORTPORTAL'!E86+'Avg Week FORTPORTAL-KYENJONJO'!E86)</f>
        <v>0.82500000000000007</v>
      </c>
      <c r="F86" s="49">
        <f>'Avg Week KYENJOJO-FORTPORTAL'!F86+'Avg Week FORTPORTAL-KYENJONJO'!F86</f>
        <v>0</v>
      </c>
      <c r="G86" s="49">
        <f>'Avg Week KYENJOJO-FORTPORTAL'!G86+'Avg Week FORTPORTAL-KYENJONJO'!G86</f>
        <v>0.5</v>
      </c>
      <c r="H86" s="49">
        <f>'Avg Week KYENJOJO-FORTPORTAL'!H86+'Avg Week FORTPORTAL-KYENJONJO'!H86</f>
        <v>0</v>
      </c>
      <c r="I86" s="49">
        <f>'Avg Week KYENJOJO-FORTPORTAL'!I86+'Avg Week FORTPORTAL-KYENJONJO'!I86</f>
        <v>2</v>
      </c>
      <c r="J86" s="49">
        <f>'Avg Week KYENJOJO-FORTPORTAL'!J86+'Avg Week FORTPORTAL-KYENJONJO'!J86</f>
        <v>0</v>
      </c>
      <c r="K86" s="49">
        <f>'Avg Week KYENJOJO-FORTPORTAL'!K86+'Avg Week FORTPORTAL-KYENJONJO'!K86</f>
        <v>0</v>
      </c>
      <c r="L86" s="49">
        <f>'Avg Week KYENJOJO-FORTPORTAL'!L86+'Avg Week FORTPORTAL-KYENJONJO'!L86</f>
        <v>0.5</v>
      </c>
      <c r="M86" s="49">
        <f>'Avg Week KYENJOJO-FORTPORTAL'!M86+'Avg Week FORTPORTAL-KYENJONJO'!M86</f>
        <v>0</v>
      </c>
      <c r="N86" s="49">
        <f>'Avg Week KYENJOJO-FORTPORTAL'!N86+'Avg Week FORTPORTAL-KYENJONJO'!N86</f>
        <v>0</v>
      </c>
      <c r="O86" s="15">
        <f t="shared" si="35"/>
        <v>4.5</v>
      </c>
      <c r="P86" s="15">
        <f t="shared" si="36"/>
        <v>4.5</v>
      </c>
      <c r="R86" s="8"/>
      <c r="T86"/>
    </row>
    <row r="87" spans="2:20" ht="23.1" customHeight="1" x14ac:dyDescent="0.25">
      <c r="B87" s="23" t="s">
        <v>127</v>
      </c>
      <c r="C87" s="49">
        <f>'Avg Week KYENJOJO-FORTPORTAL'!C87+'Avg Week FORTPORTAL-KYENJONJO'!C87</f>
        <v>1</v>
      </c>
      <c r="D87" s="49">
        <f>0.45*('Avg Week KYENJOJO-FORTPORTAL'!E87+'Avg Week FORTPORTAL-KYENJONJO'!E87)</f>
        <v>0.45</v>
      </c>
      <c r="E87" s="49">
        <f>0.55*('Avg Week KYENJOJO-FORTPORTAL'!E87+'Avg Week FORTPORTAL-KYENJONJO'!E87)</f>
        <v>0.55000000000000004</v>
      </c>
      <c r="F87" s="49">
        <f>'Avg Week KYENJOJO-FORTPORTAL'!F87+'Avg Week FORTPORTAL-KYENJONJO'!F87</f>
        <v>0</v>
      </c>
      <c r="G87" s="49">
        <f>'Avg Week KYENJOJO-FORTPORTAL'!G87+'Avg Week FORTPORTAL-KYENJONJO'!G87</f>
        <v>0</v>
      </c>
      <c r="H87" s="49">
        <f>'Avg Week KYENJOJO-FORTPORTAL'!H87+'Avg Week FORTPORTAL-KYENJONJO'!H87</f>
        <v>0.5</v>
      </c>
      <c r="I87" s="49">
        <f>'Avg Week KYENJOJO-FORTPORTAL'!I87+'Avg Week FORTPORTAL-KYENJONJO'!I87</f>
        <v>3</v>
      </c>
      <c r="J87" s="49">
        <f>'Avg Week KYENJOJO-FORTPORTAL'!J87+'Avg Week FORTPORTAL-KYENJONJO'!J87</f>
        <v>0</v>
      </c>
      <c r="K87" s="49">
        <f>'Avg Week KYENJOJO-FORTPORTAL'!K87+'Avg Week FORTPORTAL-KYENJONJO'!K87</f>
        <v>0</v>
      </c>
      <c r="L87" s="49">
        <f>'Avg Week KYENJOJO-FORTPORTAL'!L87+'Avg Week FORTPORTAL-KYENJONJO'!L87</f>
        <v>3</v>
      </c>
      <c r="M87" s="49">
        <f>'Avg Week KYENJOJO-FORTPORTAL'!M87+'Avg Week FORTPORTAL-KYENJONJO'!M87</f>
        <v>0</v>
      </c>
      <c r="N87" s="49">
        <f>'Avg Week KYENJOJO-FORTPORTAL'!N87+'Avg Week FORTPORTAL-KYENJONJO'!N87</f>
        <v>0</v>
      </c>
      <c r="O87" s="15">
        <f t="shared" si="35"/>
        <v>8.5</v>
      </c>
      <c r="P87" s="15">
        <f t="shared" si="36"/>
        <v>8.5</v>
      </c>
      <c r="R87" s="8"/>
      <c r="T87"/>
    </row>
    <row r="88" spans="2:20" ht="23.1" customHeight="1" x14ac:dyDescent="0.25">
      <c r="B88" s="25" t="s">
        <v>128</v>
      </c>
      <c r="C88" s="49">
        <f>'Avg Week KYENJOJO-FORTPORTAL'!C88+'Avg Week FORTPORTAL-KYENJONJO'!C88</f>
        <v>0</v>
      </c>
      <c r="D88" s="49">
        <f>0.45*('Avg Week KYENJOJO-FORTPORTAL'!E88+'Avg Week FORTPORTAL-KYENJONJO'!E88)</f>
        <v>0</v>
      </c>
      <c r="E88" s="49">
        <f>0.55*('Avg Week KYENJOJO-FORTPORTAL'!E88+'Avg Week FORTPORTAL-KYENJONJO'!E88)</f>
        <v>0</v>
      </c>
      <c r="F88" s="49">
        <f>'Avg Week KYENJOJO-FORTPORTAL'!F88+'Avg Week FORTPORTAL-KYENJONJO'!F88</f>
        <v>0.5</v>
      </c>
      <c r="G88" s="49">
        <f>'Avg Week KYENJOJO-FORTPORTAL'!G88+'Avg Week FORTPORTAL-KYENJONJO'!G88</f>
        <v>0</v>
      </c>
      <c r="H88" s="49">
        <f>'Avg Week KYENJOJO-FORTPORTAL'!H88+'Avg Week FORTPORTAL-KYENJONJO'!H88</f>
        <v>0</v>
      </c>
      <c r="I88" s="49">
        <f>'Avg Week KYENJOJO-FORTPORTAL'!I88+'Avg Week FORTPORTAL-KYENJONJO'!I88</f>
        <v>2</v>
      </c>
      <c r="J88" s="49">
        <f>'Avg Week KYENJOJO-FORTPORTAL'!J88+'Avg Week FORTPORTAL-KYENJONJO'!J88</f>
        <v>0</v>
      </c>
      <c r="K88" s="49">
        <f>'Avg Week KYENJOJO-FORTPORTAL'!K88+'Avg Week FORTPORTAL-KYENJONJO'!K88</f>
        <v>0</v>
      </c>
      <c r="L88" s="49">
        <f>'Avg Week KYENJOJO-FORTPORTAL'!L88+'Avg Week FORTPORTAL-KYENJONJO'!L88</f>
        <v>1.5</v>
      </c>
      <c r="M88" s="49">
        <f>'Avg Week KYENJOJO-FORTPORTAL'!M88+'Avg Week FORTPORTAL-KYENJONJO'!M88</f>
        <v>0</v>
      </c>
      <c r="N88" s="49">
        <f>'Avg Week KYENJOJO-FORTPORTAL'!N88+'Avg Week FORTPORTAL-KYENJONJO'!N88</f>
        <v>0</v>
      </c>
      <c r="O88" s="15">
        <f t="shared" si="35"/>
        <v>4</v>
      </c>
      <c r="P88" s="15">
        <f t="shared" si="36"/>
        <v>4</v>
      </c>
      <c r="R88" s="8"/>
      <c r="T88"/>
    </row>
    <row r="89" spans="2:20" ht="23.1" customHeight="1" x14ac:dyDescent="0.25">
      <c r="B89" s="23" t="s">
        <v>129</v>
      </c>
      <c r="C89" s="49">
        <f>'Avg Week KYENJOJO-FORTPORTAL'!C89+'Avg Week FORTPORTAL-KYENJONJO'!C89</f>
        <v>0.5</v>
      </c>
      <c r="D89" s="49">
        <f>0.45*('Avg Week KYENJOJO-FORTPORTAL'!E89+'Avg Week FORTPORTAL-KYENJONJO'!E89)</f>
        <v>0</v>
      </c>
      <c r="E89" s="49">
        <f>0.55*('Avg Week KYENJOJO-FORTPORTAL'!E89+'Avg Week FORTPORTAL-KYENJONJO'!E89)</f>
        <v>0</v>
      </c>
      <c r="F89" s="49">
        <f>'Avg Week KYENJOJO-FORTPORTAL'!F89+'Avg Week FORTPORTAL-KYENJONJO'!F89</f>
        <v>0</v>
      </c>
      <c r="G89" s="49">
        <f>'Avg Week KYENJOJO-FORTPORTAL'!G89+'Avg Week FORTPORTAL-KYENJONJO'!G89</f>
        <v>0</v>
      </c>
      <c r="H89" s="49">
        <f>'Avg Week KYENJOJO-FORTPORTAL'!H89+'Avg Week FORTPORTAL-KYENJONJO'!H89</f>
        <v>0</v>
      </c>
      <c r="I89" s="49">
        <f>'Avg Week KYENJOJO-FORTPORTAL'!I89+'Avg Week FORTPORTAL-KYENJONJO'!I89</f>
        <v>1</v>
      </c>
      <c r="J89" s="49">
        <f>'Avg Week KYENJOJO-FORTPORTAL'!J89+'Avg Week FORTPORTAL-KYENJONJO'!J89</f>
        <v>0</v>
      </c>
      <c r="K89" s="49">
        <f>'Avg Week KYENJOJO-FORTPORTAL'!K89+'Avg Week FORTPORTAL-KYENJONJO'!K89</f>
        <v>0</v>
      </c>
      <c r="L89" s="49">
        <f>'Avg Week KYENJOJO-FORTPORTAL'!L89+'Avg Week FORTPORTAL-KYENJONJO'!L89</f>
        <v>0</v>
      </c>
      <c r="M89" s="49">
        <f>'Avg Week KYENJOJO-FORTPORTAL'!M89+'Avg Week FORTPORTAL-KYENJONJO'!M89</f>
        <v>0</v>
      </c>
      <c r="N89" s="49">
        <f>'Avg Week KYENJOJO-FORTPORTAL'!N89+'Avg Week FORTPORTAL-KYENJONJO'!N89</f>
        <v>0</v>
      </c>
      <c r="O89" s="15">
        <f t="shared" si="35"/>
        <v>1.5</v>
      </c>
      <c r="P89" s="15">
        <f t="shared" si="36"/>
        <v>1.5</v>
      </c>
      <c r="R89" s="8"/>
      <c r="T89"/>
    </row>
    <row r="90" spans="2:20" ht="23.1" customHeight="1" x14ac:dyDescent="0.25">
      <c r="B90" s="24" t="s">
        <v>130</v>
      </c>
      <c r="C90" s="49">
        <f>'Avg Week KYENJOJO-FORTPORTAL'!C90+'Avg Week FORTPORTAL-KYENJONJO'!C90</f>
        <v>0</v>
      </c>
      <c r="D90" s="49">
        <f>0.45*('Avg Week KYENJOJO-FORTPORTAL'!E90+'Avg Week FORTPORTAL-KYENJONJO'!E90)</f>
        <v>0</v>
      </c>
      <c r="E90" s="49">
        <f>0.55*('Avg Week KYENJOJO-FORTPORTAL'!E90+'Avg Week FORTPORTAL-KYENJONJO'!E90)</f>
        <v>0</v>
      </c>
      <c r="F90" s="49">
        <f>'Avg Week KYENJOJO-FORTPORTAL'!F90+'Avg Week FORTPORTAL-KYENJONJO'!F90</f>
        <v>0</v>
      </c>
      <c r="G90" s="49">
        <f>'Avg Week KYENJOJO-FORTPORTAL'!G90+'Avg Week FORTPORTAL-KYENJONJO'!G90</f>
        <v>0</v>
      </c>
      <c r="H90" s="49">
        <f>'Avg Week KYENJOJO-FORTPORTAL'!H90+'Avg Week FORTPORTAL-KYENJONJO'!H90</f>
        <v>0.5</v>
      </c>
      <c r="I90" s="49">
        <f>'Avg Week KYENJOJO-FORTPORTAL'!I90+'Avg Week FORTPORTAL-KYENJONJO'!I90</f>
        <v>2</v>
      </c>
      <c r="J90" s="49">
        <f>'Avg Week KYENJOJO-FORTPORTAL'!J90+'Avg Week FORTPORTAL-KYENJONJO'!J90</f>
        <v>0</v>
      </c>
      <c r="K90" s="49">
        <f>'Avg Week KYENJOJO-FORTPORTAL'!K90+'Avg Week FORTPORTAL-KYENJONJO'!K90</f>
        <v>0</v>
      </c>
      <c r="L90" s="49">
        <f>'Avg Week KYENJOJO-FORTPORTAL'!L90+'Avg Week FORTPORTAL-KYENJONJO'!L90</f>
        <v>0</v>
      </c>
      <c r="M90" s="49">
        <f>'Avg Week KYENJOJO-FORTPORTAL'!M90+'Avg Week FORTPORTAL-KYENJONJO'!M90</f>
        <v>0</v>
      </c>
      <c r="N90" s="49">
        <f>'Avg Week KYENJOJO-FORTPORTAL'!N90+'Avg Week FORTPORTAL-KYENJONJO'!N90</f>
        <v>0</v>
      </c>
      <c r="O90" s="15">
        <f t="shared" si="35"/>
        <v>2.5</v>
      </c>
      <c r="P90" s="15">
        <f t="shared" si="36"/>
        <v>2.5</v>
      </c>
      <c r="R90" s="8"/>
      <c r="T90"/>
    </row>
    <row r="91" spans="2:20" ht="23.1" customHeight="1" x14ac:dyDescent="0.25">
      <c r="B91" s="23" t="s">
        <v>131</v>
      </c>
      <c r="C91" s="49">
        <f>'Avg Week KYENJOJO-FORTPORTAL'!C91+'Avg Week FORTPORTAL-KYENJONJO'!C91</f>
        <v>0.5</v>
      </c>
      <c r="D91" s="49">
        <f>0.45*('Avg Week KYENJOJO-FORTPORTAL'!E91+'Avg Week FORTPORTAL-KYENJONJO'!E91)</f>
        <v>0.22500000000000001</v>
      </c>
      <c r="E91" s="49">
        <f>0.55*('Avg Week KYENJOJO-FORTPORTAL'!E91+'Avg Week FORTPORTAL-KYENJONJO'!E91)</f>
        <v>0.27500000000000002</v>
      </c>
      <c r="F91" s="49">
        <f>'Avg Week KYENJOJO-FORTPORTAL'!F91+'Avg Week FORTPORTAL-KYENJONJO'!F91</f>
        <v>0</v>
      </c>
      <c r="G91" s="49">
        <f>'Avg Week KYENJOJO-FORTPORTAL'!G91+'Avg Week FORTPORTAL-KYENJONJO'!G91</f>
        <v>0</v>
      </c>
      <c r="H91" s="49">
        <f>'Avg Week KYENJOJO-FORTPORTAL'!H91+'Avg Week FORTPORTAL-KYENJONJO'!H91</f>
        <v>0</v>
      </c>
      <c r="I91" s="49">
        <f>'Avg Week KYENJOJO-FORTPORTAL'!I91+'Avg Week FORTPORTAL-KYENJONJO'!I91</f>
        <v>2</v>
      </c>
      <c r="J91" s="49">
        <f>'Avg Week KYENJOJO-FORTPORTAL'!J91+'Avg Week FORTPORTAL-KYENJONJO'!J91</f>
        <v>0</v>
      </c>
      <c r="K91" s="49">
        <f>'Avg Week KYENJOJO-FORTPORTAL'!K91+'Avg Week FORTPORTAL-KYENJONJO'!K91</f>
        <v>0</v>
      </c>
      <c r="L91" s="49">
        <f>'Avg Week KYENJOJO-FORTPORTAL'!L91+'Avg Week FORTPORTAL-KYENJONJO'!L91</f>
        <v>1</v>
      </c>
      <c r="M91" s="49">
        <f>'Avg Week KYENJOJO-FORTPORTAL'!M91+'Avg Week FORTPORTAL-KYENJONJO'!M91</f>
        <v>0</v>
      </c>
      <c r="N91" s="49">
        <f>'Avg Week KYENJOJO-FORTPORTAL'!N91+'Avg Week FORTPORTAL-KYENJONJO'!N91</f>
        <v>0</v>
      </c>
      <c r="O91" s="15">
        <f t="shared" si="35"/>
        <v>4</v>
      </c>
      <c r="P91" s="15">
        <f t="shared" si="36"/>
        <v>4</v>
      </c>
      <c r="R91" s="8"/>
      <c r="T91"/>
    </row>
    <row r="92" spans="2:20" ht="23.1" customHeight="1" x14ac:dyDescent="0.25">
      <c r="B92" s="25" t="s">
        <v>132</v>
      </c>
      <c r="C92" s="49">
        <f>'Avg Week KYENJOJO-FORTPORTAL'!C92+'Avg Week FORTPORTAL-KYENJONJO'!C92</f>
        <v>0</v>
      </c>
      <c r="D92" s="49">
        <f>0.45*('Avg Week KYENJOJO-FORTPORTAL'!E92+'Avg Week FORTPORTAL-KYENJONJO'!E92)</f>
        <v>0</v>
      </c>
      <c r="E92" s="49">
        <f>0.55*('Avg Week KYENJOJO-FORTPORTAL'!E92+'Avg Week FORTPORTAL-KYENJONJO'!E92)</f>
        <v>0</v>
      </c>
      <c r="F92" s="49">
        <f>'Avg Week KYENJOJO-FORTPORTAL'!F92+'Avg Week FORTPORTAL-KYENJONJO'!F92</f>
        <v>0</v>
      </c>
      <c r="G92" s="49">
        <f>'Avg Week KYENJOJO-FORTPORTAL'!G92+'Avg Week FORTPORTAL-KYENJONJO'!G92</f>
        <v>0</v>
      </c>
      <c r="H92" s="49">
        <f>'Avg Week KYENJOJO-FORTPORTAL'!H92+'Avg Week FORTPORTAL-KYENJONJO'!H92</f>
        <v>0</v>
      </c>
      <c r="I92" s="49">
        <f>'Avg Week KYENJOJO-FORTPORTAL'!I92+'Avg Week FORTPORTAL-KYENJONJO'!I92</f>
        <v>0</v>
      </c>
      <c r="J92" s="49">
        <f>'Avg Week KYENJOJO-FORTPORTAL'!J92+'Avg Week FORTPORTAL-KYENJONJO'!J92</f>
        <v>0</v>
      </c>
      <c r="K92" s="49">
        <f>'Avg Week KYENJOJO-FORTPORTAL'!K92+'Avg Week FORTPORTAL-KYENJONJO'!K92</f>
        <v>0</v>
      </c>
      <c r="L92" s="49">
        <f>'Avg Week KYENJOJO-FORTPORTAL'!L92+'Avg Week FORTPORTAL-KYENJONJO'!L92</f>
        <v>0</v>
      </c>
      <c r="M92" s="49">
        <f>'Avg Week KYENJOJO-FORTPORTAL'!M92+'Avg Week FORTPORTAL-KYENJONJO'!M92</f>
        <v>0</v>
      </c>
      <c r="N92" s="49">
        <f>'Avg Week KYENJOJO-FORTPORTAL'!N92+'Avg Week FORTPORTAL-KYENJONJO'!N92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'Avg Week KYENJOJO-FORTPORTAL'!C93+'Avg Week FORTPORTAL-KYENJONJO'!C93</f>
        <v>0.5</v>
      </c>
      <c r="D93" s="49">
        <f>0.45*('Avg Week KYENJOJO-FORTPORTAL'!E93+'Avg Week FORTPORTAL-KYENJONJO'!E93)</f>
        <v>0</v>
      </c>
      <c r="E93" s="49">
        <f>0.55*('Avg Week KYENJOJO-FORTPORTAL'!E93+'Avg Week FORTPORTAL-KYENJONJO'!E93)</f>
        <v>0</v>
      </c>
      <c r="F93" s="49">
        <f>'Avg Week KYENJOJO-FORTPORTAL'!F93+'Avg Week FORTPORTAL-KYENJONJO'!F93</f>
        <v>0</v>
      </c>
      <c r="G93" s="49">
        <f>'Avg Week KYENJOJO-FORTPORTAL'!G93+'Avg Week FORTPORTAL-KYENJONJO'!G93</f>
        <v>0</v>
      </c>
      <c r="H93" s="49">
        <f>'Avg Week KYENJOJO-FORTPORTAL'!H93+'Avg Week FORTPORTAL-KYENJONJO'!H93</f>
        <v>0</v>
      </c>
      <c r="I93" s="49">
        <f>'Avg Week KYENJOJO-FORTPORTAL'!I93+'Avg Week FORTPORTAL-KYENJONJO'!I93</f>
        <v>1</v>
      </c>
      <c r="J93" s="49">
        <f>'Avg Week KYENJOJO-FORTPORTAL'!J93+'Avg Week FORTPORTAL-KYENJONJO'!J93</f>
        <v>0</v>
      </c>
      <c r="K93" s="49">
        <f>'Avg Week KYENJOJO-FORTPORTAL'!K93+'Avg Week FORTPORTAL-KYENJONJO'!K93</f>
        <v>0</v>
      </c>
      <c r="L93" s="49">
        <f>'Avg Week KYENJOJO-FORTPORTAL'!L93+'Avg Week FORTPORTAL-KYENJONJO'!L93</f>
        <v>1</v>
      </c>
      <c r="M93" s="49">
        <f>'Avg Week KYENJOJO-FORTPORTAL'!M93+'Avg Week FORTPORTAL-KYENJONJO'!M93</f>
        <v>0</v>
      </c>
      <c r="N93" s="49">
        <f>'Avg Week KYENJOJO-FORTPORTAL'!N93+'Avg Week FORTPORTAL-KYENJONJO'!N93</f>
        <v>0</v>
      </c>
      <c r="O93" s="15">
        <f t="shared" si="35"/>
        <v>2.5</v>
      </c>
      <c r="P93" s="15">
        <f t="shared" si="36"/>
        <v>2.5</v>
      </c>
      <c r="R93" s="8"/>
      <c r="T93"/>
    </row>
    <row r="94" spans="2:20" ht="23.1" customHeight="1" x14ac:dyDescent="0.25">
      <c r="B94" s="24" t="s">
        <v>134</v>
      </c>
      <c r="C94" s="49">
        <f>'Avg Week KYENJOJO-FORTPORTAL'!C94+'Avg Week FORTPORTAL-KYENJONJO'!C94</f>
        <v>0</v>
      </c>
      <c r="D94" s="49">
        <f>0.45*('Avg Week KYENJOJO-FORTPORTAL'!E94+'Avg Week FORTPORTAL-KYENJONJO'!E94)</f>
        <v>0</v>
      </c>
      <c r="E94" s="49">
        <f>0.55*('Avg Week KYENJOJO-FORTPORTAL'!E94+'Avg Week FORTPORTAL-KYENJONJO'!E94)</f>
        <v>0</v>
      </c>
      <c r="F94" s="49">
        <f>'Avg Week KYENJOJO-FORTPORTAL'!F94+'Avg Week FORTPORTAL-KYENJONJO'!F94</f>
        <v>0.5</v>
      </c>
      <c r="G94" s="49">
        <f>'Avg Week KYENJOJO-FORTPORTAL'!G94+'Avg Week FORTPORTAL-KYENJONJO'!G94</f>
        <v>0.5</v>
      </c>
      <c r="H94" s="49">
        <f>'Avg Week KYENJOJO-FORTPORTAL'!H94+'Avg Week FORTPORTAL-KYENJONJO'!H94</f>
        <v>0</v>
      </c>
      <c r="I94" s="49">
        <f>'Avg Week KYENJOJO-FORTPORTAL'!I94+'Avg Week FORTPORTAL-KYENJONJO'!I94</f>
        <v>1</v>
      </c>
      <c r="J94" s="49">
        <f>'Avg Week KYENJOJO-FORTPORTAL'!J94+'Avg Week FORTPORTAL-KYENJONJO'!J94</f>
        <v>0</v>
      </c>
      <c r="K94" s="49">
        <f>'Avg Week KYENJOJO-FORTPORTAL'!K94+'Avg Week FORTPORTAL-KYENJONJO'!K94</f>
        <v>0</v>
      </c>
      <c r="L94" s="49">
        <f>'Avg Week KYENJOJO-FORTPORTAL'!L94+'Avg Week FORTPORTAL-KYENJONJO'!L94</f>
        <v>0</v>
      </c>
      <c r="M94" s="49">
        <f>'Avg Week KYENJOJO-FORTPORTAL'!M94+'Avg Week FORTPORTAL-KYENJONJO'!M94</f>
        <v>0</v>
      </c>
      <c r="N94" s="49">
        <f>'Avg Week KYENJOJO-FORTPORTAL'!N94+'Avg Week FORTPORTAL-KYENJONJO'!N94</f>
        <v>0</v>
      </c>
      <c r="O94" s="15">
        <f t="shared" si="35"/>
        <v>2</v>
      </c>
      <c r="P94" s="15">
        <f t="shared" si="36"/>
        <v>2</v>
      </c>
      <c r="R94" s="8"/>
      <c r="T94"/>
    </row>
    <row r="95" spans="2:20" ht="23.1" customHeight="1" x14ac:dyDescent="0.25">
      <c r="B95" s="23" t="s">
        <v>135</v>
      </c>
      <c r="C95" s="49">
        <f>'Avg Week KYENJOJO-FORTPORTAL'!C95+'Avg Week FORTPORTAL-KYENJONJO'!C95</f>
        <v>0.5</v>
      </c>
      <c r="D95" s="49">
        <f>0.45*('Avg Week KYENJOJO-FORTPORTAL'!E95+'Avg Week FORTPORTAL-KYENJONJO'!E95)</f>
        <v>0</v>
      </c>
      <c r="E95" s="49">
        <f>0.55*('Avg Week KYENJOJO-FORTPORTAL'!E95+'Avg Week FORTPORTAL-KYENJONJO'!E95)</f>
        <v>0</v>
      </c>
      <c r="F95" s="49">
        <f>'Avg Week KYENJOJO-FORTPORTAL'!F95+'Avg Week FORTPORTAL-KYENJONJO'!F95</f>
        <v>1</v>
      </c>
      <c r="G95" s="49">
        <f>'Avg Week KYENJOJO-FORTPORTAL'!G95+'Avg Week FORTPORTAL-KYENJONJO'!G95</f>
        <v>0</v>
      </c>
      <c r="H95" s="49">
        <f>'Avg Week KYENJOJO-FORTPORTAL'!H95+'Avg Week FORTPORTAL-KYENJONJO'!H95</f>
        <v>0</v>
      </c>
      <c r="I95" s="49">
        <f>'Avg Week KYENJOJO-FORTPORTAL'!I95+'Avg Week FORTPORTAL-KYENJONJO'!I95</f>
        <v>1.5</v>
      </c>
      <c r="J95" s="49">
        <f>'Avg Week KYENJOJO-FORTPORTAL'!J95+'Avg Week FORTPORTAL-KYENJONJO'!J95</f>
        <v>0</v>
      </c>
      <c r="K95" s="49">
        <f>'Avg Week KYENJOJO-FORTPORTAL'!K95+'Avg Week FORTPORTAL-KYENJONJO'!K95</f>
        <v>0</v>
      </c>
      <c r="L95" s="49">
        <f>'Avg Week KYENJOJO-FORTPORTAL'!L95+'Avg Week FORTPORTAL-KYENJONJO'!L95</f>
        <v>0</v>
      </c>
      <c r="M95" s="49">
        <f>'Avg Week KYENJOJO-FORTPORTAL'!M95+'Avg Week FORTPORTAL-KYENJONJO'!M95</f>
        <v>0.5</v>
      </c>
      <c r="N95" s="49">
        <f>'Avg Week KYENJOJO-FORTPORTAL'!N95+'Avg Week FORTPORTAL-KYENJONJO'!N95</f>
        <v>0</v>
      </c>
      <c r="O95" s="15">
        <f t="shared" si="35"/>
        <v>3</v>
      </c>
      <c r="P95" s="15">
        <f t="shared" si="36"/>
        <v>3.5</v>
      </c>
      <c r="R95" s="8"/>
      <c r="T95"/>
    </row>
    <row r="96" spans="2:20" ht="23.1" customHeight="1" x14ac:dyDescent="0.25">
      <c r="B96" s="25" t="s">
        <v>136</v>
      </c>
      <c r="C96" s="49">
        <f>'Avg Week KYENJOJO-FORTPORTAL'!C96+'Avg Week FORTPORTAL-KYENJONJO'!C96</f>
        <v>0</v>
      </c>
      <c r="D96" s="49">
        <f>0.45*('Avg Week KYENJOJO-FORTPORTAL'!E96+'Avg Week FORTPORTAL-KYENJONJO'!E96)</f>
        <v>0</v>
      </c>
      <c r="E96" s="49">
        <f>0.55*('Avg Week KYENJOJO-FORTPORTAL'!E96+'Avg Week FORTPORTAL-KYENJONJO'!E96)</f>
        <v>0</v>
      </c>
      <c r="F96" s="49">
        <f>'Avg Week KYENJOJO-FORTPORTAL'!F96+'Avg Week FORTPORTAL-KYENJONJO'!F96</f>
        <v>0.5</v>
      </c>
      <c r="G96" s="49">
        <f>'Avg Week KYENJOJO-FORTPORTAL'!G96+'Avg Week FORTPORTAL-KYENJONJO'!G96</f>
        <v>0</v>
      </c>
      <c r="H96" s="49">
        <f>'Avg Week KYENJOJO-FORTPORTAL'!H96+'Avg Week FORTPORTAL-KYENJONJO'!H96</f>
        <v>0</v>
      </c>
      <c r="I96" s="49">
        <f>'Avg Week KYENJOJO-FORTPORTAL'!I96+'Avg Week FORTPORTAL-KYENJONJO'!I96</f>
        <v>2</v>
      </c>
      <c r="J96" s="49">
        <f>'Avg Week KYENJOJO-FORTPORTAL'!J96+'Avg Week FORTPORTAL-KYENJONJO'!J96</f>
        <v>0</v>
      </c>
      <c r="K96" s="49">
        <f>'Avg Week KYENJOJO-FORTPORTAL'!K96+'Avg Week FORTPORTAL-KYENJONJO'!K96</f>
        <v>0</v>
      </c>
      <c r="L96" s="49">
        <f>'Avg Week KYENJOJO-FORTPORTAL'!L96+'Avg Week FORTPORTAL-KYENJONJO'!L96</f>
        <v>1</v>
      </c>
      <c r="M96" s="49">
        <f>'Avg Week KYENJOJO-FORTPORTAL'!M96+'Avg Week FORTPORTAL-KYENJONJO'!M96</f>
        <v>0</v>
      </c>
      <c r="N96" s="49">
        <f>'Avg Week KYENJOJO-FORTPORTAL'!N96+'Avg Week FORTPORTAL-KYENJONJO'!N96</f>
        <v>0</v>
      </c>
      <c r="O96" s="15">
        <f t="shared" si="35"/>
        <v>3.5</v>
      </c>
      <c r="P96" s="15">
        <f t="shared" si="36"/>
        <v>3.5</v>
      </c>
      <c r="R96" s="8"/>
      <c r="T96"/>
    </row>
    <row r="97" spans="2:20" ht="23.1" customHeight="1" x14ac:dyDescent="0.25">
      <c r="B97" s="23" t="s">
        <v>137</v>
      </c>
      <c r="C97" s="49">
        <f>'Avg Week KYENJOJO-FORTPORTAL'!C97+'Avg Week FORTPORTAL-KYENJONJO'!C97</f>
        <v>0</v>
      </c>
      <c r="D97" s="49">
        <f>0.45*('Avg Week KYENJOJO-FORTPORTAL'!E97+'Avg Week FORTPORTAL-KYENJONJO'!E97)</f>
        <v>0</v>
      </c>
      <c r="E97" s="49">
        <f>0.55*('Avg Week KYENJOJO-FORTPORTAL'!E97+'Avg Week FORTPORTAL-KYENJONJO'!E97)</f>
        <v>0</v>
      </c>
      <c r="F97" s="49">
        <f>'Avg Week KYENJOJO-FORTPORTAL'!F97+'Avg Week FORTPORTAL-KYENJONJO'!F97</f>
        <v>0</v>
      </c>
      <c r="G97" s="49">
        <f>'Avg Week KYENJOJO-FORTPORTAL'!G97+'Avg Week FORTPORTAL-KYENJONJO'!G97</f>
        <v>0</v>
      </c>
      <c r="H97" s="49">
        <f>'Avg Week KYENJOJO-FORTPORTAL'!H97+'Avg Week FORTPORTAL-KYENJONJO'!H97</f>
        <v>0</v>
      </c>
      <c r="I97" s="49">
        <f>'Avg Week KYENJOJO-FORTPORTAL'!I97+'Avg Week FORTPORTAL-KYENJONJO'!I97</f>
        <v>2</v>
      </c>
      <c r="J97" s="49">
        <f>'Avg Week KYENJOJO-FORTPORTAL'!J97+'Avg Week FORTPORTAL-KYENJONJO'!J97</f>
        <v>0</v>
      </c>
      <c r="K97" s="49">
        <f>'Avg Week KYENJOJO-FORTPORTAL'!K97+'Avg Week FORTPORTAL-KYENJONJO'!K97</f>
        <v>0</v>
      </c>
      <c r="L97" s="49">
        <f>'Avg Week KYENJOJO-FORTPORTAL'!L97+'Avg Week FORTPORTAL-KYENJONJO'!L97</f>
        <v>0.5</v>
      </c>
      <c r="M97" s="49">
        <f>'Avg Week KYENJOJO-FORTPORTAL'!M97+'Avg Week FORTPORTAL-KYENJONJO'!M97</f>
        <v>0</v>
      </c>
      <c r="N97" s="49">
        <f>'Avg Week KYENJOJO-FORTPORTAL'!N97+'Avg Week FORTPORTAL-KYENJONJO'!N97</f>
        <v>0</v>
      </c>
      <c r="O97" s="15">
        <f t="shared" si="35"/>
        <v>2.5</v>
      </c>
      <c r="P97" s="15">
        <f t="shared" si="36"/>
        <v>2.5</v>
      </c>
      <c r="R97" s="8"/>
      <c r="T97"/>
    </row>
    <row r="98" spans="2:20" ht="23.1" customHeight="1" x14ac:dyDescent="0.25">
      <c r="B98" s="24" t="s">
        <v>138</v>
      </c>
      <c r="C98" s="49">
        <f>'Avg Week KYENJOJO-FORTPORTAL'!C98+'Avg Week FORTPORTAL-KYENJONJO'!C98</f>
        <v>0</v>
      </c>
      <c r="D98" s="49">
        <f>0.45*('Avg Week KYENJOJO-FORTPORTAL'!E98+'Avg Week FORTPORTAL-KYENJONJO'!E98)</f>
        <v>0.22500000000000001</v>
      </c>
      <c r="E98" s="49">
        <f>0.55*('Avg Week KYENJOJO-FORTPORTAL'!E98+'Avg Week FORTPORTAL-KYENJONJO'!E98)</f>
        <v>0.27500000000000002</v>
      </c>
      <c r="F98" s="49">
        <f>'Avg Week KYENJOJO-FORTPORTAL'!F98+'Avg Week FORTPORTAL-KYENJONJO'!F98</f>
        <v>1</v>
      </c>
      <c r="G98" s="49">
        <f>'Avg Week KYENJOJO-FORTPORTAL'!G98+'Avg Week FORTPORTAL-KYENJONJO'!G98</f>
        <v>0</v>
      </c>
      <c r="H98" s="49">
        <f>'Avg Week KYENJOJO-FORTPORTAL'!H98+'Avg Week FORTPORTAL-KYENJONJO'!H98</f>
        <v>0</v>
      </c>
      <c r="I98" s="49">
        <f>'Avg Week KYENJOJO-FORTPORTAL'!I98+'Avg Week FORTPORTAL-KYENJONJO'!I98</f>
        <v>1</v>
      </c>
      <c r="J98" s="49">
        <f>'Avg Week KYENJOJO-FORTPORTAL'!J98+'Avg Week FORTPORTAL-KYENJONJO'!J98</f>
        <v>0.5</v>
      </c>
      <c r="K98" s="49">
        <f>'Avg Week KYENJOJO-FORTPORTAL'!K98+'Avg Week FORTPORTAL-KYENJONJO'!K98</f>
        <v>0</v>
      </c>
      <c r="L98" s="49">
        <f>'Avg Week KYENJOJO-FORTPORTAL'!L98+'Avg Week FORTPORTAL-KYENJONJO'!L98</f>
        <v>1.5</v>
      </c>
      <c r="M98" s="49">
        <f>'Avg Week KYENJOJO-FORTPORTAL'!M98+'Avg Week FORTPORTAL-KYENJONJO'!M98</f>
        <v>0</v>
      </c>
      <c r="N98" s="49">
        <f>'Avg Week KYENJOJO-FORTPORTAL'!N98+'Avg Week FORTPORTAL-KYENJONJO'!N98</f>
        <v>0</v>
      </c>
      <c r="O98" s="15">
        <f t="shared" si="35"/>
        <v>4.5</v>
      </c>
      <c r="P98" s="15">
        <f t="shared" si="36"/>
        <v>4.5</v>
      </c>
      <c r="R98" s="8"/>
      <c r="T98"/>
    </row>
    <row r="99" spans="2:20" ht="23.1" customHeight="1" x14ac:dyDescent="0.25">
      <c r="B99" s="23" t="s">
        <v>139</v>
      </c>
      <c r="C99" s="49">
        <f>'Avg Week KYENJOJO-FORTPORTAL'!C99+'Avg Week FORTPORTAL-KYENJONJO'!C99</f>
        <v>0</v>
      </c>
      <c r="D99" s="49">
        <f>0.45*('Avg Week KYENJOJO-FORTPORTAL'!E99+'Avg Week FORTPORTAL-KYENJONJO'!E99)</f>
        <v>0</v>
      </c>
      <c r="E99" s="49">
        <f>0.55*('Avg Week KYENJOJO-FORTPORTAL'!E99+'Avg Week FORTPORTAL-KYENJONJO'!E99)</f>
        <v>0</v>
      </c>
      <c r="F99" s="49">
        <f>'Avg Week KYENJOJO-FORTPORTAL'!F99+'Avg Week FORTPORTAL-KYENJONJO'!F99</f>
        <v>0.5</v>
      </c>
      <c r="G99" s="49">
        <f>'Avg Week KYENJOJO-FORTPORTAL'!G99+'Avg Week FORTPORTAL-KYENJONJO'!G99</f>
        <v>0</v>
      </c>
      <c r="H99" s="49">
        <f>'Avg Week KYENJOJO-FORTPORTAL'!H99+'Avg Week FORTPORTAL-KYENJONJO'!H99</f>
        <v>0</v>
      </c>
      <c r="I99" s="49">
        <f>'Avg Week KYENJOJO-FORTPORTAL'!I99+'Avg Week FORTPORTAL-KYENJONJO'!I99</f>
        <v>1.5</v>
      </c>
      <c r="J99" s="49">
        <f>'Avg Week KYENJOJO-FORTPORTAL'!J99+'Avg Week FORTPORTAL-KYENJONJO'!J99</f>
        <v>0</v>
      </c>
      <c r="K99" s="49">
        <f>'Avg Week KYENJOJO-FORTPORTAL'!K99+'Avg Week FORTPORTAL-KYENJONJO'!K99</f>
        <v>0</v>
      </c>
      <c r="L99" s="49">
        <f>'Avg Week KYENJOJO-FORTPORTAL'!L99+'Avg Week FORTPORTAL-KYENJONJO'!L99</f>
        <v>0</v>
      </c>
      <c r="M99" s="49">
        <f>'Avg Week KYENJOJO-FORTPORTAL'!M99+'Avg Week FORTPORTAL-KYENJONJO'!M99</f>
        <v>0</v>
      </c>
      <c r="N99" s="49">
        <f>'Avg Week KYENJOJO-FORTPORTAL'!N99+'Avg Week FORTPORTAL-KYENJONJO'!N99</f>
        <v>0</v>
      </c>
      <c r="O99" s="15">
        <f t="shared" si="35"/>
        <v>2</v>
      </c>
      <c r="P99" s="15">
        <f t="shared" si="36"/>
        <v>2</v>
      </c>
      <c r="R99" s="8"/>
      <c r="T99"/>
    </row>
    <row r="100" spans="2:20" ht="23.1" customHeight="1" x14ac:dyDescent="0.25">
      <c r="B100" s="25" t="s">
        <v>140</v>
      </c>
      <c r="C100" s="49">
        <f>'Avg Week KYENJOJO-FORTPORTAL'!C100+'Avg Week FORTPORTAL-KYENJONJO'!C100</f>
        <v>0</v>
      </c>
      <c r="D100" s="49">
        <f>0.45*('Avg Week KYENJOJO-FORTPORTAL'!E100+'Avg Week FORTPORTAL-KYENJONJO'!E100)</f>
        <v>0.22500000000000001</v>
      </c>
      <c r="E100" s="49">
        <f>0.55*('Avg Week KYENJOJO-FORTPORTAL'!E100+'Avg Week FORTPORTAL-KYENJONJO'!E100)</f>
        <v>0.27500000000000002</v>
      </c>
      <c r="F100" s="49">
        <f>'Avg Week KYENJOJO-FORTPORTAL'!F100+'Avg Week FORTPORTAL-KYENJONJO'!F100</f>
        <v>1</v>
      </c>
      <c r="G100" s="49">
        <f>'Avg Week KYENJOJO-FORTPORTAL'!G100+'Avg Week FORTPORTAL-KYENJONJO'!G100</f>
        <v>0</v>
      </c>
      <c r="H100" s="49">
        <f>'Avg Week KYENJOJO-FORTPORTAL'!H100+'Avg Week FORTPORTAL-KYENJONJO'!H100</f>
        <v>0</v>
      </c>
      <c r="I100" s="49">
        <f>'Avg Week KYENJOJO-FORTPORTAL'!I100+'Avg Week FORTPORTAL-KYENJONJO'!I100</f>
        <v>2</v>
      </c>
      <c r="J100" s="49">
        <f>'Avg Week KYENJOJO-FORTPORTAL'!J100+'Avg Week FORTPORTAL-KYENJONJO'!J100</f>
        <v>0</v>
      </c>
      <c r="K100" s="49">
        <f>'Avg Week KYENJOJO-FORTPORTAL'!K100+'Avg Week FORTPORTAL-KYENJONJO'!K100</f>
        <v>0</v>
      </c>
      <c r="L100" s="49">
        <f>'Avg Week KYENJOJO-FORTPORTAL'!L100+'Avg Week FORTPORTAL-KYENJONJO'!L100</f>
        <v>1.5</v>
      </c>
      <c r="M100" s="49">
        <f>'Avg Week KYENJOJO-FORTPORTAL'!M100+'Avg Week FORTPORTAL-KYENJONJO'!M100</f>
        <v>0</v>
      </c>
      <c r="N100" s="49">
        <f>'Avg Week KYENJOJO-FORTPORTAL'!N100+'Avg Week FORTPORTAL-KYENJONJO'!N100</f>
        <v>0</v>
      </c>
      <c r="O100" s="15">
        <f t="shared" si="35"/>
        <v>5</v>
      </c>
      <c r="P100" s="15">
        <f t="shared" si="36"/>
        <v>5</v>
      </c>
      <c r="R100" s="8"/>
      <c r="T100"/>
    </row>
    <row r="101" spans="2:20" ht="23.1" customHeight="1" x14ac:dyDescent="0.25">
      <c r="B101" s="23" t="s">
        <v>141</v>
      </c>
      <c r="C101" s="49">
        <f>'Avg Week KYENJOJO-FORTPORTAL'!C101+'Avg Week FORTPORTAL-KYENJONJO'!C101</f>
        <v>0.5</v>
      </c>
      <c r="D101" s="49">
        <f>0.45*('Avg Week KYENJOJO-FORTPORTAL'!E101+'Avg Week FORTPORTAL-KYENJONJO'!E101)</f>
        <v>0.45</v>
      </c>
      <c r="E101" s="49">
        <f>0.55*('Avg Week KYENJOJO-FORTPORTAL'!E101+'Avg Week FORTPORTAL-KYENJONJO'!E101)</f>
        <v>0.55000000000000004</v>
      </c>
      <c r="F101" s="49">
        <f>'Avg Week KYENJOJO-FORTPORTAL'!F101+'Avg Week FORTPORTAL-KYENJONJO'!F101</f>
        <v>0</v>
      </c>
      <c r="G101" s="49">
        <f>'Avg Week KYENJOJO-FORTPORTAL'!G101+'Avg Week FORTPORTAL-KYENJONJO'!G101</f>
        <v>0</v>
      </c>
      <c r="H101" s="49">
        <f>'Avg Week KYENJOJO-FORTPORTAL'!H101+'Avg Week FORTPORTAL-KYENJONJO'!H101</f>
        <v>0</v>
      </c>
      <c r="I101" s="49">
        <f>'Avg Week KYENJOJO-FORTPORTAL'!I101+'Avg Week FORTPORTAL-KYENJONJO'!I101</f>
        <v>1</v>
      </c>
      <c r="J101" s="49">
        <f>'Avg Week KYENJOJO-FORTPORTAL'!J101+'Avg Week FORTPORTAL-KYENJONJO'!J101</f>
        <v>0</v>
      </c>
      <c r="K101" s="49">
        <f>'Avg Week KYENJOJO-FORTPORTAL'!K101+'Avg Week FORTPORTAL-KYENJONJO'!K101</f>
        <v>0</v>
      </c>
      <c r="L101" s="49">
        <f>'Avg Week KYENJOJO-FORTPORTAL'!L101+'Avg Week FORTPORTAL-KYENJONJO'!L101</f>
        <v>1.5</v>
      </c>
      <c r="M101" s="49">
        <f>'Avg Week KYENJOJO-FORTPORTAL'!M101+'Avg Week FORTPORTAL-KYENJONJO'!M101</f>
        <v>0</v>
      </c>
      <c r="N101" s="49">
        <f>'Avg Week KYENJOJO-FORTPORTAL'!N101+'Avg Week FORTPORTAL-KYENJONJO'!N101</f>
        <v>0</v>
      </c>
      <c r="O101" s="15">
        <f t="shared" si="35"/>
        <v>4</v>
      </c>
      <c r="P101" s="15">
        <f t="shared" si="36"/>
        <v>4</v>
      </c>
      <c r="R101" s="8"/>
      <c r="T101"/>
    </row>
    <row r="102" spans="2:20" ht="23.1" customHeight="1" x14ac:dyDescent="0.25">
      <c r="B102" s="24" t="s">
        <v>142</v>
      </c>
      <c r="C102" s="49">
        <f>'Avg Week KYENJOJO-FORTPORTAL'!C102+'Avg Week FORTPORTAL-KYENJONJO'!C102</f>
        <v>2</v>
      </c>
      <c r="D102" s="49">
        <f>0.45*('Avg Week KYENJOJO-FORTPORTAL'!E102+'Avg Week FORTPORTAL-KYENJONJO'!E102)</f>
        <v>0.45</v>
      </c>
      <c r="E102" s="49">
        <f>0.55*('Avg Week KYENJOJO-FORTPORTAL'!E102+'Avg Week FORTPORTAL-KYENJONJO'!E102)</f>
        <v>0.55000000000000004</v>
      </c>
      <c r="F102" s="49">
        <f>'Avg Week KYENJOJO-FORTPORTAL'!F102+'Avg Week FORTPORTAL-KYENJONJO'!F102</f>
        <v>1</v>
      </c>
      <c r="G102" s="49">
        <f>'Avg Week KYENJOJO-FORTPORTAL'!G102+'Avg Week FORTPORTAL-KYENJONJO'!G102</f>
        <v>0</v>
      </c>
      <c r="H102" s="49">
        <f>'Avg Week KYENJOJO-FORTPORTAL'!H102+'Avg Week FORTPORTAL-KYENJONJO'!H102</f>
        <v>0</v>
      </c>
      <c r="I102" s="49">
        <f>'Avg Week KYENJOJO-FORTPORTAL'!I102+'Avg Week FORTPORTAL-KYENJONJO'!I102</f>
        <v>1</v>
      </c>
      <c r="J102" s="49">
        <f>'Avg Week KYENJOJO-FORTPORTAL'!J102+'Avg Week FORTPORTAL-KYENJONJO'!J102</f>
        <v>0.5</v>
      </c>
      <c r="K102" s="49">
        <f>'Avg Week KYENJOJO-FORTPORTAL'!K102+'Avg Week FORTPORTAL-KYENJONJO'!K102</f>
        <v>0</v>
      </c>
      <c r="L102" s="49">
        <f>'Avg Week KYENJOJO-FORTPORTAL'!L102+'Avg Week FORTPORTAL-KYENJONJO'!L102</f>
        <v>0.5</v>
      </c>
      <c r="M102" s="49">
        <f>'Avg Week KYENJOJO-FORTPORTAL'!M102+'Avg Week FORTPORTAL-KYENJONJO'!M102</f>
        <v>1</v>
      </c>
      <c r="N102" s="49">
        <f>'Avg Week KYENJOJO-FORTPORTAL'!N102+'Avg Week FORTPORTAL-KYENJONJO'!N102</f>
        <v>0</v>
      </c>
      <c r="O102" s="15">
        <f t="shared" si="35"/>
        <v>6</v>
      </c>
      <c r="P102" s="15">
        <f t="shared" si="36"/>
        <v>7</v>
      </c>
      <c r="R102" s="8"/>
      <c r="T102"/>
    </row>
    <row r="103" spans="2:20" ht="23.1" customHeight="1" x14ac:dyDescent="0.25">
      <c r="B103" s="23" t="s">
        <v>143</v>
      </c>
      <c r="C103" s="49">
        <f>'Avg Week KYENJOJO-FORTPORTAL'!C103+'Avg Week FORTPORTAL-KYENJONJO'!C103</f>
        <v>0</v>
      </c>
      <c r="D103" s="49">
        <f>0.45*('Avg Week KYENJOJO-FORTPORTAL'!E103+'Avg Week FORTPORTAL-KYENJONJO'!E103)</f>
        <v>0.67500000000000004</v>
      </c>
      <c r="E103" s="49">
        <f>0.55*('Avg Week KYENJOJO-FORTPORTAL'!E103+'Avg Week FORTPORTAL-KYENJONJO'!E103)</f>
        <v>0.82500000000000007</v>
      </c>
      <c r="F103" s="49">
        <f>'Avg Week KYENJOJO-FORTPORTAL'!F103+'Avg Week FORTPORTAL-KYENJONJO'!F103</f>
        <v>0</v>
      </c>
      <c r="G103" s="49">
        <f>'Avg Week KYENJOJO-FORTPORTAL'!G103+'Avg Week FORTPORTAL-KYENJONJO'!G103</f>
        <v>0</v>
      </c>
      <c r="H103" s="49">
        <f>'Avg Week KYENJOJO-FORTPORTAL'!H103+'Avg Week FORTPORTAL-KYENJONJO'!H103</f>
        <v>0</v>
      </c>
      <c r="I103" s="49">
        <f>'Avg Week KYENJOJO-FORTPORTAL'!I103+'Avg Week FORTPORTAL-KYENJONJO'!I103</f>
        <v>0.5</v>
      </c>
      <c r="J103" s="49">
        <f>'Avg Week KYENJOJO-FORTPORTAL'!J103+'Avg Week FORTPORTAL-KYENJONJO'!J103</f>
        <v>0</v>
      </c>
      <c r="K103" s="49">
        <f>'Avg Week KYENJOJO-FORTPORTAL'!K103+'Avg Week FORTPORTAL-KYENJONJO'!K103</f>
        <v>0</v>
      </c>
      <c r="L103" s="49">
        <f>'Avg Week KYENJOJO-FORTPORTAL'!L103+'Avg Week FORTPORTAL-KYENJONJO'!L103</f>
        <v>0.5</v>
      </c>
      <c r="M103" s="49">
        <f>'Avg Week KYENJOJO-FORTPORTAL'!M103+'Avg Week FORTPORTAL-KYENJONJO'!M103</f>
        <v>1.5</v>
      </c>
      <c r="N103" s="49">
        <f>'Avg Week KYENJOJO-FORTPORTAL'!N103+'Avg Week FORTPORTAL-KYENJONJO'!N103</f>
        <v>0</v>
      </c>
      <c r="O103" s="15">
        <f t="shared" si="35"/>
        <v>2.5</v>
      </c>
      <c r="P103" s="15">
        <f t="shared" si="36"/>
        <v>4</v>
      </c>
      <c r="R103" s="8"/>
      <c r="T103"/>
    </row>
    <row r="104" spans="2:20" ht="23.1" customHeight="1" x14ac:dyDescent="0.25">
      <c r="B104" s="25" t="s">
        <v>144</v>
      </c>
      <c r="C104" s="49">
        <f>'Avg Week KYENJOJO-FORTPORTAL'!C104+'Avg Week FORTPORTAL-KYENJONJO'!C104</f>
        <v>1</v>
      </c>
      <c r="D104" s="49">
        <f>0.45*('Avg Week KYENJOJO-FORTPORTAL'!E104+'Avg Week FORTPORTAL-KYENJONJO'!E104)</f>
        <v>1.125</v>
      </c>
      <c r="E104" s="49">
        <f>0.55*('Avg Week KYENJOJO-FORTPORTAL'!E104+'Avg Week FORTPORTAL-KYENJONJO'!E104)</f>
        <v>1.375</v>
      </c>
      <c r="F104" s="49">
        <f>'Avg Week KYENJOJO-FORTPORTAL'!F104+'Avg Week FORTPORTAL-KYENJONJO'!F104</f>
        <v>1.5</v>
      </c>
      <c r="G104" s="49">
        <f>'Avg Week KYENJOJO-FORTPORTAL'!G104+'Avg Week FORTPORTAL-KYENJONJO'!G104</f>
        <v>0</v>
      </c>
      <c r="H104" s="49">
        <f>'Avg Week KYENJOJO-FORTPORTAL'!H104+'Avg Week FORTPORTAL-KYENJONJO'!H104</f>
        <v>0</v>
      </c>
      <c r="I104" s="49">
        <f>'Avg Week KYENJOJO-FORTPORTAL'!I104+'Avg Week FORTPORTAL-KYENJONJO'!I104</f>
        <v>1.5</v>
      </c>
      <c r="J104" s="49">
        <f>'Avg Week KYENJOJO-FORTPORTAL'!J104+'Avg Week FORTPORTAL-KYENJONJO'!J104</f>
        <v>0.5</v>
      </c>
      <c r="K104" s="49">
        <f>'Avg Week KYENJOJO-FORTPORTAL'!K104+'Avg Week FORTPORTAL-KYENJONJO'!K104</f>
        <v>0</v>
      </c>
      <c r="L104" s="49">
        <f>'Avg Week KYENJOJO-FORTPORTAL'!L104+'Avg Week FORTPORTAL-KYENJONJO'!L104</f>
        <v>1</v>
      </c>
      <c r="M104" s="49">
        <f>'Avg Week KYENJOJO-FORTPORTAL'!M104+'Avg Week FORTPORTAL-KYENJONJO'!M104</f>
        <v>1</v>
      </c>
      <c r="N104" s="49">
        <f>'Avg Week KYENJOJO-FORTPORTAL'!N104+'Avg Week FORTPORTAL-KYENJONJO'!N104</f>
        <v>0</v>
      </c>
      <c r="O104" s="15">
        <f t="shared" si="35"/>
        <v>8</v>
      </c>
      <c r="P104" s="15">
        <f t="shared" si="36"/>
        <v>9</v>
      </c>
      <c r="R104" s="8"/>
      <c r="T104"/>
    </row>
    <row r="105" spans="2:20" ht="23.1" customHeight="1" x14ac:dyDescent="0.25">
      <c r="B105" s="23" t="s">
        <v>145</v>
      </c>
      <c r="C105" s="49">
        <f>'Avg Week KYENJOJO-FORTPORTAL'!C105+'Avg Week FORTPORTAL-KYENJONJO'!C105</f>
        <v>1.5</v>
      </c>
      <c r="D105" s="49">
        <f>0.45*('Avg Week KYENJOJO-FORTPORTAL'!E105+'Avg Week FORTPORTAL-KYENJONJO'!E105)</f>
        <v>0.45</v>
      </c>
      <c r="E105" s="49">
        <f>0.55*('Avg Week KYENJOJO-FORTPORTAL'!E105+'Avg Week FORTPORTAL-KYENJONJO'!E105)</f>
        <v>0.55000000000000004</v>
      </c>
      <c r="F105" s="49">
        <f>'Avg Week KYENJOJO-FORTPORTAL'!F105+'Avg Week FORTPORTAL-KYENJONJO'!F105</f>
        <v>0</v>
      </c>
      <c r="G105" s="49">
        <f>'Avg Week KYENJOJO-FORTPORTAL'!G105+'Avg Week FORTPORTAL-KYENJONJO'!G105</f>
        <v>0</v>
      </c>
      <c r="H105" s="49">
        <f>'Avg Week KYENJOJO-FORTPORTAL'!H105+'Avg Week FORTPORTAL-KYENJONJO'!H105</f>
        <v>0</v>
      </c>
      <c r="I105" s="49">
        <f>'Avg Week KYENJOJO-FORTPORTAL'!I105+'Avg Week FORTPORTAL-KYENJONJO'!I105</f>
        <v>1</v>
      </c>
      <c r="J105" s="49">
        <f>'Avg Week KYENJOJO-FORTPORTAL'!J105+'Avg Week FORTPORTAL-KYENJONJO'!J105</f>
        <v>0</v>
      </c>
      <c r="K105" s="49">
        <f>'Avg Week KYENJOJO-FORTPORTAL'!K105+'Avg Week FORTPORTAL-KYENJONJO'!K105</f>
        <v>0</v>
      </c>
      <c r="L105" s="49">
        <f>'Avg Week KYENJOJO-FORTPORTAL'!L105+'Avg Week FORTPORTAL-KYENJONJO'!L105</f>
        <v>0</v>
      </c>
      <c r="M105" s="49">
        <f>'Avg Week KYENJOJO-FORTPORTAL'!M105+'Avg Week FORTPORTAL-KYENJONJO'!M105</f>
        <v>0.5</v>
      </c>
      <c r="N105" s="49">
        <f>'Avg Week KYENJOJO-FORTPORTAL'!N105+'Avg Week FORTPORTAL-KYENJONJO'!N105</f>
        <v>0</v>
      </c>
      <c r="O105" s="15">
        <f t="shared" si="35"/>
        <v>3.5</v>
      </c>
      <c r="P105" s="15">
        <f t="shared" si="36"/>
        <v>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162.92857142857144</v>
      </c>
      <c r="D106" s="16">
        <f t="shared" ref="D106:P106" si="37">SUM(D10:D105)</f>
        <v>128.92499999999993</v>
      </c>
      <c r="E106" s="16">
        <f t="shared" si="37"/>
        <v>157.57499999999999</v>
      </c>
      <c r="F106" s="16">
        <f t="shared" si="37"/>
        <v>226.35714285714283</v>
      </c>
      <c r="G106" s="16">
        <f t="shared" si="37"/>
        <v>8.4285714285714288</v>
      </c>
      <c r="H106" s="16">
        <f t="shared" si="37"/>
        <v>47.642857142857146</v>
      </c>
      <c r="I106" s="16">
        <f t="shared" si="37"/>
        <v>197.92857142857144</v>
      </c>
      <c r="J106" s="16">
        <f t="shared" si="37"/>
        <v>23.928571428571431</v>
      </c>
      <c r="K106" s="16">
        <f t="shared" si="37"/>
        <v>9.2142857142857135</v>
      </c>
      <c r="L106" s="16">
        <f t="shared" si="37"/>
        <v>102.57142857142858</v>
      </c>
      <c r="M106" s="16">
        <f t="shared" si="37"/>
        <v>142.64285714285711</v>
      </c>
      <c r="N106" s="16">
        <f t="shared" si="37"/>
        <v>0.42857142857142855</v>
      </c>
      <c r="O106" s="16">
        <f t="shared" si="37"/>
        <v>1065.9285714285711</v>
      </c>
      <c r="P106" s="16">
        <f t="shared" si="37"/>
        <v>1208.5714285714284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0.13481087470449174</v>
      </c>
      <c r="D107" s="43">
        <f t="shared" si="38"/>
        <v>0.10667553191489357</v>
      </c>
      <c r="E107" s="43">
        <f t="shared" si="38"/>
        <v>0.13038120567375888</v>
      </c>
      <c r="F107" s="43">
        <f t="shared" si="38"/>
        <v>0.18729314420803783</v>
      </c>
      <c r="G107" s="43">
        <f t="shared" si="38"/>
        <v>6.9739952718676137E-3</v>
      </c>
      <c r="H107" s="43">
        <f t="shared" si="38"/>
        <v>3.9420803782505918E-2</v>
      </c>
      <c r="I107" s="43">
        <f t="shared" si="38"/>
        <v>0.16377068557919625</v>
      </c>
      <c r="J107" s="43">
        <f t="shared" si="38"/>
        <v>1.9799054373522463E-2</v>
      </c>
      <c r="K107" s="43">
        <f t="shared" si="38"/>
        <v>7.6241134751773056E-3</v>
      </c>
      <c r="L107" s="43">
        <f t="shared" si="38"/>
        <v>8.4869976359338087E-2</v>
      </c>
      <c r="M107" s="43">
        <f t="shared" si="38"/>
        <v>0.11802600472813238</v>
      </c>
      <c r="N107" s="43">
        <f t="shared" si="38"/>
        <v>3.5460992907801421E-4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0.15285130335723388</v>
      </c>
      <c r="D108" s="44">
        <f t="shared" ref="D108:N108" si="39">D106/$O$106</f>
        <v>0.12095088119010919</v>
      </c>
      <c r="E108" s="44">
        <f t="shared" si="39"/>
        <v>0.1478288547879113</v>
      </c>
      <c r="F108" s="44">
        <f t="shared" si="39"/>
        <v>0.21235676472559142</v>
      </c>
      <c r="G108" s="44">
        <f t="shared" si="39"/>
        <v>7.9072572539033732E-3</v>
      </c>
      <c r="H108" s="44">
        <f t="shared" si="39"/>
        <v>4.4696106680962293E-2</v>
      </c>
      <c r="I108" s="44">
        <f t="shared" si="39"/>
        <v>0.18568652415734108</v>
      </c>
      <c r="J108" s="44">
        <f t="shared" si="39"/>
        <v>2.2448569322522288E-2</v>
      </c>
      <c r="K108" s="44">
        <f t="shared" si="39"/>
        <v>8.6443744555384332E-3</v>
      </c>
      <c r="L108" s="44">
        <f t="shared" si="39"/>
        <v>9.6227300140722422E-2</v>
      </c>
      <c r="M108" s="44"/>
      <c r="N108" s="44">
        <f t="shared" si="39"/>
        <v>4.0206392816457827E-4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3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29.07 KYENJOJO-FORTPORTAL</vt:lpstr>
      <vt:lpstr>29.07 FORTPORTAL-KYENJOJO</vt:lpstr>
      <vt:lpstr>30.07 KYENJOJO-FORTPORTAL</vt:lpstr>
      <vt:lpstr>30.07 FORTPORAL-KYENJOJO</vt:lpstr>
      <vt:lpstr>31.07 KYENJOJO-FORTPORTAL</vt:lpstr>
      <vt:lpstr>31.07 FORTPORTAL-KYENJOJO</vt:lpstr>
      <vt:lpstr>01.08 KYENJOJO-FORTPORTAL-24h</vt:lpstr>
      <vt:lpstr>01.08 FORTPORTAL-KYENJOJO 2-24h</vt:lpstr>
      <vt:lpstr>02.08 KYENJOJO-FORTPORTAL</vt:lpstr>
      <vt:lpstr>02.08 FORTPORTAL-KYENJOJO</vt:lpstr>
      <vt:lpstr>03.08 KYENJOJO-FORTPORTAL-24h</vt:lpstr>
      <vt:lpstr>03.08 FORTPORTAL-KYENJOJO-24h</vt:lpstr>
      <vt:lpstr>04.08 KYENJOJO-FORTP</vt:lpstr>
      <vt:lpstr>04.08 FORTPORTAL-KYENJOJO</vt:lpstr>
      <vt:lpstr>Avg Week KYENJOJO-FORTPORTAL</vt:lpstr>
      <vt:lpstr>Avg Week FORTPORTAL-KYENJONJO</vt:lpstr>
      <vt:lpstr>Avg Week KYENJOJO-FORTPORT-2Dir</vt:lpstr>
      <vt:lpstr>'01.08 FORTPORTAL-KYENJOJO 2-24h'!Print_Area</vt:lpstr>
      <vt:lpstr>'01.08 KYENJOJO-FORTPORTAL-24h'!Print_Area</vt:lpstr>
      <vt:lpstr>'02.08 FORTPORTAL-KYENJOJO'!Print_Area</vt:lpstr>
      <vt:lpstr>'02.08 KYENJOJO-FORTPORTAL'!Print_Area</vt:lpstr>
      <vt:lpstr>'03.08 FORTPORTAL-KYENJOJO-24h'!Print_Area</vt:lpstr>
      <vt:lpstr>'03.08 KYENJOJO-FORTPORTAL-24h'!Print_Area</vt:lpstr>
      <vt:lpstr>'04.08 FORTPORTAL-KYENJOJO'!Print_Area</vt:lpstr>
      <vt:lpstr>'04.08 KYENJOJO-FORTP'!Print_Area</vt:lpstr>
      <vt:lpstr>'29.07 FORTPORTAL-KYENJOJO'!Print_Area</vt:lpstr>
      <vt:lpstr>'29.07 KYENJOJO-FORTPORTAL'!Print_Area</vt:lpstr>
      <vt:lpstr>'30.07 FORTPORAL-KYENJOJO'!Print_Area</vt:lpstr>
      <vt:lpstr>'30.07 KYENJOJO-FORTPORTAL'!Print_Area</vt:lpstr>
      <vt:lpstr>'31.07 FORTPORTAL-KYENJOJO'!Print_Area</vt:lpstr>
      <vt:lpstr>'31.07 KYENJOJO-FORTPORTAL'!Print_Area</vt:lpstr>
      <vt:lpstr>'Avg Week FORTPORTAL-KYENJONJO'!Print_Area</vt:lpstr>
      <vt:lpstr>'Avg Week KYENJOJO-FORTPORT-2Dir'!Print_Area</vt:lpstr>
      <vt:lpstr>'Avg Week KYENJOJO-FORTPORTAL'!Print_Area</vt:lpstr>
      <vt:lpstr>'01.08 FORTPORTAL-KYENJOJO 2-24h'!Print_Titles</vt:lpstr>
      <vt:lpstr>'01.08 KYENJOJO-FORTPORTAL-24h'!Print_Titles</vt:lpstr>
      <vt:lpstr>'02.08 FORTPORTAL-KYENJOJO'!Print_Titles</vt:lpstr>
      <vt:lpstr>'02.08 KYENJOJO-FORTPORTAL'!Print_Titles</vt:lpstr>
      <vt:lpstr>'03.08 FORTPORTAL-KYENJOJO-24h'!Print_Titles</vt:lpstr>
      <vt:lpstr>'03.08 KYENJOJO-FORTPORTAL-24h'!Print_Titles</vt:lpstr>
      <vt:lpstr>'04.08 FORTPORTAL-KYENJOJO'!Print_Titles</vt:lpstr>
      <vt:lpstr>'04.08 KYENJOJO-FORTP'!Print_Titles</vt:lpstr>
      <vt:lpstr>'29.07 FORTPORTAL-KYENJOJO'!Print_Titles</vt:lpstr>
      <vt:lpstr>'29.07 KYENJOJO-FORTPORTAL'!Print_Titles</vt:lpstr>
      <vt:lpstr>'30.07 FORTPORAL-KYENJOJO'!Print_Titles</vt:lpstr>
      <vt:lpstr>'30.07 KYENJOJO-FORTPORTAL'!Print_Titles</vt:lpstr>
      <vt:lpstr>'31.07 FORTPORTAL-KYENJOJO'!Print_Titles</vt:lpstr>
      <vt:lpstr>'31.07 KYENJOJO-FORTPORTAL'!Print_Titles</vt:lpstr>
      <vt:lpstr>'Avg Week FORTPORTAL-KYENJONJO'!Print_Titles</vt:lpstr>
      <vt:lpstr>'Avg Week KYENJOJO-FORTPORT-2Dir'!Print_Titles</vt:lpstr>
      <vt:lpstr>'Avg Week KYENJOJO-FORTPORTAL'!Print_Titles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2019-07-25T18:18:41Z</cp:lastPrinted>
  <dcterms:created xsi:type="dcterms:W3CDTF">2010-07-06T07:39:49Z</dcterms:created>
  <dcterms:modified xsi:type="dcterms:W3CDTF">2020-04-09T06:17:23Z</dcterms:modified>
</cp:coreProperties>
</file>