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7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8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9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-4 Analysis Complete-Benard\STN137-MPONDWE B.P\MCC\"/>
    </mc:Choice>
  </mc:AlternateContent>
  <bookViews>
    <workbookView xWindow="-120" yWindow="-120" windowWidth="20730" windowHeight="11160" tabRatio="940" firstSheet="6" activeTab="6"/>
  </bookViews>
  <sheets>
    <sheet name="26.10 KASESE-PONDWE" sheetId="93" r:id="rId1"/>
    <sheet name="26.10.PONDWE-KASESE" sheetId="94" r:id="rId2"/>
    <sheet name="27.10 KASESE-PONDWE" sheetId="95" r:id="rId3"/>
    <sheet name="27.10 PONDWE-KASESE" sheetId="96" r:id="rId4"/>
    <sheet name="25.10.19 PONDWE-KASESE-24h" sheetId="101" r:id="rId5"/>
    <sheet name="25.10.19 KASESE- PONDWE-24h" sheetId="109" r:id="rId6"/>
    <sheet name="Avg Week Kasese-Pondwe" sheetId="107" r:id="rId7"/>
    <sheet name="Avg Week Pondwe-Kasese" sheetId="108" r:id="rId8"/>
    <sheet name="Avg Week Pondwe-Kasese-2Dir" sheetId="111" r:id="rId9"/>
  </sheets>
  <definedNames>
    <definedName name="_xlnm.Print_Area" localSheetId="5">'25.10.19 KASESE- PONDWE-24h'!$A$1:$AF$108</definedName>
    <definedName name="_xlnm.Print_Area" localSheetId="4">'25.10.19 PONDWE-KASESE-24h'!$A$1:$AF$108</definedName>
    <definedName name="_xlnm.Print_Area" localSheetId="0">'26.10 KASESE-PONDWE'!$A$1:$AF$60</definedName>
    <definedName name="_xlnm.Print_Area" localSheetId="1">'26.10.PONDWE-KASESE'!$A$1:$AF$60</definedName>
    <definedName name="_xlnm.Print_Area" localSheetId="2">'27.10 KASESE-PONDWE'!$A$1:$AF$60</definedName>
    <definedName name="_xlnm.Print_Area" localSheetId="3">'27.10 PONDWE-KASESE'!$A$1:$AF$60</definedName>
    <definedName name="_xlnm.Print_Area" localSheetId="6">'Avg Week Kasese-Pondwe'!$A$1:$AF$108</definedName>
    <definedName name="_xlnm.Print_Area" localSheetId="7">'Avg Week Pondwe-Kasese'!$A$1:$AF$108</definedName>
    <definedName name="_xlnm.Print_Area" localSheetId="8">'Avg Week Pondwe-Kasese-2Dir'!$A$1:$AF$108</definedName>
    <definedName name="_xlnm.Print_Titles" localSheetId="5">'25.10.19 KASESE- PONDWE-24h'!$1:$8</definedName>
    <definedName name="_xlnm.Print_Titles" localSheetId="4">'25.10.19 PONDWE-KASESE-24h'!$1:$8</definedName>
    <definedName name="_xlnm.Print_Titles" localSheetId="0">'26.10 KASESE-PONDWE'!$1:$8</definedName>
    <definedName name="_xlnm.Print_Titles" localSheetId="1">'26.10.PONDWE-KASESE'!$1:$8</definedName>
    <definedName name="_xlnm.Print_Titles" localSheetId="2">'27.10 KASESE-PONDWE'!$1:$8</definedName>
    <definedName name="_xlnm.Print_Titles" localSheetId="3">'27.10 PONDWE-KASESE'!$1:$8</definedName>
    <definedName name="_xlnm.Print_Titles" localSheetId="6">'Avg Week Kasese-Pondwe'!$1:$8</definedName>
    <definedName name="_xlnm.Print_Titles" localSheetId="7">'Avg Week Pondwe-Kasese'!$1:$8</definedName>
    <definedName name="_xlnm.Print_Titles" localSheetId="8">'Avg Week Pondwe-Kasese-2Dir'!$1:$8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58" i="107" l="1"/>
  <c r="P59" i="107"/>
  <c r="P60" i="107"/>
  <c r="P61" i="107"/>
  <c r="P62" i="107"/>
  <c r="P63" i="107"/>
  <c r="P64" i="107"/>
  <c r="P65" i="107"/>
  <c r="P106" i="107" s="1"/>
  <c r="P66" i="107"/>
  <c r="P67" i="107"/>
  <c r="P68" i="107"/>
  <c r="P69" i="107"/>
  <c r="P70" i="107"/>
  <c r="P71" i="107"/>
  <c r="P72" i="107"/>
  <c r="P73" i="107"/>
  <c r="AF25" i="107" s="1"/>
  <c r="P74" i="107"/>
  <c r="P75" i="107"/>
  <c r="P76" i="107"/>
  <c r="P77" i="107"/>
  <c r="P78" i="107"/>
  <c r="P79" i="107"/>
  <c r="P80" i="107"/>
  <c r="P81" i="107"/>
  <c r="AF27" i="107" s="1"/>
  <c r="P82" i="107"/>
  <c r="P83" i="107"/>
  <c r="P84" i="107"/>
  <c r="P85" i="107"/>
  <c r="P86" i="107"/>
  <c r="P87" i="107"/>
  <c r="P88" i="107"/>
  <c r="P89" i="107"/>
  <c r="AF29" i="107" s="1"/>
  <c r="P90" i="107"/>
  <c r="P91" i="107"/>
  <c r="P92" i="107"/>
  <c r="P93" i="107"/>
  <c r="P94" i="107"/>
  <c r="P95" i="107"/>
  <c r="P96" i="107"/>
  <c r="P97" i="107"/>
  <c r="P98" i="107"/>
  <c r="P99" i="107"/>
  <c r="P100" i="107"/>
  <c r="P101" i="107"/>
  <c r="P102" i="107"/>
  <c r="P103" i="107"/>
  <c r="P104" i="107"/>
  <c r="P105" i="107"/>
  <c r="AF33" i="107" s="1"/>
  <c r="O58" i="107"/>
  <c r="O59" i="107"/>
  <c r="AE22" i="107" s="1"/>
  <c r="O60" i="107"/>
  <c r="O61" i="107"/>
  <c r="O62" i="107"/>
  <c r="O63" i="107"/>
  <c r="O64" i="107"/>
  <c r="O65" i="107"/>
  <c r="AE23" i="107" s="1"/>
  <c r="O66" i="107"/>
  <c r="O67" i="107"/>
  <c r="AE24" i="107" s="1"/>
  <c r="O68" i="107"/>
  <c r="O69" i="107"/>
  <c r="O70" i="107"/>
  <c r="O71" i="107"/>
  <c r="O72" i="107"/>
  <c r="O73" i="107"/>
  <c r="AE25" i="107" s="1"/>
  <c r="O74" i="107"/>
  <c r="O75" i="107"/>
  <c r="AE26" i="107" s="1"/>
  <c r="O76" i="107"/>
  <c r="O77" i="107"/>
  <c r="O78" i="107"/>
  <c r="O79" i="107"/>
  <c r="O80" i="107"/>
  <c r="O81" i="107"/>
  <c r="AE27" i="107" s="1"/>
  <c r="O82" i="107"/>
  <c r="O83" i="107"/>
  <c r="AE28" i="107" s="1"/>
  <c r="O84" i="107"/>
  <c r="O85" i="107"/>
  <c r="O86" i="107"/>
  <c r="O87" i="107"/>
  <c r="O88" i="107"/>
  <c r="O89" i="107"/>
  <c r="AE29" i="107" s="1"/>
  <c r="O90" i="107"/>
  <c r="O91" i="107"/>
  <c r="AE30" i="107" s="1"/>
  <c r="O92" i="107"/>
  <c r="O93" i="107"/>
  <c r="O94" i="107"/>
  <c r="O95" i="107"/>
  <c r="O96" i="107"/>
  <c r="O97" i="107"/>
  <c r="AE31" i="107" s="1"/>
  <c r="O98" i="107"/>
  <c r="O99" i="107"/>
  <c r="O100" i="107"/>
  <c r="O101" i="107"/>
  <c r="O102" i="107"/>
  <c r="O103" i="107"/>
  <c r="O104" i="107"/>
  <c r="O105" i="107"/>
  <c r="AE33" i="107" s="1"/>
  <c r="D58" i="107"/>
  <c r="E58" i="107"/>
  <c r="F58" i="107"/>
  <c r="G58" i="107"/>
  <c r="H58" i="107"/>
  <c r="I58" i="107"/>
  <c r="J58" i="107"/>
  <c r="K58" i="107"/>
  <c r="K106" i="107" s="1"/>
  <c r="L58" i="107"/>
  <c r="M58" i="107"/>
  <c r="N58" i="107"/>
  <c r="D59" i="107"/>
  <c r="E59" i="107"/>
  <c r="F59" i="107"/>
  <c r="G59" i="107"/>
  <c r="H59" i="107"/>
  <c r="X22" i="107" s="1"/>
  <c r="I59" i="107"/>
  <c r="J59" i="107"/>
  <c r="K59" i="107"/>
  <c r="L59" i="107"/>
  <c r="M59" i="107"/>
  <c r="N59" i="107"/>
  <c r="D60" i="107"/>
  <c r="E60" i="107"/>
  <c r="E106" i="107" s="1"/>
  <c r="F60" i="107"/>
  <c r="G60" i="107"/>
  <c r="H60" i="107"/>
  <c r="I60" i="107"/>
  <c r="J60" i="107"/>
  <c r="K60" i="107"/>
  <c r="L60" i="107"/>
  <c r="M60" i="107"/>
  <c r="M106" i="107" s="1"/>
  <c r="N60" i="107"/>
  <c r="D61" i="107"/>
  <c r="E61" i="107"/>
  <c r="F61" i="107"/>
  <c r="G61" i="107"/>
  <c r="H61" i="107"/>
  <c r="I61" i="107"/>
  <c r="J61" i="107"/>
  <c r="J106" i="107" s="1"/>
  <c r="K61" i="107"/>
  <c r="L61" i="107"/>
  <c r="M61" i="107"/>
  <c r="N61" i="107"/>
  <c r="D62" i="107"/>
  <c r="E62" i="107"/>
  <c r="F62" i="107"/>
  <c r="G62" i="107"/>
  <c r="W23" i="107" s="1"/>
  <c r="H62" i="107"/>
  <c r="I62" i="107"/>
  <c r="J62" i="107"/>
  <c r="K62" i="107"/>
  <c r="L62" i="107"/>
  <c r="M62" i="107"/>
  <c r="N62" i="107"/>
  <c r="D63" i="107"/>
  <c r="T23" i="107" s="1"/>
  <c r="E63" i="107"/>
  <c r="F63" i="107"/>
  <c r="G63" i="107"/>
  <c r="H63" i="107"/>
  <c r="I63" i="107"/>
  <c r="J63" i="107"/>
  <c r="K63" i="107"/>
  <c r="L63" i="107"/>
  <c r="AB23" i="107" s="1"/>
  <c r="M63" i="107"/>
  <c r="N63" i="107"/>
  <c r="D64" i="107"/>
  <c r="E64" i="107"/>
  <c r="F64" i="107"/>
  <c r="G64" i="107"/>
  <c r="H64" i="107"/>
  <c r="I64" i="107"/>
  <c r="I106" i="107" s="1"/>
  <c r="J64" i="107"/>
  <c r="K64" i="107"/>
  <c r="L64" i="107"/>
  <c r="M64" i="107"/>
  <c r="N64" i="107"/>
  <c r="D65" i="107"/>
  <c r="E65" i="107"/>
  <c r="F65" i="107"/>
  <c r="V23" i="107" s="1"/>
  <c r="G65" i="107"/>
  <c r="H65" i="107"/>
  <c r="I65" i="107"/>
  <c r="J65" i="107"/>
  <c r="K65" i="107"/>
  <c r="L65" i="107"/>
  <c r="M65" i="107"/>
  <c r="N65" i="107"/>
  <c r="AD23" i="107" s="1"/>
  <c r="D66" i="107"/>
  <c r="E66" i="107"/>
  <c r="F66" i="107"/>
  <c r="G66" i="107"/>
  <c r="H66" i="107"/>
  <c r="I66" i="107"/>
  <c r="J66" i="107"/>
  <c r="K66" i="107"/>
  <c r="AA24" i="107" s="1"/>
  <c r="L66" i="107"/>
  <c r="M66" i="107"/>
  <c r="N66" i="107"/>
  <c r="D67" i="107"/>
  <c r="E67" i="107"/>
  <c r="F67" i="107"/>
  <c r="G67" i="107"/>
  <c r="H67" i="107"/>
  <c r="I67" i="107"/>
  <c r="J67" i="107"/>
  <c r="K67" i="107"/>
  <c r="L67" i="107"/>
  <c r="M67" i="107"/>
  <c r="N67" i="107"/>
  <c r="D68" i="107"/>
  <c r="E68" i="107"/>
  <c r="U24" i="107" s="1"/>
  <c r="F68" i="107"/>
  <c r="G68" i="107"/>
  <c r="H68" i="107"/>
  <c r="I68" i="107"/>
  <c r="J68" i="107"/>
  <c r="K68" i="107"/>
  <c r="L68" i="107"/>
  <c r="M68" i="107"/>
  <c r="AC24" i="107" s="1"/>
  <c r="N68" i="107"/>
  <c r="D69" i="107"/>
  <c r="E69" i="107"/>
  <c r="F69" i="107"/>
  <c r="G69" i="107"/>
  <c r="H69" i="107"/>
  <c r="I69" i="107"/>
  <c r="J69" i="107"/>
  <c r="Z24" i="107" s="1"/>
  <c r="K69" i="107"/>
  <c r="L69" i="107"/>
  <c r="M69" i="107"/>
  <c r="N69" i="107"/>
  <c r="D70" i="107"/>
  <c r="E70" i="107"/>
  <c r="F70" i="107"/>
  <c r="G70" i="107"/>
  <c r="W25" i="107" s="1"/>
  <c r="H70" i="107"/>
  <c r="I70" i="107"/>
  <c r="J70" i="107"/>
  <c r="K70" i="107"/>
  <c r="L70" i="107"/>
  <c r="M70" i="107"/>
  <c r="N70" i="107"/>
  <c r="D71" i="107"/>
  <c r="T25" i="107" s="1"/>
  <c r="E71" i="107"/>
  <c r="F71" i="107"/>
  <c r="G71" i="107"/>
  <c r="H71" i="107"/>
  <c r="I71" i="107"/>
  <c r="J71" i="107"/>
  <c r="K71" i="107"/>
  <c r="L71" i="107"/>
  <c r="AB25" i="107" s="1"/>
  <c r="M71" i="107"/>
  <c r="N71" i="107"/>
  <c r="D72" i="107"/>
  <c r="E72" i="107"/>
  <c r="F72" i="107"/>
  <c r="G72" i="107"/>
  <c r="H72" i="107"/>
  <c r="I72" i="107"/>
  <c r="Y25" i="107" s="1"/>
  <c r="J72" i="107"/>
  <c r="K72" i="107"/>
  <c r="L72" i="107"/>
  <c r="M72" i="107"/>
  <c r="N72" i="107"/>
  <c r="D73" i="107"/>
  <c r="E73" i="107"/>
  <c r="F73" i="107"/>
  <c r="V25" i="107" s="1"/>
  <c r="G73" i="107"/>
  <c r="H73" i="107"/>
  <c r="I73" i="107"/>
  <c r="J73" i="107"/>
  <c r="K73" i="107"/>
  <c r="L73" i="107"/>
  <c r="M73" i="107"/>
  <c r="N73" i="107"/>
  <c r="AD25" i="107" s="1"/>
  <c r="D74" i="107"/>
  <c r="E74" i="107"/>
  <c r="F74" i="107"/>
  <c r="G74" i="107"/>
  <c r="H74" i="107"/>
  <c r="I74" i="107"/>
  <c r="J74" i="107"/>
  <c r="K74" i="107"/>
  <c r="AA26" i="107" s="1"/>
  <c r="L74" i="107"/>
  <c r="M74" i="107"/>
  <c r="N74" i="107"/>
  <c r="D75" i="107"/>
  <c r="E75" i="107"/>
  <c r="F75" i="107"/>
  <c r="G75" i="107"/>
  <c r="H75" i="107"/>
  <c r="X26" i="107" s="1"/>
  <c r="I75" i="107"/>
  <c r="J75" i="107"/>
  <c r="K75" i="107"/>
  <c r="L75" i="107"/>
  <c r="M75" i="107"/>
  <c r="N75" i="107"/>
  <c r="D76" i="107"/>
  <c r="E76" i="107"/>
  <c r="F76" i="107"/>
  <c r="G76" i="107"/>
  <c r="H76" i="107"/>
  <c r="I76" i="107"/>
  <c r="J76" i="107"/>
  <c r="K76" i="107"/>
  <c r="L76" i="107"/>
  <c r="M76" i="107"/>
  <c r="N76" i="107"/>
  <c r="D77" i="107"/>
  <c r="E77" i="107"/>
  <c r="F77" i="107"/>
  <c r="G77" i="107"/>
  <c r="H77" i="107"/>
  <c r="I77" i="107"/>
  <c r="J77" i="107"/>
  <c r="Z26" i="107" s="1"/>
  <c r="K77" i="107"/>
  <c r="L77" i="107"/>
  <c r="M77" i="107"/>
  <c r="N77" i="107"/>
  <c r="D78" i="107"/>
  <c r="E78" i="107"/>
  <c r="F78" i="107"/>
  <c r="G78" i="107"/>
  <c r="W27" i="107" s="1"/>
  <c r="H78" i="107"/>
  <c r="I78" i="107"/>
  <c r="J78" i="107"/>
  <c r="K78" i="107"/>
  <c r="L78" i="107"/>
  <c r="M78" i="107"/>
  <c r="N78" i="107"/>
  <c r="D79" i="107"/>
  <c r="T27" i="107" s="1"/>
  <c r="E79" i="107"/>
  <c r="F79" i="107"/>
  <c r="G79" i="107"/>
  <c r="H79" i="107"/>
  <c r="I79" i="107"/>
  <c r="J79" i="107"/>
  <c r="K79" i="107"/>
  <c r="L79" i="107"/>
  <c r="AB27" i="107" s="1"/>
  <c r="M79" i="107"/>
  <c r="N79" i="107"/>
  <c r="D80" i="107"/>
  <c r="E80" i="107"/>
  <c r="F80" i="107"/>
  <c r="G80" i="107"/>
  <c r="H80" i="107"/>
  <c r="I80" i="107"/>
  <c r="Y27" i="107" s="1"/>
  <c r="J80" i="107"/>
  <c r="K80" i="107"/>
  <c r="L80" i="107"/>
  <c r="M80" i="107"/>
  <c r="N80" i="107"/>
  <c r="D81" i="107"/>
  <c r="E81" i="107"/>
  <c r="F81" i="107"/>
  <c r="V27" i="107" s="1"/>
  <c r="G81" i="107"/>
  <c r="H81" i="107"/>
  <c r="I81" i="107"/>
  <c r="J81" i="107"/>
  <c r="K81" i="107"/>
  <c r="L81" i="107"/>
  <c r="M81" i="107"/>
  <c r="N81" i="107"/>
  <c r="AD27" i="107" s="1"/>
  <c r="D82" i="107"/>
  <c r="E82" i="107"/>
  <c r="F82" i="107"/>
  <c r="G82" i="107"/>
  <c r="H82" i="107"/>
  <c r="I82" i="107"/>
  <c r="J82" i="107"/>
  <c r="K82" i="107"/>
  <c r="L82" i="107"/>
  <c r="M82" i="107"/>
  <c r="N82" i="107"/>
  <c r="D83" i="107"/>
  <c r="E83" i="107"/>
  <c r="F83" i="107"/>
  <c r="G83" i="107"/>
  <c r="H83" i="107"/>
  <c r="X28" i="107" s="1"/>
  <c r="I83" i="107"/>
  <c r="J83" i="107"/>
  <c r="K83" i="107"/>
  <c r="L83" i="107"/>
  <c r="M83" i="107"/>
  <c r="N83" i="107"/>
  <c r="D84" i="107"/>
  <c r="E84" i="107"/>
  <c r="U28" i="107" s="1"/>
  <c r="F84" i="107"/>
  <c r="G84" i="107"/>
  <c r="H84" i="107"/>
  <c r="I84" i="107"/>
  <c r="J84" i="107"/>
  <c r="K84" i="107"/>
  <c r="L84" i="107"/>
  <c r="M84" i="107"/>
  <c r="AC28" i="107" s="1"/>
  <c r="N84" i="107"/>
  <c r="D85" i="107"/>
  <c r="E85" i="107"/>
  <c r="F85" i="107"/>
  <c r="G85" i="107"/>
  <c r="H85" i="107"/>
  <c r="I85" i="107"/>
  <c r="J85" i="107"/>
  <c r="Z28" i="107" s="1"/>
  <c r="K85" i="107"/>
  <c r="L85" i="107"/>
  <c r="M85" i="107"/>
  <c r="N85" i="107"/>
  <c r="D86" i="107"/>
  <c r="E86" i="107"/>
  <c r="F86" i="107"/>
  <c r="G86" i="107"/>
  <c r="W29" i="107" s="1"/>
  <c r="H86" i="107"/>
  <c r="I86" i="107"/>
  <c r="J86" i="107"/>
  <c r="K86" i="107"/>
  <c r="L86" i="107"/>
  <c r="M86" i="107"/>
  <c r="N86" i="107"/>
  <c r="D87" i="107"/>
  <c r="T29" i="107" s="1"/>
  <c r="E87" i="107"/>
  <c r="F87" i="107"/>
  <c r="G87" i="107"/>
  <c r="H87" i="107"/>
  <c r="I87" i="107"/>
  <c r="J87" i="107"/>
  <c r="K87" i="107"/>
  <c r="L87" i="107"/>
  <c r="AB29" i="107" s="1"/>
  <c r="M87" i="107"/>
  <c r="N87" i="107"/>
  <c r="D88" i="107"/>
  <c r="E88" i="107"/>
  <c r="F88" i="107"/>
  <c r="G88" i="107"/>
  <c r="H88" i="107"/>
  <c r="I88" i="107"/>
  <c r="Y29" i="107" s="1"/>
  <c r="J88" i="107"/>
  <c r="K88" i="107"/>
  <c r="L88" i="107"/>
  <c r="M88" i="107"/>
  <c r="N88" i="107"/>
  <c r="D89" i="107"/>
  <c r="E89" i="107"/>
  <c r="F89" i="107"/>
  <c r="G89" i="107"/>
  <c r="H89" i="107"/>
  <c r="I89" i="107"/>
  <c r="J89" i="107"/>
  <c r="K89" i="107"/>
  <c r="L89" i="107"/>
  <c r="M89" i="107"/>
  <c r="N89" i="107"/>
  <c r="D90" i="107"/>
  <c r="E90" i="107"/>
  <c r="F90" i="107"/>
  <c r="G90" i="107"/>
  <c r="H90" i="107"/>
  <c r="I90" i="107"/>
  <c r="J90" i="107"/>
  <c r="K90" i="107"/>
  <c r="AA30" i="107" s="1"/>
  <c r="L90" i="107"/>
  <c r="M90" i="107"/>
  <c r="N90" i="107"/>
  <c r="D91" i="107"/>
  <c r="E91" i="107"/>
  <c r="F91" i="107"/>
  <c r="G91" i="107"/>
  <c r="H91" i="107"/>
  <c r="X30" i="107" s="1"/>
  <c r="I91" i="107"/>
  <c r="J91" i="107"/>
  <c r="K91" i="107"/>
  <c r="L91" i="107"/>
  <c r="M91" i="107"/>
  <c r="N91" i="107"/>
  <c r="D92" i="107"/>
  <c r="E92" i="107"/>
  <c r="U30" i="107" s="1"/>
  <c r="F92" i="107"/>
  <c r="G92" i="107"/>
  <c r="H92" i="107"/>
  <c r="I92" i="107"/>
  <c r="J92" i="107"/>
  <c r="K92" i="107"/>
  <c r="L92" i="107"/>
  <c r="M92" i="107"/>
  <c r="AC30" i="107" s="1"/>
  <c r="N92" i="107"/>
  <c r="D93" i="107"/>
  <c r="E93" i="107"/>
  <c r="F93" i="107"/>
  <c r="G93" i="107"/>
  <c r="H93" i="107"/>
  <c r="I93" i="107"/>
  <c r="J93" i="107"/>
  <c r="Z30" i="107" s="1"/>
  <c r="K93" i="107"/>
  <c r="L93" i="107"/>
  <c r="M93" i="107"/>
  <c r="N93" i="107"/>
  <c r="D94" i="107"/>
  <c r="E94" i="107"/>
  <c r="F94" i="107"/>
  <c r="G94" i="107"/>
  <c r="W31" i="107" s="1"/>
  <c r="H94" i="107"/>
  <c r="I94" i="107"/>
  <c r="J94" i="107"/>
  <c r="K94" i="107"/>
  <c r="L94" i="107"/>
  <c r="M94" i="107"/>
  <c r="N94" i="107"/>
  <c r="D95" i="107"/>
  <c r="E95" i="107"/>
  <c r="F95" i="107"/>
  <c r="G95" i="107"/>
  <c r="H95" i="107"/>
  <c r="I95" i="107"/>
  <c r="J95" i="107"/>
  <c r="K95" i="107"/>
  <c r="L95" i="107"/>
  <c r="M95" i="107"/>
  <c r="N95" i="107"/>
  <c r="D96" i="107"/>
  <c r="E96" i="107"/>
  <c r="F96" i="107"/>
  <c r="G96" i="107"/>
  <c r="H96" i="107"/>
  <c r="I96" i="107"/>
  <c r="Y31" i="107" s="1"/>
  <c r="J96" i="107"/>
  <c r="K96" i="107"/>
  <c r="L96" i="107"/>
  <c r="M96" i="107"/>
  <c r="N96" i="107"/>
  <c r="D97" i="107"/>
  <c r="E97" i="107"/>
  <c r="F97" i="107"/>
  <c r="V31" i="107" s="1"/>
  <c r="G97" i="107"/>
  <c r="H97" i="107"/>
  <c r="I97" i="107"/>
  <c r="J97" i="107"/>
  <c r="K97" i="107"/>
  <c r="L97" i="107"/>
  <c r="M97" i="107"/>
  <c r="N97" i="107"/>
  <c r="AD31" i="107" s="1"/>
  <c r="D98" i="107"/>
  <c r="E98" i="107"/>
  <c r="F98" i="107"/>
  <c r="G98" i="107"/>
  <c r="H98" i="107"/>
  <c r="I98" i="107"/>
  <c r="J98" i="107"/>
  <c r="K98" i="107"/>
  <c r="AA32" i="107" s="1"/>
  <c r="L98" i="107"/>
  <c r="M98" i="107"/>
  <c r="N98" i="107"/>
  <c r="D99" i="107"/>
  <c r="E99" i="107"/>
  <c r="F99" i="107"/>
  <c r="G99" i="107"/>
  <c r="H99" i="107"/>
  <c r="X32" i="107" s="1"/>
  <c r="I99" i="107"/>
  <c r="J99" i="107"/>
  <c r="K99" i="107"/>
  <c r="L99" i="107"/>
  <c r="M99" i="107"/>
  <c r="N99" i="107"/>
  <c r="D100" i="107"/>
  <c r="E100" i="107"/>
  <c r="U32" i="107" s="1"/>
  <c r="F100" i="107"/>
  <c r="G100" i="107"/>
  <c r="H100" i="107"/>
  <c r="I100" i="107"/>
  <c r="J100" i="107"/>
  <c r="K100" i="107"/>
  <c r="L100" i="107"/>
  <c r="M100" i="107"/>
  <c r="AC32" i="107" s="1"/>
  <c r="N100" i="107"/>
  <c r="D101" i="107"/>
  <c r="E101" i="107"/>
  <c r="F101" i="107"/>
  <c r="G101" i="107"/>
  <c r="H101" i="107"/>
  <c r="I101" i="107"/>
  <c r="J101" i="107"/>
  <c r="Z32" i="107" s="1"/>
  <c r="K101" i="107"/>
  <c r="L101" i="107"/>
  <c r="M101" i="107"/>
  <c r="N101" i="107"/>
  <c r="D102" i="107"/>
  <c r="E102" i="107"/>
  <c r="F102" i="107"/>
  <c r="G102" i="107"/>
  <c r="W33" i="107" s="1"/>
  <c r="H102" i="107"/>
  <c r="I102" i="107"/>
  <c r="J102" i="107"/>
  <c r="K102" i="107"/>
  <c r="L102" i="107"/>
  <c r="M102" i="107"/>
  <c r="N102" i="107"/>
  <c r="D103" i="107"/>
  <c r="T33" i="107" s="1"/>
  <c r="E103" i="107"/>
  <c r="F103" i="107"/>
  <c r="G103" i="107"/>
  <c r="H103" i="107"/>
  <c r="I103" i="107"/>
  <c r="J103" i="107"/>
  <c r="K103" i="107"/>
  <c r="L103" i="107"/>
  <c r="AB33" i="107" s="1"/>
  <c r="M103" i="107"/>
  <c r="N103" i="107"/>
  <c r="D104" i="107"/>
  <c r="E104" i="107"/>
  <c r="F104" i="107"/>
  <c r="G104" i="107"/>
  <c r="H104" i="107"/>
  <c r="I104" i="107"/>
  <c r="Y33" i="107" s="1"/>
  <c r="J104" i="107"/>
  <c r="K104" i="107"/>
  <c r="L104" i="107"/>
  <c r="M104" i="107"/>
  <c r="N104" i="107"/>
  <c r="D105" i="107"/>
  <c r="E105" i="107"/>
  <c r="F105" i="107"/>
  <c r="V33" i="107" s="1"/>
  <c r="G105" i="107"/>
  <c r="H105" i="107"/>
  <c r="I105" i="107"/>
  <c r="J105" i="107"/>
  <c r="K105" i="107"/>
  <c r="L105" i="107"/>
  <c r="M105" i="107"/>
  <c r="N105" i="107"/>
  <c r="AD33" i="107" s="1"/>
  <c r="C59" i="107"/>
  <c r="C60" i="107"/>
  <c r="C61" i="107"/>
  <c r="C62" i="107"/>
  <c r="C63" i="107"/>
  <c r="C63" i="111" s="1"/>
  <c r="C64" i="107"/>
  <c r="C106" i="107" s="1"/>
  <c r="C65" i="107"/>
  <c r="C66" i="107"/>
  <c r="S24" i="107" s="1"/>
  <c r="C67" i="107"/>
  <c r="C68" i="107"/>
  <c r="C69" i="107"/>
  <c r="C70" i="107"/>
  <c r="C71" i="107"/>
  <c r="S25" i="107" s="1"/>
  <c r="C72" i="107"/>
  <c r="C72" i="111" s="1"/>
  <c r="C73" i="107"/>
  <c r="C74" i="107"/>
  <c r="C75" i="107"/>
  <c r="C76" i="107"/>
  <c r="C77" i="107"/>
  <c r="C78" i="107"/>
  <c r="C79" i="107"/>
  <c r="C79" i="111" s="1"/>
  <c r="C80" i="107"/>
  <c r="C80" i="111" s="1"/>
  <c r="C81" i="107"/>
  <c r="C82" i="107"/>
  <c r="S28" i="107" s="1"/>
  <c r="C83" i="107"/>
  <c r="C84" i="107"/>
  <c r="C85" i="107"/>
  <c r="C86" i="107"/>
  <c r="C87" i="107"/>
  <c r="S29" i="107" s="1"/>
  <c r="C88" i="107"/>
  <c r="C88" i="111" s="1"/>
  <c r="C89" i="107"/>
  <c r="C90" i="107"/>
  <c r="S30" i="107" s="1"/>
  <c r="C91" i="107"/>
  <c r="C92" i="107"/>
  <c r="C93" i="107"/>
  <c r="C94" i="107"/>
  <c r="C95" i="107"/>
  <c r="C95" i="111" s="1"/>
  <c r="C96" i="107"/>
  <c r="S31" i="107" s="1"/>
  <c r="C97" i="107"/>
  <c r="C98" i="107"/>
  <c r="S32" i="107" s="1"/>
  <c r="C99" i="107"/>
  <c r="C100" i="107"/>
  <c r="C101" i="107"/>
  <c r="C102" i="107"/>
  <c r="C103" i="107"/>
  <c r="S33" i="107" s="1"/>
  <c r="C104" i="107"/>
  <c r="C104" i="111" s="1"/>
  <c r="C105" i="107"/>
  <c r="C58" i="107"/>
  <c r="S22" i="107" s="1"/>
  <c r="P58" i="108"/>
  <c r="P59" i="108"/>
  <c r="P60" i="108"/>
  <c r="P61" i="108"/>
  <c r="P62" i="108"/>
  <c r="P63" i="108"/>
  <c r="P64" i="108"/>
  <c r="P65" i="108"/>
  <c r="P106" i="108" s="1"/>
  <c r="P66" i="108"/>
  <c r="P67" i="108"/>
  <c r="P68" i="108"/>
  <c r="P69" i="108"/>
  <c r="P70" i="108"/>
  <c r="P71" i="108"/>
  <c r="P72" i="108"/>
  <c r="P73" i="108"/>
  <c r="P74" i="108"/>
  <c r="P75" i="108"/>
  <c r="P76" i="108"/>
  <c r="P77" i="108"/>
  <c r="P78" i="108"/>
  <c r="P79" i="108"/>
  <c r="P80" i="108"/>
  <c r="P81" i="108"/>
  <c r="AF27" i="108" s="1"/>
  <c r="P82" i="108"/>
  <c r="P83" i="108"/>
  <c r="P84" i="108"/>
  <c r="P85" i="108"/>
  <c r="P86" i="108"/>
  <c r="P87" i="108"/>
  <c r="P88" i="108"/>
  <c r="P89" i="108"/>
  <c r="AF29" i="108" s="1"/>
  <c r="P90" i="108"/>
  <c r="P91" i="108"/>
  <c r="P92" i="108"/>
  <c r="P93" i="108"/>
  <c r="P94" i="108"/>
  <c r="P95" i="108"/>
  <c r="P96" i="108"/>
  <c r="P97" i="108"/>
  <c r="AF31" i="108" s="1"/>
  <c r="P98" i="108"/>
  <c r="P99" i="108"/>
  <c r="P100" i="108"/>
  <c r="P101" i="108"/>
  <c r="P102" i="108"/>
  <c r="P103" i="108"/>
  <c r="P104" i="108"/>
  <c r="P105" i="108"/>
  <c r="AF33" i="108" s="1"/>
  <c r="O58" i="108"/>
  <c r="O59" i="108"/>
  <c r="O60" i="108"/>
  <c r="O61" i="108"/>
  <c r="O62" i="108"/>
  <c r="O63" i="108"/>
  <c r="O64" i="108"/>
  <c r="O65" i="108"/>
  <c r="AE23" i="108" s="1"/>
  <c r="O66" i="108"/>
  <c r="O67" i="108"/>
  <c r="O68" i="108"/>
  <c r="O69" i="108"/>
  <c r="O70" i="108"/>
  <c r="O71" i="108"/>
  <c r="O72" i="108"/>
  <c r="O73" i="108"/>
  <c r="AE25" i="108" s="1"/>
  <c r="O74" i="108"/>
  <c r="O75" i="108"/>
  <c r="O76" i="108"/>
  <c r="O77" i="108"/>
  <c r="O78" i="108"/>
  <c r="O79" i="108"/>
  <c r="O80" i="108"/>
  <c r="O81" i="108"/>
  <c r="AE27" i="108" s="1"/>
  <c r="O82" i="108"/>
  <c r="O83" i="108"/>
  <c r="O84" i="108"/>
  <c r="O85" i="108"/>
  <c r="O86" i="108"/>
  <c r="O87" i="108"/>
  <c r="O88" i="108"/>
  <c r="O89" i="108"/>
  <c r="O90" i="108"/>
  <c r="O91" i="108"/>
  <c r="O92" i="108"/>
  <c r="O93" i="108"/>
  <c r="O94" i="108"/>
  <c r="O95" i="108"/>
  <c r="O96" i="108"/>
  <c r="O97" i="108"/>
  <c r="O98" i="108"/>
  <c r="O99" i="108"/>
  <c r="O100" i="108"/>
  <c r="O101" i="108"/>
  <c r="O102" i="108"/>
  <c r="O103" i="108"/>
  <c r="O104" i="108"/>
  <c r="O105" i="108"/>
  <c r="AE33" i="108" s="1"/>
  <c r="D58" i="108"/>
  <c r="E58" i="108"/>
  <c r="F58" i="108"/>
  <c r="G58" i="108"/>
  <c r="H58" i="108"/>
  <c r="I58" i="108"/>
  <c r="J58" i="108"/>
  <c r="K58" i="108"/>
  <c r="K58" i="111" s="1"/>
  <c r="L58" i="108"/>
  <c r="M58" i="108"/>
  <c r="N58" i="108"/>
  <c r="D59" i="108"/>
  <c r="E59" i="108"/>
  <c r="F59" i="108"/>
  <c r="G59" i="108"/>
  <c r="H59" i="108"/>
  <c r="I59" i="108"/>
  <c r="J59" i="108"/>
  <c r="K59" i="108"/>
  <c r="L59" i="108"/>
  <c r="M59" i="108"/>
  <c r="N59" i="108"/>
  <c r="D60" i="108"/>
  <c r="E60" i="108"/>
  <c r="F60" i="108"/>
  <c r="G60" i="108"/>
  <c r="H60" i="108"/>
  <c r="I60" i="108"/>
  <c r="J60" i="108"/>
  <c r="K60" i="108"/>
  <c r="L60" i="108"/>
  <c r="M60" i="108"/>
  <c r="N60" i="108"/>
  <c r="D61" i="108"/>
  <c r="E61" i="108"/>
  <c r="F61" i="108"/>
  <c r="G61" i="108"/>
  <c r="H61" i="108"/>
  <c r="I61" i="108"/>
  <c r="J61" i="108"/>
  <c r="K61" i="108"/>
  <c r="L61" i="108"/>
  <c r="M61" i="108"/>
  <c r="N61" i="108"/>
  <c r="D62" i="108"/>
  <c r="E62" i="108"/>
  <c r="F62" i="108"/>
  <c r="G62" i="108"/>
  <c r="H62" i="108"/>
  <c r="I62" i="108"/>
  <c r="J62" i="108"/>
  <c r="K62" i="108"/>
  <c r="L62" i="108"/>
  <c r="M62" i="108"/>
  <c r="N62" i="108"/>
  <c r="D63" i="108"/>
  <c r="E63" i="108"/>
  <c r="F63" i="108"/>
  <c r="G63" i="108"/>
  <c r="H63" i="108"/>
  <c r="I63" i="108"/>
  <c r="J63" i="108"/>
  <c r="K63" i="108"/>
  <c r="L63" i="108"/>
  <c r="M63" i="108"/>
  <c r="N63" i="108"/>
  <c r="D64" i="108"/>
  <c r="E64" i="108"/>
  <c r="F64" i="108"/>
  <c r="G64" i="108"/>
  <c r="H64" i="108"/>
  <c r="I64" i="108"/>
  <c r="J64" i="108"/>
  <c r="K64" i="108"/>
  <c r="L64" i="108"/>
  <c r="M64" i="108"/>
  <c r="N64" i="108"/>
  <c r="D65" i="108"/>
  <c r="E65" i="108"/>
  <c r="F65" i="108"/>
  <c r="G65" i="108"/>
  <c r="H65" i="108"/>
  <c r="I65" i="108"/>
  <c r="J65" i="108"/>
  <c r="K65" i="108"/>
  <c r="L65" i="108"/>
  <c r="M65" i="108"/>
  <c r="N65" i="108"/>
  <c r="D66" i="108"/>
  <c r="E66" i="108"/>
  <c r="F66" i="108"/>
  <c r="G66" i="108"/>
  <c r="H66" i="108"/>
  <c r="I66" i="108"/>
  <c r="J66" i="108"/>
  <c r="K66" i="108"/>
  <c r="L66" i="108"/>
  <c r="M66" i="108"/>
  <c r="N66" i="108"/>
  <c r="D67" i="108"/>
  <c r="E67" i="108"/>
  <c r="F67" i="108"/>
  <c r="G67" i="108"/>
  <c r="H67" i="108"/>
  <c r="H67" i="111" s="1"/>
  <c r="I67" i="108"/>
  <c r="J67" i="108"/>
  <c r="K67" i="108"/>
  <c r="L67" i="108"/>
  <c r="M67" i="108"/>
  <c r="N67" i="108"/>
  <c r="D68" i="108"/>
  <c r="E68" i="108"/>
  <c r="F68" i="108"/>
  <c r="G68" i="108"/>
  <c r="H68" i="108"/>
  <c r="I68" i="108"/>
  <c r="J68" i="108"/>
  <c r="K68" i="108"/>
  <c r="L68" i="108"/>
  <c r="M68" i="108"/>
  <c r="N68" i="108"/>
  <c r="D69" i="108"/>
  <c r="E69" i="108"/>
  <c r="F69" i="108"/>
  <c r="G69" i="108"/>
  <c r="H69" i="108"/>
  <c r="I69" i="108"/>
  <c r="J69" i="108"/>
  <c r="K69" i="108"/>
  <c r="L69" i="108"/>
  <c r="M69" i="108"/>
  <c r="N69" i="108"/>
  <c r="D70" i="108"/>
  <c r="E70" i="108"/>
  <c r="F70" i="108"/>
  <c r="G70" i="108"/>
  <c r="H70" i="108"/>
  <c r="I70" i="108"/>
  <c r="J70" i="108"/>
  <c r="K70" i="108"/>
  <c r="L70" i="108"/>
  <c r="M70" i="108"/>
  <c r="N70" i="108"/>
  <c r="D71" i="108"/>
  <c r="E71" i="108"/>
  <c r="F71" i="108"/>
  <c r="G71" i="108"/>
  <c r="H71" i="108"/>
  <c r="I71" i="108"/>
  <c r="J71" i="108"/>
  <c r="K71" i="108"/>
  <c r="L71" i="108"/>
  <c r="M71" i="108"/>
  <c r="N71" i="108"/>
  <c r="D72" i="108"/>
  <c r="E72" i="108"/>
  <c r="F72" i="108"/>
  <c r="G72" i="108"/>
  <c r="H72" i="108"/>
  <c r="I72" i="108"/>
  <c r="J72" i="108"/>
  <c r="K72" i="108"/>
  <c r="L72" i="108"/>
  <c r="M72" i="108"/>
  <c r="N72" i="108"/>
  <c r="D73" i="108"/>
  <c r="E73" i="108"/>
  <c r="F73" i="108"/>
  <c r="G73" i="108"/>
  <c r="H73" i="108"/>
  <c r="I73" i="108"/>
  <c r="J73" i="108"/>
  <c r="K73" i="108"/>
  <c r="L73" i="108"/>
  <c r="M73" i="108"/>
  <c r="N73" i="108"/>
  <c r="D74" i="108"/>
  <c r="E74" i="108"/>
  <c r="F74" i="108"/>
  <c r="G74" i="108"/>
  <c r="H74" i="108"/>
  <c r="I74" i="108"/>
  <c r="J74" i="108"/>
  <c r="K74" i="108"/>
  <c r="L74" i="108"/>
  <c r="M74" i="108"/>
  <c r="N74" i="108"/>
  <c r="D75" i="108"/>
  <c r="E75" i="108"/>
  <c r="F75" i="108"/>
  <c r="G75" i="108"/>
  <c r="H75" i="108"/>
  <c r="I75" i="108"/>
  <c r="J75" i="108"/>
  <c r="K75" i="108"/>
  <c r="L75" i="108"/>
  <c r="M75" i="108"/>
  <c r="N75" i="108"/>
  <c r="D76" i="108"/>
  <c r="E76" i="108"/>
  <c r="E76" i="111" s="1"/>
  <c r="F76" i="108"/>
  <c r="G76" i="108"/>
  <c r="H76" i="108"/>
  <c r="I76" i="108"/>
  <c r="J76" i="108"/>
  <c r="K76" i="108"/>
  <c r="L76" i="108"/>
  <c r="M76" i="108"/>
  <c r="M76" i="111" s="1"/>
  <c r="N76" i="108"/>
  <c r="D77" i="108"/>
  <c r="E77" i="108"/>
  <c r="F77" i="108"/>
  <c r="G77" i="108"/>
  <c r="H77" i="108"/>
  <c r="I77" i="108"/>
  <c r="J77" i="108"/>
  <c r="K77" i="108"/>
  <c r="L77" i="108"/>
  <c r="M77" i="108"/>
  <c r="N77" i="108"/>
  <c r="D78" i="108"/>
  <c r="E78" i="108"/>
  <c r="F78" i="108"/>
  <c r="G78" i="108"/>
  <c r="G78" i="111" s="1"/>
  <c r="H78" i="108"/>
  <c r="I78" i="108"/>
  <c r="J78" i="108"/>
  <c r="K78" i="108"/>
  <c r="L78" i="108"/>
  <c r="M78" i="108"/>
  <c r="N78" i="108"/>
  <c r="D79" i="108"/>
  <c r="E79" i="108"/>
  <c r="F79" i="108"/>
  <c r="G79" i="108"/>
  <c r="H79" i="108"/>
  <c r="I79" i="108"/>
  <c r="J79" i="108"/>
  <c r="K79" i="108"/>
  <c r="L79" i="108"/>
  <c r="M79" i="108"/>
  <c r="N79" i="108"/>
  <c r="D80" i="108"/>
  <c r="E80" i="108"/>
  <c r="F80" i="108"/>
  <c r="G80" i="108"/>
  <c r="H80" i="108"/>
  <c r="I80" i="108"/>
  <c r="J80" i="108"/>
  <c r="K80" i="108"/>
  <c r="L80" i="108"/>
  <c r="M80" i="108"/>
  <c r="N80" i="108"/>
  <c r="D81" i="108"/>
  <c r="E81" i="108"/>
  <c r="F81" i="108"/>
  <c r="G81" i="108"/>
  <c r="H81" i="108"/>
  <c r="I81" i="108"/>
  <c r="J81" i="108"/>
  <c r="K81" i="108"/>
  <c r="L81" i="108"/>
  <c r="M81" i="108"/>
  <c r="N81" i="108"/>
  <c r="D82" i="108"/>
  <c r="E82" i="108"/>
  <c r="F82" i="108"/>
  <c r="G82" i="108"/>
  <c r="H82" i="108"/>
  <c r="I82" i="108"/>
  <c r="J82" i="108"/>
  <c r="K82" i="108"/>
  <c r="L82" i="108"/>
  <c r="M82" i="108"/>
  <c r="N82" i="108"/>
  <c r="D83" i="108"/>
  <c r="E83" i="108"/>
  <c r="F83" i="108"/>
  <c r="G83" i="108"/>
  <c r="H83" i="108"/>
  <c r="I83" i="108"/>
  <c r="J83" i="108"/>
  <c r="K83" i="108"/>
  <c r="L83" i="108"/>
  <c r="M83" i="108"/>
  <c r="N83" i="108"/>
  <c r="D84" i="108"/>
  <c r="E84" i="108"/>
  <c r="F84" i="108"/>
  <c r="G84" i="108"/>
  <c r="H84" i="108"/>
  <c r="I84" i="108"/>
  <c r="J84" i="108"/>
  <c r="K84" i="108"/>
  <c r="L84" i="108"/>
  <c r="M84" i="108"/>
  <c r="N84" i="108"/>
  <c r="D85" i="108"/>
  <c r="E85" i="108"/>
  <c r="F85" i="108"/>
  <c r="G85" i="108"/>
  <c r="H85" i="108"/>
  <c r="I85" i="108"/>
  <c r="J85" i="108"/>
  <c r="J85" i="111" s="1"/>
  <c r="K85" i="108"/>
  <c r="L85" i="108"/>
  <c r="M85" i="108"/>
  <c r="N85" i="108"/>
  <c r="D86" i="108"/>
  <c r="E86" i="108"/>
  <c r="F86" i="108"/>
  <c r="G86" i="108"/>
  <c r="H86" i="108"/>
  <c r="I86" i="108"/>
  <c r="J86" i="108"/>
  <c r="K86" i="108"/>
  <c r="L86" i="108"/>
  <c r="M86" i="108"/>
  <c r="N86" i="108"/>
  <c r="D87" i="108"/>
  <c r="D87" i="111" s="1"/>
  <c r="E87" i="108"/>
  <c r="F87" i="108"/>
  <c r="G87" i="108"/>
  <c r="H87" i="108"/>
  <c r="I87" i="108"/>
  <c r="J87" i="108"/>
  <c r="K87" i="108"/>
  <c r="L87" i="108"/>
  <c r="L87" i="111" s="1"/>
  <c r="M87" i="108"/>
  <c r="N87" i="108"/>
  <c r="D88" i="108"/>
  <c r="E88" i="108"/>
  <c r="F88" i="108"/>
  <c r="G88" i="108"/>
  <c r="H88" i="108"/>
  <c r="I88" i="108"/>
  <c r="J88" i="108"/>
  <c r="K88" i="108"/>
  <c r="L88" i="108"/>
  <c r="M88" i="108"/>
  <c r="N88" i="108"/>
  <c r="D89" i="108"/>
  <c r="E89" i="108"/>
  <c r="F89" i="108"/>
  <c r="G89" i="108"/>
  <c r="H89" i="108"/>
  <c r="I89" i="108"/>
  <c r="J89" i="108"/>
  <c r="K89" i="108"/>
  <c r="L89" i="108"/>
  <c r="M89" i="108"/>
  <c r="N89" i="108"/>
  <c r="D90" i="108"/>
  <c r="E90" i="108"/>
  <c r="F90" i="108"/>
  <c r="G90" i="108"/>
  <c r="H90" i="108"/>
  <c r="I90" i="108"/>
  <c r="J90" i="108"/>
  <c r="K90" i="108"/>
  <c r="L90" i="108"/>
  <c r="M90" i="108"/>
  <c r="N90" i="108"/>
  <c r="D91" i="108"/>
  <c r="E91" i="108"/>
  <c r="F91" i="108"/>
  <c r="G91" i="108"/>
  <c r="H91" i="108"/>
  <c r="I91" i="108"/>
  <c r="J91" i="108"/>
  <c r="K91" i="108"/>
  <c r="L91" i="108"/>
  <c r="M91" i="108"/>
  <c r="N91" i="108"/>
  <c r="D92" i="108"/>
  <c r="E92" i="108"/>
  <c r="F92" i="108"/>
  <c r="G92" i="108"/>
  <c r="H92" i="108"/>
  <c r="I92" i="108"/>
  <c r="J92" i="108"/>
  <c r="K92" i="108"/>
  <c r="L92" i="108"/>
  <c r="M92" i="108"/>
  <c r="N92" i="108"/>
  <c r="D93" i="108"/>
  <c r="E93" i="108"/>
  <c r="F93" i="108"/>
  <c r="G93" i="108"/>
  <c r="H93" i="108"/>
  <c r="I93" i="108"/>
  <c r="J93" i="108"/>
  <c r="K93" i="108"/>
  <c r="L93" i="108"/>
  <c r="M93" i="108"/>
  <c r="N93" i="108"/>
  <c r="D94" i="108"/>
  <c r="E94" i="108"/>
  <c r="F94" i="108"/>
  <c r="G94" i="108"/>
  <c r="H94" i="108"/>
  <c r="I94" i="108"/>
  <c r="J94" i="108"/>
  <c r="K94" i="108"/>
  <c r="L94" i="108"/>
  <c r="M94" i="108"/>
  <c r="N94" i="108"/>
  <c r="D95" i="108"/>
  <c r="D106" i="108" s="1"/>
  <c r="E95" i="108"/>
  <c r="F95" i="108"/>
  <c r="G95" i="108"/>
  <c r="H95" i="108"/>
  <c r="I95" i="108"/>
  <c r="J95" i="108"/>
  <c r="K95" i="108"/>
  <c r="L95" i="108"/>
  <c r="M95" i="108"/>
  <c r="N95" i="108"/>
  <c r="D96" i="108"/>
  <c r="E96" i="108"/>
  <c r="F96" i="108"/>
  <c r="G96" i="108"/>
  <c r="H96" i="108"/>
  <c r="I96" i="108"/>
  <c r="I96" i="111" s="1"/>
  <c r="J96" i="108"/>
  <c r="K96" i="108"/>
  <c r="L96" i="108"/>
  <c r="M96" i="108"/>
  <c r="N96" i="108"/>
  <c r="D97" i="108"/>
  <c r="E97" i="108"/>
  <c r="F97" i="108"/>
  <c r="G97" i="108"/>
  <c r="H97" i="108"/>
  <c r="I97" i="108"/>
  <c r="J97" i="108"/>
  <c r="K97" i="108"/>
  <c r="L97" i="108"/>
  <c r="M97" i="108"/>
  <c r="N97" i="108"/>
  <c r="D98" i="108"/>
  <c r="E98" i="108"/>
  <c r="F98" i="108"/>
  <c r="G98" i="108"/>
  <c r="H98" i="108"/>
  <c r="I98" i="108"/>
  <c r="J98" i="108"/>
  <c r="K98" i="108"/>
  <c r="L98" i="108"/>
  <c r="M98" i="108"/>
  <c r="N98" i="108"/>
  <c r="D99" i="108"/>
  <c r="E99" i="108"/>
  <c r="F99" i="108"/>
  <c r="G99" i="108"/>
  <c r="H99" i="108"/>
  <c r="I99" i="108"/>
  <c r="J99" i="108"/>
  <c r="K99" i="108"/>
  <c r="L99" i="108"/>
  <c r="M99" i="108"/>
  <c r="N99" i="108"/>
  <c r="D100" i="108"/>
  <c r="E100" i="108"/>
  <c r="F100" i="108"/>
  <c r="G100" i="108"/>
  <c r="H100" i="108"/>
  <c r="I100" i="108"/>
  <c r="J100" i="108"/>
  <c r="K100" i="108"/>
  <c r="L100" i="108"/>
  <c r="M100" i="108"/>
  <c r="N100" i="108"/>
  <c r="D101" i="108"/>
  <c r="E101" i="108"/>
  <c r="F101" i="108"/>
  <c r="G101" i="108"/>
  <c r="H101" i="108"/>
  <c r="I101" i="108"/>
  <c r="J101" i="108"/>
  <c r="K101" i="108"/>
  <c r="L101" i="108"/>
  <c r="M101" i="108"/>
  <c r="N101" i="108"/>
  <c r="D102" i="108"/>
  <c r="E102" i="108"/>
  <c r="F102" i="108"/>
  <c r="G102" i="108"/>
  <c r="H102" i="108"/>
  <c r="I102" i="108"/>
  <c r="J102" i="108"/>
  <c r="K102" i="108"/>
  <c r="L102" i="108"/>
  <c r="M102" i="108"/>
  <c r="N102" i="108"/>
  <c r="D103" i="108"/>
  <c r="E103" i="108"/>
  <c r="F103" i="108"/>
  <c r="G103" i="108"/>
  <c r="H103" i="108"/>
  <c r="I103" i="108"/>
  <c r="J103" i="108"/>
  <c r="K103" i="108"/>
  <c r="L103" i="108"/>
  <c r="M103" i="108"/>
  <c r="N103" i="108"/>
  <c r="D104" i="108"/>
  <c r="E104" i="108"/>
  <c r="F104" i="108"/>
  <c r="G104" i="108"/>
  <c r="H104" i="108"/>
  <c r="I104" i="108"/>
  <c r="J104" i="108"/>
  <c r="K104" i="108"/>
  <c r="L104" i="108"/>
  <c r="M104" i="108"/>
  <c r="N104" i="108"/>
  <c r="D105" i="108"/>
  <c r="E105" i="108"/>
  <c r="F105" i="108"/>
  <c r="F105" i="111" s="1"/>
  <c r="G105" i="108"/>
  <c r="H105" i="108"/>
  <c r="I105" i="108"/>
  <c r="J105" i="108"/>
  <c r="K105" i="108"/>
  <c r="L105" i="108"/>
  <c r="M105" i="108"/>
  <c r="N105" i="108"/>
  <c r="N105" i="111" s="1"/>
  <c r="C59" i="108"/>
  <c r="C60" i="108"/>
  <c r="C61" i="108"/>
  <c r="C62" i="108"/>
  <c r="C63" i="108"/>
  <c r="C64" i="108"/>
  <c r="C65" i="108"/>
  <c r="C66" i="108"/>
  <c r="C106" i="108" s="1"/>
  <c r="C67" i="108"/>
  <c r="C68" i="108"/>
  <c r="C69" i="108"/>
  <c r="C70" i="108"/>
  <c r="C71" i="108"/>
  <c r="C72" i="108"/>
  <c r="C73" i="108"/>
  <c r="C74" i="108"/>
  <c r="S26" i="108" s="1"/>
  <c r="C75" i="108"/>
  <c r="C76" i="108"/>
  <c r="C77" i="108"/>
  <c r="C78" i="108"/>
  <c r="C79" i="108"/>
  <c r="C80" i="108"/>
  <c r="C81" i="108"/>
  <c r="C82" i="108"/>
  <c r="C82" i="111" s="1"/>
  <c r="C83" i="108"/>
  <c r="C84" i="108"/>
  <c r="C85" i="108"/>
  <c r="C86" i="108"/>
  <c r="C87" i="108"/>
  <c r="C88" i="108"/>
  <c r="C89" i="108"/>
  <c r="C90" i="108"/>
  <c r="S30" i="108" s="1"/>
  <c r="C91" i="108"/>
  <c r="C92" i="108"/>
  <c r="C93" i="108"/>
  <c r="C94" i="108"/>
  <c r="C95" i="108"/>
  <c r="C96" i="108"/>
  <c r="C97" i="108"/>
  <c r="C98" i="108"/>
  <c r="C98" i="111" s="1"/>
  <c r="C99" i="108"/>
  <c r="C100" i="108"/>
  <c r="C101" i="108"/>
  <c r="C102" i="108"/>
  <c r="C103" i="108"/>
  <c r="C104" i="108"/>
  <c r="C105" i="108"/>
  <c r="C58" i="108"/>
  <c r="D58" i="111"/>
  <c r="E58" i="111"/>
  <c r="F58" i="111"/>
  <c r="G58" i="111"/>
  <c r="H58" i="111"/>
  <c r="I58" i="111"/>
  <c r="J58" i="111"/>
  <c r="L58" i="111"/>
  <c r="AB22" i="111" s="1"/>
  <c r="M58" i="111"/>
  <c r="N58" i="111"/>
  <c r="D59" i="111"/>
  <c r="E59" i="111"/>
  <c r="F59" i="111"/>
  <c r="G59" i="111"/>
  <c r="I59" i="111"/>
  <c r="J59" i="111"/>
  <c r="K59" i="111"/>
  <c r="L59" i="111"/>
  <c r="M59" i="111"/>
  <c r="N59" i="111"/>
  <c r="D60" i="111"/>
  <c r="F60" i="111"/>
  <c r="G60" i="111"/>
  <c r="H60" i="111"/>
  <c r="I60" i="111"/>
  <c r="J60" i="111"/>
  <c r="K60" i="111"/>
  <c r="L60" i="111"/>
  <c r="N60" i="111"/>
  <c r="D61" i="111"/>
  <c r="E61" i="111"/>
  <c r="F61" i="111"/>
  <c r="V22" i="111" s="1"/>
  <c r="G61" i="111"/>
  <c r="H61" i="111"/>
  <c r="I61" i="111"/>
  <c r="K61" i="111"/>
  <c r="L61" i="111"/>
  <c r="M61" i="111"/>
  <c r="N61" i="111"/>
  <c r="D62" i="111"/>
  <c r="E62" i="111"/>
  <c r="F62" i="111"/>
  <c r="H62" i="111"/>
  <c r="I62" i="111"/>
  <c r="J62" i="111"/>
  <c r="K62" i="111"/>
  <c r="L62" i="111"/>
  <c r="M62" i="111"/>
  <c r="N62" i="111"/>
  <c r="E63" i="111"/>
  <c r="F63" i="111"/>
  <c r="G63" i="111"/>
  <c r="H63" i="111"/>
  <c r="I63" i="111"/>
  <c r="J63" i="111"/>
  <c r="K63" i="111"/>
  <c r="M63" i="111"/>
  <c r="N63" i="111"/>
  <c r="D64" i="111"/>
  <c r="E64" i="111"/>
  <c r="F64" i="111"/>
  <c r="G64" i="111"/>
  <c r="H64" i="111"/>
  <c r="J64" i="111"/>
  <c r="Z23" i="111" s="1"/>
  <c r="K64" i="111"/>
  <c r="L64" i="111"/>
  <c r="M64" i="111"/>
  <c r="N64" i="111"/>
  <c r="D65" i="111"/>
  <c r="E65" i="111"/>
  <c r="G65" i="111"/>
  <c r="H65" i="111"/>
  <c r="X23" i="111" s="1"/>
  <c r="I65" i="111"/>
  <c r="J65" i="111"/>
  <c r="K65" i="111"/>
  <c r="L65" i="111"/>
  <c r="M65" i="111"/>
  <c r="D66" i="111"/>
  <c r="E66" i="111"/>
  <c r="F66" i="111"/>
  <c r="V24" i="111" s="1"/>
  <c r="G66" i="111"/>
  <c r="H66" i="111"/>
  <c r="I66" i="111"/>
  <c r="J66" i="111"/>
  <c r="L66" i="111"/>
  <c r="M66" i="111"/>
  <c r="N66" i="111"/>
  <c r="D67" i="111"/>
  <c r="T24" i="111" s="1"/>
  <c r="E67" i="111"/>
  <c r="F67" i="111"/>
  <c r="G67" i="111"/>
  <c r="I67" i="111"/>
  <c r="J67" i="111"/>
  <c r="K67" i="111"/>
  <c r="L67" i="111"/>
  <c r="M67" i="111"/>
  <c r="N67" i="111"/>
  <c r="D68" i="111"/>
  <c r="F68" i="111"/>
  <c r="G68" i="111"/>
  <c r="H68" i="111"/>
  <c r="I68" i="111"/>
  <c r="J68" i="111"/>
  <c r="K68" i="111"/>
  <c r="L68" i="111"/>
  <c r="N68" i="111"/>
  <c r="D69" i="111"/>
  <c r="E69" i="111"/>
  <c r="F69" i="111"/>
  <c r="G69" i="111"/>
  <c r="H69" i="111"/>
  <c r="I69" i="111"/>
  <c r="K69" i="111"/>
  <c r="L69" i="111"/>
  <c r="M69" i="111"/>
  <c r="N69" i="111"/>
  <c r="D70" i="111"/>
  <c r="E70" i="111"/>
  <c r="F70" i="111"/>
  <c r="H70" i="111"/>
  <c r="X25" i="111" s="1"/>
  <c r="I70" i="111"/>
  <c r="J70" i="111"/>
  <c r="K70" i="111"/>
  <c r="L70" i="111"/>
  <c r="M70" i="111"/>
  <c r="N70" i="111"/>
  <c r="E71" i="111"/>
  <c r="F71" i="111"/>
  <c r="G71" i="111"/>
  <c r="H71" i="111"/>
  <c r="I71" i="111"/>
  <c r="J71" i="111"/>
  <c r="K71" i="111"/>
  <c r="M71" i="111"/>
  <c r="N71" i="111"/>
  <c r="D72" i="111"/>
  <c r="E72" i="111"/>
  <c r="F72" i="111"/>
  <c r="G72" i="111"/>
  <c r="H72" i="111"/>
  <c r="J72" i="111"/>
  <c r="K72" i="111"/>
  <c r="L72" i="111"/>
  <c r="M72" i="111"/>
  <c r="AC25" i="111" s="1"/>
  <c r="N72" i="111"/>
  <c r="D73" i="111"/>
  <c r="E73" i="111"/>
  <c r="G73" i="111"/>
  <c r="H73" i="111"/>
  <c r="I73" i="111"/>
  <c r="J73" i="111"/>
  <c r="K73" i="111"/>
  <c r="AA25" i="111" s="1"/>
  <c r="L73" i="111"/>
  <c r="M73" i="111"/>
  <c r="D74" i="111"/>
  <c r="E74" i="111"/>
  <c r="F74" i="111"/>
  <c r="G74" i="111"/>
  <c r="H74" i="111"/>
  <c r="I74" i="111"/>
  <c r="Y26" i="111" s="1"/>
  <c r="J74" i="111"/>
  <c r="L74" i="111"/>
  <c r="M74" i="111"/>
  <c r="N74" i="111"/>
  <c r="D75" i="111"/>
  <c r="E75" i="111"/>
  <c r="F75" i="111"/>
  <c r="G75" i="111"/>
  <c r="W26" i="111" s="1"/>
  <c r="I75" i="111"/>
  <c r="J75" i="111"/>
  <c r="K75" i="111"/>
  <c r="L75" i="111"/>
  <c r="M75" i="111"/>
  <c r="N75" i="111"/>
  <c r="D76" i="111"/>
  <c r="F76" i="111"/>
  <c r="G76" i="111"/>
  <c r="H76" i="111"/>
  <c r="I76" i="111"/>
  <c r="J76" i="111"/>
  <c r="K76" i="111"/>
  <c r="L76" i="111"/>
  <c r="N76" i="111"/>
  <c r="D77" i="111"/>
  <c r="T26" i="111" s="1"/>
  <c r="E77" i="111"/>
  <c r="F77" i="111"/>
  <c r="G77" i="111"/>
  <c r="H77" i="111"/>
  <c r="I77" i="111"/>
  <c r="K77" i="111"/>
  <c r="L77" i="111"/>
  <c r="M77" i="111"/>
  <c r="N77" i="111"/>
  <c r="D78" i="111"/>
  <c r="E78" i="111"/>
  <c r="F78" i="111"/>
  <c r="H78" i="111"/>
  <c r="I78" i="111"/>
  <c r="J78" i="111"/>
  <c r="K78" i="111"/>
  <c r="L78" i="111"/>
  <c r="M78" i="111"/>
  <c r="N78" i="111"/>
  <c r="E79" i="111"/>
  <c r="F79" i="111"/>
  <c r="G79" i="111"/>
  <c r="H79" i="111"/>
  <c r="I79" i="111"/>
  <c r="J79" i="111"/>
  <c r="K79" i="111"/>
  <c r="M79" i="111"/>
  <c r="N79" i="111"/>
  <c r="D80" i="111"/>
  <c r="E80" i="111"/>
  <c r="F80" i="111"/>
  <c r="G80" i="111"/>
  <c r="H80" i="111"/>
  <c r="J80" i="111"/>
  <c r="K80" i="111"/>
  <c r="L80" i="111"/>
  <c r="M80" i="111"/>
  <c r="N80" i="111"/>
  <c r="D81" i="111"/>
  <c r="E81" i="111"/>
  <c r="U27" i="111" s="1"/>
  <c r="G81" i="111"/>
  <c r="H81" i="111"/>
  <c r="I81" i="111"/>
  <c r="J81" i="111"/>
  <c r="K81" i="111"/>
  <c r="L81" i="111"/>
  <c r="M81" i="111"/>
  <c r="D82" i="111"/>
  <c r="T28" i="111" s="1"/>
  <c r="E82" i="111"/>
  <c r="F82" i="111"/>
  <c r="G82" i="111"/>
  <c r="H82" i="111"/>
  <c r="I82" i="111"/>
  <c r="J82" i="111"/>
  <c r="L82" i="111"/>
  <c r="M82" i="111"/>
  <c r="N82" i="111"/>
  <c r="AD28" i="111" s="1"/>
  <c r="D83" i="111"/>
  <c r="E83" i="111"/>
  <c r="F83" i="111"/>
  <c r="G83" i="111"/>
  <c r="I83" i="111"/>
  <c r="J83" i="111"/>
  <c r="K83" i="111"/>
  <c r="L83" i="111"/>
  <c r="AB28" i="111" s="1"/>
  <c r="M83" i="111"/>
  <c r="N83" i="111"/>
  <c r="D84" i="111"/>
  <c r="F84" i="111"/>
  <c r="G84" i="111"/>
  <c r="H84" i="111"/>
  <c r="I84" i="111"/>
  <c r="Y28" i="111" s="1"/>
  <c r="J84" i="111"/>
  <c r="K84" i="111"/>
  <c r="L84" i="111"/>
  <c r="N84" i="111"/>
  <c r="D85" i="111"/>
  <c r="E85" i="111"/>
  <c r="F85" i="111"/>
  <c r="G85" i="111"/>
  <c r="H85" i="111"/>
  <c r="I85" i="111"/>
  <c r="K85" i="111"/>
  <c r="L85" i="111"/>
  <c r="M85" i="111"/>
  <c r="N85" i="111"/>
  <c r="D86" i="111"/>
  <c r="E86" i="111"/>
  <c r="U29" i="111" s="1"/>
  <c r="F86" i="111"/>
  <c r="H86" i="111"/>
  <c r="I86" i="111"/>
  <c r="J86" i="111"/>
  <c r="K86" i="111"/>
  <c r="L86" i="111"/>
  <c r="M86" i="111"/>
  <c r="N86" i="111"/>
  <c r="E87" i="111"/>
  <c r="F87" i="111"/>
  <c r="G87" i="111"/>
  <c r="H87" i="111"/>
  <c r="I87" i="111"/>
  <c r="J87" i="111"/>
  <c r="K87" i="111"/>
  <c r="M87" i="111"/>
  <c r="AC29" i="111" s="1"/>
  <c r="N87" i="111"/>
  <c r="D88" i="111"/>
  <c r="E88" i="111"/>
  <c r="F88" i="111"/>
  <c r="G88" i="111"/>
  <c r="H88" i="111"/>
  <c r="J88" i="111"/>
  <c r="K88" i="111"/>
  <c r="AA29" i="111" s="1"/>
  <c r="L88" i="111"/>
  <c r="M88" i="111"/>
  <c r="N88" i="111"/>
  <c r="D89" i="111"/>
  <c r="E89" i="111"/>
  <c r="G89" i="111"/>
  <c r="H89" i="111"/>
  <c r="I89" i="111"/>
  <c r="J89" i="111"/>
  <c r="K89" i="111"/>
  <c r="L89" i="111"/>
  <c r="M89" i="111"/>
  <c r="D90" i="111"/>
  <c r="E90" i="111"/>
  <c r="F90" i="111"/>
  <c r="G90" i="111"/>
  <c r="H90" i="111"/>
  <c r="I90" i="111"/>
  <c r="J90" i="111"/>
  <c r="L90" i="111"/>
  <c r="M90" i="111"/>
  <c r="N90" i="111"/>
  <c r="D91" i="111"/>
  <c r="E91" i="111"/>
  <c r="F91" i="111"/>
  <c r="V30" i="111" s="1"/>
  <c r="G91" i="111"/>
  <c r="I91" i="111"/>
  <c r="J91" i="111"/>
  <c r="K91" i="111"/>
  <c r="L91" i="111"/>
  <c r="M91" i="111"/>
  <c r="N91" i="111"/>
  <c r="AD30" i="111" s="1"/>
  <c r="D92" i="111"/>
  <c r="F92" i="111"/>
  <c r="G92" i="111"/>
  <c r="H92" i="111"/>
  <c r="I92" i="111"/>
  <c r="J92" i="111"/>
  <c r="K92" i="111"/>
  <c r="L92" i="111"/>
  <c r="N92" i="111"/>
  <c r="D93" i="111"/>
  <c r="E93" i="111"/>
  <c r="F93" i="111"/>
  <c r="G93" i="111"/>
  <c r="H93" i="111"/>
  <c r="I93" i="111"/>
  <c r="K93" i="111"/>
  <c r="L93" i="111"/>
  <c r="M93" i="111"/>
  <c r="N93" i="111"/>
  <c r="D94" i="111"/>
  <c r="E94" i="111"/>
  <c r="F94" i="111"/>
  <c r="H94" i="111"/>
  <c r="I94" i="111"/>
  <c r="J94" i="111"/>
  <c r="K94" i="111"/>
  <c r="L94" i="111"/>
  <c r="M94" i="111"/>
  <c r="N94" i="111"/>
  <c r="E95" i="111"/>
  <c r="F95" i="111"/>
  <c r="G95" i="111"/>
  <c r="H95" i="111"/>
  <c r="I95" i="111"/>
  <c r="J95" i="111"/>
  <c r="K95" i="111"/>
  <c r="M95" i="111"/>
  <c r="N95" i="111"/>
  <c r="D96" i="111"/>
  <c r="E96" i="111"/>
  <c r="U31" i="111" s="1"/>
  <c r="F96" i="111"/>
  <c r="G96" i="111"/>
  <c r="H96" i="111"/>
  <c r="J96" i="111"/>
  <c r="K96" i="111"/>
  <c r="L96" i="111"/>
  <c r="M96" i="111"/>
  <c r="N96" i="111"/>
  <c r="D97" i="111"/>
  <c r="E97" i="111"/>
  <c r="G97" i="111"/>
  <c r="H97" i="111"/>
  <c r="I97" i="111"/>
  <c r="J97" i="111"/>
  <c r="K97" i="111"/>
  <c r="L97" i="111"/>
  <c r="M97" i="111"/>
  <c r="D98" i="111"/>
  <c r="E98" i="111"/>
  <c r="F98" i="111"/>
  <c r="V32" i="111" s="1"/>
  <c r="G98" i="111"/>
  <c r="H98" i="111"/>
  <c r="I98" i="111"/>
  <c r="J98" i="111"/>
  <c r="L98" i="111"/>
  <c r="M98" i="111"/>
  <c r="N98" i="111"/>
  <c r="D99" i="111"/>
  <c r="E99" i="111"/>
  <c r="F99" i="111"/>
  <c r="G99" i="111"/>
  <c r="I99" i="111"/>
  <c r="Y32" i="111" s="1"/>
  <c r="J99" i="111"/>
  <c r="K99" i="111"/>
  <c r="L99" i="111"/>
  <c r="M99" i="111"/>
  <c r="N99" i="111"/>
  <c r="D100" i="111"/>
  <c r="F100" i="111"/>
  <c r="G100" i="111"/>
  <c r="W32" i="111" s="1"/>
  <c r="H100" i="111"/>
  <c r="I100" i="111"/>
  <c r="J100" i="111"/>
  <c r="K100" i="111"/>
  <c r="L100" i="111"/>
  <c r="N100" i="111"/>
  <c r="D101" i="111"/>
  <c r="E101" i="111"/>
  <c r="F101" i="111"/>
  <c r="G101" i="111"/>
  <c r="H101" i="111"/>
  <c r="I101" i="111"/>
  <c r="K101" i="111"/>
  <c r="L101" i="111"/>
  <c r="M101" i="111"/>
  <c r="N101" i="111"/>
  <c r="AD32" i="111" s="1"/>
  <c r="D102" i="111"/>
  <c r="E102" i="111"/>
  <c r="F102" i="111"/>
  <c r="H102" i="111"/>
  <c r="I102" i="111"/>
  <c r="J102" i="111"/>
  <c r="K102" i="111"/>
  <c r="L102" i="111"/>
  <c r="M102" i="111"/>
  <c r="N102" i="111"/>
  <c r="E103" i="111"/>
  <c r="F103" i="111"/>
  <c r="G103" i="111"/>
  <c r="H103" i="111"/>
  <c r="I103" i="111"/>
  <c r="J103" i="111"/>
  <c r="Z33" i="111" s="1"/>
  <c r="K103" i="111"/>
  <c r="M103" i="111"/>
  <c r="N103" i="111"/>
  <c r="D104" i="111"/>
  <c r="E104" i="111"/>
  <c r="U33" i="111" s="1"/>
  <c r="F104" i="111"/>
  <c r="G104" i="111"/>
  <c r="H104" i="111"/>
  <c r="J104" i="111"/>
  <c r="K104" i="111"/>
  <c r="L104" i="111"/>
  <c r="M104" i="111"/>
  <c r="N104" i="111"/>
  <c r="D105" i="111"/>
  <c r="E105" i="111"/>
  <c r="G105" i="111"/>
  <c r="H105" i="111"/>
  <c r="I105" i="111"/>
  <c r="J105" i="111"/>
  <c r="K105" i="111"/>
  <c r="L105" i="111"/>
  <c r="M105" i="111"/>
  <c r="C59" i="111"/>
  <c r="C60" i="111"/>
  <c r="C61" i="111"/>
  <c r="C62" i="111"/>
  <c r="C65" i="111"/>
  <c r="C67" i="111"/>
  <c r="C68" i="111"/>
  <c r="C69" i="111"/>
  <c r="C70" i="111"/>
  <c r="C73" i="111"/>
  <c r="C75" i="111"/>
  <c r="C76" i="111"/>
  <c r="C77" i="111"/>
  <c r="C78" i="111"/>
  <c r="C81" i="111"/>
  <c r="C83" i="111"/>
  <c r="C84" i="111"/>
  <c r="C85" i="111"/>
  <c r="C86" i="111"/>
  <c r="C87" i="111"/>
  <c r="C89" i="111"/>
  <c r="C91" i="111"/>
  <c r="C92" i="111"/>
  <c r="C93" i="111"/>
  <c r="C94" i="111"/>
  <c r="C97" i="111"/>
  <c r="C99" i="111"/>
  <c r="C100" i="111"/>
  <c r="C101" i="111"/>
  <c r="C102" i="111"/>
  <c r="C103" i="111"/>
  <c r="C105" i="111"/>
  <c r="C58" i="111"/>
  <c r="AE37" i="107"/>
  <c r="W37" i="107"/>
  <c r="AC33" i="107"/>
  <c r="AA33" i="107"/>
  <c r="Z33" i="107"/>
  <c r="X33" i="107"/>
  <c r="U33" i="107"/>
  <c r="AF32" i="107"/>
  <c r="AE32" i="107"/>
  <c r="AD32" i="107"/>
  <c r="AB32" i="107"/>
  <c r="Y32" i="107"/>
  <c r="W32" i="107"/>
  <c r="V32" i="107"/>
  <c r="T32" i="107"/>
  <c r="AF31" i="107"/>
  <c r="AC31" i="107"/>
  <c r="AB31" i="107"/>
  <c r="AA31" i="107"/>
  <c r="Z31" i="107"/>
  <c r="X31" i="107"/>
  <c r="U31" i="107"/>
  <c r="T31" i="107"/>
  <c r="AF30" i="107"/>
  <c r="AD30" i="107"/>
  <c r="AB30" i="107"/>
  <c r="Y30" i="107"/>
  <c r="W30" i="107"/>
  <c r="V30" i="107"/>
  <c r="T30" i="107"/>
  <c r="AD29" i="107"/>
  <c r="AC29" i="107"/>
  <c r="AA29" i="107"/>
  <c r="Z29" i="107"/>
  <c r="X29" i="107"/>
  <c r="V29" i="107"/>
  <c r="U29" i="107"/>
  <c r="AF28" i="107"/>
  <c r="AD28" i="107"/>
  <c r="AB28" i="107"/>
  <c r="AA28" i="107"/>
  <c r="Y28" i="107"/>
  <c r="W28" i="107"/>
  <c r="V28" i="107"/>
  <c r="T28" i="107"/>
  <c r="AC27" i="107"/>
  <c r="AA27" i="107"/>
  <c r="Z27" i="107"/>
  <c r="X27" i="107"/>
  <c r="U27" i="107"/>
  <c r="AF26" i="107"/>
  <c r="AD26" i="107"/>
  <c r="AC26" i="107"/>
  <c r="AB26" i="107"/>
  <c r="Y26" i="107"/>
  <c r="W26" i="107"/>
  <c r="V26" i="107"/>
  <c r="U26" i="107"/>
  <c r="T26" i="107"/>
  <c r="S26" i="107"/>
  <c r="AC25" i="107"/>
  <c r="AA25" i="107"/>
  <c r="Z25" i="107"/>
  <c r="X25" i="107"/>
  <c r="U25" i="107"/>
  <c r="AF24" i="107"/>
  <c r="AD24" i="107"/>
  <c r="AB24" i="107"/>
  <c r="Y24" i="107"/>
  <c r="X24" i="107"/>
  <c r="W24" i="107"/>
  <c r="V24" i="107"/>
  <c r="T24" i="107"/>
  <c r="AC23" i="107"/>
  <c r="AA23" i="107"/>
  <c r="Z23" i="107"/>
  <c r="X23" i="107"/>
  <c r="U23" i="107"/>
  <c r="AF22" i="107"/>
  <c r="AD22" i="107"/>
  <c r="AB22" i="107"/>
  <c r="Z22" i="107"/>
  <c r="Y22" i="107"/>
  <c r="W22" i="107"/>
  <c r="V22" i="107"/>
  <c r="T22" i="107"/>
  <c r="AF21" i="107"/>
  <c r="AE21" i="107"/>
  <c r="AD21" i="107"/>
  <c r="AC21" i="107"/>
  <c r="AB21" i="107"/>
  <c r="AA21" i="107"/>
  <c r="Z21" i="107"/>
  <c r="Y21" i="107"/>
  <c r="X21" i="107"/>
  <c r="W21" i="107"/>
  <c r="V21" i="107"/>
  <c r="U21" i="107"/>
  <c r="T21" i="107"/>
  <c r="S21" i="107"/>
  <c r="AF20" i="107"/>
  <c r="AE20" i="107"/>
  <c r="AD20" i="107"/>
  <c r="AC20" i="107"/>
  <c r="AC36" i="107" s="1"/>
  <c r="AB20" i="107"/>
  <c r="AA20" i="107"/>
  <c r="Z20" i="107"/>
  <c r="Y20" i="107"/>
  <c r="X20" i="107"/>
  <c r="W20" i="107"/>
  <c r="V20" i="107"/>
  <c r="U20" i="107"/>
  <c r="U36" i="107" s="1"/>
  <c r="T20" i="107"/>
  <c r="S20" i="107"/>
  <c r="AF19" i="107"/>
  <c r="AF39" i="107" s="1"/>
  <c r="AE19" i="107"/>
  <c r="AE39" i="107" s="1"/>
  <c r="AD19" i="107"/>
  <c r="AD39" i="107" s="1"/>
  <c r="AC19" i="107"/>
  <c r="AC39" i="107" s="1"/>
  <c r="AB19" i="107"/>
  <c r="AB36" i="107" s="1"/>
  <c r="AA19" i="107"/>
  <c r="AA39" i="107" s="1"/>
  <c r="Z19" i="107"/>
  <c r="Z39" i="107" s="1"/>
  <c r="Y19" i="107"/>
  <c r="Y39" i="107" s="1"/>
  <c r="X19" i="107"/>
  <c r="X39" i="107" s="1"/>
  <c r="W19" i="107"/>
  <c r="W39" i="107" s="1"/>
  <c r="V19" i="107"/>
  <c r="V39" i="107" s="1"/>
  <c r="U19" i="107"/>
  <c r="U39" i="107" s="1"/>
  <c r="T19" i="107"/>
  <c r="T36" i="107" s="1"/>
  <c r="S19" i="107"/>
  <c r="S36" i="107" s="1"/>
  <c r="AF18" i="107"/>
  <c r="AE18" i="107"/>
  <c r="AD18" i="107"/>
  <c r="AC18" i="107"/>
  <c r="AB18" i="107"/>
  <c r="AA18" i="107"/>
  <c r="Z18" i="107"/>
  <c r="Y18" i="107"/>
  <c r="X18" i="107"/>
  <c r="W18" i="107"/>
  <c r="V18" i="107"/>
  <c r="U18" i="107"/>
  <c r="T18" i="107"/>
  <c r="S18" i="107"/>
  <c r="AF17" i="107"/>
  <c r="AE17" i="107"/>
  <c r="AD17" i="107"/>
  <c r="AC17" i="107"/>
  <c r="AB17" i="107"/>
  <c r="AA17" i="107"/>
  <c r="Z17" i="107"/>
  <c r="Y17" i="107"/>
  <c r="X17" i="107"/>
  <c r="W17" i="107"/>
  <c r="V17" i="107"/>
  <c r="U17" i="107"/>
  <c r="T17" i="107"/>
  <c r="S17" i="107"/>
  <c r="AF16" i="107"/>
  <c r="AE16" i="107"/>
  <c r="AD16" i="107"/>
  <c r="AC16" i="107"/>
  <c r="AB16" i="107"/>
  <c r="AA16" i="107"/>
  <c r="Z16" i="107"/>
  <c r="Y16" i="107"/>
  <c r="X16" i="107"/>
  <c r="W16" i="107"/>
  <c r="V16" i="107"/>
  <c r="U16" i="107"/>
  <c r="T16" i="107"/>
  <c r="S16" i="107"/>
  <c r="AF15" i="107"/>
  <c r="AE15" i="107"/>
  <c r="AD15" i="107"/>
  <c r="AC15" i="107"/>
  <c r="AB15" i="107"/>
  <c r="AA15" i="107"/>
  <c r="AA35" i="107" s="1"/>
  <c r="Z15" i="107"/>
  <c r="Y15" i="107"/>
  <c r="X15" i="107"/>
  <c r="W15" i="107"/>
  <c r="V15" i="107"/>
  <c r="U15" i="107"/>
  <c r="T15" i="107"/>
  <c r="S15" i="107"/>
  <c r="S35" i="107" s="1"/>
  <c r="AF14" i="107"/>
  <c r="AE14" i="107"/>
  <c r="AD14" i="107"/>
  <c r="AC14" i="107"/>
  <c r="AB14" i="107"/>
  <c r="AA14" i="107"/>
  <c r="Z14" i="107"/>
  <c r="Y14" i="107"/>
  <c r="Y38" i="107" s="1"/>
  <c r="X14" i="107"/>
  <c r="W14" i="107"/>
  <c r="V14" i="107"/>
  <c r="U14" i="107"/>
  <c r="T14" i="107"/>
  <c r="S14" i="107"/>
  <c r="AF13" i="107"/>
  <c r="AF38" i="107" s="1"/>
  <c r="AE13" i="107"/>
  <c r="AE38" i="107" s="1"/>
  <c r="AD13" i="107"/>
  <c r="AD38" i="107" s="1"/>
  <c r="AC13" i="107"/>
  <c r="AC38" i="107" s="1"/>
  <c r="AB13" i="107"/>
  <c r="AB38" i="107" s="1"/>
  <c r="AA13" i="107"/>
  <c r="AA38" i="107" s="1"/>
  <c r="Z13" i="107"/>
  <c r="Z35" i="107" s="1"/>
  <c r="Y13" i="107"/>
  <c r="Y35" i="107" s="1"/>
  <c r="X13" i="107"/>
  <c r="X38" i="107" s="1"/>
  <c r="W13" i="107"/>
  <c r="W38" i="107" s="1"/>
  <c r="V13" i="107"/>
  <c r="V38" i="107" s="1"/>
  <c r="U13" i="107"/>
  <c r="U38" i="107" s="1"/>
  <c r="T13" i="107"/>
  <c r="T38" i="107" s="1"/>
  <c r="S13" i="107"/>
  <c r="S38" i="107" s="1"/>
  <c r="AF12" i="107"/>
  <c r="AE12" i="107"/>
  <c r="AD12" i="107"/>
  <c r="AC12" i="107"/>
  <c r="AC40" i="107" s="1"/>
  <c r="AB12" i="107"/>
  <c r="AA12" i="107"/>
  <c r="Z12" i="107"/>
  <c r="Y12" i="107"/>
  <c r="X12" i="107"/>
  <c r="W12" i="107"/>
  <c r="V12" i="107"/>
  <c r="U12" i="107"/>
  <c r="U40" i="107" s="1"/>
  <c r="T12" i="107"/>
  <c r="S12" i="107"/>
  <c r="AF11" i="107"/>
  <c r="AE11" i="107"/>
  <c r="AD11" i="107"/>
  <c r="AC11" i="107"/>
  <c r="AB11" i="107"/>
  <c r="AA11" i="107"/>
  <c r="Z11" i="107"/>
  <c r="Y11" i="107"/>
  <c r="X11" i="107"/>
  <c r="W11" i="107"/>
  <c r="V11" i="107"/>
  <c r="U11" i="107"/>
  <c r="T11" i="107"/>
  <c r="S11" i="107"/>
  <c r="AF10" i="107"/>
  <c r="AF34" i="107" s="1"/>
  <c r="AE10" i="107"/>
  <c r="AE34" i="107" s="1"/>
  <c r="AD10" i="107"/>
  <c r="AC10" i="107"/>
  <c r="AB10" i="107"/>
  <c r="AB40" i="107" s="1"/>
  <c r="AA10" i="107"/>
  <c r="AA40" i="107" s="1"/>
  <c r="Z10" i="107"/>
  <c r="Z40" i="107" s="1"/>
  <c r="Y10" i="107"/>
  <c r="Y40" i="107" s="1"/>
  <c r="X10" i="107"/>
  <c r="X34" i="107" s="1"/>
  <c r="W10" i="107"/>
  <c r="W34" i="107" s="1"/>
  <c r="V10" i="107"/>
  <c r="U10" i="107"/>
  <c r="T10" i="107"/>
  <c r="T40" i="107" s="1"/>
  <c r="S10" i="107"/>
  <c r="S40" i="107" s="1"/>
  <c r="AE37" i="108"/>
  <c r="W37" i="108"/>
  <c r="AD33" i="108"/>
  <c r="AC33" i="108"/>
  <c r="AA33" i="108"/>
  <c r="Z33" i="108"/>
  <c r="X33" i="108"/>
  <c r="U33" i="108"/>
  <c r="S33" i="108"/>
  <c r="AF32" i="108"/>
  <c r="AE32" i="108"/>
  <c r="AD32" i="108"/>
  <c r="AB32" i="108"/>
  <c r="Y32" i="108"/>
  <c r="W32" i="108"/>
  <c r="V32" i="108"/>
  <c r="T32" i="108"/>
  <c r="AE31" i="108"/>
  <c r="AC31" i="108"/>
  <c r="AA31" i="108"/>
  <c r="Z31" i="108"/>
  <c r="X31" i="108"/>
  <c r="U31" i="108"/>
  <c r="S31" i="108"/>
  <c r="AF30" i="108"/>
  <c r="AE30" i="108"/>
  <c r="AD30" i="108"/>
  <c r="AB30" i="108"/>
  <c r="Y30" i="108"/>
  <c r="W30" i="108"/>
  <c r="V30" i="108"/>
  <c r="T30" i="108"/>
  <c r="AE29" i="108"/>
  <c r="AC29" i="108"/>
  <c r="AB29" i="108"/>
  <c r="AA29" i="108"/>
  <c r="Z29" i="108"/>
  <c r="X29" i="108"/>
  <c r="U29" i="108"/>
  <c r="S29" i="108"/>
  <c r="AF28" i="108"/>
  <c r="AE28" i="108"/>
  <c r="AD28" i="108"/>
  <c r="AB28" i="108"/>
  <c r="Y28" i="108"/>
  <c r="W28" i="108"/>
  <c r="V28" i="108"/>
  <c r="T28" i="108"/>
  <c r="AC27" i="108"/>
  <c r="AA27" i="108"/>
  <c r="Z27" i="108"/>
  <c r="X27" i="108"/>
  <c r="U27" i="108"/>
  <c r="S27" i="108"/>
  <c r="AF26" i="108"/>
  <c r="AE26" i="108"/>
  <c r="AD26" i="108"/>
  <c r="AC26" i="108"/>
  <c r="AB26" i="108"/>
  <c r="Y26" i="108"/>
  <c r="W26" i="108"/>
  <c r="V26" i="108"/>
  <c r="U26" i="108"/>
  <c r="T26" i="108"/>
  <c r="AF25" i="108"/>
  <c r="AC25" i="108"/>
  <c r="AA25" i="108"/>
  <c r="Z25" i="108"/>
  <c r="X25" i="108"/>
  <c r="U25" i="108"/>
  <c r="S25" i="108"/>
  <c r="AF24" i="108"/>
  <c r="AE24" i="108"/>
  <c r="AD24" i="108"/>
  <c r="AB24" i="108"/>
  <c r="Y24" i="108"/>
  <c r="X24" i="108"/>
  <c r="W24" i="108"/>
  <c r="V24" i="108"/>
  <c r="T24" i="108"/>
  <c r="AF23" i="108"/>
  <c r="AC23" i="108"/>
  <c r="AA23" i="108"/>
  <c r="Z23" i="108"/>
  <c r="X23" i="108"/>
  <c r="U23" i="108"/>
  <c r="S23" i="108"/>
  <c r="AF22" i="108"/>
  <c r="AE22" i="108"/>
  <c r="AD22" i="108"/>
  <c r="AB22" i="108"/>
  <c r="AA22" i="108"/>
  <c r="Y22" i="108"/>
  <c r="W22" i="108"/>
  <c r="V22" i="108"/>
  <c r="T22" i="108"/>
  <c r="S22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AF20" i="108"/>
  <c r="AE20" i="108"/>
  <c r="AD20" i="108"/>
  <c r="AC20" i="108"/>
  <c r="AC36" i="108" s="1"/>
  <c r="AB20" i="108"/>
  <c r="AA20" i="108"/>
  <c r="Z20" i="108"/>
  <c r="Y20" i="108"/>
  <c r="X20" i="108"/>
  <c r="W20" i="108"/>
  <c r="V20" i="108"/>
  <c r="U20" i="108"/>
  <c r="U36" i="108" s="1"/>
  <c r="T20" i="108"/>
  <c r="S20" i="108"/>
  <c r="AF19" i="108"/>
  <c r="AF39" i="108" s="1"/>
  <c r="AE19" i="108"/>
  <c r="AE39" i="108" s="1"/>
  <c r="AD19" i="108"/>
  <c r="AD39" i="108" s="1"/>
  <c r="AC19" i="108"/>
  <c r="AC39" i="108" s="1"/>
  <c r="AB19" i="108"/>
  <c r="AB36" i="108" s="1"/>
  <c r="AA19" i="108"/>
  <c r="AA36" i="108" s="1"/>
  <c r="Z19" i="108"/>
  <c r="Z39" i="108" s="1"/>
  <c r="Y19" i="108"/>
  <c r="Y39" i="108" s="1"/>
  <c r="X19" i="108"/>
  <c r="X39" i="108" s="1"/>
  <c r="W19" i="108"/>
  <c r="W39" i="108" s="1"/>
  <c r="V19" i="108"/>
  <c r="V39" i="108" s="1"/>
  <c r="U19" i="108"/>
  <c r="U39" i="108" s="1"/>
  <c r="T19" i="108"/>
  <c r="T36" i="108" s="1"/>
  <c r="S19" i="108"/>
  <c r="S39" i="108" s="1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AF15" i="108"/>
  <c r="AE15" i="108"/>
  <c r="AD15" i="108"/>
  <c r="AC15" i="108"/>
  <c r="AB15" i="108"/>
  <c r="AA15" i="108"/>
  <c r="AA35" i="108" s="1"/>
  <c r="Z15" i="108"/>
  <c r="Y15" i="108"/>
  <c r="X15" i="108"/>
  <c r="W15" i="108"/>
  <c r="V15" i="108"/>
  <c r="U15" i="108"/>
  <c r="T15" i="108"/>
  <c r="S15" i="108"/>
  <c r="S35" i="108" s="1"/>
  <c r="AF14" i="108"/>
  <c r="AE14" i="108"/>
  <c r="AD14" i="108"/>
  <c r="AC14" i="108"/>
  <c r="AB14" i="108"/>
  <c r="AA14" i="108"/>
  <c r="Z14" i="108"/>
  <c r="Y14" i="108"/>
  <c r="Y38" i="108" s="1"/>
  <c r="X14" i="108"/>
  <c r="W14" i="108"/>
  <c r="V14" i="108"/>
  <c r="U14" i="108"/>
  <c r="T14" i="108"/>
  <c r="S14" i="108"/>
  <c r="AF13" i="108"/>
  <c r="AF38" i="108" s="1"/>
  <c r="AE13" i="108"/>
  <c r="AE38" i="108" s="1"/>
  <c r="AD13" i="108"/>
  <c r="AD38" i="108" s="1"/>
  <c r="AC13" i="108"/>
  <c r="AC38" i="108" s="1"/>
  <c r="AB13" i="108"/>
  <c r="AB38" i="108" s="1"/>
  <c r="AA13" i="108"/>
  <c r="AA38" i="108" s="1"/>
  <c r="Z13" i="108"/>
  <c r="Z35" i="108" s="1"/>
  <c r="Y13" i="108"/>
  <c r="Y35" i="108" s="1"/>
  <c r="X13" i="108"/>
  <c r="X38" i="108" s="1"/>
  <c r="W13" i="108"/>
  <c r="W38" i="108" s="1"/>
  <c r="V13" i="108"/>
  <c r="V38" i="108" s="1"/>
  <c r="U13" i="108"/>
  <c r="U38" i="108" s="1"/>
  <c r="T13" i="108"/>
  <c r="T38" i="108" s="1"/>
  <c r="S13" i="108"/>
  <c r="S38" i="108" s="1"/>
  <c r="AF12" i="108"/>
  <c r="AE12" i="108"/>
  <c r="AD12" i="108"/>
  <c r="AC12" i="108"/>
  <c r="AC40" i="108" s="1"/>
  <c r="AB12" i="108"/>
  <c r="AA12" i="108"/>
  <c r="Z12" i="108"/>
  <c r="Y12" i="108"/>
  <c r="X12" i="108"/>
  <c r="W12" i="108"/>
  <c r="V12" i="108"/>
  <c r="U12" i="108"/>
  <c r="U40" i="108" s="1"/>
  <c r="T12" i="108"/>
  <c r="S12" i="108"/>
  <c r="AF11" i="108"/>
  <c r="AE11" i="108"/>
  <c r="AD11" i="108"/>
  <c r="AC11" i="108"/>
  <c r="AB11" i="108"/>
  <c r="AA11" i="108"/>
  <c r="Z11" i="108"/>
  <c r="Y11" i="108"/>
  <c r="X11" i="108"/>
  <c r="W11" i="108"/>
  <c r="V11" i="108"/>
  <c r="U11" i="108"/>
  <c r="T11" i="108"/>
  <c r="S11" i="108"/>
  <c r="AF10" i="108"/>
  <c r="AF34" i="108" s="1"/>
  <c r="AE10" i="108"/>
  <c r="AE34" i="108" s="1"/>
  <c r="AD10" i="108"/>
  <c r="AC10" i="108"/>
  <c r="AB10" i="108"/>
  <c r="AB40" i="108" s="1"/>
  <c r="AA10" i="108"/>
  <c r="AA40" i="108" s="1"/>
  <c r="Z10" i="108"/>
  <c r="Z40" i="108" s="1"/>
  <c r="Y10" i="108"/>
  <c r="Y34" i="108" s="1"/>
  <c r="X10" i="108"/>
  <c r="X34" i="108" s="1"/>
  <c r="W10" i="108"/>
  <c r="W34" i="108" s="1"/>
  <c r="V10" i="108"/>
  <c r="U10" i="108"/>
  <c r="T10" i="108"/>
  <c r="T40" i="108" s="1"/>
  <c r="S10" i="108"/>
  <c r="S40" i="108" s="1"/>
  <c r="AC33" i="111"/>
  <c r="AC31" i="111"/>
  <c r="Z31" i="111"/>
  <c r="Y30" i="111"/>
  <c r="T30" i="111"/>
  <c r="Z29" i="111"/>
  <c r="V28" i="111"/>
  <c r="AC27" i="111"/>
  <c r="AA27" i="111"/>
  <c r="Z27" i="111"/>
  <c r="X27" i="111"/>
  <c r="AD26" i="111"/>
  <c r="AB26" i="111"/>
  <c r="V26" i="111"/>
  <c r="Z25" i="111"/>
  <c r="U25" i="111"/>
  <c r="AD24" i="111"/>
  <c r="AB24" i="111"/>
  <c r="Y24" i="111"/>
  <c r="W24" i="111"/>
  <c r="U23" i="111"/>
  <c r="AD22" i="111"/>
  <c r="Y22" i="111"/>
  <c r="W22" i="111"/>
  <c r="T22" i="111"/>
  <c r="O106" i="107"/>
  <c r="N106" i="107"/>
  <c r="F106" i="107"/>
  <c r="O106" i="108"/>
  <c r="K106" i="108"/>
  <c r="H106" i="108"/>
  <c r="AA23" i="111" l="1"/>
  <c r="AC23" i="111"/>
  <c r="AD33" i="111"/>
  <c r="V33" i="111"/>
  <c r="AB29" i="111"/>
  <c r="T29" i="111"/>
  <c r="Z28" i="111"/>
  <c r="X24" i="111"/>
  <c r="AA22" i="111"/>
  <c r="AB32" i="111"/>
  <c r="S29" i="111"/>
  <c r="AA33" i="111"/>
  <c r="AF23" i="107"/>
  <c r="W27" i="111"/>
  <c r="G106" i="107"/>
  <c r="AA22" i="107"/>
  <c r="T32" i="111"/>
  <c r="X29" i="111"/>
  <c r="H106" i="107"/>
  <c r="O105" i="111"/>
  <c r="W28" i="111"/>
  <c r="AA31" i="111"/>
  <c r="AC22" i="107"/>
  <c r="AC41" i="107" s="1"/>
  <c r="AC42" i="107" s="1"/>
  <c r="Y23" i="107"/>
  <c r="O78" i="111"/>
  <c r="X31" i="111"/>
  <c r="U22" i="107"/>
  <c r="U41" i="107" s="1"/>
  <c r="U42" i="107" s="1"/>
  <c r="V41" i="107"/>
  <c r="AD41" i="107"/>
  <c r="W30" i="111"/>
  <c r="D106" i="107"/>
  <c r="L106" i="107"/>
  <c r="O87" i="111"/>
  <c r="X33" i="111"/>
  <c r="AB30" i="111"/>
  <c r="S33" i="111"/>
  <c r="C96" i="111"/>
  <c r="O96" i="111" s="1"/>
  <c r="O67" i="111"/>
  <c r="S23" i="107"/>
  <c r="S27" i="107"/>
  <c r="C64" i="111"/>
  <c r="S23" i="111" s="1"/>
  <c r="C71" i="111"/>
  <c r="S25" i="111" s="1"/>
  <c r="S27" i="111"/>
  <c r="T33" i="108"/>
  <c r="D103" i="111"/>
  <c r="T33" i="111" s="1"/>
  <c r="G102" i="111"/>
  <c r="W33" i="111" s="1"/>
  <c r="W33" i="108"/>
  <c r="Z32" i="108"/>
  <c r="J101" i="111"/>
  <c r="Z32" i="111" s="1"/>
  <c r="M100" i="111"/>
  <c r="AC32" i="108"/>
  <c r="AC41" i="108" s="1"/>
  <c r="AC42" i="108" s="1"/>
  <c r="E100" i="111"/>
  <c r="U32" i="111" s="1"/>
  <c r="U32" i="108"/>
  <c r="X32" i="108"/>
  <c r="H99" i="111"/>
  <c r="X32" i="111" s="1"/>
  <c r="AA32" i="108"/>
  <c r="K98" i="111"/>
  <c r="AA32" i="111" s="1"/>
  <c r="AD31" i="108"/>
  <c r="N97" i="111"/>
  <c r="AD31" i="111" s="1"/>
  <c r="V31" i="108"/>
  <c r="F97" i="111"/>
  <c r="V31" i="111" s="1"/>
  <c r="Y31" i="111"/>
  <c r="Z30" i="108"/>
  <c r="J93" i="111"/>
  <c r="Z30" i="111" s="1"/>
  <c r="AC30" i="108"/>
  <c r="M92" i="111"/>
  <c r="AC30" i="111" s="1"/>
  <c r="U30" i="108"/>
  <c r="E92" i="111"/>
  <c r="U30" i="111" s="1"/>
  <c r="H91" i="111"/>
  <c r="X30" i="111" s="1"/>
  <c r="X30" i="108"/>
  <c r="AA30" i="108"/>
  <c r="K90" i="111"/>
  <c r="AA30" i="111" s="1"/>
  <c r="N89" i="111"/>
  <c r="AD29" i="111" s="1"/>
  <c r="AD29" i="108"/>
  <c r="F89" i="111"/>
  <c r="V29" i="111" s="1"/>
  <c r="V29" i="108"/>
  <c r="V41" i="108" s="1"/>
  <c r="Y29" i="108"/>
  <c r="I88" i="111"/>
  <c r="Y29" i="111" s="1"/>
  <c r="W29" i="108"/>
  <c r="G86" i="111"/>
  <c r="W29" i="111" s="1"/>
  <c r="AC28" i="108"/>
  <c r="M84" i="111"/>
  <c r="AC28" i="111" s="1"/>
  <c r="U28" i="108"/>
  <c r="E84" i="111"/>
  <c r="U28" i="111" s="1"/>
  <c r="X28" i="108"/>
  <c r="H83" i="111"/>
  <c r="X28" i="111" s="1"/>
  <c r="K82" i="111"/>
  <c r="AA28" i="111" s="1"/>
  <c r="AA28" i="108"/>
  <c r="AD27" i="108"/>
  <c r="N81" i="111"/>
  <c r="AD27" i="111" s="1"/>
  <c r="V27" i="108"/>
  <c r="F81" i="111"/>
  <c r="V27" i="111" s="1"/>
  <c r="I80" i="111"/>
  <c r="Y27" i="111" s="1"/>
  <c r="Y27" i="108"/>
  <c r="AB27" i="108"/>
  <c r="L79" i="111"/>
  <c r="AB27" i="111" s="1"/>
  <c r="T27" i="108"/>
  <c r="D79" i="111"/>
  <c r="T27" i="111" s="1"/>
  <c r="Z26" i="108"/>
  <c r="J77" i="111"/>
  <c r="Z26" i="111" s="1"/>
  <c r="AC26" i="111"/>
  <c r="U26" i="111"/>
  <c r="X26" i="108"/>
  <c r="H75" i="111"/>
  <c r="X26" i="111" s="1"/>
  <c r="AA26" i="108"/>
  <c r="K74" i="111"/>
  <c r="AA26" i="111" s="1"/>
  <c r="AD25" i="108"/>
  <c r="AD41" i="108" s="1"/>
  <c r="N73" i="111"/>
  <c r="AD25" i="111" s="1"/>
  <c r="V25" i="108"/>
  <c r="F73" i="111"/>
  <c r="V25" i="111" s="1"/>
  <c r="Y25" i="108"/>
  <c r="I72" i="111"/>
  <c r="Y25" i="111" s="1"/>
  <c r="L71" i="111"/>
  <c r="AB25" i="111" s="1"/>
  <c r="AB25" i="108"/>
  <c r="D71" i="111"/>
  <c r="T25" i="111" s="1"/>
  <c r="T25" i="108"/>
  <c r="W25" i="108"/>
  <c r="W41" i="108" s="1"/>
  <c r="W42" i="108" s="1"/>
  <c r="G70" i="111"/>
  <c r="W25" i="111" s="1"/>
  <c r="J69" i="111"/>
  <c r="Z24" i="111" s="1"/>
  <c r="Z24" i="108"/>
  <c r="AC24" i="108"/>
  <c r="M68" i="111"/>
  <c r="AC24" i="111" s="1"/>
  <c r="U24" i="108"/>
  <c r="U41" i="108" s="1"/>
  <c r="U42" i="108" s="1"/>
  <c r="E68" i="111"/>
  <c r="U24" i="111" s="1"/>
  <c r="AA24" i="108"/>
  <c r="K66" i="111"/>
  <c r="AA24" i="111" s="1"/>
  <c r="N65" i="111"/>
  <c r="AD23" i="108"/>
  <c r="F65" i="111"/>
  <c r="V23" i="108"/>
  <c r="Y23" i="108"/>
  <c r="I64" i="111"/>
  <c r="AB23" i="108"/>
  <c r="L63" i="111"/>
  <c r="AB23" i="111" s="1"/>
  <c r="T23" i="108"/>
  <c r="D63" i="111"/>
  <c r="T23" i="111" s="1"/>
  <c r="G62" i="111"/>
  <c r="O62" i="111" s="1"/>
  <c r="W23" i="108"/>
  <c r="Z22" i="108"/>
  <c r="Z41" i="108" s="1"/>
  <c r="Z42" i="108" s="1"/>
  <c r="J61" i="111"/>
  <c r="Z22" i="111" s="1"/>
  <c r="M60" i="111"/>
  <c r="AC22" i="111" s="1"/>
  <c r="AC22" i="108"/>
  <c r="E60" i="111"/>
  <c r="U22" i="111" s="1"/>
  <c r="U22" i="108"/>
  <c r="X22" i="108"/>
  <c r="H59" i="111"/>
  <c r="W31" i="108"/>
  <c r="G94" i="111"/>
  <c r="W31" i="111" s="1"/>
  <c r="L106" i="108"/>
  <c r="Z28" i="108"/>
  <c r="T31" i="108"/>
  <c r="D95" i="111"/>
  <c r="T31" i="111" s="1"/>
  <c r="E106" i="108"/>
  <c r="M106" i="108"/>
  <c r="AB31" i="108"/>
  <c r="L95" i="111"/>
  <c r="AB31" i="111" s="1"/>
  <c r="F106" i="108"/>
  <c r="N106" i="108"/>
  <c r="Y31" i="108"/>
  <c r="V33" i="108"/>
  <c r="O75" i="111"/>
  <c r="AB33" i="108"/>
  <c r="L103" i="111"/>
  <c r="AB33" i="111" s="1"/>
  <c r="O99" i="111"/>
  <c r="G106" i="108"/>
  <c r="O59" i="111"/>
  <c r="Y33" i="108"/>
  <c r="I104" i="111"/>
  <c r="Y33" i="111" s="1"/>
  <c r="I106" i="108"/>
  <c r="W27" i="108"/>
  <c r="AC32" i="111"/>
  <c r="O83" i="111"/>
  <c r="J106" i="108"/>
  <c r="T29" i="108"/>
  <c r="P59" i="111"/>
  <c r="O85" i="111"/>
  <c r="O76" i="111"/>
  <c r="P67" i="111"/>
  <c r="O102" i="111"/>
  <c r="O93" i="111"/>
  <c r="P75" i="111"/>
  <c r="O101" i="111"/>
  <c r="O92" i="111"/>
  <c r="P83" i="111"/>
  <c r="O81" i="111"/>
  <c r="O72" i="111"/>
  <c r="P58" i="111"/>
  <c r="O88" i="111"/>
  <c r="O79" i="111"/>
  <c r="S32" i="111"/>
  <c r="P98" i="111"/>
  <c r="O98" i="111"/>
  <c r="S28" i="111"/>
  <c r="P82" i="111"/>
  <c r="P105" i="111"/>
  <c r="S24" i="108"/>
  <c r="S28" i="108"/>
  <c r="S41" i="108" s="1"/>
  <c r="S42" i="108" s="1"/>
  <c r="S32" i="108"/>
  <c r="C90" i="111"/>
  <c r="C74" i="111"/>
  <c r="C66" i="111"/>
  <c r="P96" i="111"/>
  <c r="P88" i="111"/>
  <c r="P72" i="111"/>
  <c r="P87" i="111"/>
  <c r="P79" i="111"/>
  <c r="P102" i="111"/>
  <c r="P86" i="111"/>
  <c r="P78" i="111"/>
  <c r="P70" i="111"/>
  <c r="P62" i="111"/>
  <c r="P101" i="111"/>
  <c r="P93" i="111"/>
  <c r="P85" i="111"/>
  <c r="P84" i="111"/>
  <c r="P76" i="111"/>
  <c r="S22" i="111"/>
  <c r="O58" i="111"/>
  <c r="W23" i="111"/>
  <c r="Y23" i="111"/>
  <c r="X22" i="111"/>
  <c r="Z34" i="107"/>
  <c r="T35" i="107"/>
  <c r="AB35" i="107"/>
  <c r="V36" i="107"/>
  <c r="AD36" i="107"/>
  <c r="X37" i="107"/>
  <c r="AF37" i="107"/>
  <c r="Z38" i="107"/>
  <c r="T39" i="107"/>
  <c r="AB39" i="107"/>
  <c r="V40" i="107"/>
  <c r="V42" i="107" s="1"/>
  <c r="AD40" i="107"/>
  <c r="X41" i="107"/>
  <c r="X42" i="107" s="1"/>
  <c r="AF41" i="107"/>
  <c r="AF42" i="107" s="1"/>
  <c r="AE41" i="107"/>
  <c r="S34" i="107"/>
  <c r="AA34" i="107"/>
  <c r="U35" i="107"/>
  <c r="AC35" i="107"/>
  <c r="W36" i="107"/>
  <c r="AE36" i="107"/>
  <c r="Y37" i="107"/>
  <c r="W40" i="107"/>
  <c r="AE40" i="107"/>
  <c r="Y41" i="107"/>
  <c r="Y42" i="107" s="1"/>
  <c r="W41" i="107"/>
  <c r="T34" i="107"/>
  <c r="AB34" i="107"/>
  <c r="V35" i="107"/>
  <c r="AD35" i="107"/>
  <c r="X36" i="107"/>
  <c r="AF36" i="107"/>
  <c r="Z37" i="107"/>
  <c r="X40" i="107"/>
  <c r="AF40" i="107"/>
  <c r="Z41" i="107"/>
  <c r="Z42" i="107" s="1"/>
  <c r="Y34" i="107"/>
  <c r="U34" i="107"/>
  <c r="AC34" i="107"/>
  <c r="W35" i="107"/>
  <c r="AE35" i="107"/>
  <c r="Y36" i="107"/>
  <c r="S37" i="107"/>
  <c r="AA37" i="107"/>
  <c r="S41" i="107"/>
  <c r="S42" i="107" s="1"/>
  <c r="AA41" i="107"/>
  <c r="AA42" i="107" s="1"/>
  <c r="S39" i="107"/>
  <c r="V34" i="107"/>
  <c r="AD34" i="107"/>
  <c r="X35" i="107"/>
  <c r="AF35" i="107"/>
  <c r="Z36" i="107"/>
  <c r="T37" i="107"/>
  <c r="AB37" i="107"/>
  <c r="T41" i="107"/>
  <c r="T42" i="107" s="1"/>
  <c r="AB41" i="107"/>
  <c r="AB42" i="107" s="1"/>
  <c r="AA36" i="107"/>
  <c r="U37" i="107"/>
  <c r="AC37" i="107"/>
  <c r="V37" i="107"/>
  <c r="AD37" i="107"/>
  <c r="Z34" i="108"/>
  <c r="T35" i="108"/>
  <c r="AB35" i="108"/>
  <c r="V36" i="108"/>
  <c r="AD36" i="108"/>
  <c r="X37" i="108"/>
  <c r="AF37" i="108"/>
  <c r="Z38" i="108"/>
  <c r="T39" i="108"/>
  <c r="AB39" i="108"/>
  <c r="V40" i="108"/>
  <c r="AD40" i="108"/>
  <c r="X41" i="108"/>
  <c r="X42" i="108" s="1"/>
  <c r="AF41" i="108"/>
  <c r="AE41" i="108"/>
  <c r="S34" i="108"/>
  <c r="AA34" i="108"/>
  <c r="U35" i="108"/>
  <c r="AC35" i="108"/>
  <c r="W36" i="108"/>
  <c r="AE36" i="108"/>
  <c r="Y37" i="108"/>
  <c r="W40" i="108"/>
  <c r="AE40" i="108"/>
  <c r="Y41" i="108"/>
  <c r="T34" i="108"/>
  <c r="AB34" i="108"/>
  <c r="V35" i="108"/>
  <c r="AD35" i="108"/>
  <c r="X36" i="108"/>
  <c r="AF36" i="108"/>
  <c r="Z37" i="108"/>
  <c r="X40" i="108"/>
  <c r="AF40" i="108"/>
  <c r="U34" i="108"/>
  <c r="AC34" i="108"/>
  <c r="W35" i="108"/>
  <c r="AE35" i="108"/>
  <c r="Y36" i="108"/>
  <c r="S37" i="108"/>
  <c r="AA37" i="108"/>
  <c r="Y40" i="108"/>
  <c r="AA41" i="108"/>
  <c r="AA42" i="108" s="1"/>
  <c r="AA39" i="108"/>
  <c r="V34" i="108"/>
  <c r="AD34" i="108"/>
  <c r="X35" i="108"/>
  <c r="AF35" i="108"/>
  <c r="Z36" i="108"/>
  <c r="T37" i="108"/>
  <c r="AB37" i="108"/>
  <c r="T41" i="108"/>
  <c r="T42" i="108" s="1"/>
  <c r="AB41" i="108"/>
  <c r="AB42" i="108" s="1"/>
  <c r="S36" i="108"/>
  <c r="U37" i="108"/>
  <c r="AC37" i="108"/>
  <c r="V37" i="108"/>
  <c r="AD37" i="108"/>
  <c r="C11" i="108"/>
  <c r="D11" i="108"/>
  <c r="E11" i="108"/>
  <c r="F11" i="108"/>
  <c r="G11" i="108"/>
  <c r="H11" i="108"/>
  <c r="I11" i="108"/>
  <c r="J11" i="108"/>
  <c r="K11" i="108"/>
  <c r="L11" i="108"/>
  <c r="M11" i="108"/>
  <c r="N11" i="108"/>
  <c r="C12" i="108"/>
  <c r="D12" i="108"/>
  <c r="E12" i="108"/>
  <c r="F12" i="108"/>
  <c r="G12" i="108"/>
  <c r="H12" i="108"/>
  <c r="I12" i="108"/>
  <c r="J12" i="108"/>
  <c r="K12" i="108"/>
  <c r="L12" i="108"/>
  <c r="M12" i="108"/>
  <c r="N12" i="108"/>
  <c r="C13" i="108"/>
  <c r="D13" i="108"/>
  <c r="E13" i="108"/>
  <c r="F13" i="108"/>
  <c r="G13" i="108"/>
  <c r="H13" i="108"/>
  <c r="I13" i="108"/>
  <c r="J13" i="108"/>
  <c r="K13" i="108"/>
  <c r="L13" i="108"/>
  <c r="M13" i="108"/>
  <c r="N13" i="108"/>
  <c r="C14" i="108"/>
  <c r="D14" i="108"/>
  <c r="E14" i="108"/>
  <c r="F14" i="108"/>
  <c r="G14" i="108"/>
  <c r="H14" i="108"/>
  <c r="I14" i="108"/>
  <c r="J14" i="108"/>
  <c r="K14" i="108"/>
  <c r="L14" i="108"/>
  <c r="M14" i="108"/>
  <c r="N14" i="108"/>
  <c r="C15" i="108"/>
  <c r="D15" i="108"/>
  <c r="E15" i="108"/>
  <c r="F15" i="108"/>
  <c r="G15" i="108"/>
  <c r="H15" i="108"/>
  <c r="I15" i="108"/>
  <c r="J15" i="108"/>
  <c r="K15" i="108"/>
  <c r="L15" i="108"/>
  <c r="M15" i="108"/>
  <c r="N15" i="108"/>
  <c r="C16" i="108"/>
  <c r="D16" i="108"/>
  <c r="E16" i="108"/>
  <c r="F16" i="108"/>
  <c r="G16" i="108"/>
  <c r="H16" i="108"/>
  <c r="I16" i="108"/>
  <c r="J16" i="108"/>
  <c r="K16" i="108"/>
  <c r="L16" i="108"/>
  <c r="M16" i="108"/>
  <c r="N16" i="108"/>
  <c r="C17" i="108"/>
  <c r="D17" i="108"/>
  <c r="E17" i="108"/>
  <c r="F17" i="108"/>
  <c r="G17" i="108"/>
  <c r="H17" i="108"/>
  <c r="I17" i="108"/>
  <c r="J17" i="108"/>
  <c r="K17" i="108"/>
  <c r="L17" i="108"/>
  <c r="M17" i="108"/>
  <c r="N17" i="108"/>
  <c r="C18" i="108"/>
  <c r="D18" i="108"/>
  <c r="E18" i="108"/>
  <c r="F18" i="108"/>
  <c r="G18" i="108"/>
  <c r="H18" i="108"/>
  <c r="I18" i="108"/>
  <c r="J18" i="108"/>
  <c r="K18" i="108"/>
  <c r="L18" i="108"/>
  <c r="M18" i="108"/>
  <c r="N18" i="108"/>
  <c r="C19" i="108"/>
  <c r="D19" i="108"/>
  <c r="E19" i="108"/>
  <c r="F19" i="108"/>
  <c r="G19" i="108"/>
  <c r="H19" i="108"/>
  <c r="I19" i="108"/>
  <c r="J19" i="108"/>
  <c r="K19" i="108"/>
  <c r="L19" i="108"/>
  <c r="M19" i="108"/>
  <c r="N19" i="108"/>
  <c r="C20" i="108"/>
  <c r="D20" i="108"/>
  <c r="E20" i="108"/>
  <c r="F20" i="108"/>
  <c r="G20" i="108"/>
  <c r="H20" i="108"/>
  <c r="I20" i="108"/>
  <c r="J20" i="108"/>
  <c r="K20" i="108"/>
  <c r="L20" i="108"/>
  <c r="M20" i="108"/>
  <c r="N20" i="108"/>
  <c r="C21" i="108"/>
  <c r="D21" i="108"/>
  <c r="E21" i="108"/>
  <c r="F21" i="108"/>
  <c r="G21" i="108"/>
  <c r="H21" i="108"/>
  <c r="I21" i="108"/>
  <c r="J21" i="108"/>
  <c r="K21" i="108"/>
  <c r="L21" i="108"/>
  <c r="M21" i="108"/>
  <c r="N21" i="108"/>
  <c r="C22" i="108"/>
  <c r="D22" i="108"/>
  <c r="E22" i="108"/>
  <c r="F22" i="108"/>
  <c r="G22" i="108"/>
  <c r="H22" i="108"/>
  <c r="I22" i="108"/>
  <c r="J22" i="108"/>
  <c r="K22" i="108"/>
  <c r="L22" i="108"/>
  <c r="M22" i="108"/>
  <c r="N22" i="108"/>
  <c r="C23" i="108"/>
  <c r="D23" i="108"/>
  <c r="E23" i="108"/>
  <c r="F23" i="108"/>
  <c r="G23" i="108"/>
  <c r="H23" i="108"/>
  <c r="I23" i="108"/>
  <c r="J23" i="108"/>
  <c r="K23" i="108"/>
  <c r="L23" i="108"/>
  <c r="M23" i="108"/>
  <c r="N23" i="108"/>
  <c r="C24" i="108"/>
  <c r="D24" i="108"/>
  <c r="E24" i="108"/>
  <c r="F24" i="108"/>
  <c r="G24" i="108"/>
  <c r="H24" i="108"/>
  <c r="I24" i="108"/>
  <c r="J24" i="108"/>
  <c r="K24" i="108"/>
  <c r="L24" i="108"/>
  <c r="M24" i="108"/>
  <c r="N24" i="108"/>
  <c r="C25" i="108"/>
  <c r="D25" i="108"/>
  <c r="E25" i="108"/>
  <c r="F25" i="108"/>
  <c r="G25" i="108"/>
  <c r="H25" i="108"/>
  <c r="I25" i="108"/>
  <c r="J25" i="108"/>
  <c r="K25" i="108"/>
  <c r="L25" i="108"/>
  <c r="M25" i="108"/>
  <c r="N25" i="108"/>
  <c r="C26" i="108"/>
  <c r="D26" i="108"/>
  <c r="E26" i="108"/>
  <c r="F26" i="108"/>
  <c r="G26" i="108"/>
  <c r="H26" i="108"/>
  <c r="I26" i="108"/>
  <c r="J26" i="108"/>
  <c r="K26" i="108"/>
  <c r="L26" i="108"/>
  <c r="M26" i="108"/>
  <c r="N26" i="108"/>
  <c r="C27" i="108"/>
  <c r="D27" i="108"/>
  <c r="E27" i="108"/>
  <c r="F27" i="108"/>
  <c r="G27" i="108"/>
  <c r="H27" i="108"/>
  <c r="I27" i="108"/>
  <c r="J27" i="108"/>
  <c r="K27" i="108"/>
  <c r="L27" i="108"/>
  <c r="M27" i="108"/>
  <c r="N27" i="108"/>
  <c r="C28" i="108"/>
  <c r="D28" i="108"/>
  <c r="E28" i="108"/>
  <c r="F28" i="108"/>
  <c r="G28" i="108"/>
  <c r="H28" i="108"/>
  <c r="I28" i="108"/>
  <c r="J28" i="108"/>
  <c r="K28" i="108"/>
  <c r="L28" i="108"/>
  <c r="M28" i="108"/>
  <c r="N28" i="108"/>
  <c r="C29" i="108"/>
  <c r="D29" i="108"/>
  <c r="E29" i="108"/>
  <c r="F29" i="108"/>
  <c r="G29" i="108"/>
  <c r="H29" i="108"/>
  <c r="I29" i="108"/>
  <c r="J29" i="108"/>
  <c r="K29" i="108"/>
  <c r="L29" i="108"/>
  <c r="M29" i="108"/>
  <c r="N29" i="108"/>
  <c r="C30" i="108"/>
  <c r="D30" i="108"/>
  <c r="E30" i="108"/>
  <c r="F30" i="108"/>
  <c r="G30" i="108"/>
  <c r="H30" i="108"/>
  <c r="I30" i="108"/>
  <c r="J30" i="108"/>
  <c r="K30" i="108"/>
  <c r="L30" i="108"/>
  <c r="M30" i="108"/>
  <c r="N30" i="108"/>
  <c r="C31" i="108"/>
  <c r="D31" i="108"/>
  <c r="E31" i="108"/>
  <c r="F31" i="108"/>
  <c r="G31" i="108"/>
  <c r="H31" i="108"/>
  <c r="I31" i="108"/>
  <c r="J31" i="108"/>
  <c r="K31" i="108"/>
  <c r="L31" i="108"/>
  <c r="M31" i="108"/>
  <c r="N31" i="108"/>
  <c r="C32" i="108"/>
  <c r="D32" i="108"/>
  <c r="E32" i="108"/>
  <c r="F32" i="108"/>
  <c r="G32" i="108"/>
  <c r="H32" i="108"/>
  <c r="I32" i="108"/>
  <c r="J32" i="108"/>
  <c r="K32" i="108"/>
  <c r="L32" i="108"/>
  <c r="M32" i="108"/>
  <c r="N32" i="108"/>
  <c r="C33" i="108"/>
  <c r="D33" i="108"/>
  <c r="E33" i="108"/>
  <c r="F33" i="108"/>
  <c r="G33" i="108"/>
  <c r="H33" i="108"/>
  <c r="I33" i="108"/>
  <c r="J33" i="108"/>
  <c r="K33" i="108"/>
  <c r="L33" i="108"/>
  <c r="M33" i="108"/>
  <c r="N33" i="108"/>
  <c r="C34" i="108"/>
  <c r="D34" i="108"/>
  <c r="E34" i="108"/>
  <c r="F34" i="108"/>
  <c r="G34" i="108"/>
  <c r="H34" i="108"/>
  <c r="I34" i="108"/>
  <c r="J34" i="108"/>
  <c r="K34" i="108"/>
  <c r="L34" i="108"/>
  <c r="M34" i="108"/>
  <c r="N34" i="108"/>
  <c r="C35" i="108"/>
  <c r="D35" i="108"/>
  <c r="E35" i="108"/>
  <c r="F35" i="108"/>
  <c r="G35" i="108"/>
  <c r="H35" i="108"/>
  <c r="I35" i="108"/>
  <c r="J35" i="108"/>
  <c r="K35" i="108"/>
  <c r="L35" i="108"/>
  <c r="M35" i="108"/>
  <c r="N35" i="108"/>
  <c r="C36" i="108"/>
  <c r="D36" i="108"/>
  <c r="E36" i="108"/>
  <c r="F36" i="108"/>
  <c r="G36" i="108"/>
  <c r="H36" i="108"/>
  <c r="I36" i="108"/>
  <c r="J36" i="108"/>
  <c r="K36" i="108"/>
  <c r="L36" i="108"/>
  <c r="M36" i="108"/>
  <c r="N36" i="108"/>
  <c r="C37" i="108"/>
  <c r="D37" i="108"/>
  <c r="E37" i="108"/>
  <c r="F37" i="108"/>
  <c r="G37" i="108"/>
  <c r="H37" i="108"/>
  <c r="I37" i="108"/>
  <c r="J37" i="108"/>
  <c r="K37" i="108"/>
  <c r="L37" i="108"/>
  <c r="M37" i="108"/>
  <c r="N37" i="108"/>
  <c r="C38" i="108"/>
  <c r="D38" i="108"/>
  <c r="E38" i="108"/>
  <c r="F38" i="108"/>
  <c r="G38" i="108"/>
  <c r="H38" i="108"/>
  <c r="I38" i="108"/>
  <c r="J38" i="108"/>
  <c r="K38" i="108"/>
  <c r="L38" i="108"/>
  <c r="M38" i="108"/>
  <c r="N38" i="108"/>
  <c r="C39" i="108"/>
  <c r="D39" i="108"/>
  <c r="E39" i="108"/>
  <c r="F39" i="108"/>
  <c r="G39" i="108"/>
  <c r="H39" i="108"/>
  <c r="I39" i="108"/>
  <c r="J39" i="108"/>
  <c r="K39" i="108"/>
  <c r="L39" i="108"/>
  <c r="M39" i="108"/>
  <c r="N39" i="108"/>
  <c r="C40" i="108"/>
  <c r="D40" i="108"/>
  <c r="E40" i="108"/>
  <c r="F40" i="108"/>
  <c r="G40" i="108"/>
  <c r="H40" i="108"/>
  <c r="I40" i="108"/>
  <c r="J40" i="108"/>
  <c r="K40" i="108"/>
  <c r="L40" i="108"/>
  <c r="M40" i="108"/>
  <c r="N40" i="108"/>
  <c r="C41" i="108"/>
  <c r="D41" i="108"/>
  <c r="E41" i="108"/>
  <c r="F41" i="108"/>
  <c r="G41" i="108"/>
  <c r="H41" i="108"/>
  <c r="I41" i="108"/>
  <c r="J41" i="108"/>
  <c r="K41" i="108"/>
  <c r="L41" i="108"/>
  <c r="M41" i="108"/>
  <c r="N41" i="108"/>
  <c r="C42" i="108"/>
  <c r="D42" i="108"/>
  <c r="E42" i="108"/>
  <c r="F42" i="108"/>
  <c r="G42" i="108"/>
  <c r="H42" i="108"/>
  <c r="I42" i="108"/>
  <c r="J42" i="108"/>
  <c r="K42" i="108"/>
  <c r="L42" i="108"/>
  <c r="M42" i="108"/>
  <c r="N42" i="108"/>
  <c r="C43" i="108"/>
  <c r="D43" i="108"/>
  <c r="E43" i="108"/>
  <c r="F43" i="108"/>
  <c r="G43" i="108"/>
  <c r="H43" i="108"/>
  <c r="I43" i="108"/>
  <c r="J43" i="108"/>
  <c r="K43" i="108"/>
  <c r="L43" i="108"/>
  <c r="M43" i="108"/>
  <c r="N43" i="108"/>
  <c r="C44" i="108"/>
  <c r="D44" i="108"/>
  <c r="E44" i="108"/>
  <c r="F44" i="108"/>
  <c r="G44" i="108"/>
  <c r="H44" i="108"/>
  <c r="I44" i="108"/>
  <c r="J44" i="108"/>
  <c r="K44" i="108"/>
  <c r="L44" i="108"/>
  <c r="M44" i="108"/>
  <c r="N44" i="108"/>
  <c r="C45" i="108"/>
  <c r="D45" i="108"/>
  <c r="E45" i="108"/>
  <c r="F45" i="108"/>
  <c r="G45" i="108"/>
  <c r="H45" i="108"/>
  <c r="I45" i="108"/>
  <c r="J45" i="108"/>
  <c r="K45" i="108"/>
  <c r="L45" i="108"/>
  <c r="M45" i="108"/>
  <c r="N45" i="108"/>
  <c r="C46" i="108"/>
  <c r="D46" i="108"/>
  <c r="E46" i="108"/>
  <c r="F46" i="108"/>
  <c r="G46" i="108"/>
  <c r="H46" i="108"/>
  <c r="I46" i="108"/>
  <c r="J46" i="108"/>
  <c r="K46" i="108"/>
  <c r="L46" i="108"/>
  <c r="M46" i="108"/>
  <c r="N46" i="108"/>
  <c r="C47" i="108"/>
  <c r="D47" i="108"/>
  <c r="E47" i="108"/>
  <c r="F47" i="108"/>
  <c r="G47" i="108"/>
  <c r="H47" i="108"/>
  <c r="I47" i="108"/>
  <c r="J47" i="108"/>
  <c r="K47" i="108"/>
  <c r="L47" i="108"/>
  <c r="M47" i="108"/>
  <c r="N47" i="108"/>
  <c r="C48" i="108"/>
  <c r="D48" i="108"/>
  <c r="E48" i="108"/>
  <c r="F48" i="108"/>
  <c r="G48" i="108"/>
  <c r="H48" i="108"/>
  <c r="I48" i="108"/>
  <c r="J48" i="108"/>
  <c r="K48" i="108"/>
  <c r="L48" i="108"/>
  <c r="M48" i="108"/>
  <c r="N48" i="108"/>
  <c r="C49" i="108"/>
  <c r="D49" i="108"/>
  <c r="E49" i="108"/>
  <c r="F49" i="108"/>
  <c r="G49" i="108"/>
  <c r="H49" i="108"/>
  <c r="I49" i="108"/>
  <c r="J49" i="108"/>
  <c r="K49" i="108"/>
  <c r="L49" i="108"/>
  <c r="M49" i="108"/>
  <c r="N49" i="108"/>
  <c r="C50" i="108"/>
  <c r="D50" i="108"/>
  <c r="E50" i="108"/>
  <c r="F50" i="108"/>
  <c r="G50" i="108"/>
  <c r="H50" i="108"/>
  <c r="I50" i="108"/>
  <c r="J50" i="108"/>
  <c r="K50" i="108"/>
  <c r="L50" i="108"/>
  <c r="M50" i="108"/>
  <c r="N50" i="108"/>
  <c r="C51" i="108"/>
  <c r="D51" i="108"/>
  <c r="E51" i="108"/>
  <c r="F51" i="108"/>
  <c r="G51" i="108"/>
  <c r="H51" i="108"/>
  <c r="I51" i="108"/>
  <c r="J51" i="108"/>
  <c r="K51" i="108"/>
  <c r="L51" i="108"/>
  <c r="M51" i="108"/>
  <c r="N51" i="108"/>
  <c r="C52" i="108"/>
  <c r="D52" i="108"/>
  <c r="E52" i="108"/>
  <c r="F52" i="108"/>
  <c r="G52" i="108"/>
  <c r="H52" i="108"/>
  <c r="I52" i="108"/>
  <c r="J52" i="108"/>
  <c r="K52" i="108"/>
  <c r="L52" i="108"/>
  <c r="M52" i="108"/>
  <c r="N52" i="108"/>
  <c r="C53" i="108"/>
  <c r="D53" i="108"/>
  <c r="E53" i="108"/>
  <c r="F53" i="108"/>
  <c r="G53" i="108"/>
  <c r="H53" i="108"/>
  <c r="I53" i="108"/>
  <c r="J53" i="108"/>
  <c r="K53" i="108"/>
  <c r="L53" i="108"/>
  <c r="M53" i="108"/>
  <c r="N53" i="108"/>
  <c r="C54" i="108"/>
  <c r="D54" i="108"/>
  <c r="E54" i="108"/>
  <c r="F54" i="108"/>
  <c r="G54" i="108"/>
  <c r="H54" i="108"/>
  <c r="I54" i="108"/>
  <c r="J54" i="108"/>
  <c r="K54" i="108"/>
  <c r="L54" i="108"/>
  <c r="M54" i="108"/>
  <c r="N54" i="108"/>
  <c r="C55" i="108"/>
  <c r="D55" i="108"/>
  <c r="E55" i="108"/>
  <c r="F55" i="108"/>
  <c r="G55" i="108"/>
  <c r="H55" i="108"/>
  <c r="I55" i="108"/>
  <c r="J55" i="108"/>
  <c r="K55" i="108"/>
  <c r="L55" i="108"/>
  <c r="M55" i="108"/>
  <c r="N55" i="108"/>
  <c r="C56" i="108"/>
  <c r="D56" i="108"/>
  <c r="E56" i="108"/>
  <c r="F56" i="108"/>
  <c r="G56" i="108"/>
  <c r="H56" i="108"/>
  <c r="I56" i="108"/>
  <c r="J56" i="108"/>
  <c r="K56" i="108"/>
  <c r="L56" i="108"/>
  <c r="M56" i="108"/>
  <c r="N56" i="108"/>
  <c r="C57" i="108"/>
  <c r="D57" i="108"/>
  <c r="E57" i="108"/>
  <c r="F57" i="108"/>
  <c r="G57" i="108"/>
  <c r="H57" i="108"/>
  <c r="I57" i="108"/>
  <c r="J57" i="108"/>
  <c r="K57" i="108"/>
  <c r="L57" i="108"/>
  <c r="M57" i="108"/>
  <c r="N57" i="108"/>
  <c r="D10" i="108"/>
  <c r="E10" i="108"/>
  <c r="F10" i="108"/>
  <c r="G10" i="108"/>
  <c r="H10" i="108"/>
  <c r="I10" i="108"/>
  <c r="J10" i="108"/>
  <c r="K10" i="108"/>
  <c r="L10" i="108"/>
  <c r="M10" i="108"/>
  <c r="N10" i="108"/>
  <c r="C10" i="108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F10" i="107"/>
  <c r="G10" i="107"/>
  <c r="H10" i="107"/>
  <c r="I10" i="107"/>
  <c r="J10" i="107"/>
  <c r="K10" i="107"/>
  <c r="L10" i="107"/>
  <c r="M10" i="107"/>
  <c r="N10" i="107"/>
  <c r="C10" i="107"/>
  <c r="S31" i="111" l="1"/>
  <c r="O65" i="111"/>
  <c r="P97" i="111"/>
  <c r="P94" i="111"/>
  <c r="P63" i="111"/>
  <c r="O86" i="111"/>
  <c r="P65" i="111"/>
  <c r="O63" i="111"/>
  <c r="P60" i="111"/>
  <c r="P80" i="111"/>
  <c r="O70" i="111"/>
  <c r="P91" i="111"/>
  <c r="P71" i="111"/>
  <c r="O71" i="111"/>
  <c r="P92" i="111"/>
  <c r="O100" i="111"/>
  <c r="O95" i="111"/>
  <c r="P100" i="111"/>
  <c r="P104" i="111"/>
  <c r="P73" i="111"/>
  <c r="O61" i="111"/>
  <c r="O80" i="111"/>
  <c r="AE27" i="111" s="1"/>
  <c r="O64" i="111"/>
  <c r="O103" i="111"/>
  <c r="O104" i="111"/>
  <c r="O84" i="111"/>
  <c r="O60" i="111"/>
  <c r="V42" i="108"/>
  <c r="P61" i="111"/>
  <c r="AF22" i="111" s="1"/>
  <c r="P95" i="111"/>
  <c r="P81" i="111"/>
  <c r="AF27" i="111" s="1"/>
  <c r="O89" i="111"/>
  <c r="AE29" i="111" s="1"/>
  <c r="O73" i="111"/>
  <c r="O69" i="111"/>
  <c r="V23" i="111"/>
  <c r="O94" i="111"/>
  <c r="P69" i="111"/>
  <c r="P103" i="111"/>
  <c r="AF33" i="111" s="1"/>
  <c r="P89" i="111"/>
  <c r="AF29" i="111" s="1"/>
  <c r="O82" i="111"/>
  <c r="P99" i="111"/>
  <c r="AF32" i="111" s="1"/>
  <c r="O91" i="111"/>
  <c r="P77" i="111"/>
  <c r="P64" i="111"/>
  <c r="AF23" i="111" s="1"/>
  <c r="AD23" i="111"/>
  <c r="P68" i="111"/>
  <c r="O97" i="111"/>
  <c r="O68" i="111"/>
  <c r="AE32" i="111"/>
  <c r="O77" i="111"/>
  <c r="S24" i="111"/>
  <c r="P66" i="111"/>
  <c r="O66" i="111"/>
  <c r="S26" i="111"/>
  <c r="P74" i="111"/>
  <c r="O74" i="111"/>
  <c r="S30" i="111"/>
  <c r="P90" i="111"/>
  <c r="O90" i="111"/>
  <c r="AF28" i="111"/>
  <c r="W42" i="107"/>
  <c r="AE42" i="107"/>
  <c r="AF42" i="108"/>
  <c r="Y42" i="108"/>
  <c r="AE42" i="108"/>
  <c r="C3" i="94"/>
  <c r="AF30" i="111" l="1"/>
  <c r="AE25" i="111"/>
  <c r="AE30" i="111"/>
  <c r="AF31" i="111"/>
  <c r="AE23" i="111"/>
  <c r="AE28" i="111"/>
  <c r="AF25" i="111"/>
  <c r="AE26" i="111"/>
  <c r="AF26" i="111"/>
  <c r="AE22" i="111"/>
  <c r="AE31" i="111"/>
  <c r="AE24" i="111"/>
  <c r="AE33" i="111"/>
  <c r="AF24" i="111"/>
  <c r="K6" i="109"/>
  <c r="G5" i="109"/>
  <c r="K6" i="96"/>
  <c r="G5" i="96"/>
  <c r="K6" i="95"/>
  <c r="G5" i="95"/>
  <c r="K6" i="94"/>
  <c r="G5" i="94"/>
  <c r="G6" i="96"/>
  <c r="G6" i="95"/>
  <c r="D6" i="96"/>
  <c r="D6" i="95"/>
  <c r="D5" i="109"/>
  <c r="D5" i="96"/>
  <c r="D5" i="94"/>
  <c r="K6" i="111" l="1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C39" i="109" s="1"/>
  <c r="AA19" i="109"/>
  <c r="Y19" i="109"/>
  <c r="Y39" i="109" s="1"/>
  <c r="W19" i="109"/>
  <c r="U19" i="109"/>
  <c r="U39" i="109" s="1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1"/>
  <c r="C3" i="96"/>
  <c r="C3" i="95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V39" i="101" s="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AD38" i="101" s="1"/>
  <c r="V13" i="101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AA26" i="95" l="1"/>
  <c r="AA39" i="101"/>
  <c r="Z39" i="101"/>
  <c r="AB39" i="101"/>
  <c r="AD39" i="101"/>
  <c r="W26" i="95"/>
  <c r="AD26" i="95"/>
  <c r="C3" i="111"/>
  <c r="X15" i="96"/>
  <c r="X23" i="96" s="1"/>
  <c r="AC17" i="95"/>
  <c r="AB13" i="96"/>
  <c r="AB26" i="96" s="1"/>
  <c r="AB16" i="95"/>
  <c r="T16" i="96"/>
  <c r="T26" i="96" s="1"/>
  <c r="X21" i="101"/>
  <c r="X39" i="101" s="1"/>
  <c r="U22" i="109"/>
  <c r="W20" i="96"/>
  <c r="W24" i="96" s="1"/>
  <c r="V14" i="101"/>
  <c r="V38" i="101" s="1"/>
  <c r="Y13" i="95"/>
  <c r="S17" i="101"/>
  <c r="Y16" i="96"/>
  <c r="AC32" i="109"/>
  <c r="W21" i="95"/>
  <c r="AC21" i="95"/>
  <c r="AC24" i="95" s="1"/>
  <c r="W16" i="96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AB15" i="95"/>
  <c r="AA14" i="94"/>
  <c r="AA15" i="94"/>
  <c r="AA16" i="94"/>
  <c r="AA18" i="94"/>
  <c r="Z13" i="109"/>
  <c r="V12" i="109"/>
  <c r="AD12" i="109"/>
  <c r="S11" i="109"/>
  <c r="AC17" i="109"/>
  <c r="V14" i="109"/>
  <c r="V13" i="109"/>
  <c r="AD13" i="109"/>
  <c r="V15" i="109"/>
  <c r="AD15" i="109"/>
  <c r="AA11" i="109"/>
  <c r="Z12" i="109"/>
  <c r="Z14" i="109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V19" i="95"/>
  <c r="Y14" i="101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39" i="109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Z17" i="101"/>
  <c r="U20" i="95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AC16" i="96"/>
  <c r="U18" i="94"/>
  <c r="AC16" i="95"/>
  <c r="U14" i="95"/>
  <c r="U26" i="95" s="1"/>
  <c r="T39" i="101"/>
  <c r="AC18" i="95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Z13" i="95"/>
  <c r="AB14" i="95"/>
  <c r="U15" i="101"/>
  <c r="P105" i="101"/>
  <c r="Y17" i="94"/>
  <c r="P77" i="101"/>
  <c r="P69" i="101"/>
  <c r="P91" i="101"/>
  <c r="U15" i="94"/>
  <c r="W17" i="96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O101" i="101"/>
  <c r="P100" i="101"/>
  <c r="O99" i="101"/>
  <c r="P98" i="10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AF28" i="101" s="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AF25" i="101" s="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6" i="95"/>
  <c r="AA18" i="96"/>
  <c r="AA23" i="96" s="1"/>
  <c r="AD16" i="96"/>
  <c r="AD23" i="96" s="1"/>
  <c r="Z18" i="95"/>
  <c r="Z26" i="95" s="1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AD12" i="101"/>
  <c r="U12" i="101"/>
  <c r="W12" i="101"/>
  <c r="Y12" i="101"/>
  <c r="AA12" i="101"/>
  <c r="AC12" i="101"/>
  <c r="V11" i="101"/>
  <c r="AC36" i="101"/>
  <c r="W18" i="94"/>
  <c r="T12" i="101"/>
  <c r="V12" i="101"/>
  <c r="X12" i="101"/>
  <c r="Z12" i="101"/>
  <c r="AB12" i="101"/>
  <c r="T11" i="101"/>
  <c r="X11" i="101"/>
  <c r="Z11" i="101"/>
  <c r="AB11" i="101"/>
  <c r="AD11" i="101"/>
  <c r="Y39" i="101"/>
  <c r="Y36" i="101"/>
  <c r="Z13" i="101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V27" i="96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V12" i="94"/>
  <c r="S11" i="95"/>
  <c r="W11" i="95"/>
  <c r="AA11" i="95"/>
  <c r="Z12" i="95"/>
  <c r="T11" i="95"/>
  <c r="V11" i="95"/>
  <c r="X11" i="95"/>
  <c r="Z11" i="95"/>
  <c r="AB11" i="95"/>
  <c r="AD11" i="95"/>
  <c r="Z11" i="94"/>
  <c r="AD12" i="94"/>
  <c r="V12" i="95"/>
  <c r="AD12" i="95"/>
  <c r="T11" i="96"/>
  <c r="V11" i="96"/>
  <c r="X11" i="96"/>
  <c r="Z11" i="96"/>
  <c r="AB11" i="96"/>
  <c r="AD11" i="96"/>
  <c r="S12" i="96"/>
  <c r="W12" i="96"/>
  <c r="AA12" i="96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X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U38" i="109" l="1"/>
  <c r="AF32" i="101"/>
  <c r="AF33" i="101"/>
  <c r="AB23" i="96"/>
  <c r="AC26" i="95"/>
  <c r="T23" i="96"/>
  <c r="W27" i="96"/>
  <c r="V35" i="101"/>
  <c r="Y26" i="95"/>
  <c r="Y26" i="96"/>
  <c r="U27" i="94"/>
  <c r="AC27" i="95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AB21" i="111" s="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AB20" i="111" s="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AB19" i="111" s="1"/>
  <c r="H46" i="111"/>
  <c r="X19" i="111" s="1"/>
  <c r="D46" i="111"/>
  <c r="L45" i="111"/>
  <c r="H45" i="111"/>
  <c r="D45" i="111"/>
  <c r="L44" i="111"/>
  <c r="H44" i="111"/>
  <c r="D44" i="111"/>
  <c r="L43" i="111"/>
  <c r="H43" i="111"/>
  <c r="D43" i="111"/>
  <c r="L42" i="111"/>
  <c r="AB18" i="111" s="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X17" i="111" s="1"/>
  <c r="D38" i="111"/>
  <c r="L37" i="111"/>
  <c r="H37" i="111"/>
  <c r="D37" i="111"/>
  <c r="L36" i="111"/>
  <c r="H36" i="111"/>
  <c r="D36" i="111"/>
  <c r="L35" i="111"/>
  <c r="H35" i="111"/>
  <c r="D35" i="111"/>
  <c r="L34" i="111"/>
  <c r="AB16" i="111" s="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X15" i="111" s="1"/>
  <c r="D30" i="111"/>
  <c r="L29" i="111"/>
  <c r="H29" i="111"/>
  <c r="D29" i="111"/>
  <c r="L28" i="111"/>
  <c r="H28" i="111"/>
  <c r="D28" i="111"/>
  <c r="L27" i="111"/>
  <c r="H27" i="111"/>
  <c r="D27" i="111"/>
  <c r="L26" i="111"/>
  <c r="AB14" i="111" s="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Z12" i="111" s="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W15" i="111" s="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W13" i="111" s="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W11" i="111" s="1"/>
  <c r="C14" i="111"/>
  <c r="K13" i="111"/>
  <c r="G13" i="111"/>
  <c r="C13" i="111"/>
  <c r="K12" i="111"/>
  <c r="G12" i="111"/>
  <c r="C12" i="111"/>
  <c r="K11" i="111"/>
  <c r="G11" i="111"/>
  <c r="C11" i="111"/>
  <c r="W26" i="96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F22" i="111"/>
  <c r="V13" i="111" s="1"/>
  <c r="D22" i="111"/>
  <c r="T13" i="111" s="1"/>
  <c r="J21" i="111"/>
  <c r="H21" i="111"/>
  <c r="N20" i="111"/>
  <c r="L20" i="111"/>
  <c r="J20" i="111"/>
  <c r="D20" i="111"/>
  <c r="N19" i="111"/>
  <c r="H19" i="111"/>
  <c r="N18" i="111"/>
  <c r="AD12" i="111" s="1"/>
  <c r="L18" i="111"/>
  <c r="AB12" i="111" s="1"/>
  <c r="F18" i="111"/>
  <c r="D18" i="111"/>
  <c r="N17" i="111"/>
  <c r="H17" i="111"/>
  <c r="L16" i="111"/>
  <c r="J16" i="111"/>
  <c r="F16" i="111"/>
  <c r="D16" i="111"/>
  <c r="J15" i="111"/>
  <c r="H15" i="111"/>
  <c r="F15" i="111"/>
  <c r="L14" i="111"/>
  <c r="AB11" i="111" s="1"/>
  <c r="J14" i="111"/>
  <c r="D14" i="111"/>
  <c r="T11" i="111" s="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W24" i="94"/>
  <c r="N10" i="11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AC21" i="111" s="1"/>
  <c r="E54" i="111"/>
  <c r="U21" i="111" s="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W20" i="111" s="1"/>
  <c r="G49" i="111"/>
  <c r="E49" i="111"/>
  <c r="K48" i="111"/>
  <c r="E48" i="111"/>
  <c r="C48" i="111"/>
  <c r="M47" i="111"/>
  <c r="I47" i="111"/>
  <c r="G47" i="111"/>
  <c r="M46" i="111"/>
  <c r="AC19" i="111" s="1"/>
  <c r="K46" i="111"/>
  <c r="AA19" i="111" s="1"/>
  <c r="I46" i="111"/>
  <c r="Y19" i="111" s="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W18" i="111" s="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W17" i="111" s="1"/>
  <c r="M37" i="111"/>
  <c r="W27" i="94"/>
  <c r="S26" i="94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AC16" i="111" s="1"/>
  <c r="G34" i="111"/>
  <c r="C34" i="111"/>
  <c r="S16" i="111" s="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S15" i="111" s="1"/>
  <c r="K29" i="111"/>
  <c r="G29" i="111"/>
  <c r="C29" i="111"/>
  <c r="K28" i="111"/>
  <c r="G28" i="111"/>
  <c r="C28" i="111"/>
  <c r="K27" i="111"/>
  <c r="G27" i="111"/>
  <c r="C27" i="111"/>
  <c r="I26" i="111"/>
  <c r="G26" i="11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AC26" i="96"/>
  <c r="AC35" i="109"/>
  <c r="K10" i="111"/>
  <c r="G10" i="111"/>
  <c r="T38" i="109"/>
  <c r="AD38" i="109"/>
  <c r="Z38" i="109"/>
  <c r="AA35" i="109"/>
  <c r="V35" i="109"/>
  <c r="S35" i="109"/>
  <c r="AB38" i="109"/>
  <c r="AD36" i="109"/>
  <c r="Z39" i="109"/>
  <c r="AF12" i="109"/>
  <c r="AD39" i="109"/>
  <c r="Z36" i="109"/>
  <c r="V36" i="109"/>
  <c r="AC38" i="109"/>
  <c r="U35" i="109"/>
  <c r="V38" i="109"/>
  <c r="X35" i="109"/>
  <c r="Z35" i="109"/>
  <c r="AD35" i="109"/>
  <c r="X34" i="109"/>
  <c r="Y38" i="109"/>
  <c r="Z38" i="101"/>
  <c r="Y35" i="109"/>
  <c r="AA38" i="109"/>
  <c r="W38" i="109"/>
  <c r="AF30" i="109"/>
  <c r="X39" i="109"/>
  <c r="X37" i="109"/>
  <c r="AF15" i="109"/>
  <c r="AF14" i="109"/>
  <c r="AF13" i="109"/>
  <c r="AF17" i="109"/>
  <c r="AF16" i="10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B36" i="109"/>
  <c r="X36" i="109"/>
  <c r="X40" i="109"/>
  <c r="AF33" i="109"/>
  <c r="AF31" i="109"/>
  <c r="X38" i="109"/>
  <c r="X41" i="109"/>
  <c r="X42" i="109" s="1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A24" i="94"/>
  <c r="AC23" i="96"/>
  <c r="P16" i="108"/>
  <c r="O56" i="108"/>
  <c r="O11" i="108"/>
  <c r="O57" i="108"/>
  <c r="P40" i="108"/>
  <c r="O35" i="108"/>
  <c r="O10" i="108"/>
  <c r="AA26" i="94"/>
  <c r="P29" i="108"/>
  <c r="O16" i="108"/>
  <c r="P49" i="108"/>
  <c r="P22" i="108"/>
  <c r="O49" i="108"/>
  <c r="P43" i="108"/>
  <c r="O28" i="108"/>
  <c r="O36" i="108"/>
  <c r="O20" i="108"/>
  <c r="P57" i="108"/>
  <c r="P55" i="108"/>
  <c r="P52" i="108"/>
  <c r="P35" i="108"/>
  <c r="P21" i="108"/>
  <c r="O13" i="108"/>
  <c r="P12" i="108"/>
  <c r="O53" i="108"/>
  <c r="O48" i="108"/>
  <c r="P46" i="108"/>
  <c r="O38" i="108"/>
  <c r="P45" i="108"/>
  <c r="P38" i="108"/>
  <c r="P32" i="108"/>
  <c r="O30" i="108"/>
  <c r="O31" i="108"/>
  <c r="P24" i="108"/>
  <c r="P17" i="108"/>
  <c r="O14" i="108"/>
  <c r="O43" i="108"/>
  <c r="P56" i="108"/>
  <c r="O55" i="108"/>
  <c r="P53" i="108"/>
  <c r="P51" i="108"/>
  <c r="P48" i="108"/>
  <c r="O39" i="108"/>
  <c r="P37" i="108"/>
  <c r="P27" i="108"/>
  <c r="P13" i="108"/>
  <c r="O12" i="108"/>
  <c r="P11" i="108"/>
  <c r="P10" i="108"/>
  <c r="O52" i="108"/>
  <c r="P47" i="108"/>
  <c r="P26" i="108"/>
  <c r="U24" i="94"/>
  <c r="AC26" i="94"/>
  <c r="O51" i="108"/>
  <c r="O47" i="108"/>
  <c r="O26" i="108"/>
  <c r="O22" i="108"/>
  <c r="O18" i="108"/>
  <c r="P54" i="108"/>
  <c r="O50" i="108"/>
  <c r="O44" i="108"/>
  <c r="O46" i="108"/>
  <c r="O45" i="108"/>
  <c r="P41" i="108"/>
  <c r="P39" i="108"/>
  <c r="O37" i="108"/>
  <c r="O32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P20" i="108"/>
  <c r="O17" i="108"/>
  <c r="P15" i="108"/>
  <c r="P14" i="108"/>
  <c r="O41" i="108"/>
  <c r="O33" i="108"/>
  <c r="O25" i="108"/>
  <c r="O23" i="108"/>
  <c r="O19" i="108"/>
  <c r="O15" i="108"/>
  <c r="P50" i="108"/>
  <c r="P42" i="108"/>
  <c r="P34" i="108"/>
  <c r="O54" i="108"/>
  <c r="O42" i="108"/>
  <c r="O34" i="108"/>
  <c r="P18" i="108"/>
  <c r="O57" i="107"/>
  <c r="O37" i="107"/>
  <c r="P36" i="107"/>
  <c r="P35" i="107"/>
  <c r="O32" i="107"/>
  <c r="P31" i="107"/>
  <c r="P28" i="107"/>
  <c r="O25" i="107"/>
  <c r="O19" i="107"/>
  <c r="P18" i="107"/>
  <c r="O17" i="107"/>
  <c r="O15" i="107"/>
  <c r="P14" i="107"/>
  <c r="P33" i="107"/>
  <c r="O33" i="107"/>
  <c r="O29" i="107"/>
  <c r="O27" i="107"/>
  <c r="P24" i="107"/>
  <c r="P22" i="107"/>
  <c r="O22" i="107"/>
  <c r="O20" i="107"/>
  <c r="O13" i="107"/>
  <c r="O11" i="107"/>
  <c r="P57" i="107"/>
  <c r="P56" i="107"/>
  <c r="O56" i="107"/>
  <c r="P55" i="107"/>
  <c r="O55" i="107"/>
  <c r="P54" i="107"/>
  <c r="O54" i="107"/>
  <c r="P53" i="107"/>
  <c r="O53" i="107"/>
  <c r="O52" i="107"/>
  <c r="P52" i="107"/>
  <c r="O51" i="107"/>
  <c r="P51" i="107"/>
  <c r="O50" i="107"/>
  <c r="P50" i="107"/>
  <c r="P49" i="107"/>
  <c r="O49" i="107"/>
  <c r="P48" i="107"/>
  <c r="O48" i="107"/>
  <c r="P47" i="107"/>
  <c r="O47" i="107"/>
  <c r="O46" i="107"/>
  <c r="P46" i="107"/>
  <c r="P45" i="107"/>
  <c r="O45" i="107"/>
  <c r="O44" i="107"/>
  <c r="P44" i="107"/>
  <c r="O43" i="107"/>
  <c r="P43" i="107"/>
  <c r="O42" i="107"/>
  <c r="P42" i="107"/>
  <c r="P41" i="107"/>
  <c r="O41" i="107"/>
  <c r="P40" i="107"/>
  <c r="P39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P20" i="107"/>
  <c r="P19" i="107"/>
  <c r="P16" i="107"/>
  <c r="P15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P34" i="107"/>
  <c r="O30" i="107"/>
  <c r="P10" i="107"/>
  <c r="O10" i="107"/>
  <c r="AC23" i="95"/>
  <c r="U23" i="96"/>
  <c r="O106" i="101"/>
  <c r="C108" i="101" s="1"/>
  <c r="P106" i="101"/>
  <c r="U26" i="96"/>
  <c r="U26" i="94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AB26" i="95"/>
  <c r="Z24" i="95"/>
  <c r="Y27" i="94"/>
  <c r="Y23" i="96"/>
  <c r="Y26" i="94"/>
  <c r="Y23" i="95"/>
  <c r="W23" i="96"/>
  <c r="AA26" i="96"/>
  <c r="AD26" i="96"/>
  <c r="AC23" i="94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V23" i="95"/>
  <c r="W23" i="94"/>
  <c r="AA38" i="101"/>
  <c r="AC38" i="101"/>
  <c r="Y35" i="101"/>
  <c r="U38" i="101"/>
  <c r="Z35" i="101"/>
  <c r="AF15" i="101"/>
  <c r="AF14" i="101"/>
  <c r="AF13" i="101"/>
  <c r="AF12" i="101"/>
  <c r="AF11" i="101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F13" i="96"/>
  <c r="AE19" i="96"/>
  <c r="AE17" i="96"/>
  <c r="AE15" i="96"/>
  <c r="S23" i="96"/>
  <c r="T25" i="94"/>
  <c r="AE18" i="96"/>
  <c r="X25" i="94"/>
  <c r="AE16" i="96"/>
  <c r="AE21" i="96"/>
  <c r="AE20" i="96"/>
  <c r="AE14" i="96"/>
  <c r="S23" i="95"/>
  <c r="S25" i="94"/>
  <c r="AF13" i="94"/>
  <c r="S23" i="94"/>
  <c r="X22" i="94"/>
  <c r="AA25" i="94"/>
  <c r="AF12" i="95"/>
  <c r="S24" i="96"/>
  <c r="S26" i="96"/>
  <c r="AB22" i="94"/>
  <c r="T22" i="94"/>
  <c r="AF12" i="96"/>
  <c r="W25" i="94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AC10" i="111" l="1"/>
  <c r="M106" i="111"/>
  <c r="U18" i="111"/>
  <c r="S20" i="111"/>
  <c r="T10" i="111"/>
  <c r="D106" i="111"/>
  <c r="U11" i="111"/>
  <c r="U13" i="111"/>
  <c r="U15" i="111"/>
  <c r="Y20" i="111"/>
  <c r="Y39" i="111" s="1"/>
  <c r="X10" i="111"/>
  <c r="H106" i="111"/>
  <c r="Z11" i="111"/>
  <c r="V15" i="111"/>
  <c r="V17" i="111"/>
  <c r="V19" i="111"/>
  <c r="V21" i="111"/>
  <c r="AA11" i="111"/>
  <c r="AA13" i="111"/>
  <c r="Y15" i="111"/>
  <c r="S10" i="111"/>
  <c r="C106" i="111"/>
  <c r="Y18" i="111"/>
  <c r="U20" i="111"/>
  <c r="U36" i="111" s="1"/>
  <c r="Z10" i="111"/>
  <c r="J106" i="111"/>
  <c r="Y11" i="111"/>
  <c r="Y13" i="111"/>
  <c r="AC15" i="111"/>
  <c r="AC18" i="111"/>
  <c r="AD10" i="111"/>
  <c r="N106" i="111"/>
  <c r="Z13" i="111"/>
  <c r="Z15" i="111"/>
  <c r="Z17" i="111"/>
  <c r="Z19" i="111"/>
  <c r="Z21" i="111"/>
  <c r="AA15" i="111"/>
  <c r="T15" i="111"/>
  <c r="T17" i="111"/>
  <c r="T19" i="111"/>
  <c r="T21" i="111"/>
  <c r="AA18" i="111"/>
  <c r="AA20" i="111"/>
  <c r="AA39" i="111" s="1"/>
  <c r="AB10" i="111"/>
  <c r="L106" i="111"/>
  <c r="AC11" i="111"/>
  <c r="AC13" i="111"/>
  <c r="AB13" i="111"/>
  <c r="AD15" i="111"/>
  <c r="AD17" i="111"/>
  <c r="AD19" i="111"/>
  <c r="AD21" i="111"/>
  <c r="S12" i="111"/>
  <c r="S14" i="111"/>
  <c r="V11" i="111"/>
  <c r="X13" i="111"/>
  <c r="X21" i="111"/>
  <c r="S17" i="111"/>
  <c r="AC20" i="111"/>
  <c r="AC36" i="111" s="1"/>
  <c r="W10" i="111"/>
  <c r="G106" i="111"/>
  <c r="S19" i="111"/>
  <c r="S21" i="111"/>
  <c r="T12" i="111"/>
  <c r="W12" i="111"/>
  <c r="U14" i="111"/>
  <c r="U16" i="111"/>
  <c r="X11" i="111"/>
  <c r="AD13" i="111"/>
  <c r="AB15" i="111"/>
  <c r="AB17" i="111"/>
  <c r="AB36" i="111"/>
  <c r="AB39" i="111"/>
  <c r="U17" i="111"/>
  <c r="U19" i="111"/>
  <c r="W21" i="111"/>
  <c r="AA10" i="111"/>
  <c r="K106" i="111"/>
  <c r="U12" i="111"/>
  <c r="W14" i="111"/>
  <c r="W38" i="111" s="1"/>
  <c r="W16" i="111"/>
  <c r="Y36" i="111"/>
  <c r="V12" i="111"/>
  <c r="V14" i="111"/>
  <c r="V38" i="111" s="1"/>
  <c r="V16" i="111"/>
  <c r="V18" i="111"/>
  <c r="V20" i="111"/>
  <c r="AA12" i="111"/>
  <c r="AA14" i="111"/>
  <c r="Y16" i="111"/>
  <c r="AD11" i="111"/>
  <c r="AA17" i="111"/>
  <c r="W19" i="111"/>
  <c r="Y21" i="111"/>
  <c r="Y12" i="111"/>
  <c r="Y14" i="111"/>
  <c r="Y17" i="111"/>
  <c r="AA36" i="111"/>
  <c r="Z14" i="111"/>
  <c r="Z16" i="111"/>
  <c r="Z18" i="111"/>
  <c r="Z20" i="111"/>
  <c r="AC14" i="111"/>
  <c r="AA16" i="111"/>
  <c r="T14" i="111"/>
  <c r="T38" i="111" s="1"/>
  <c r="T16" i="111"/>
  <c r="T18" i="111"/>
  <c r="T20" i="111"/>
  <c r="U10" i="111"/>
  <c r="E106" i="111"/>
  <c r="AA21" i="111"/>
  <c r="V10" i="111"/>
  <c r="F106" i="111"/>
  <c r="AC12" i="111"/>
  <c r="AC17" i="111"/>
  <c r="AC39" i="111"/>
  <c r="AD14" i="111"/>
  <c r="AD16" i="111"/>
  <c r="AD18" i="111"/>
  <c r="AD20" i="111"/>
  <c r="S11" i="111"/>
  <c r="S13" i="111"/>
  <c r="X12" i="111"/>
  <c r="X14" i="111"/>
  <c r="X16" i="111"/>
  <c r="X18" i="111"/>
  <c r="X20" i="111"/>
  <c r="X39" i="111" s="1"/>
  <c r="Y10" i="111"/>
  <c r="I106" i="111"/>
  <c r="S18" i="111"/>
  <c r="V22" i="93"/>
  <c r="O47" i="111"/>
  <c r="O52" i="111"/>
  <c r="O12" i="111"/>
  <c r="P26" i="111"/>
  <c r="P46" i="111"/>
  <c r="P10" i="111"/>
  <c r="O22" i="111"/>
  <c r="P31" i="111"/>
  <c r="O34" i="111"/>
  <c r="AE16" i="111" s="1"/>
  <c r="P17" i="111"/>
  <c r="O21" i="111"/>
  <c r="O37" i="111"/>
  <c r="P41" i="111"/>
  <c r="O42" i="111"/>
  <c r="P53" i="111"/>
  <c r="P13" i="111"/>
  <c r="O14" i="111"/>
  <c r="AE11" i="111" s="1"/>
  <c r="O15" i="111"/>
  <c r="O17" i="111"/>
  <c r="O19" i="111"/>
  <c r="P20" i="111"/>
  <c r="P25" i="111"/>
  <c r="O26" i="111"/>
  <c r="P28" i="111"/>
  <c r="P30" i="111"/>
  <c r="AF15" i="111" s="1"/>
  <c r="O32" i="111"/>
  <c r="P33" i="111"/>
  <c r="P38" i="111"/>
  <c r="P39" i="111"/>
  <c r="O40" i="111"/>
  <c r="P44" i="111"/>
  <c r="P47" i="111"/>
  <c r="P50" i="111"/>
  <c r="AF20" i="111" s="1"/>
  <c r="P51" i="111"/>
  <c r="P54" i="111"/>
  <c r="O55" i="111"/>
  <c r="P23" i="111"/>
  <c r="O23" i="111"/>
  <c r="O43" i="111"/>
  <c r="O49" i="111"/>
  <c r="P49" i="111"/>
  <c r="P56" i="111"/>
  <c r="O10" i="111"/>
  <c r="P15" i="111"/>
  <c r="O28" i="111"/>
  <c r="O35" i="111"/>
  <c r="O25" i="111"/>
  <c r="O44" i="111"/>
  <c r="O54" i="111"/>
  <c r="AE21" i="111" s="1"/>
  <c r="P36" i="111"/>
  <c r="O57" i="111"/>
  <c r="O11" i="111"/>
  <c r="O13" i="111"/>
  <c r="O16" i="111"/>
  <c r="O20" i="111"/>
  <c r="P21" i="111"/>
  <c r="P24" i="111"/>
  <c r="P29" i="111"/>
  <c r="O30" i="111"/>
  <c r="O33" i="111"/>
  <c r="P34" i="111"/>
  <c r="P35" i="111"/>
  <c r="O36" i="111"/>
  <c r="P37" i="111"/>
  <c r="O38" i="111"/>
  <c r="AE17" i="111" s="1"/>
  <c r="O41" i="111"/>
  <c r="P42" i="111"/>
  <c r="P45" i="111"/>
  <c r="O46" i="111"/>
  <c r="O48" i="111"/>
  <c r="O50" i="111"/>
  <c r="O51" i="111"/>
  <c r="O53" i="111"/>
  <c r="P55" i="111"/>
  <c r="O56" i="111"/>
  <c r="P57" i="111"/>
  <c r="P14" i="111"/>
  <c r="P16" i="111"/>
  <c r="O18" i="111"/>
  <c r="AE12" i="111" s="1"/>
  <c r="O27" i="111"/>
  <c r="O29" i="111"/>
  <c r="O39" i="111"/>
  <c r="P48" i="111"/>
  <c r="P52" i="111"/>
  <c r="P12" i="111"/>
  <c r="P19" i="111"/>
  <c r="O24" i="111"/>
  <c r="O31" i="111"/>
  <c r="O45" i="111"/>
  <c r="P11" i="111"/>
  <c r="P18" i="111"/>
  <c r="P22" i="111"/>
  <c r="P27" i="111"/>
  <c r="P32" i="111"/>
  <c r="P40" i="111"/>
  <c r="P43" i="111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H108" i="108"/>
  <c r="C107" i="107"/>
  <c r="H107" i="108"/>
  <c r="H108" i="107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H60" i="94"/>
  <c r="AF35" i="101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E24" i="96"/>
  <c r="C107" i="101"/>
  <c r="AE40" i="101"/>
  <c r="AE37" i="101"/>
  <c r="AE34" i="101"/>
  <c r="AF40" i="101"/>
  <c r="AF37" i="101"/>
  <c r="AF34" i="101"/>
  <c r="AE38" i="101"/>
  <c r="AE35" i="101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X38" i="111" l="1"/>
  <c r="X35" i="111"/>
  <c r="T36" i="111"/>
  <c r="T39" i="111"/>
  <c r="AA40" i="111"/>
  <c r="AA37" i="111"/>
  <c r="AA41" i="111"/>
  <c r="AA42" i="111" s="1"/>
  <c r="AA34" i="111"/>
  <c r="AD38" i="111"/>
  <c r="AD35" i="111"/>
  <c r="AC38" i="111"/>
  <c r="AC35" i="111"/>
  <c r="V39" i="111"/>
  <c r="V36" i="111"/>
  <c r="Z40" i="111"/>
  <c r="Z34" i="111"/>
  <c r="Z37" i="111"/>
  <c r="Z41" i="111"/>
  <c r="AE20" i="111"/>
  <c r="AE14" i="111"/>
  <c r="AE13" i="111"/>
  <c r="S38" i="111"/>
  <c r="AC40" i="111"/>
  <c r="W34" i="111"/>
  <c r="W37" i="111"/>
  <c r="W40" i="111"/>
  <c r="W41" i="111"/>
  <c r="AD34" i="111"/>
  <c r="AD40" i="111"/>
  <c r="AD37" i="111"/>
  <c r="AD41" i="111"/>
  <c r="AC37" i="111"/>
  <c r="AC34" i="111"/>
  <c r="AC41" i="111"/>
  <c r="AC42" i="111" s="1"/>
  <c r="AB38" i="111"/>
  <c r="AB35" i="111"/>
  <c r="AE18" i="111"/>
  <c r="AF10" i="111"/>
  <c r="P106" i="111"/>
  <c r="U39" i="111"/>
  <c r="AA35" i="111"/>
  <c r="U38" i="111"/>
  <c r="U35" i="111"/>
  <c r="W35" i="111"/>
  <c r="AF11" i="111"/>
  <c r="AE19" i="111"/>
  <c r="AF16" i="111"/>
  <c r="AF19" i="111"/>
  <c r="Y40" i="111"/>
  <c r="Y37" i="111"/>
  <c r="Y34" i="111"/>
  <c r="Y41" i="111"/>
  <c r="Y42" i="111" s="1"/>
  <c r="V34" i="111"/>
  <c r="V40" i="111"/>
  <c r="V37" i="111"/>
  <c r="V41" i="111"/>
  <c r="V42" i="111" s="1"/>
  <c r="AB40" i="111"/>
  <c r="AB37" i="111"/>
  <c r="AB34" i="111"/>
  <c r="AB41" i="111"/>
  <c r="AB42" i="111" s="1"/>
  <c r="S40" i="111"/>
  <c r="S34" i="111"/>
  <c r="S37" i="111"/>
  <c r="S41" i="111"/>
  <c r="S42" i="111" s="1"/>
  <c r="V35" i="111"/>
  <c r="W39" i="111"/>
  <c r="W36" i="111"/>
  <c r="AF13" i="111"/>
  <c r="AF17" i="111"/>
  <c r="AF14" i="111"/>
  <c r="Y38" i="111"/>
  <c r="AD39" i="111"/>
  <c r="AD36" i="111"/>
  <c r="Z39" i="111"/>
  <c r="Z36" i="111"/>
  <c r="Y35" i="111"/>
  <c r="T35" i="111"/>
  <c r="X34" i="111"/>
  <c r="X37" i="111"/>
  <c r="X40" i="111"/>
  <c r="X41" i="111"/>
  <c r="AF12" i="111"/>
  <c r="AF18" i="111"/>
  <c r="AE15" i="111"/>
  <c r="AE10" i="111"/>
  <c r="O106" i="111"/>
  <c r="AF21" i="111"/>
  <c r="X36" i="111"/>
  <c r="AA38" i="111"/>
  <c r="T40" i="111"/>
  <c r="T34" i="111"/>
  <c r="T37" i="111"/>
  <c r="T41" i="111"/>
  <c r="S36" i="111"/>
  <c r="S39" i="111"/>
  <c r="Z35" i="111"/>
  <c r="Z38" i="111"/>
  <c r="U37" i="111"/>
  <c r="U34" i="111"/>
  <c r="U41" i="111"/>
  <c r="U42" i="111" s="1"/>
  <c r="U40" i="111"/>
  <c r="S35" i="111"/>
  <c r="K108" i="111"/>
  <c r="N107" i="111"/>
  <c r="M107" i="107"/>
  <c r="F108" i="107"/>
  <c r="J107" i="108"/>
  <c r="AE42" i="109"/>
  <c r="AF42" i="109"/>
  <c r="K107" i="107"/>
  <c r="C108" i="107"/>
  <c r="L107" i="108"/>
  <c r="G107" i="108"/>
  <c r="L107" i="107"/>
  <c r="G108" i="108"/>
  <c r="F108" i="108"/>
  <c r="C108" i="108"/>
  <c r="K108" i="108"/>
  <c r="N108" i="108"/>
  <c r="K108" i="107"/>
  <c r="L108" i="108"/>
  <c r="D108" i="108"/>
  <c r="I108" i="108"/>
  <c r="E108" i="108"/>
  <c r="J108" i="108"/>
  <c r="D107" i="107"/>
  <c r="G107" i="107"/>
  <c r="J107" i="107"/>
  <c r="N108" i="107"/>
  <c r="G108" i="107"/>
  <c r="D107" i="108"/>
  <c r="M107" i="108"/>
  <c r="K107" i="108"/>
  <c r="L108" i="107"/>
  <c r="F107" i="107"/>
  <c r="I107" i="107"/>
  <c r="E107" i="107"/>
  <c r="N107" i="107"/>
  <c r="C107" i="108"/>
  <c r="N107" i="108"/>
  <c r="F107" i="108"/>
  <c r="I107" i="108"/>
  <c r="E107" i="108"/>
  <c r="H107" i="107"/>
  <c r="D108" i="107"/>
  <c r="J108" i="107"/>
  <c r="I108" i="107"/>
  <c r="E108" i="107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AE39" i="111" l="1"/>
  <c r="AE36" i="111"/>
  <c r="AF34" i="111"/>
  <c r="AF40" i="111"/>
  <c r="AF37" i="111"/>
  <c r="AF41" i="111"/>
  <c r="AF42" i="111" s="1"/>
  <c r="T42" i="111"/>
  <c r="AE34" i="111"/>
  <c r="AE37" i="111"/>
  <c r="AE40" i="111"/>
  <c r="AE41" i="111"/>
  <c r="AE42" i="111" s="1"/>
  <c r="AE38" i="111"/>
  <c r="AE35" i="111"/>
  <c r="AF38" i="111"/>
  <c r="AF35" i="111"/>
  <c r="AF39" i="111"/>
  <c r="AF36" i="111"/>
  <c r="W42" i="111"/>
  <c r="Z42" i="111"/>
  <c r="X42" i="111"/>
  <c r="K107" i="111"/>
  <c r="E108" i="111"/>
  <c r="F108" i="111"/>
  <c r="H107" i="111"/>
  <c r="F107" i="111"/>
  <c r="E107" i="111"/>
  <c r="C107" i="111"/>
  <c r="I107" i="111"/>
  <c r="N108" i="111"/>
  <c r="H108" i="111"/>
  <c r="C108" i="111"/>
  <c r="M107" i="111"/>
  <c r="D107" i="111"/>
  <c r="L107" i="111"/>
  <c r="G107" i="111"/>
  <c r="J107" i="111"/>
  <c r="J108" i="111"/>
  <c r="I108" i="111"/>
  <c r="D108" i="111"/>
  <c r="L108" i="111"/>
  <c r="G108" i="111"/>
</calcChain>
</file>

<file path=xl/sharedStrings.xml><?xml version="1.0" encoding="utf-8"?>
<sst xmlns="http://schemas.openxmlformats.org/spreadsheetml/2006/main" count="1341" uniqueCount="179">
  <si>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</si>
  <si>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</si>
  <si>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</si>
  <si>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</si>
  <si>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</si>
  <si>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</si>
  <si>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</si>
  <si>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</si>
  <si>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</si>
  <si>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</si>
  <si>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</si>
  <si>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</si>
  <si>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</si>
  <si>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</si>
  <si>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</si>
  <si>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</si>
  <si>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</si>
  <si>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</si>
  <si>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</si>
  <si>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</si>
  <si>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</si>
  <si>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</si>
  <si>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</si>
  <si>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</si>
  <si>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</si>
  <si>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</si>
  <si>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</si>
  <si>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</si>
  <si>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</si>
  <si>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</si>
  <si>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</si>
  <si>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</si>
  <si>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</si>
  <si>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</si>
  <si>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</si>
  <si>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</si>
  <si>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</si>
  <si>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</si>
  <si>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</si>
  <si>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</si>
  <si>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</si>
  <si>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</si>
  <si>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</si>
  <si>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</si>
  <si>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</si>
  <si>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</si>
  <si>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</si>
  <si>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</si>
  <si>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</si>
  <si>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</si>
  <si>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</si>
  <si>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</si>
  <si>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</si>
  <si>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</si>
  <si>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</si>
  <si>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</si>
  <si>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</si>
  <si>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</si>
  <si>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</si>
  <si>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</si>
  <si>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</si>
  <si>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</si>
  <si>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</si>
  <si>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</si>
  <si>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</si>
  <si>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</si>
  <si>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</si>
  <si>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</si>
  <si>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</si>
  <si>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</si>
  <si>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</si>
  <si>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</si>
  <si>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</si>
  <si>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</si>
  <si>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</si>
  <si>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</si>
  <si>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</si>
  <si>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</si>
  <si>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</si>
  <si>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</si>
  <si>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</si>
  <si>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</si>
  <si>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</si>
  <si>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</si>
  <si>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</si>
  <si>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</si>
  <si>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</si>
  <si>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</si>
  <si>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</si>
  <si>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</si>
  <si>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</si>
  <si>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</si>
  <si>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</si>
  <si>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</si>
  <si>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</si>
  <si>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</si>
  <si>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</si>
  <si>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</si>
  <si>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</si>
  <si>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</si>
  <si>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</si>
  <si>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</si>
  <si>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</si>
  <si>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</si>
  <si>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</si>
  <si>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</si>
  <si>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</si>
  <si>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</si>
  <si>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</si>
  <si>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</si>
  <si>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</si>
  <si>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</si>
  <si>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</si>
  <si>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</si>
  <si>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</si>
  <si>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</si>
  <si>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</si>
  <si>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</si>
  <si>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</si>
  <si>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</si>
  <si>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</si>
  <si>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</si>
  <si>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</si>
  <si>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</si>
  <si>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</si>
  <si>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</si>
  <si>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</si>
  <si>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</si>
  <si>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</si>
  <si>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</si>
  <si>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</si>
  <si>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</si>
  <si>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</si>
  <si>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</si>
  <si>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</si>
  <si>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</si>
  <si>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</si>
  <si>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</si>
  <si>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</si>
  <si>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</si>
  <si>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</si>
  <si>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</si>
  <si>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</si>
  <si>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</si>
  <si>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</si>
  <si>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</si>
  <si>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</si>
  <si>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</si>
  <si>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</si>
  <si>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</si>
  <si>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</si>
  <si>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</si>
  <si>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</si>
  <si>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</si>
  <si>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</si>
  <si>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</si>
  <si>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</si>
  <si>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</si>
  <si>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</si>
  <si>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</si>
  <si>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</si>
  <si>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</si>
  <si>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AVERAGE WEEK</t>
  </si>
  <si>
    <t>26.10.19</t>
  </si>
  <si>
    <t>KASESE</t>
  </si>
  <si>
    <t>KABUYIRI</t>
  </si>
  <si>
    <t>PONDWE</t>
  </si>
  <si>
    <t>NGURU WILLY</t>
  </si>
  <si>
    <t>GODFREY</t>
  </si>
  <si>
    <t>NAKIWUGE ALLEN</t>
  </si>
  <si>
    <t>27.10.19</t>
  </si>
  <si>
    <t>NABIWUGE ALLEN</t>
  </si>
  <si>
    <t>25.10.19</t>
  </si>
  <si>
    <t>MCC - C4 - STN137 - KASESE  ROAD</t>
  </si>
  <si>
    <t>XXXXX</t>
  </si>
  <si>
    <t>XXXX</t>
  </si>
  <si>
    <t>MPONDWE</t>
  </si>
  <si>
    <t>MPONDWE B.P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</si>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</sst>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_-;\-* #,##0_-;_-* &quot;-&quot;_-;_-@_-"/>
    <numFmt numFmtId="165" formatCode="0.0%"/>
    <numFmt numFmtId="166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72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5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11" fillId="0" borderId="9" xfId="0" applyFont="1" applyBorder="1"/>
    <xf numFmtId="1" fontId="11" fillId="0" borderId="9" xfId="0" applyNumberFormat="1" applyFont="1" applyBorder="1" applyAlignment="1">
      <alignment horizontal="center"/>
    </xf>
    <xf numFmtId="164" fontId="1" fillId="0" borderId="8" xfId="2" applyFont="1" applyBorder="1" applyAlignment="1">
      <alignment horizontal="center"/>
    </xf>
    <xf numFmtId="164" fontId="1" fillId="0" borderId="1" xfId="2" applyFont="1" applyBorder="1" applyAlignment="1">
      <alignment horizontal="center"/>
    </xf>
    <xf numFmtId="164" fontId="1" fillId="3" borderId="1" xfId="2" applyFont="1" applyFill="1" applyBorder="1" applyAlignment="1">
      <alignment horizontal="center"/>
    </xf>
    <xf numFmtId="166" fontId="1" fillId="3" borderId="1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'26.10 KASESE-PONDWE'!$AE$9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'26.10 KASESE-PONDWE'!$R$10:$R$21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'26.10 KASESE-PONDWE'!$AE$10:$AE$21</c:f>
              <c:numCache>
                <c:formatCode>0</c:formatCode>
                <c:ptCount val="12"/>
                <c:pt idx="0">
                  <c:v>5</c:v>
                </c:pt>
                <c:pt idx="1">
                  <c:v>28</c:v>
                </c:pt>
                <c:pt idx="2">
                  <c:v>17</c:v>
                </c:pt>
                <c:pt idx="3">
                  <c:v>20</c:v>
                </c:pt>
                <c:pt idx="4">
                  <c:v>32</c:v>
                </c:pt>
                <c:pt idx="5">
                  <c:v>35</c:v>
                </c:pt>
                <c:pt idx="6">
                  <c:v>32</c:v>
                </c:pt>
                <c:pt idx="7">
                  <c:v>22</c:v>
                </c:pt>
                <c:pt idx="8">
                  <c:v>28</c:v>
                </c:pt>
                <c:pt idx="9">
                  <c:v>33</c:v>
                </c:pt>
                <c:pt idx="10">
                  <c:v>26</c:v>
                </c:pt>
                <c:pt idx="11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'26.10 KASESE-PONDWE'!$AF$9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'26.10 KASESE-PONDWE'!$R$10:$R$21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'26.10 KASESE-PONDWE'!$AF$10:$AF$21</c:f>
              <c:numCache>
                <c:formatCode>0</c:formatCode>
                <c:ptCount val="12"/>
                <c:pt idx="0">
                  <c:v>16</c:v>
                </c:pt>
                <c:pt idx="1">
                  <c:v>141</c:v>
                </c:pt>
                <c:pt idx="2">
                  <c:v>39</c:v>
                </c:pt>
                <c:pt idx="3">
                  <c:v>66</c:v>
                </c:pt>
                <c:pt idx="4">
                  <c:v>200</c:v>
                </c:pt>
                <c:pt idx="5">
                  <c:v>231</c:v>
                </c:pt>
                <c:pt idx="6">
                  <c:v>191</c:v>
                </c:pt>
                <c:pt idx="7">
                  <c:v>131</c:v>
                </c:pt>
                <c:pt idx="8">
                  <c:v>181</c:v>
                </c:pt>
                <c:pt idx="9">
                  <c:v>299</c:v>
                </c:pt>
                <c:pt idx="10">
                  <c:v>191</c:v>
                </c:pt>
                <c:pt idx="11">
                  <c:v>300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643728"/>
        <c:axId val="423644120"/>
      </c:lineChart>
      <c:catAx>
        <c:axId val="4236437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3644120"/>
        <c:crosses val="autoZero"/>
        <c:auto val="1"/>
        <c:lblAlgn val="ctr"/>
        <c:lblOffset val="100"/>
        <c:noMultiLvlLbl val="0"/>
      </c:catAx>
      <c:valAx>
        <c:axId val="4236441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364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'26.10 KASESE-PONDWE'!$C$9:$N$9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'26.10 KASESE-PONDWE'!$C$59:$N$59</c:f>
              <c:numCache>
                <c:formatCode>0.0%</c:formatCode>
                <c:ptCount val="12"/>
                <c:pt idx="0">
                  <c:v>7.5025176233635443E-2</c:v>
                </c:pt>
                <c:pt idx="1">
                  <c:v>8.559919436052367E-3</c:v>
                </c:pt>
                <c:pt idx="2">
                  <c:v>4.5317220543806651E-3</c:v>
                </c:pt>
                <c:pt idx="3">
                  <c:v>2.1148036253776436E-2</c:v>
                </c:pt>
                <c:pt idx="4">
                  <c:v>0</c:v>
                </c:pt>
                <c:pt idx="5">
                  <c:v>6.545820745216516E-3</c:v>
                </c:pt>
                <c:pt idx="6">
                  <c:v>6.0422960725075529E-3</c:v>
                </c:pt>
                <c:pt idx="7">
                  <c:v>1.0070493454179255E-2</c:v>
                </c:pt>
                <c:pt idx="8">
                  <c:v>2.014098690835851E-3</c:v>
                </c:pt>
                <c:pt idx="9">
                  <c:v>1.7119838872104734E-2</c:v>
                </c:pt>
                <c:pt idx="10">
                  <c:v>0.84894259818731121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'26.10 KASESE-PONDWE'!$C$9:$N$9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'26.10 KASESE-PONDWE'!$C$60:$N$60</c:f>
              <c:numCache>
                <c:formatCode>0.00%</c:formatCode>
                <c:ptCount val="12"/>
                <c:pt idx="0">
                  <c:v>0.49666666666666665</c:v>
                </c:pt>
                <c:pt idx="1">
                  <c:v>5.6666666666666664E-2</c:v>
                </c:pt>
                <c:pt idx="2">
                  <c:v>0.03</c:v>
                </c:pt>
                <c:pt idx="3">
                  <c:v>0.14000000000000001</c:v>
                </c:pt>
                <c:pt idx="4">
                  <c:v>0</c:v>
                </c:pt>
                <c:pt idx="5">
                  <c:v>4.3333333333333335E-2</c:v>
                </c:pt>
                <c:pt idx="6">
                  <c:v>0.04</c:v>
                </c:pt>
                <c:pt idx="7">
                  <c:v>6.6666666666666666E-2</c:v>
                </c:pt>
                <c:pt idx="8">
                  <c:v>1.3333333333333334E-2</c:v>
                </c:pt>
                <c:pt idx="9">
                  <c:v>0.11333333333333333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'26.10.PONDWE-KASESE'!$AE$9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'26.10.PONDWE-KASESE'!$R$10:$R$21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'26.10.PONDWE-KASESE'!$AE$10:$AE$21</c:f>
              <c:numCache>
                <c:formatCode>0</c:formatCode>
                <c:ptCount val="12"/>
                <c:pt idx="0">
                  <c:v>6</c:v>
                </c:pt>
                <c:pt idx="1">
                  <c:v>12</c:v>
                </c:pt>
                <c:pt idx="2">
                  <c:v>17</c:v>
                </c:pt>
                <c:pt idx="3">
                  <c:v>11</c:v>
                </c:pt>
                <c:pt idx="4">
                  <c:v>29</c:v>
                </c:pt>
                <c:pt idx="5">
                  <c:v>49</c:v>
                </c:pt>
                <c:pt idx="6">
                  <c:v>19</c:v>
                </c:pt>
                <c:pt idx="7">
                  <c:v>27</c:v>
                </c:pt>
                <c:pt idx="8">
                  <c:v>40</c:v>
                </c:pt>
                <c:pt idx="9">
                  <c:v>42</c:v>
                </c:pt>
                <c:pt idx="10">
                  <c:v>42</c:v>
                </c:pt>
                <c:pt idx="11">
                  <c:v>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'26.10.PONDWE-KASESE'!$AF$9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'26.10.PONDWE-KASESE'!$R$10:$R$21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'26.10.PONDWE-KASESE'!$AF$10:$AF$21</c:f>
              <c:numCache>
                <c:formatCode>0</c:formatCode>
                <c:ptCount val="12"/>
                <c:pt idx="0">
                  <c:v>80</c:v>
                </c:pt>
                <c:pt idx="1">
                  <c:v>88</c:v>
                </c:pt>
                <c:pt idx="2">
                  <c:v>53</c:v>
                </c:pt>
                <c:pt idx="3">
                  <c:v>70</c:v>
                </c:pt>
                <c:pt idx="4">
                  <c:v>187</c:v>
                </c:pt>
                <c:pt idx="5">
                  <c:v>250</c:v>
                </c:pt>
                <c:pt idx="6">
                  <c:v>226</c:v>
                </c:pt>
                <c:pt idx="7">
                  <c:v>300</c:v>
                </c:pt>
                <c:pt idx="8">
                  <c:v>314</c:v>
                </c:pt>
                <c:pt idx="9">
                  <c:v>297</c:v>
                </c:pt>
                <c:pt idx="10">
                  <c:v>276</c:v>
                </c:pt>
                <c:pt idx="11">
                  <c:v>267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720968"/>
        <c:axId val="167723712"/>
      </c:lineChart>
      <c:catAx>
        <c:axId val="1677209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7723712"/>
        <c:crosses val="autoZero"/>
        <c:auto val="1"/>
        <c:lblAlgn val="ctr"/>
        <c:lblOffset val="100"/>
        <c:noMultiLvlLbl val="0"/>
      </c:catAx>
      <c:valAx>
        <c:axId val="1677237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7720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'26.10.PONDWE-KASESE'!$C$9:$N$9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'26.10.PONDWE-KASESE'!$C$59:$N$59</c:f>
              <c:numCache>
                <c:formatCode>0.0%</c:formatCode>
                <c:ptCount val="12"/>
                <c:pt idx="0">
                  <c:v>8.8039867109634545E-2</c:v>
                </c:pt>
                <c:pt idx="1">
                  <c:v>7.4750830564784057E-3</c:v>
                </c:pt>
                <c:pt idx="2">
                  <c:v>5.3986710963455148E-3</c:v>
                </c:pt>
                <c:pt idx="3">
                  <c:v>2.9069767441860465E-3</c:v>
                </c:pt>
                <c:pt idx="4">
                  <c:v>0</c:v>
                </c:pt>
                <c:pt idx="5">
                  <c:v>4.9833887043189366E-3</c:v>
                </c:pt>
                <c:pt idx="6">
                  <c:v>6.6445182724252493E-3</c:v>
                </c:pt>
                <c:pt idx="7">
                  <c:v>8.7209302325581394E-3</c:v>
                </c:pt>
                <c:pt idx="8">
                  <c:v>1.2458471760797341E-3</c:v>
                </c:pt>
                <c:pt idx="9">
                  <c:v>6.2292358803986711E-3</c:v>
                </c:pt>
                <c:pt idx="10">
                  <c:v>0.86835548172757471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'26.10.PONDWE-KASESE'!$S$9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'26.10.PONDWE-KASESE'!$R$10:$R$21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'26.10.PONDWE-KASESE'!$S$10:$S$21</c:f>
              <c:numCache>
                <c:formatCode>0</c:formatCode>
                <c:ptCount val="12"/>
                <c:pt idx="0">
                  <c:v>4</c:v>
                </c:pt>
                <c:pt idx="1">
                  <c:v>7</c:v>
                </c:pt>
                <c:pt idx="2">
                  <c:v>10</c:v>
                </c:pt>
                <c:pt idx="3">
                  <c:v>9</c:v>
                </c:pt>
                <c:pt idx="4">
                  <c:v>21</c:v>
                </c:pt>
                <c:pt idx="5">
                  <c:v>36</c:v>
                </c:pt>
                <c:pt idx="6">
                  <c:v>13</c:v>
                </c:pt>
                <c:pt idx="7">
                  <c:v>20</c:v>
                </c:pt>
                <c:pt idx="8">
                  <c:v>27</c:v>
                </c:pt>
                <c:pt idx="9">
                  <c:v>26</c:v>
                </c:pt>
                <c:pt idx="10">
                  <c:v>25</c:v>
                </c:pt>
                <c:pt idx="11">
                  <c:v>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'26.10.PONDWE-KASESE'!$T$9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'26.10.PONDWE-KASESE'!$R$10:$R$21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'26.10.PONDWE-KASESE'!$T$10:$T$21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4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'26.10.PONDWE-KASESE'!$U$9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'26.10.PONDWE-KASESE'!$U$10:$U$21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'26.10.PONDWE-KASESE'!$V$9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'26.10.PONDWE-KASESE'!$V$10:$V$21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'26.10.PONDWE-KASESE'!$W$9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'26.10.PONDWE-KASESE'!$W$10:$W$21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'26.10.PONDWE-KASESE'!$X$9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'26.10.PONDWE-KASESE'!$X$10:$X$21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'26.10.PONDWE-KASESE'!$Y$9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'26.10.PONDWE-KASESE'!$Y$10:$Y$21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'26.10.PONDWE-KASESE'!$Z$9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'26.10.PONDWE-KASESE'!$Z$10:$Z$21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6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4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'26.10.PONDWE-KASESE'!$AA$9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'26.10.PONDWE-KASESE'!$AA$10:$AA$21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'26.10.PONDWE-KASESE'!$AB$9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'26.10.PONDWE-KASESE'!$AB$10:$AB$21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2</c:v>
                </c:pt>
                <c:pt idx="10">
                  <c:v>5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'26.10.PONDWE-KASESE'!$AC$9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'26.10.PONDWE-KASESE'!$AC$10:$AC$21</c:f>
              <c:numCache>
                <c:formatCode>0</c:formatCode>
                <c:ptCount val="12"/>
                <c:pt idx="0">
                  <c:v>74</c:v>
                </c:pt>
                <c:pt idx="1">
                  <c:v>76</c:v>
                </c:pt>
                <c:pt idx="2">
                  <c:v>36</c:v>
                </c:pt>
                <c:pt idx="3">
                  <c:v>59</c:v>
                </c:pt>
                <c:pt idx="4">
                  <c:v>158</c:v>
                </c:pt>
                <c:pt idx="5">
                  <c:v>201</c:v>
                </c:pt>
                <c:pt idx="6">
                  <c:v>207</c:v>
                </c:pt>
                <c:pt idx="7">
                  <c:v>273</c:v>
                </c:pt>
                <c:pt idx="8">
                  <c:v>274</c:v>
                </c:pt>
                <c:pt idx="9">
                  <c:v>255</c:v>
                </c:pt>
                <c:pt idx="10">
                  <c:v>234</c:v>
                </c:pt>
                <c:pt idx="11">
                  <c:v>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'26.10.PONDWE-KASESE'!$AD$9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'26.10.PONDWE-KASESE'!$AD$10:$AD$21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724496"/>
        <c:axId val="167724104"/>
      </c:lineChart>
      <c:catAx>
        <c:axId val="167724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7724104"/>
        <c:crosses val="autoZero"/>
        <c:auto val="1"/>
        <c:lblAlgn val="ctr"/>
        <c:lblOffset val="100"/>
        <c:noMultiLvlLbl val="0"/>
      </c:catAx>
      <c:valAx>
        <c:axId val="167724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772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'26.10.PONDWE-KASESE'!$C$9:$N$9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'26.10.PONDWE-KASESE'!$C$60:$N$60</c:f>
              <c:numCache>
                <c:formatCode>0.00%</c:formatCode>
                <c:ptCount val="12"/>
                <c:pt idx="0">
                  <c:v>0.66876971608832803</c:v>
                </c:pt>
                <c:pt idx="1">
                  <c:v>5.6782334384858045E-2</c:v>
                </c:pt>
                <c:pt idx="2">
                  <c:v>4.1009463722397478E-2</c:v>
                </c:pt>
                <c:pt idx="3">
                  <c:v>2.2082018927444796E-2</c:v>
                </c:pt>
                <c:pt idx="4">
                  <c:v>0</c:v>
                </c:pt>
                <c:pt idx="5">
                  <c:v>3.7854889589905363E-2</c:v>
                </c:pt>
                <c:pt idx="6">
                  <c:v>5.0473186119873815E-2</c:v>
                </c:pt>
                <c:pt idx="7">
                  <c:v>6.6246056782334389E-2</c:v>
                </c:pt>
                <c:pt idx="8">
                  <c:v>9.4637223974763408E-3</c:v>
                </c:pt>
                <c:pt idx="9">
                  <c:v>4.7318611987381701E-2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'27.10 KASESE-PONDWE'!$AE$9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'27.10 KASESE-PONDWE'!$R$10:$R$21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KASESE-PONDWE'!$AE$10:$AE$21</c:f>
              <c:numCache>
                <c:formatCode>0</c:formatCode>
                <c:ptCount val="12"/>
                <c:pt idx="0">
                  <c:v>14</c:v>
                </c:pt>
                <c:pt idx="1">
                  <c:v>21</c:v>
                </c:pt>
                <c:pt idx="2">
                  <c:v>34</c:v>
                </c:pt>
                <c:pt idx="3">
                  <c:v>28</c:v>
                </c:pt>
                <c:pt idx="4">
                  <c:v>22</c:v>
                </c:pt>
                <c:pt idx="5">
                  <c:v>25</c:v>
                </c:pt>
                <c:pt idx="6">
                  <c:v>22</c:v>
                </c:pt>
                <c:pt idx="7">
                  <c:v>16</c:v>
                </c:pt>
                <c:pt idx="8">
                  <c:v>32</c:v>
                </c:pt>
                <c:pt idx="9">
                  <c:v>23</c:v>
                </c:pt>
                <c:pt idx="10">
                  <c:v>30</c:v>
                </c:pt>
                <c:pt idx="11">
                  <c:v>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'27.10 KASESE-PONDWE'!$AF$9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'27.10 KASESE-PONDWE'!$R$10:$R$21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KASESE-PONDWE'!$AF$10:$AF$21</c:f>
              <c:numCache>
                <c:formatCode>0</c:formatCode>
                <c:ptCount val="12"/>
                <c:pt idx="0">
                  <c:v>87</c:v>
                </c:pt>
                <c:pt idx="1">
                  <c:v>177</c:v>
                </c:pt>
                <c:pt idx="2">
                  <c:v>284</c:v>
                </c:pt>
                <c:pt idx="3">
                  <c:v>154</c:v>
                </c:pt>
                <c:pt idx="4">
                  <c:v>148</c:v>
                </c:pt>
                <c:pt idx="5">
                  <c:v>149</c:v>
                </c:pt>
                <c:pt idx="6">
                  <c:v>176</c:v>
                </c:pt>
                <c:pt idx="7">
                  <c:v>208</c:v>
                </c:pt>
                <c:pt idx="8">
                  <c:v>210</c:v>
                </c:pt>
                <c:pt idx="9">
                  <c:v>265</c:v>
                </c:pt>
                <c:pt idx="10">
                  <c:v>208</c:v>
                </c:pt>
                <c:pt idx="11">
                  <c:v>245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713912"/>
        <c:axId val="167714696"/>
      </c:lineChart>
      <c:catAx>
        <c:axId val="1677139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7714696"/>
        <c:crosses val="autoZero"/>
        <c:auto val="1"/>
        <c:lblAlgn val="ctr"/>
        <c:lblOffset val="100"/>
        <c:noMultiLvlLbl val="0"/>
      </c:catAx>
      <c:valAx>
        <c:axId val="1677146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7713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'27.10 KASESE-PONDWE'!$C$9:$N$9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'27.10 KASESE-PONDWE'!$C$59:$N$59</c:f>
              <c:numCache>
                <c:formatCode>0.0%</c:formatCode>
                <c:ptCount val="12"/>
                <c:pt idx="0">
                  <c:v>6.7935958459541326E-2</c:v>
                </c:pt>
                <c:pt idx="1">
                  <c:v>5.6252704456945047E-3</c:v>
                </c:pt>
                <c:pt idx="2">
                  <c:v>3.8944180008654264E-3</c:v>
                </c:pt>
                <c:pt idx="3">
                  <c:v>2.1202942449156211E-2</c:v>
                </c:pt>
                <c:pt idx="4">
                  <c:v>0</c:v>
                </c:pt>
                <c:pt idx="5">
                  <c:v>3.0289917784508871E-3</c:v>
                </c:pt>
                <c:pt idx="6">
                  <c:v>7.7888360017308528E-3</c:v>
                </c:pt>
                <c:pt idx="7">
                  <c:v>6.0579835569017741E-3</c:v>
                </c:pt>
                <c:pt idx="8">
                  <c:v>2.5962786672436176E-3</c:v>
                </c:pt>
                <c:pt idx="9">
                  <c:v>8.6542622241453909E-3</c:v>
                </c:pt>
                <c:pt idx="10">
                  <c:v>0.87321505841627001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'27.10 KASESE-PONDWE'!$S$9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'27.10 KASESE-PONDWE'!$R$10:$R$21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KASESE-PONDWE'!$S$10:$S$21</c:f>
              <c:numCache>
                <c:formatCode>0</c:formatCode>
                <c:ptCount val="12"/>
                <c:pt idx="0">
                  <c:v>4</c:v>
                </c:pt>
                <c:pt idx="1">
                  <c:v>11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7</c:v>
                </c:pt>
                <c:pt idx="6">
                  <c:v>10</c:v>
                </c:pt>
                <c:pt idx="7">
                  <c:v>9</c:v>
                </c:pt>
                <c:pt idx="8">
                  <c:v>17</c:v>
                </c:pt>
                <c:pt idx="9">
                  <c:v>11</c:v>
                </c:pt>
                <c:pt idx="10">
                  <c:v>20</c:v>
                </c:pt>
                <c:pt idx="11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'27.10 KASESE-PONDWE'!$T$9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'27.10 KASESE-PONDWE'!$R$10:$R$21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KASESE-PONDWE'!$T$10:$T$21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'27.10 KASESE-PONDWE'!$U$9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'27.10 KASESE-PONDWE'!$U$10:$U$21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'27.10 KASESE-PONDWE'!$V$9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'27.10 KASESE-PONDWE'!$V$10:$V$21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8</c:v>
                </c:pt>
                <c:pt idx="6">
                  <c:v>6</c:v>
                </c:pt>
                <c:pt idx="7">
                  <c:v>3</c:v>
                </c:pt>
                <c:pt idx="8">
                  <c:v>7</c:v>
                </c:pt>
                <c:pt idx="9">
                  <c:v>6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'27.10 KASESE-PONDWE'!$W$9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'27.10 KASESE-PONDWE'!$W$10:$W$21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'27.10 KASESE-PONDWE'!$X$9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'27.10 KASESE-PONDWE'!$X$10:$X$21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'27.10 KASESE-PONDWE'!$Y$9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KASESE-PONDWE'!$Y$10:$Y$21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  <c:pt idx="6">
                  <c:v>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1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'27.10 KASESE-PONDWE'!$Z$9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KASESE-PONDWE'!$Z$10:$Z$21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'27.10 KASESE-PONDWE'!$AA$9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KASESE-PONDWE'!$AA$10:$AA$21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'27.10 KASESE-PONDWE'!$AB$9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KASESE-PONDWE'!$AB$10:$AB$21</c:f>
              <c:numCache>
                <c:formatCode>0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'27.10 KASESE-PONDWE'!$AC$9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KASESE-PONDWE'!$AC$10:$AC$21</c:f>
              <c:numCache>
                <c:formatCode>0</c:formatCode>
                <c:ptCount val="12"/>
                <c:pt idx="0">
                  <c:v>73</c:v>
                </c:pt>
                <c:pt idx="1">
                  <c:v>156</c:v>
                </c:pt>
                <c:pt idx="2">
                  <c:v>250</c:v>
                </c:pt>
                <c:pt idx="3">
                  <c:v>126</c:v>
                </c:pt>
                <c:pt idx="4">
                  <c:v>126</c:v>
                </c:pt>
                <c:pt idx="5">
                  <c:v>124</c:v>
                </c:pt>
                <c:pt idx="6">
                  <c:v>154</c:v>
                </c:pt>
                <c:pt idx="7">
                  <c:v>192</c:v>
                </c:pt>
                <c:pt idx="8">
                  <c:v>178</c:v>
                </c:pt>
                <c:pt idx="9">
                  <c:v>242</c:v>
                </c:pt>
                <c:pt idx="10">
                  <c:v>178</c:v>
                </c:pt>
                <c:pt idx="11">
                  <c:v>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'27.10 KASESE-PONDWE'!$AD$9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KASESE-PONDWE'!$AD$10:$AD$21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715480"/>
        <c:axId val="167715872"/>
      </c:lineChart>
      <c:catAx>
        <c:axId val="167715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7715872"/>
        <c:crosses val="autoZero"/>
        <c:auto val="1"/>
        <c:lblAlgn val="ctr"/>
        <c:lblOffset val="100"/>
        <c:noMultiLvlLbl val="0"/>
      </c:catAx>
      <c:valAx>
        <c:axId val="16771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7715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'27.10 KASESE-PONDWE'!$C$9:$N$9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'27.10 KASESE-PONDWE'!$C$60:$N$60</c:f>
              <c:numCache>
                <c:formatCode>0.00%</c:formatCode>
                <c:ptCount val="12"/>
                <c:pt idx="0">
                  <c:v>0.53583617747440271</c:v>
                </c:pt>
                <c:pt idx="1">
                  <c:v>4.4368600682593858E-2</c:v>
                </c:pt>
                <c:pt idx="2">
                  <c:v>3.0716723549488054E-2</c:v>
                </c:pt>
                <c:pt idx="3">
                  <c:v>0.16723549488054607</c:v>
                </c:pt>
                <c:pt idx="4">
                  <c:v>0</c:v>
                </c:pt>
                <c:pt idx="5">
                  <c:v>2.3890784982935155E-2</c:v>
                </c:pt>
                <c:pt idx="6">
                  <c:v>6.1433447098976107E-2</c:v>
                </c:pt>
                <c:pt idx="7">
                  <c:v>4.778156996587031E-2</c:v>
                </c:pt>
                <c:pt idx="8">
                  <c:v>2.0477815699658702E-2</c:v>
                </c:pt>
                <c:pt idx="9">
                  <c:v>6.8259385665529013E-2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'27.10 PONDWE-KASESE'!$AE$9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'27.10 PONDWE-KASESE'!$R$10:$R$21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PONDWE-KASESE'!$AE$10:$AE$21</c:f>
              <c:numCache>
                <c:formatCode>0</c:formatCode>
                <c:ptCount val="12"/>
                <c:pt idx="0">
                  <c:v>9</c:v>
                </c:pt>
                <c:pt idx="1">
                  <c:v>15</c:v>
                </c:pt>
                <c:pt idx="2">
                  <c:v>21</c:v>
                </c:pt>
                <c:pt idx="3">
                  <c:v>23</c:v>
                </c:pt>
                <c:pt idx="4">
                  <c:v>36</c:v>
                </c:pt>
                <c:pt idx="5">
                  <c:v>20</c:v>
                </c:pt>
                <c:pt idx="6">
                  <c:v>35</c:v>
                </c:pt>
                <c:pt idx="7">
                  <c:v>41</c:v>
                </c:pt>
                <c:pt idx="8">
                  <c:v>35</c:v>
                </c:pt>
                <c:pt idx="9">
                  <c:v>43</c:v>
                </c:pt>
                <c:pt idx="10">
                  <c:v>37</c:v>
                </c:pt>
                <c:pt idx="11">
                  <c:v>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'27.10 PONDWE-KASESE'!$AF$9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'27.10 PONDWE-KASESE'!$R$10:$R$21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PONDWE-KASESE'!$AF$10:$AF$21</c:f>
              <c:numCache>
                <c:formatCode>0</c:formatCode>
                <c:ptCount val="12"/>
                <c:pt idx="0">
                  <c:v>104</c:v>
                </c:pt>
                <c:pt idx="1">
                  <c:v>131</c:v>
                </c:pt>
                <c:pt idx="2">
                  <c:v>244</c:v>
                </c:pt>
                <c:pt idx="3">
                  <c:v>233</c:v>
                </c:pt>
                <c:pt idx="4">
                  <c:v>290</c:v>
                </c:pt>
                <c:pt idx="5">
                  <c:v>219</c:v>
                </c:pt>
                <c:pt idx="6">
                  <c:v>313</c:v>
                </c:pt>
                <c:pt idx="7">
                  <c:v>321</c:v>
                </c:pt>
                <c:pt idx="8">
                  <c:v>264</c:v>
                </c:pt>
                <c:pt idx="9">
                  <c:v>362</c:v>
                </c:pt>
                <c:pt idx="10">
                  <c:v>236</c:v>
                </c:pt>
                <c:pt idx="11">
                  <c:v>280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717832"/>
        <c:axId val="167718224"/>
      </c:lineChart>
      <c:catAx>
        <c:axId val="1677178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7718224"/>
        <c:crosses val="autoZero"/>
        <c:auto val="1"/>
        <c:lblAlgn val="ctr"/>
        <c:lblOffset val="100"/>
        <c:noMultiLvlLbl val="0"/>
      </c:catAx>
      <c:valAx>
        <c:axId val="1677182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7717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'27.10 PONDWE-KASESE'!$C$9:$N$9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'27.10 PONDWE-KASESE'!$C$59:$N$59</c:f>
              <c:numCache>
                <c:formatCode>0.0%</c:formatCode>
                <c:ptCount val="12"/>
                <c:pt idx="0">
                  <c:v>7.5075075075075076E-2</c:v>
                </c:pt>
                <c:pt idx="1">
                  <c:v>1.3346680013346681E-3</c:v>
                </c:pt>
                <c:pt idx="2">
                  <c:v>3.6703370036703371E-3</c:v>
                </c:pt>
                <c:pt idx="3">
                  <c:v>2.002002002002002E-3</c:v>
                </c:pt>
                <c:pt idx="4">
                  <c:v>6.6733400066733403E-4</c:v>
                </c:pt>
                <c:pt idx="5">
                  <c:v>2.3356690023356688E-3</c:v>
                </c:pt>
                <c:pt idx="6">
                  <c:v>8.0080080080080079E-3</c:v>
                </c:pt>
                <c:pt idx="7">
                  <c:v>7.3406740073406742E-3</c:v>
                </c:pt>
                <c:pt idx="8">
                  <c:v>1.001001001001001E-3</c:v>
                </c:pt>
                <c:pt idx="9">
                  <c:v>1.2345679012345678E-2</c:v>
                </c:pt>
                <c:pt idx="10">
                  <c:v>0.88621955288621956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'27.10 PONDWE-KASESE'!$S$9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'27.10 PONDWE-KASESE'!$R$10:$R$21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PONDWE-KASESE'!$S$10:$S$21</c:f>
              <c:numCache>
                <c:formatCode>0</c:formatCode>
                <c:ptCount val="12"/>
                <c:pt idx="0">
                  <c:v>6</c:v>
                </c:pt>
                <c:pt idx="1">
                  <c:v>11</c:v>
                </c:pt>
                <c:pt idx="2">
                  <c:v>13</c:v>
                </c:pt>
                <c:pt idx="3">
                  <c:v>11</c:v>
                </c:pt>
                <c:pt idx="4">
                  <c:v>21</c:v>
                </c:pt>
                <c:pt idx="5">
                  <c:v>15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28</c:v>
                </c:pt>
                <c:pt idx="10">
                  <c:v>29</c:v>
                </c:pt>
                <c:pt idx="11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'27.10 PONDWE-KASESE'!$T$9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'27.10 PONDWE-KASESE'!$R$10:$R$21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PONDWE-KASESE'!$T$10:$T$21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'27.10 PONDWE-KASESE'!$U$9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'27.10 PONDWE-KASESE'!$U$10:$U$21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'27.10 PONDWE-KASESE'!$V$9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'27.10 PONDWE-KASESE'!$V$10:$V$21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'27.10 PONDWE-KASESE'!$W$9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'27.10 PONDWE-KASESE'!$W$10:$W$21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'27.10 PONDWE-KASESE'!$X$9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'27.10 PONDWE-KASESE'!$X$10:$X$21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'27.10 PONDWE-KASESE'!$Y$9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PONDWE-KASESE'!$Y$10:$Y$21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6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'27.10 PONDWE-KASESE'!$Z$9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PONDWE-KASESE'!$Z$10:$Z$21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5</c:v>
                </c:pt>
                <c:pt idx="7">
                  <c:v>1</c:v>
                </c:pt>
                <c:pt idx="8">
                  <c:v>4</c:v>
                </c:pt>
                <c:pt idx="9">
                  <c:v>1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'27.10 PONDWE-KASESE'!$AA$9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PONDWE-KASESE'!$AA$10:$AA$21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'27.10 PONDWE-KASESE'!$AB$9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PONDWE-KASESE'!$AB$10:$AB$21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7</c:v>
                </c:pt>
                <c:pt idx="4">
                  <c:v>5</c:v>
                </c:pt>
                <c:pt idx="5">
                  <c:v>0</c:v>
                </c:pt>
                <c:pt idx="6">
                  <c:v>3</c:v>
                </c:pt>
                <c:pt idx="7">
                  <c:v>9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'27.10 PONDWE-KASESE'!$AC$9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PONDWE-KASESE'!$AC$10:$AC$21</c:f>
              <c:numCache>
                <c:formatCode>0</c:formatCode>
                <c:ptCount val="12"/>
                <c:pt idx="0">
                  <c:v>95</c:v>
                </c:pt>
                <c:pt idx="1">
                  <c:v>116</c:v>
                </c:pt>
                <c:pt idx="2">
                  <c:v>223</c:v>
                </c:pt>
                <c:pt idx="3">
                  <c:v>210</c:v>
                </c:pt>
                <c:pt idx="4">
                  <c:v>254</c:v>
                </c:pt>
                <c:pt idx="5">
                  <c:v>199</c:v>
                </c:pt>
                <c:pt idx="6">
                  <c:v>278</c:v>
                </c:pt>
                <c:pt idx="7">
                  <c:v>280</c:v>
                </c:pt>
                <c:pt idx="8">
                  <c:v>229</c:v>
                </c:pt>
                <c:pt idx="9">
                  <c:v>319</c:v>
                </c:pt>
                <c:pt idx="10">
                  <c:v>199</c:v>
                </c:pt>
                <c:pt idx="11">
                  <c:v>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'27.10 PONDWE-KASESE'!$AD$9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PONDWE-KASESE'!$AD$10:$AD$21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719792"/>
        <c:axId val="167720184"/>
      </c:lineChart>
      <c:catAx>
        <c:axId val="16771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7720184"/>
        <c:crosses val="autoZero"/>
        <c:auto val="1"/>
        <c:lblAlgn val="ctr"/>
        <c:lblOffset val="100"/>
        <c:noMultiLvlLbl val="0"/>
      </c:catAx>
      <c:valAx>
        <c:axId val="167720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771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'27.10 PONDWE-KASESE'!$C$9:$N$9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'27.10 PONDWE-KASESE'!$C$60:$N$60</c:f>
              <c:numCache>
                <c:formatCode>0.00%</c:formatCode>
                <c:ptCount val="12"/>
                <c:pt idx="0">
                  <c:v>0.65982404692082108</c:v>
                </c:pt>
                <c:pt idx="1">
                  <c:v>1.1730205278592375E-2</c:v>
                </c:pt>
                <c:pt idx="2">
                  <c:v>3.2258064516129031E-2</c:v>
                </c:pt>
                <c:pt idx="3">
                  <c:v>1.7595307917888565E-2</c:v>
                </c:pt>
                <c:pt idx="4">
                  <c:v>5.8651026392961877E-3</c:v>
                </c:pt>
                <c:pt idx="5">
                  <c:v>2.0527859237536656E-2</c:v>
                </c:pt>
                <c:pt idx="6">
                  <c:v>7.0381231671554259E-2</c:v>
                </c:pt>
                <c:pt idx="7">
                  <c:v>6.4516129032258063E-2</c:v>
                </c:pt>
                <c:pt idx="8">
                  <c:v>8.7976539589442824E-3</c:v>
                </c:pt>
                <c:pt idx="9">
                  <c:v>0.10850439882697947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'25.10.19 PONDWE-KASESE-24h'!$AE$9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'25.10.19 PONDWE-KASESE-24h'!$R$10:$R$33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'25.10.19 PONDWE-KASESE-24h'!$AE$10:$AE$33</c:f>
              <c:numCache>
                <c:formatCode>0</c:formatCode>
                <c:ptCount val="24"/>
                <c:pt idx="0">
                  <c:v>26</c:v>
                </c:pt>
                <c:pt idx="1">
                  <c:v>32</c:v>
                </c:pt>
                <c:pt idx="2">
                  <c:v>40</c:v>
                </c:pt>
                <c:pt idx="3">
                  <c:v>40</c:v>
                </c:pt>
                <c:pt idx="4">
                  <c:v>62</c:v>
                </c:pt>
                <c:pt idx="5">
                  <c:v>38</c:v>
                </c:pt>
                <c:pt idx="6">
                  <c:v>74</c:v>
                </c:pt>
                <c:pt idx="7">
                  <c:v>47</c:v>
                </c:pt>
                <c:pt idx="8">
                  <c:v>49</c:v>
                </c:pt>
                <c:pt idx="9">
                  <c:v>83</c:v>
                </c:pt>
                <c:pt idx="10">
                  <c:v>56</c:v>
                </c:pt>
                <c:pt idx="11">
                  <c:v>85</c:v>
                </c:pt>
                <c:pt idx="12">
                  <c:v>61</c:v>
                </c:pt>
                <c:pt idx="13">
                  <c:v>31</c:v>
                </c:pt>
                <c:pt idx="14">
                  <c:v>14</c:v>
                </c:pt>
                <c:pt idx="15">
                  <c:v>12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3</c:v>
                </c:pt>
                <c:pt idx="20">
                  <c:v>1</c:v>
                </c:pt>
                <c:pt idx="21">
                  <c:v>2</c:v>
                </c:pt>
                <c:pt idx="22">
                  <c:v>11</c:v>
                </c:pt>
                <c:pt idx="23">
                  <c:v>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'25.10.19 PONDWE-KASESE-24h'!$AF$9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'25.10.19 PONDWE-KASESE-24h'!$R$10:$R$33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'25.10.19 PONDWE-KASESE-24h'!$AF$10:$AF$33</c:f>
              <c:numCache>
                <c:formatCode>0</c:formatCode>
                <c:ptCount val="24"/>
                <c:pt idx="0">
                  <c:v>468</c:v>
                </c:pt>
                <c:pt idx="1">
                  <c:v>465</c:v>
                </c:pt>
                <c:pt idx="2">
                  <c:v>355</c:v>
                </c:pt>
                <c:pt idx="3">
                  <c:v>354</c:v>
                </c:pt>
                <c:pt idx="4">
                  <c:v>499</c:v>
                </c:pt>
                <c:pt idx="5">
                  <c:v>316</c:v>
                </c:pt>
                <c:pt idx="6">
                  <c:v>398</c:v>
                </c:pt>
                <c:pt idx="7">
                  <c:v>401</c:v>
                </c:pt>
                <c:pt idx="8">
                  <c:v>380</c:v>
                </c:pt>
                <c:pt idx="9">
                  <c:v>364</c:v>
                </c:pt>
                <c:pt idx="10">
                  <c:v>398</c:v>
                </c:pt>
                <c:pt idx="11">
                  <c:v>634</c:v>
                </c:pt>
                <c:pt idx="12">
                  <c:v>422</c:v>
                </c:pt>
                <c:pt idx="13">
                  <c:v>187</c:v>
                </c:pt>
                <c:pt idx="14">
                  <c:v>60</c:v>
                </c:pt>
                <c:pt idx="15">
                  <c:v>46</c:v>
                </c:pt>
                <c:pt idx="16">
                  <c:v>16</c:v>
                </c:pt>
                <c:pt idx="17">
                  <c:v>16</c:v>
                </c:pt>
                <c:pt idx="18">
                  <c:v>8</c:v>
                </c:pt>
                <c:pt idx="19">
                  <c:v>10</c:v>
                </c:pt>
                <c:pt idx="20">
                  <c:v>35</c:v>
                </c:pt>
                <c:pt idx="21">
                  <c:v>10</c:v>
                </c:pt>
                <c:pt idx="22">
                  <c:v>34</c:v>
                </c:pt>
                <c:pt idx="23">
                  <c:v>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955312"/>
        <c:axId val="163949824"/>
      </c:lineChart>
      <c:catAx>
        <c:axId val="1639553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3949824"/>
        <c:crosses val="autoZero"/>
        <c:auto val="1"/>
        <c:lblAlgn val="ctr"/>
        <c:lblOffset val="100"/>
        <c:noMultiLvlLbl val="0"/>
      </c:catAx>
      <c:valAx>
        <c:axId val="1639498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395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'25.10.19 PONDWE-KASESE-24h'!$C$9:$N$9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'25.10.19 PONDWE-KASESE-24h'!$C$107:$N$107</c:f>
              <c:numCache>
                <c:formatCode>0.0%</c:formatCode>
                <c:ptCount val="12"/>
                <c:pt idx="0">
                  <c:v>8.3813071452759902E-2</c:v>
                </c:pt>
                <c:pt idx="1">
                  <c:v>5.5875380968506607E-3</c:v>
                </c:pt>
                <c:pt idx="2">
                  <c:v>4.9102607517778531E-3</c:v>
                </c:pt>
                <c:pt idx="3">
                  <c:v>7.7886894683372844E-3</c:v>
                </c:pt>
                <c:pt idx="4">
                  <c:v>3.3863867253640368E-4</c:v>
                </c:pt>
                <c:pt idx="5">
                  <c:v>2.5397900440230275E-3</c:v>
                </c:pt>
                <c:pt idx="6">
                  <c:v>1.4730782255333559E-2</c:v>
                </c:pt>
                <c:pt idx="7">
                  <c:v>5.7568574331188626E-3</c:v>
                </c:pt>
                <c:pt idx="8">
                  <c:v>1.3545546901456147E-3</c:v>
                </c:pt>
                <c:pt idx="9">
                  <c:v>5.9261767693870636E-3</c:v>
                </c:pt>
                <c:pt idx="10">
                  <c:v>0.86725364036572972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'25.10.19 PONDWE-KASESE-24h'!$C$9:$N$9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'25.10.19 PONDWE-KASESE-24h'!$C$108:$N$108</c:f>
              <c:numCache>
                <c:formatCode>0.00%</c:formatCode>
                <c:ptCount val="12"/>
                <c:pt idx="0">
                  <c:v>0.63137755102040816</c:v>
                </c:pt>
                <c:pt idx="1">
                  <c:v>4.2091836734693876E-2</c:v>
                </c:pt>
                <c:pt idx="2">
                  <c:v>3.6989795918367346E-2</c:v>
                </c:pt>
                <c:pt idx="3">
                  <c:v>5.8673469387755105E-2</c:v>
                </c:pt>
                <c:pt idx="4">
                  <c:v>2.5510204081632651E-3</c:v>
                </c:pt>
                <c:pt idx="5">
                  <c:v>1.913265306122449E-2</c:v>
                </c:pt>
                <c:pt idx="6">
                  <c:v>0.11096938775510204</c:v>
                </c:pt>
                <c:pt idx="7">
                  <c:v>4.336734693877551E-2</c:v>
                </c:pt>
                <c:pt idx="8">
                  <c:v>1.020408163265306E-2</c:v>
                </c:pt>
                <c:pt idx="9">
                  <c:v>4.4642857142857144E-2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'25.10.19 KASESE- PONDWE-24h'!$AE$9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'25.10.19 KASESE- PONDWE-24h'!$R$10:$R$33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'25.10.19 KASESE- PONDWE-24h'!$AE$10:$AE$33</c:f>
              <c:numCache>
                <c:formatCode>0</c:formatCode>
                <c:ptCount val="24"/>
                <c:pt idx="0">
                  <c:v>46</c:v>
                </c:pt>
                <c:pt idx="1">
                  <c:v>62</c:v>
                </c:pt>
                <c:pt idx="2">
                  <c:v>49</c:v>
                </c:pt>
                <c:pt idx="3">
                  <c:v>27</c:v>
                </c:pt>
                <c:pt idx="4">
                  <c:v>37</c:v>
                </c:pt>
                <c:pt idx="5">
                  <c:v>27</c:v>
                </c:pt>
                <c:pt idx="6">
                  <c:v>24</c:v>
                </c:pt>
                <c:pt idx="7">
                  <c:v>33</c:v>
                </c:pt>
                <c:pt idx="8">
                  <c:v>37</c:v>
                </c:pt>
                <c:pt idx="9">
                  <c:v>40</c:v>
                </c:pt>
                <c:pt idx="10">
                  <c:v>31</c:v>
                </c:pt>
                <c:pt idx="11">
                  <c:v>25</c:v>
                </c:pt>
                <c:pt idx="12">
                  <c:v>38</c:v>
                </c:pt>
                <c:pt idx="13">
                  <c:v>16</c:v>
                </c:pt>
                <c:pt idx="14">
                  <c:v>8</c:v>
                </c:pt>
                <c:pt idx="15">
                  <c:v>3</c:v>
                </c:pt>
                <c:pt idx="16">
                  <c:v>8</c:v>
                </c:pt>
                <c:pt idx="17">
                  <c:v>1</c:v>
                </c:pt>
                <c:pt idx="18">
                  <c:v>4</c:v>
                </c:pt>
                <c:pt idx="19">
                  <c:v>2</c:v>
                </c:pt>
                <c:pt idx="20">
                  <c:v>3</c:v>
                </c:pt>
                <c:pt idx="21">
                  <c:v>8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'25.10.19 KASESE- PONDWE-24h'!$AF$9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'25.10.19 KASESE- PONDWE-24h'!$R$10:$R$33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'25.10.19 KASESE- PONDWE-24h'!$AF$10:$AF$33</c:f>
              <c:numCache>
                <c:formatCode>0</c:formatCode>
                <c:ptCount val="24"/>
                <c:pt idx="0">
                  <c:v>566</c:v>
                </c:pt>
                <c:pt idx="1">
                  <c:v>557</c:v>
                </c:pt>
                <c:pt idx="2">
                  <c:v>317</c:v>
                </c:pt>
                <c:pt idx="3">
                  <c:v>285</c:v>
                </c:pt>
                <c:pt idx="4">
                  <c:v>247</c:v>
                </c:pt>
                <c:pt idx="5">
                  <c:v>179</c:v>
                </c:pt>
                <c:pt idx="6">
                  <c:v>237</c:v>
                </c:pt>
                <c:pt idx="7">
                  <c:v>249</c:v>
                </c:pt>
                <c:pt idx="8">
                  <c:v>383</c:v>
                </c:pt>
                <c:pt idx="9">
                  <c:v>286</c:v>
                </c:pt>
                <c:pt idx="10">
                  <c:v>198</c:v>
                </c:pt>
                <c:pt idx="11">
                  <c:v>230</c:v>
                </c:pt>
                <c:pt idx="12">
                  <c:v>176</c:v>
                </c:pt>
                <c:pt idx="13">
                  <c:v>47</c:v>
                </c:pt>
                <c:pt idx="14">
                  <c:v>24</c:v>
                </c:pt>
                <c:pt idx="15">
                  <c:v>7</c:v>
                </c:pt>
                <c:pt idx="16">
                  <c:v>14</c:v>
                </c:pt>
                <c:pt idx="17">
                  <c:v>4</c:v>
                </c:pt>
                <c:pt idx="18">
                  <c:v>5</c:v>
                </c:pt>
                <c:pt idx="19">
                  <c:v>7</c:v>
                </c:pt>
                <c:pt idx="20">
                  <c:v>4</c:v>
                </c:pt>
                <c:pt idx="21">
                  <c:v>12</c:v>
                </c:pt>
                <c:pt idx="22">
                  <c:v>20</c:v>
                </c:pt>
                <c:pt idx="23">
                  <c:v>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957272"/>
        <c:axId val="163950216"/>
      </c:lineChart>
      <c:catAx>
        <c:axId val="1639572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3950216"/>
        <c:crosses val="autoZero"/>
        <c:auto val="1"/>
        <c:lblAlgn val="ctr"/>
        <c:lblOffset val="100"/>
        <c:noMultiLvlLbl val="0"/>
      </c:catAx>
      <c:valAx>
        <c:axId val="1639502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3957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'25.10.19 KASESE- PONDWE-24h'!$C$9:$N$9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'25.10.19 KASESE- PONDWE-24h'!$C$107:$N$107</c:f>
              <c:numCache>
                <c:formatCode>0.0%</c:formatCode>
                <c:ptCount val="12"/>
                <c:pt idx="0">
                  <c:v>6.7564259485924108E-2</c:v>
                </c:pt>
                <c:pt idx="1">
                  <c:v>6.1199510403916772E-3</c:v>
                </c:pt>
                <c:pt idx="2">
                  <c:v>8.8127294981640153E-3</c:v>
                </c:pt>
                <c:pt idx="3">
                  <c:v>2.3745410036719705E-2</c:v>
                </c:pt>
                <c:pt idx="4">
                  <c:v>9.7919216646266834E-4</c:v>
                </c:pt>
                <c:pt idx="5">
                  <c:v>1.9583843329253367E-3</c:v>
                </c:pt>
                <c:pt idx="6">
                  <c:v>1.0281517747858017E-2</c:v>
                </c:pt>
                <c:pt idx="7">
                  <c:v>9.057527539779682E-3</c:v>
                </c:pt>
                <c:pt idx="8">
                  <c:v>3.4271725826193391E-3</c:v>
                </c:pt>
                <c:pt idx="9">
                  <c:v>3.4271725826193391E-3</c:v>
                </c:pt>
                <c:pt idx="10">
                  <c:v>0.86462668298653611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'25.10.19 KASESE- PONDWE-24h'!$C$9:$N$9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'25.10.19 KASESE- PONDWE-24h'!$C$108:$N$108</c:f>
              <c:numCache>
                <c:formatCode>0.00%</c:formatCode>
                <c:ptCount val="12"/>
                <c:pt idx="0">
                  <c:v>0.49909584086799275</c:v>
                </c:pt>
                <c:pt idx="1">
                  <c:v>4.5207956600361664E-2</c:v>
                </c:pt>
                <c:pt idx="2">
                  <c:v>6.50994575045208E-2</c:v>
                </c:pt>
                <c:pt idx="3">
                  <c:v>0.17540687160940324</c:v>
                </c:pt>
                <c:pt idx="4">
                  <c:v>7.2332730560578659E-3</c:v>
                </c:pt>
                <c:pt idx="5">
                  <c:v>1.4466546112115732E-2</c:v>
                </c:pt>
                <c:pt idx="6">
                  <c:v>7.5949367088607597E-2</c:v>
                </c:pt>
                <c:pt idx="7">
                  <c:v>6.6907775768535266E-2</c:v>
                </c:pt>
                <c:pt idx="8">
                  <c:v>2.5316455696202531E-2</c:v>
                </c:pt>
                <c:pt idx="9">
                  <c:v>2.5316455696202531E-2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Kasese-Pondwe'!$AE$9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Kasese-Pondwe'!$R$10:$R$33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Kasese-Pondwe'!$AE$10:$AE$33</c:f>
              <c:numCache>
                <c:formatCode>0</c:formatCode>
                <c:ptCount val="24"/>
                <c:pt idx="0">
                  <c:v>21.666666666666664</c:v>
                </c:pt>
                <c:pt idx="1">
                  <c:v>37</c:v>
                </c:pt>
                <c:pt idx="2">
                  <c:v>33.333333333333336</c:v>
                </c:pt>
                <c:pt idx="3">
                  <c:v>25</c:v>
                </c:pt>
                <c:pt idx="4">
                  <c:v>30.333333333333329</c:v>
                </c:pt>
                <c:pt idx="5">
                  <c:v>29</c:v>
                </c:pt>
                <c:pt idx="6">
                  <c:v>26</c:v>
                </c:pt>
                <c:pt idx="7">
                  <c:v>23.666666666666668</c:v>
                </c:pt>
                <c:pt idx="8">
                  <c:v>32.333333333333343</c:v>
                </c:pt>
                <c:pt idx="9">
                  <c:v>32</c:v>
                </c:pt>
                <c:pt idx="10">
                  <c:v>29</c:v>
                </c:pt>
                <c:pt idx="11">
                  <c:v>24.333333333333332</c:v>
                </c:pt>
                <c:pt idx="12">
                  <c:v>25</c:v>
                </c:pt>
                <c:pt idx="13">
                  <c:v>38</c:v>
                </c:pt>
                <c:pt idx="14">
                  <c:v>16</c:v>
                </c:pt>
                <c:pt idx="15">
                  <c:v>8</c:v>
                </c:pt>
                <c:pt idx="16">
                  <c:v>3</c:v>
                </c:pt>
                <c:pt idx="17">
                  <c:v>8</c:v>
                </c:pt>
                <c:pt idx="18">
                  <c:v>1</c:v>
                </c:pt>
                <c:pt idx="19">
                  <c:v>4</c:v>
                </c:pt>
                <c:pt idx="20">
                  <c:v>2</c:v>
                </c:pt>
                <c:pt idx="21">
                  <c:v>3</c:v>
                </c:pt>
                <c:pt idx="22">
                  <c:v>8</c:v>
                </c:pt>
                <c:pt idx="23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Kasese-Pondwe'!$AF$9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Kasese-Pondwe'!$R$10:$R$33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Kasese-Pondwe'!$AF$10:$AF$33</c:f>
              <c:numCache>
                <c:formatCode>0</c:formatCode>
                <c:ptCount val="24"/>
                <c:pt idx="0">
                  <c:v>223</c:v>
                </c:pt>
                <c:pt idx="1">
                  <c:v>291.66666666666669</c:v>
                </c:pt>
                <c:pt idx="2">
                  <c:v>213.33333333333331</c:v>
                </c:pt>
                <c:pt idx="3">
                  <c:v>168.33333333333331</c:v>
                </c:pt>
                <c:pt idx="4">
                  <c:v>198.33333333333334</c:v>
                </c:pt>
                <c:pt idx="5">
                  <c:v>186.33333333333334</c:v>
                </c:pt>
                <c:pt idx="6">
                  <c:v>201.33333333333334</c:v>
                </c:pt>
                <c:pt idx="7">
                  <c:v>196</c:v>
                </c:pt>
                <c:pt idx="8">
                  <c:v>258</c:v>
                </c:pt>
                <c:pt idx="9">
                  <c:v>283.33333333333331</c:v>
                </c:pt>
                <c:pt idx="10">
                  <c:v>199</c:v>
                </c:pt>
                <c:pt idx="11">
                  <c:v>258.33333333333331</c:v>
                </c:pt>
                <c:pt idx="12">
                  <c:v>230</c:v>
                </c:pt>
                <c:pt idx="13">
                  <c:v>176</c:v>
                </c:pt>
                <c:pt idx="14">
                  <c:v>47</c:v>
                </c:pt>
                <c:pt idx="15">
                  <c:v>24</c:v>
                </c:pt>
                <c:pt idx="16">
                  <c:v>7</c:v>
                </c:pt>
                <c:pt idx="17">
                  <c:v>14</c:v>
                </c:pt>
                <c:pt idx="18">
                  <c:v>4</c:v>
                </c:pt>
                <c:pt idx="19">
                  <c:v>5</c:v>
                </c:pt>
                <c:pt idx="20">
                  <c:v>7</c:v>
                </c:pt>
                <c:pt idx="21">
                  <c:v>4</c:v>
                </c:pt>
                <c:pt idx="22">
                  <c:v>12</c:v>
                </c:pt>
                <c:pt idx="23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408472"/>
        <c:axId val="423407688"/>
      </c:lineChart>
      <c:catAx>
        <c:axId val="4234084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3407688"/>
        <c:crosses val="autoZero"/>
        <c:auto val="1"/>
        <c:lblAlgn val="ctr"/>
        <c:lblOffset val="100"/>
        <c:noMultiLvlLbl val="0"/>
      </c:catAx>
      <c:valAx>
        <c:axId val="4234076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3408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'Avg Week Kasese-Pondwe'!$C$9:$N$9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Kasese-Pondwe'!$C$107:$N$107</c:f>
              <c:numCache>
                <c:formatCode>0.0%</c:formatCode>
                <c:ptCount val="12"/>
                <c:pt idx="0">
                  <c:v>7.6851564920979235E-2</c:v>
                </c:pt>
                <c:pt idx="1">
                  <c:v>6.920772647453775E-3</c:v>
                </c:pt>
                <c:pt idx="2">
                  <c:v>7.2306579898770793E-3</c:v>
                </c:pt>
                <c:pt idx="3">
                  <c:v>2.3861171366594359E-2</c:v>
                </c:pt>
                <c:pt idx="4">
                  <c:v>4.1318045656440447E-4</c:v>
                </c:pt>
                <c:pt idx="5">
                  <c:v>3.7186241090796401E-3</c:v>
                </c:pt>
                <c:pt idx="6">
                  <c:v>8.4701993595702914E-3</c:v>
                </c:pt>
                <c:pt idx="7">
                  <c:v>7.8504286747236845E-3</c:v>
                </c:pt>
                <c:pt idx="8">
                  <c:v>2.892263195950831E-3</c:v>
                </c:pt>
                <c:pt idx="9">
                  <c:v>7.9537237888647853E-3</c:v>
                </c:pt>
                <c:pt idx="10">
                  <c:v>0.85383741349034181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'Avg Week Kasese-Pondwe'!$C$9:$N$9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Kasese-Pondwe'!$C$108:$N$108</c:f>
              <c:numCache>
                <c:formatCode>0.00%</c:formatCode>
                <c:ptCount val="12"/>
                <c:pt idx="0">
                  <c:v>0.52579505300353357</c:v>
                </c:pt>
                <c:pt idx="1">
                  <c:v>4.7349823321554768E-2</c:v>
                </c:pt>
                <c:pt idx="2">
                  <c:v>4.9469964664310966E-2</c:v>
                </c:pt>
                <c:pt idx="3">
                  <c:v>0.16325088339222615</c:v>
                </c:pt>
                <c:pt idx="4">
                  <c:v>2.8268551236749115E-3</c:v>
                </c:pt>
                <c:pt idx="5">
                  <c:v>2.5441696113074203E-2</c:v>
                </c:pt>
                <c:pt idx="6">
                  <c:v>5.7950530035335686E-2</c:v>
                </c:pt>
                <c:pt idx="7">
                  <c:v>5.3710247349823319E-2</c:v>
                </c:pt>
                <c:pt idx="8">
                  <c:v>1.9787985865724382E-2</c:v>
                </c:pt>
                <c:pt idx="9">
                  <c:v>5.4416961130742049E-2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Pondwe-Kasese'!$AE$9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Pondwe-Kasese'!$R$10:$R$33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Pondwe-Kasese'!$AE$10:$AE$33</c:f>
              <c:numCache>
                <c:formatCode>0</c:formatCode>
                <c:ptCount val="24"/>
                <c:pt idx="0">
                  <c:v>13.666666666666668</c:v>
                </c:pt>
                <c:pt idx="1">
                  <c:v>19.666666666666664</c:v>
                </c:pt>
                <c:pt idx="2">
                  <c:v>26</c:v>
                </c:pt>
                <c:pt idx="3">
                  <c:v>24.666666666666664</c:v>
                </c:pt>
                <c:pt idx="4">
                  <c:v>42.333333333333336</c:v>
                </c:pt>
                <c:pt idx="5">
                  <c:v>35.666666666666671</c:v>
                </c:pt>
                <c:pt idx="6">
                  <c:v>42.666666666666671</c:v>
                </c:pt>
                <c:pt idx="7">
                  <c:v>38.333333333333336</c:v>
                </c:pt>
                <c:pt idx="8">
                  <c:v>41.333333333333336</c:v>
                </c:pt>
                <c:pt idx="9">
                  <c:v>56.000000000000007</c:v>
                </c:pt>
                <c:pt idx="10">
                  <c:v>45</c:v>
                </c:pt>
                <c:pt idx="11">
                  <c:v>44.666666666666664</c:v>
                </c:pt>
                <c:pt idx="12">
                  <c:v>61</c:v>
                </c:pt>
                <c:pt idx="13">
                  <c:v>31</c:v>
                </c:pt>
                <c:pt idx="14">
                  <c:v>14</c:v>
                </c:pt>
                <c:pt idx="15">
                  <c:v>12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3</c:v>
                </c:pt>
                <c:pt idx="20">
                  <c:v>1</c:v>
                </c:pt>
                <c:pt idx="21">
                  <c:v>2</c:v>
                </c:pt>
                <c:pt idx="22">
                  <c:v>11</c:v>
                </c:pt>
                <c:pt idx="23">
                  <c:v>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Pondwe-Kasese'!$AF$9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Pondwe-Kasese'!$R$10:$R$33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Pondwe-Kasese'!$AF$10:$AF$33</c:f>
              <c:numCache>
                <c:formatCode>0</c:formatCode>
                <c:ptCount val="24"/>
                <c:pt idx="0">
                  <c:v>217.33333333333334</c:v>
                </c:pt>
                <c:pt idx="1">
                  <c:v>228</c:v>
                </c:pt>
                <c:pt idx="2">
                  <c:v>217.33333333333331</c:v>
                </c:pt>
                <c:pt idx="3">
                  <c:v>219</c:v>
                </c:pt>
                <c:pt idx="4">
                  <c:v>325.33333333333337</c:v>
                </c:pt>
                <c:pt idx="5">
                  <c:v>261.66666666666669</c:v>
                </c:pt>
                <c:pt idx="6">
                  <c:v>312.33333333333331</c:v>
                </c:pt>
                <c:pt idx="7">
                  <c:v>340.66666666666663</c:v>
                </c:pt>
                <c:pt idx="8">
                  <c:v>319.33333333333337</c:v>
                </c:pt>
                <c:pt idx="9">
                  <c:v>341</c:v>
                </c:pt>
                <c:pt idx="10">
                  <c:v>303.33333333333337</c:v>
                </c:pt>
                <c:pt idx="11">
                  <c:v>393.66666666666663</c:v>
                </c:pt>
                <c:pt idx="12">
                  <c:v>422</c:v>
                </c:pt>
                <c:pt idx="13">
                  <c:v>187</c:v>
                </c:pt>
                <c:pt idx="14">
                  <c:v>60</c:v>
                </c:pt>
                <c:pt idx="15">
                  <c:v>46</c:v>
                </c:pt>
                <c:pt idx="16">
                  <c:v>16</c:v>
                </c:pt>
                <c:pt idx="17">
                  <c:v>16</c:v>
                </c:pt>
                <c:pt idx="18">
                  <c:v>8</c:v>
                </c:pt>
                <c:pt idx="19">
                  <c:v>10</c:v>
                </c:pt>
                <c:pt idx="20">
                  <c:v>35</c:v>
                </c:pt>
                <c:pt idx="21">
                  <c:v>10</c:v>
                </c:pt>
                <c:pt idx="22">
                  <c:v>34</c:v>
                </c:pt>
                <c:pt idx="23">
                  <c:v>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646864"/>
        <c:axId val="423644512"/>
      </c:lineChart>
      <c:catAx>
        <c:axId val="4236468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3644512"/>
        <c:crosses val="autoZero"/>
        <c:auto val="1"/>
        <c:lblAlgn val="ctr"/>
        <c:lblOffset val="100"/>
        <c:noMultiLvlLbl val="0"/>
      </c:catAx>
      <c:valAx>
        <c:axId val="4236445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364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'Avg Week Pondwe-Kasese'!$C$9:$N$9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Pondwe-Kasese'!$C$107:$N$107</c:f>
              <c:numCache>
                <c:formatCode>0.0%</c:formatCode>
                <c:ptCount val="12"/>
                <c:pt idx="0">
                  <c:v>8.7142966536488259E-2</c:v>
                </c:pt>
                <c:pt idx="1">
                  <c:v>5.2837123822651062E-3</c:v>
                </c:pt>
                <c:pt idx="2">
                  <c:v>4.6711080480894398E-3</c:v>
                </c:pt>
                <c:pt idx="3">
                  <c:v>5.4368634658090208E-3</c:v>
                </c:pt>
                <c:pt idx="4">
                  <c:v>4.5945325063174823E-4</c:v>
                </c:pt>
                <c:pt idx="5">
                  <c:v>3.6756260050539867E-3</c:v>
                </c:pt>
                <c:pt idx="6">
                  <c:v>1.1103453556933917E-2</c:v>
                </c:pt>
                <c:pt idx="7">
                  <c:v>7.1215253847920958E-3</c:v>
                </c:pt>
                <c:pt idx="8">
                  <c:v>1.5315108354391608E-3</c:v>
                </c:pt>
                <c:pt idx="9">
                  <c:v>7.2746764683360148E-3</c:v>
                </c:pt>
                <c:pt idx="10">
                  <c:v>0.86629910406616129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'Avg Week Pondwe-Kasese'!$C$9:$N$9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Pondwe-Kasese'!$C$108:$N$108</c:f>
              <c:numCache>
                <c:formatCode>0.00%</c:formatCode>
                <c:ptCount val="12"/>
                <c:pt idx="0">
                  <c:v>0.65177548682703346</c:v>
                </c:pt>
                <c:pt idx="1">
                  <c:v>3.9518900343642631E-2</c:v>
                </c:pt>
                <c:pt idx="2">
                  <c:v>3.4936998854524635E-2</c:v>
                </c:pt>
                <c:pt idx="3">
                  <c:v>4.0664375715922116E-2</c:v>
                </c:pt>
                <c:pt idx="4">
                  <c:v>3.4364261168384888E-3</c:v>
                </c:pt>
                <c:pt idx="5">
                  <c:v>2.7491408934707914E-2</c:v>
                </c:pt>
                <c:pt idx="6">
                  <c:v>8.3046964490263483E-2</c:v>
                </c:pt>
                <c:pt idx="7">
                  <c:v>5.3264604810996562E-2</c:v>
                </c:pt>
                <c:pt idx="8">
                  <c:v>1.1454753722794963E-2</c:v>
                </c:pt>
                <c:pt idx="9">
                  <c:v>5.4410080183276081E-2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'Avg Week Pondwe-Kasese-2Dir'!$C$9:$N$9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Pondwe-Kasese-2Dir'!$C$107:$N$107</c:f>
              <c:numCache>
                <c:formatCode>0.0%</c:formatCode>
                <c:ptCount val="12"/>
                <c:pt idx="0">
                  <c:v>8.2761653474054508E-2</c:v>
                </c:pt>
                <c:pt idx="1">
                  <c:v>5.9806508355321015E-3</c:v>
                </c:pt>
                <c:pt idx="2">
                  <c:v>5.7607739665787149E-3</c:v>
                </c:pt>
                <c:pt idx="3">
                  <c:v>1.3280562884784519E-2</c:v>
                </c:pt>
                <c:pt idx="4">
                  <c:v>4.3975373790677212E-4</c:v>
                </c:pt>
                <c:pt idx="5">
                  <c:v>3.693931398416886E-3</c:v>
                </c:pt>
                <c:pt idx="6">
                  <c:v>9.9824098504837262E-3</c:v>
                </c:pt>
                <c:pt idx="7">
                  <c:v>7.4318381706244517E-3</c:v>
                </c:pt>
                <c:pt idx="8">
                  <c:v>2.1108179419525065E-3</c:v>
                </c:pt>
                <c:pt idx="9">
                  <c:v>7.5637642919964797E-3</c:v>
                </c:pt>
                <c:pt idx="10">
                  <c:v>0.86099384344766916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'Avg Week Pondwe-Kasese-2Dir'!$C$9:$N$9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Pondwe-Kasese-2Dir'!$C$108:$N$108</c:f>
              <c:numCache>
                <c:formatCode>0.00%</c:formatCode>
                <c:ptCount val="12"/>
                <c:pt idx="0">
                  <c:v>0.59538120847832954</c:v>
                </c:pt>
                <c:pt idx="1">
                  <c:v>4.3024359379943054E-2</c:v>
                </c:pt>
                <c:pt idx="2">
                  <c:v>4.1442581461562794E-2</c:v>
                </c:pt>
                <c:pt idx="3">
                  <c:v>9.553938627016767E-2</c:v>
                </c:pt>
                <c:pt idx="4">
                  <c:v>3.1635558367605183E-3</c:v>
                </c:pt>
                <c:pt idx="5">
                  <c:v>2.6573869028788357E-2</c:v>
                </c:pt>
                <c:pt idx="6">
                  <c:v>7.181271749446376E-2</c:v>
                </c:pt>
                <c:pt idx="7">
                  <c:v>5.3464093641252777E-2</c:v>
                </c:pt>
                <c:pt idx="8">
                  <c:v>1.518506801645049E-2</c:v>
                </c:pt>
                <c:pt idx="9">
                  <c:v>5.4413160392280911E-2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Pondwe-Kasese-2Dir'!$S$9:$AF$9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Pondwe-Kasese-2Dir'!$S$41:$AF$41</c:f>
              <c:numCache>
                <c:formatCode>_-* #,##0_-;\-* #,##0_-;_-* "-"_-;_-@_-</c:formatCode>
                <c:ptCount val="14"/>
                <c:pt idx="0">
                  <c:v>627.33333333333326</c:v>
                </c:pt>
                <c:pt idx="1">
                  <c:v>45.333333333333336</c:v>
                </c:pt>
                <c:pt idx="2">
                  <c:v>43.666666666666664</c:v>
                </c:pt>
                <c:pt idx="3">
                  <c:v>100.66666666666667</c:v>
                </c:pt>
                <c:pt idx="4">
                  <c:v>3.333333333333333</c:v>
                </c:pt>
                <c:pt idx="5">
                  <c:v>27.999999999999996</c:v>
                </c:pt>
                <c:pt idx="6">
                  <c:v>75.666666666666657</c:v>
                </c:pt>
                <c:pt idx="7">
                  <c:v>56.333333333333329</c:v>
                </c:pt>
                <c:pt idx="8">
                  <c:v>16</c:v>
                </c:pt>
                <c:pt idx="9">
                  <c:v>57.333333333333329</c:v>
                </c:pt>
                <c:pt idx="10">
                  <c:v>6526.333333333333</c:v>
                </c:pt>
                <c:pt idx="11">
                  <c:v>0</c:v>
                </c:pt>
                <c:pt idx="12">
                  <c:v>1053.6666666666667</c:v>
                </c:pt>
                <c:pt idx="13">
                  <c:v>7579.9999999999991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EF-40DC-9D66-8B255381B1B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Pondwe-Kasese-2Dir'!$S$9:$AF$9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Pondwe-Kasese-2Dir'!$S$42:$AF$42</c:f>
              <c:numCache>
                <c:formatCode>0.000</c:formatCode>
                <c:ptCount val="14"/>
                <c:pt idx="0">
                  <c:v>1.3961424332344212</c:v>
                </c:pt>
                <c:pt idx="1">
                  <c:v>1.402061855670103</c:v>
                </c:pt>
                <c:pt idx="2">
                  <c:v>1.423913043478261</c:v>
                </c:pt>
                <c:pt idx="3">
                  <c:v>1.330396475770925</c:v>
                </c:pt>
                <c:pt idx="4">
                  <c:v>1.4285714285714286</c:v>
                </c:pt>
                <c:pt idx="5">
                  <c:v>1.6470588235294119</c:v>
                </c:pt>
                <c:pt idx="6">
                  <c:v>1.2472527472527473</c:v>
                </c:pt>
                <c:pt idx="7">
                  <c:v>1.2426470588235294</c:v>
                </c:pt>
                <c:pt idx="8">
                  <c:v>1.4545454545454546</c:v>
                </c:pt>
                <c:pt idx="9">
                  <c:v>1.1621621621621623</c:v>
                </c:pt>
                <c:pt idx="10">
                  <c:v>1.2125472223942528</c:v>
                </c:pt>
                <c:pt idx="11">
                  <c:v>0</c:v>
                </c:pt>
                <c:pt idx="12">
                  <c:v>1.3619129685480396</c:v>
                </c:pt>
                <c:pt idx="13">
                  <c:v>1.2313190383365822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72-4157-BC16-4B0BBE393D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Pondwe-Kasese-2Dir'!$AE$9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Pondwe-Kasese-2Dir'!$R$10:$R$33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Pondwe-Kasese-2Dir'!$AE$10:$AE$33</c:f>
              <c:numCache>
                <c:formatCode>0</c:formatCode>
                <c:ptCount val="24"/>
                <c:pt idx="0">
                  <c:v>35.333333333333329</c:v>
                </c:pt>
                <c:pt idx="1">
                  <c:v>56.666666666666671</c:v>
                </c:pt>
                <c:pt idx="2">
                  <c:v>59.333333333333336</c:v>
                </c:pt>
                <c:pt idx="3">
                  <c:v>49.666666666666671</c:v>
                </c:pt>
                <c:pt idx="4">
                  <c:v>72.666666666666671</c:v>
                </c:pt>
                <c:pt idx="5">
                  <c:v>64.666666666666671</c:v>
                </c:pt>
                <c:pt idx="6">
                  <c:v>68.666666666666671</c:v>
                </c:pt>
                <c:pt idx="7">
                  <c:v>62</c:v>
                </c:pt>
                <c:pt idx="8">
                  <c:v>73.666666666666657</c:v>
                </c:pt>
                <c:pt idx="9">
                  <c:v>88</c:v>
                </c:pt>
                <c:pt idx="10">
                  <c:v>74</c:v>
                </c:pt>
                <c:pt idx="11">
                  <c:v>68.999999999999986</c:v>
                </c:pt>
                <c:pt idx="12">
                  <c:v>86</c:v>
                </c:pt>
                <c:pt idx="13">
                  <c:v>69</c:v>
                </c:pt>
                <c:pt idx="14">
                  <c:v>30</c:v>
                </c:pt>
                <c:pt idx="15">
                  <c:v>20</c:v>
                </c:pt>
                <c:pt idx="16">
                  <c:v>3</c:v>
                </c:pt>
                <c:pt idx="17">
                  <c:v>10</c:v>
                </c:pt>
                <c:pt idx="18">
                  <c:v>2</c:v>
                </c:pt>
                <c:pt idx="19">
                  <c:v>7</c:v>
                </c:pt>
                <c:pt idx="20">
                  <c:v>3</c:v>
                </c:pt>
                <c:pt idx="21">
                  <c:v>5</c:v>
                </c:pt>
                <c:pt idx="22">
                  <c:v>19</c:v>
                </c:pt>
                <c:pt idx="23">
                  <c:v>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35F-4B51-AC31-05556BA92C56}"/>
            </c:ext>
          </c:extLst>
        </c:ser>
        <c:ser>
          <c:idx val="1"/>
          <c:order val="1"/>
          <c:tx>
            <c:strRef>
              <c:f>'Avg Week Pondwe-Kasese-2Dir'!$AF$9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Pondwe-Kasese-2Dir'!$R$10:$R$33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Pondwe-Kasese-2Dir'!$AF$10:$AF$33</c:f>
              <c:numCache>
                <c:formatCode>0</c:formatCode>
                <c:ptCount val="24"/>
                <c:pt idx="0">
                  <c:v>440.33333333333331</c:v>
                </c:pt>
                <c:pt idx="1">
                  <c:v>519.66666666666663</c:v>
                </c:pt>
                <c:pt idx="2">
                  <c:v>430.66666666666663</c:v>
                </c:pt>
                <c:pt idx="3">
                  <c:v>387.33333333333337</c:v>
                </c:pt>
                <c:pt idx="4">
                  <c:v>523.66666666666663</c:v>
                </c:pt>
                <c:pt idx="5">
                  <c:v>448.00000000000006</c:v>
                </c:pt>
                <c:pt idx="6">
                  <c:v>513.66666666666674</c:v>
                </c:pt>
                <c:pt idx="7">
                  <c:v>536.66666666666674</c:v>
                </c:pt>
                <c:pt idx="8">
                  <c:v>577.33333333333337</c:v>
                </c:pt>
                <c:pt idx="9">
                  <c:v>624.33333333333326</c:v>
                </c:pt>
                <c:pt idx="10">
                  <c:v>502.33333333333337</c:v>
                </c:pt>
                <c:pt idx="11">
                  <c:v>652</c:v>
                </c:pt>
                <c:pt idx="12">
                  <c:v>652</c:v>
                </c:pt>
                <c:pt idx="13">
                  <c:v>363</c:v>
                </c:pt>
                <c:pt idx="14">
                  <c:v>107</c:v>
                </c:pt>
                <c:pt idx="15">
                  <c:v>70</c:v>
                </c:pt>
                <c:pt idx="16">
                  <c:v>23</c:v>
                </c:pt>
                <c:pt idx="17">
                  <c:v>30</c:v>
                </c:pt>
                <c:pt idx="18">
                  <c:v>12</c:v>
                </c:pt>
                <c:pt idx="19">
                  <c:v>15</c:v>
                </c:pt>
                <c:pt idx="20">
                  <c:v>42</c:v>
                </c:pt>
                <c:pt idx="21">
                  <c:v>14</c:v>
                </c:pt>
                <c:pt idx="22">
                  <c:v>46</c:v>
                </c:pt>
                <c:pt idx="23">
                  <c:v>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35F-4B51-AC31-05556BA92C56}"/>
            </c:ext>
          </c:extLst>
        </c:ser>
        <c:ser>
          <c:idx val="5"/>
          <c:order val="2"/>
          <c:tx>
            <c:strRef>
              <c:f>'Avg Week Pondwe-Kasese-2Dir'!$AC$9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Pondwe-Kasese-2Dir'!$R$10:$R$33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Pondwe-Kasese-2Dir'!$AC$10:$AC$33</c:f>
              <c:numCache>
                <c:formatCode>0</c:formatCode>
                <c:ptCount val="24"/>
                <c:pt idx="0">
                  <c:v>405</c:v>
                </c:pt>
                <c:pt idx="1">
                  <c:v>463</c:v>
                </c:pt>
                <c:pt idx="2">
                  <c:v>371.33333333333331</c:v>
                </c:pt>
                <c:pt idx="3">
                  <c:v>337.66666666666669</c:v>
                </c:pt>
                <c:pt idx="4">
                  <c:v>451</c:v>
                </c:pt>
                <c:pt idx="5">
                  <c:v>383.33333333333337</c:v>
                </c:pt>
                <c:pt idx="6">
                  <c:v>445</c:v>
                </c:pt>
                <c:pt idx="7">
                  <c:v>474.66666666666663</c:v>
                </c:pt>
                <c:pt idx="8">
                  <c:v>503.66666666666663</c:v>
                </c:pt>
                <c:pt idx="9">
                  <c:v>536.33333333333326</c:v>
                </c:pt>
                <c:pt idx="10">
                  <c:v>428.33333333333337</c:v>
                </c:pt>
                <c:pt idx="11">
                  <c:v>583</c:v>
                </c:pt>
                <c:pt idx="12">
                  <c:v>566</c:v>
                </c:pt>
                <c:pt idx="13">
                  <c:v>294</c:v>
                </c:pt>
                <c:pt idx="14">
                  <c:v>77</c:v>
                </c:pt>
                <c:pt idx="15">
                  <c:v>50</c:v>
                </c:pt>
                <c:pt idx="16">
                  <c:v>20</c:v>
                </c:pt>
                <c:pt idx="17">
                  <c:v>20</c:v>
                </c:pt>
                <c:pt idx="18">
                  <c:v>10</c:v>
                </c:pt>
                <c:pt idx="19">
                  <c:v>8</c:v>
                </c:pt>
                <c:pt idx="20">
                  <c:v>39</c:v>
                </c:pt>
                <c:pt idx="21">
                  <c:v>9</c:v>
                </c:pt>
                <c:pt idx="22">
                  <c:v>27</c:v>
                </c:pt>
                <c:pt idx="23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5F-4B51-AC31-05556BA92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19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2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0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2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3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25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6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28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32.xml"/><Relationship Id="rId2" Type="http://schemas.openxmlformats.org/officeDocument/2006/relationships/image" Target="../media/image2.emf"/><Relationship Id="rId16" Type="http://schemas.openxmlformats.org/officeDocument/2006/relationships/chart" Target="../charts/chart31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8.png"/><Relationship Id="rId5" Type="http://schemas.openxmlformats.org/officeDocument/2006/relationships/image" Target="../media/image5.emf"/><Relationship Id="rId15" Type="http://schemas.openxmlformats.org/officeDocument/2006/relationships/chart" Target="../charts/chart30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42</xdr:row>
      <xdr:rowOff>276225</xdr:rowOff>
    </xdr:from>
    <xdr:to>
      <xdr:col>28</xdr:col>
      <xdr:colOff>31750</xdr:colOff>
      <xdr:row>57</xdr:row>
      <xdr:rowOff>269875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0</xdr:colOff>
      <xdr:row>58</xdr:row>
      <xdr:rowOff>279400</xdr:rowOff>
    </xdr:from>
    <xdr:to>
      <xdr:col>30</xdr:col>
      <xdr:colOff>28912</xdr:colOff>
      <xdr:row>73</xdr:row>
      <xdr:rowOff>263525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158749</xdr:colOff>
      <xdr:row>59</xdr:row>
      <xdr:rowOff>0</xdr:rowOff>
    </xdr:from>
    <xdr:to>
      <xdr:col>23</xdr:col>
      <xdr:colOff>714374</xdr:colOff>
      <xdr:row>73</xdr:row>
      <xdr:rowOff>269875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19960</xdr:colOff>
      <xdr:row>43</xdr:row>
      <xdr:rowOff>6349</xdr:rowOff>
    </xdr:from>
    <xdr:to>
      <xdr:col>27</xdr:col>
      <xdr:colOff>698499</xdr:colOff>
      <xdr:row>57</xdr:row>
      <xdr:rowOff>269875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0</xdr:colOff>
      <xdr:row>58</xdr:row>
      <xdr:rowOff>279400</xdr:rowOff>
    </xdr:from>
    <xdr:to>
      <xdr:col>29</xdr:col>
      <xdr:colOff>698501</xdr:colOff>
      <xdr:row>73</xdr:row>
      <xdr:rowOff>269875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10329</xdr:colOff>
      <xdr:row>59</xdr:row>
      <xdr:rowOff>0</xdr:rowOff>
    </xdr:from>
    <xdr:to>
      <xdr:col>24</xdr:col>
      <xdr:colOff>15875</xdr:colOff>
      <xdr:row>73</xdr:row>
      <xdr:rowOff>276225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73</xdr:row>
      <xdr:rowOff>279400</xdr:rowOff>
    </xdr:from>
    <xdr:to>
      <xdr:col>24</xdr:col>
      <xdr:colOff>396875</xdr:colOff>
      <xdr:row>91</xdr:row>
      <xdr:rowOff>31750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15875</xdr:colOff>
      <xdr:row>59</xdr:row>
      <xdr:rowOff>15875</xdr:rowOff>
    </xdr:from>
    <xdr:to>
      <xdr:col>24</xdr:col>
      <xdr:colOff>412750</xdr:colOff>
      <xdr:row>74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396875</xdr:colOff>
      <xdr:row>59</xdr:row>
      <xdr:rowOff>1588</xdr:rowOff>
    </xdr:from>
    <xdr:to>
      <xdr:col>31</xdr:col>
      <xdr:colOff>15875</xdr:colOff>
      <xdr:row>73</xdr:row>
      <xdr:rowOff>269875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EDB0727-1727-447B-A33F-16E8775078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412750</xdr:colOff>
      <xdr:row>73</xdr:row>
      <xdr:rowOff>285749</xdr:rowOff>
    </xdr:from>
    <xdr:to>
      <xdr:col>31</xdr:col>
      <xdr:colOff>0</xdr:colOff>
      <xdr:row>91</xdr:row>
      <xdr:rowOff>15874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ED7F044-E0BB-41CC-B3A3-F57339E96A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15875</xdr:colOff>
      <xdr:row>43</xdr:row>
      <xdr:rowOff>0</xdr:rowOff>
    </xdr:from>
    <xdr:to>
      <xdr:col>30</xdr:col>
      <xdr:colOff>698500</xdr:colOff>
      <xdr:row>58</xdr:row>
      <xdr:rowOff>31750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8C3CEAC2-B175-4B29-9DFE-4348934D33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1" t="s">
        <v>96</v>
      </c>
      <c r="C3" s="62" t="s">
        <v>173</v>
      </c>
      <c r="D3" s="62"/>
      <c r="E3" s="62"/>
      <c r="F3" s="62"/>
      <c r="G3" s="62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163</v>
      </c>
      <c r="E5" s="3"/>
      <c r="F5" s="41" t="s">
        <v>1</v>
      </c>
      <c r="G5" s="57" t="s">
        <v>165</v>
      </c>
      <c r="H5" s="58"/>
      <c r="I5" s="14"/>
      <c r="J5" s="2" t="s">
        <v>5</v>
      </c>
      <c r="K5" s="57" t="s">
        <v>167</v>
      </c>
      <c r="L5" s="58"/>
      <c r="M5" s="10"/>
      <c r="N5" s="10"/>
      <c r="O5" s="3"/>
      <c r="P5" s="3"/>
    </row>
    <row r="6" spans="2:32" ht="23.25" customHeight="1" x14ac:dyDescent="0.25">
      <c r="C6" s="2" t="s">
        <v>4</v>
      </c>
      <c r="D6" s="57" t="s">
        <v>164</v>
      </c>
      <c r="E6" s="58"/>
      <c r="F6" s="2" t="s">
        <v>2</v>
      </c>
      <c r="G6" s="57" t="s">
        <v>166</v>
      </c>
      <c r="H6" s="58"/>
      <c r="J6" s="2" t="s">
        <v>21</v>
      </c>
      <c r="K6" s="57" t="s">
        <v>168</v>
      </c>
      <c r="L6" s="58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2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3</v>
      </c>
      <c r="R10" s="1" t="s">
        <v>6</v>
      </c>
      <c r="S10" s="17">
        <f t="shared" ref="S10:AF10" si="2">SUM(C10:C13)</f>
        <v>1</v>
      </c>
      <c r="T10" s="17">
        <f t="shared" si="2"/>
        <v>0</v>
      </c>
      <c r="U10" s="17">
        <f t="shared" si="2"/>
        <v>0</v>
      </c>
      <c r="V10" s="17">
        <f t="shared" si="2"/>
        <v>1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1</v>
      </c>
      <c r="AA10" s="17">
        <f t="shared" si="2"/>
        <v>0</v>
      </c>
      <c r="AB10" s="17">
        <f t="shared" si="2"/>
        <v>1</v>
      </c>
      <c r="AC10" s="17">
        <f t="shared" si="2"/>
        <v>11</v>
      </c>
      <c r="AD10" s="17">
        <f t="shared" si="2"/>
        <v>0</v>
      </c>
      <c r="AE10" s="31">
        <f t="shared" si="2"/>
        <v>5</v>
      </c>
      <c r="AF10" s="31">
        <f t="shared" si="2"/>
        <v>16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0</v>
      </c>
      <c r="F11" s="50">
        <v>1</v>
      </c>
      <c r="G11" s="50">
        <v>0</v>
      </c>
      <c r="H11" s="50">
        <v>0</v>
      </c>
      <c r="I11" s="50">
        <v>0</v>
      </c>
      <c r="J11" s="50">
        <v>1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3</v>
      </c>
      <c r="P11" s="15">
        <f t="shared" si="1"/>
        <v>3</v>
      </c>
      <c r="R11" s="1" t="s">
        <v>7</v>
      </c>
      <c r="S11" s="17">
        <f t="shared" ref="S11:AF11" si="3">SUM(C14:C17)</f>
        <v>12</v>
      </c>
      <c r="T11" s="17">
        <f t="shared" si="3"/>
        <v>2</v>
      </c>
      <c r="U11" s="17">
        <f t="shared" si="3"/>
        <v>1</v>
      </c>
      <c r="V11" s="17">
        <f t="shared" si="3"/>
        <v>1</v>
      </c>
      <c r="W11" s="17">
        <f t="shared" si="3"/>
        <v>0</v>
      </c>
      <c r="X11" s="17">
        <f t="shared" si="3"/>
        <v>3</v>
      </c>
      <c r="Y11" s="17">
        <f t="shared" si="3"/>
        <v>3</v>
      </c>
      <c r="Z11" s="17">
        <f t="shared" si="3"/>
        <v>3</v>
      </c>
      <c r="AA11" s="17">
        <f t="shared" si="3"/>
        <v>1</v>
      </c>
      <c r="AB11" s="17">
        <f t="shared" si="3"/>
        <v>2</v>
      </c>
      <c r="AC11" s="17">
        <f t="shared" si="3"/>
        <v>113</v>
      </c>
      <c r="AD11" s="17">
        <f t="shared" si="3"/>
        <v>0</v>
      </c>
      <c r="AE11" s="31">
        <f t="shared" si="3"/>
        <v>28</v>
      </c>
      <c r="AF11" s="31">
        <f t="shared" si="3"/>
        <v>141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1</v>
      </c>
      <c r="M12" s="50">
        <v>4</v>
      </c>
      <c r="N12" s="50">
        <v>0</v>
      </c>
      <c r="O12" s="15">
        <f t="shared" si="0"/>
        <v>1</v>
      </c>
      <c r="P12" s="15">
        <f t="shared" si="1"/>
        <v>5</v>
      </c>
      <c r="R12" s="1" t="s">
        <v>8</v>
      </c>
      <c r="S12" s="17">
        <f t="shared" ref="S12:AF12" si="4">SUM(C18:C21)</f>
        <v>9</v>
      </c>
      <c r="T12" s="17">
        <f t="shared" si="4"/>
        <v>2</v>
      </c>
      <c r="U12" s="17">
        <f t="shared" si="4"/>
        <v>1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1</v>
      </c>
      <c r="Z12" s="17">
        <f t="shared" si="4"/>
        <v>4</v>
      </c>
      <c r="AA12" s="17">
        <f t="shared" si="4"/>
        <v>0</v>
      </c>
      <c r="AB12" s="17">
        <f t="shared" si="4"/>
        <v>0</v>
      </c>
      <c r="AC12" s="17">
        <f t="shared" si="4"/>
        <v>22</v>
      </c>
      <c r="AD12" s="17">
        <f t="shared" si="4"/>
        <v>0</v>
      </c>
      <c r="AE12" s="31">
        <f t="shared" si="4"/>
        <v>17</v>
      </c>
      <c r="AF12" s="31">
        <f t="shared" si="4"/>
        <v>39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5</v>
      </c>
      <c r="N13" s="50">
        <v>0</v>
      </c>
      <c r="O13" s="15">
        <f t="shared" si="0"/>
        <v>0</v>
      </c>
      <c r="P13" s="15">
        <f t="shared" si="1"/>
        <v>5</v>
      </c>
      <c r="R13" s="1" t="s">
        <v>9</v>
      </c>
      <c r="S13" s="17">
        <f t="shared" ref="S13:AF13" si="5">SUM(C22:C25)</f>
        <v>11</v>
      </c>
      <c r="T13" s="17">
        <f t="shared" si="5"/>
        <v>2</v>
      </c>
      <c r="U13" s="17">
        <f t="shared" si="5"/>
        <v>0</v>
      </c>
      <c r="V13" s="17">
        <f t="shared" si="5"/>
        <v>1</v>
      </c>
      <c r="W13" s="17">
        <f t="shared" si="5"/>
        <v>0</v>
      </c>
      <c r="X13" s="17">
        <f t="shared" si="5"/>
        <v>1</v>
      </c>
      <c r="Y13" s="17">
        <f t="shared" si="5"/>
        <v>1</v>
      </c>
      <c r="Z13" s="17">
        <f t="shared" si="5"/>
        <v>3</v>
      </c>
      <c r="AA13" s="17">
        <f t="shared" si="5"/>
        <v>0</v>
      </c>
      <c r="AB13" s="17">
        <f t="shared" si="5"/>
        <v>1</v>
      </c>
      <c r="AC13" s="17">
        <f t="shared" si="5"/>
        <v>46</v>
      </c>
      <c r="AD13" s="17">
        <f t="shared" si="5"/>
        <v>0</v>
      </c>
      <c r="AE13" s="31">
        <f t="shared" si="5"/>
        <v>20</v>
      </c>
      <c r="AF13" s="31">
        <f t="shared" si="5"/>
        <v>66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1</v>
      </c>
      <c r="F14" s="50">
        <v>1</v>
      </c>
      <c r="G14" s="50">
        <v>0</v>
      </c>
      <c r="H14" s="50">
        <v>2</v>
      </c>
      <c r="I14" s="50">
        <v>3</v>
      </c>
      <c r="J14" s="50">
        <v>1</v>
      </c>
      <c r="K14" s="50">
        <v>1</v>
      </c>
      <c r="L14" s="50">
        <v>0</v>
      </c>
      <c r="M14" s="50">
        <v>18</v>
      </c>
      <c r="N14" s="50">
        <v>0</v>
      </c>
      <c r="O14" s="15">
        <f t="shared" si="0"/>
        <v>9</v>
      </c>
      <c r="P14" s="15">
        <f t="shared" si="1"/>
        <v>27</v>
      </c>
      <c r="R14" s="1" t="s">
        <v>10</v>
      </c>
      <c r="S14" s="17">
        <f t="shared" ref="S14:AF14" si="6">SUM(C26:C29)</f>
        <v>25</v>
      </c>
      <c r="T14" s="17">
        <f t="shared" si="6"/>
        <v>0</v>
      </c>
      <c r="U14" s="17">
        <f t="shared" si="6"/>
        <v>0</v>
      </c>
      <c r="V14" s="17">
        <f t="shared" si="6"/>
        <v>3</v>
      </c>
      <c r="W14" s="17">
        <f t="shared" si="6"/>
        <v>0</v>
      </c>
      <c r="X14" s="17">
        <f t="shared" si="6"/>
        <v>2</v>
      </c>
      <c r="Y14" s="17">
        <f t="shared" si="6"/>
        <v>0</v>
      </c>
      <c r="Z14" s="17">
        <f t="shared" si="6"/>
        <v>0</v>
      </c>
      <c r="AA14" s="17">
        <f t="shared" si="6"/>
        <v>0</v>
      </c>
      <c r="AB14" s="17">
        <f t="shared" si="6"/>
        <v>2</v>
      </c>
      <c r="AC14" s="17">
        <f t="shared" si="6"/>
        <v>168</v>
      </c>
      <c r="AD14" s="17">
        <f t="shared" si="6"/>
        <v>0</v>
      </c>
      <c r="AE14" s="31">
        <f t="shared" si="6"/>
        <v>32</v>
      </c>
      <c r="AF14" s="31">
        <f t="shared" si="6"/>
        <v>200</v>
      </c>
    </row>
    <row r="15" spans="2:32" ht="23.1" customHeight="1" x14ac:dyDescent="0.25">
      <c r="B15" s="23" t="s">
        <v>42</v>
      </c>
      <c r="C15" s="50">
        <v>5</v>
      </c>
      <c r="D15" s="50">
        <v>1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1</v>
      </c>
      <c r="K15" s="50">
        <v>0</v>
      </c>
      <c r="L15" s="50">
        <v>0</v>
      </c>
      <c r="M15" s="50">
        <v>47</v>
      </c>
      <c r="N15" s="50">
        <v>0</v>
      </c>
      <c r="O15" s="15">
        <f t="shared" si="0"/>
        <v>7</v>
      </c>
      <c r="P15" s="15">
        <f t="shared" si="1"/>
        <v>54</v>
      </c>
      <c r="R15" s="1" t="s">
        <v>11</v>
      </c>
      <c r="S15" s="17">
        <f t="shared" ref="S15:AF15" si="7">SUM(C30:C33)</f>
        <v>20</v>
      </c>
      <c r="T15" s="17">
        <f t="shared" si="7"/>
        <v>1</v>
      </c>
      <c r="U15" s="17">
        <f t="shared" si="7"/>
        <v>1</v>
      </c>
      <c r="V15" s="17">
        <f t="shared" si="7"/>
        <v>5</v>
      </c>
      <c r="W15" s="17">
        <f t="shared" si="7"/>
        <v>0</v>
      </c>
      <c r="X15" s="17">
        <f t="shared" si="7"/>
        <v>2</v>
      </c>
      <c r="Y15" s="17">
        <f t="shared" si="7"/>
        <v>0</v>
      </c>
      <c r="Z15" s="17">
        <f t="shared" si="7"/>
        <v>2</v>
      </c>
      <c r="AA15" s="17">
        <f t="shared" si="7"/>
        <v>1</v>
      </c>
      <c r="AB15" s="17">
        <f t="shared" si="7"/>
        <v>3</v>
      </c>
      <c r="AC15" s="17">
        <f t="shared" si="7"/>
        <v>196</v>
      </c>
      <c r="AD15" s="17">
        <f t="shared" si="7"/>
        <v>0</v>
      </c>
      <c r="AE15" s="31">
        <f t="shared" si="7"/>
        <v>35</v>
      </c>
      <c r="AF15" s="31">
        <f t="shared" si="7"/>
        <v>231</v>
      </c>
    </row>
    <row r="16" spans="2:32" ht="23.1" customHeight="1" x14ac:dyDescent="0.25">
      <c r="B16" s="23" t="s">
        <v>43</v>
      </c>
      <c r="C16" s="50">
        <v>5</v>
      </c>
      <c r="D16" s="50">
        <v>1</v>
      </c>
      <c r="E16" s="50">
        <v>0</v>
      </c>
      <c r="F16" s="50">
        <v>0</v>
      </c>
      <c r="G16" s="50">
        <v>0</v>
      </c>
      <c r="H16" s="50">
        <v>1</v>
      </c>
      <c r="I16" s="50">
        <v>0</v>
      </c>
      <c r="J16" s="50">
        <v>0</v>
      </c>
      <c r="K16" s="50">
        <v>0</v>
      </c>
      <c r="L16" s="50">
        <v>0</v>
      </c>
      <c r="M16" s="50">
        <v>35</v>
      </c>
      <c r="N16" s="50">
        <v>0</v>
      </c>
      <c r="O16" s="15">
        <f t="shared" si="0"/>
        <v>7</v>
      </c>
      <c r="P16" s="15">
        <f t="shared" si="1"/>
        <v>42</v>
      </c>
      <c r="R16" s="1" t="s">
        <v>12</v>
      </c>
      <c r="S16" s="17">
        <f t="shared" ref="S16:AF16" si="8">SUM(C34:C37)</f>
        <v>13</v>
      </c>
      <c r="T16" s="17">
        <f t="shared" si="8"/>
        <v>3</v>
      </c>
      <c r="U16" s="17">
        <f t="shared" si="8"/>
        <v>3</v>
      </c>
      <c r="V16" s="17">
        <f t="shared" si="8"/>
        <v>5</v>
      </c>
      <c r="W16" s="17">
        <f t="shared" si="8"/>
        <v>0</v>
      </c>
      <c r="X16" s="17">
        <f t="shared" si="8"/>
        <v>1</v>
      </c>
      <c r="Y16" s="17">
        <f t="shared" si="8"/>
        <v>1</v>
      </c>
      <c r="Z16" s="17">
        <f t="shared" si="8"/>
        <v>1</v>
      </c>
      <c r="AA16" s="17">
        <f t="shared" si="8"/>
        <v>1</v>
      </c>
      <c r="AB16" s="17">
        <f t="shared" si="8"/>
        <v>4</v>
      </c>
      <c r="AC16" s="17">
        <f t="shared" si="8"/>
        <v>159</v>
      </c>
      <c r="AD16" s="17">
        <f t="shared" si="8"/>
        <v>0</v>
      </c>
      <c r="AE16" s="31">
        <f t="shared" si="8"/>
        <v>32</v>
      </c>
      <c r="AF16" s="31">
        <f t="shared" si="8"/>
        <v>191</v>
      </c>
    </row>
    <row r="17" spans="2:32" ht="23.1" customHeight="1" x14ac:dyDescent="0.25">
      <c r="B17" s="23" t="s">
        <v>44</v>
      </c>
      <c r="C17" s="50">
        <v>2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1</v>
      </c>
      <c r="K17" s="50">
        <v>0</v>
      </c>
      <c r="L17" s="50">
        <v>2</v>
      </c>
      <c r="M17" s="50">
        <v>13</v>
      </c>
      <c r="N17" s="50">
        <v>0</v>
      </c>
      <c r="O17" s="15">
        <f t="shared" si="0"/>
        <v>5</v>
      </c>
      <c r="P17" s="15">
        <f t="shared" si="1"/>
        <v>18</v>
      </c>
      <c r="R17" s="1" t="s">
        <v>13</v>
      </c>
      <c r="S17" s="17">
        <f t="shared" ref="S17:AF17" si="9">SUM(C38:C41)</f>
        <v>7</v>
      </c>
      <c r="T17" s="17">
        <f t="shared" si="9"/>
        <v>0</v>
      </c>
      <c r="U17" s="17">
        <f t="shared" si="9"/>
        <v>0</v>
      </c>
      <c r="V17" s="17">
        <f t="shared" si="9"/>
        <v>7</v>
      </c>
      <c r="W17" s="17">
        <f t="shared" si="9"/>
        <v>0</v>
      </c>
      <c r="X17" s="17">
        <f t="shared" si="9"/>
        <v>0</v>
      </c>
      <c r="Y17" s="17">
        <f t="shared" si="9"/>
        <v>0</v>
      </c>
      <c r="Z17" s="17">
        <f t="shared" si="9"/>
        <v>2</v>
      </c>
      <c r="AA17" s="17">
        <f t="shared" si="9"/>
        <v>0</v>
      </c>
      <c r="AB17" s="17">
        <f t="shared" si="9"/>
        <v>6</v>
      </c>
      <c r="AC17" s="17">
        <f t="shared" si="9"/>
        <v>109</v>
      </c>
      <c r="AD17" s="17">
        <f t="shared" si="9"/>
        <v>0</v>
      </c>
      <c r="AE17" s="31">
        <f t="shared" si="9"/>
        <v>22</v>
      </c>
      <c r="AF17" s="31">
        <f t="shared" si="9"/>
        <v>131</v>
      </c>
    </row>
    <row r="18" spans="2:32" ht="23.1" customHeight="1" x14ac:dyDescent="0.25">
      <c r="B18" s="23" t="s">
        <v>45</v>
      </c>
      <c r="C18" s="50">
        <v>3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1</v>
      </c>
      <c r="J18" s="50">
        <v>1</v>
      </c>
      <c r="K18" s="50">
        <v>0</v>
      </c>
      <c r="L18" s="50">
        <v>0</v>
      </c>
      <c r="M18" s="50">
        <v>18</v>
      </c>
      <c r="N18" s="50">
        <v>0</v>
      </c>
      <c r="O18" s="15">
        <f t="shared" si="0"/>
        <v>5</v>
      </c>
      <c r="P18" s="15">
        <f t="shared" si="1"/>
        <v>23</v>
      </c>
      <c r="R18" s="1" t="s">
        <v>14</v>
      </c>
      <c r="S18" s="17">
        <f t="shared" ref="S18:AF18" si="10">SUM(C42:C45)</f>
        <v>11</v>
      </c>
      <c r="T18" s="17">
        <f t="shared" si="10"/>
        <v>1</v>
      </c>
      <c r="U18" s="17">
        <f t="shared" si="10"/>
        <v>1</v>
      </c>
      <c r="V18" s="17">
        <f t="shared" si="10"/>
        <v>4</v>
      </c>
      <c r="W18" s="17">
        <f t="shared" si="10"/>
        <v>0</v>
      </c>
      <c r="X18" s="17">
        <f t="shared" si="10"/>
        <v>1</v>
      </c>
      <c r="Y18" s="17">
        <f t="shared" si="10"/>
        <v>1</v>
      </c>
      <c r="Z18" s="17">
        <f t="shared" si="10"/>
        <v>3</v>
      </c>
      <c r="AA18" s="17">
        <f t="shared" si="10"/>
        <v>0</v>
      </c>
      <c r="AB18" s="17">
        <f t="shared" si="10"/>
        <v>6</v>
      </c>
      <c r="AC18" s="17">
        <f t="shared" si="10"/>
        <v>153</v>
      </c>
      <c r="AD18" s="17">
        <f t="shared" si="10"/>
        <v>0</v>
      </c>
      <c r="AE18" s="31">
        <f t="shared" si="10"/>
        <v>28</v>
      </c>
      <c r="AF18" s="31">
        <f t="shared" si="10"/>
        <v>181</v>
      </c>
    </row>
    <row r="19" spans="2:32" ht="23.1" customHeight="1" x14ac:dyDescent="0.25">
      <c r="B19" s="23" t="s">
        <v>46</v>
      </c>
      <c r="C19" s="50">
        <v>5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2</v>
      </c>
      <c r="K19" s="50">
        <v>0</v>
      </c>
      <c r="L19" s="50">
        <v>0</v>
      </c>
      <c r="M19" s="50">
        <v>1</v>
      </c>
      <c r="N19" s="50">
        <v>0</v>
      </c>
      <c r="O19" s="15">
        <f t="shared" si="0"/>
        <v>7</v>
      </c>
      <c r="P19" s="15">
        <f t="shared" si="1"/>
        <v>8</v>
      </c>
      <c r="R19" s="1" t="s">
        <v>15</v>
      </c>
      <c r="S19" s="17">
        <f t="shared" ref="S19:AF19" si="11">SUM(C46:C49)</f>
        <v>15</v>
      </c>
      <c r="T19" s="17">
        <f t="shared" si="11"/>
        <v>1</v>
      </c>
      <c r="U19" s="17">
        <f t="shared" si="11"/>
        <v>1</v>
      </c>
      <c r="V19" s="17">
        <f t="shared" si="11"/>
        <v>8</v>
      </c>
      <c r="W19" s="17">
        <f t="shared" si="11"/>
        <v>0</v>
      </c>
      <c r="X19" s="17">
        <f t="shared" si="11"/>
        <v>1</v>
      </c>
      <c r="Y19" s="17">
        <f t="shared" si="11"/>
        <v>0</v>
      </c>
      <c r="Z19" s="17">
        <f t="shared" si="11"/>
        <v>1</v>
      </c>
      <c r="AA19" s="17">
        <f t="shared" si="11"/>
        <v>1</v>
      </c>
      <c r="AB19" s="17">
        <f t="shared" si="11"/>
        <v>5</v>
      </c>
      <c r="AC19" s="17">
        <f t="shared" si="11"/>
        <v>266</v>
      </c>
      <c r="AD19" s="17">
        <f t="shared" si="11"/>
        <v>0</v>
      </c>
      <c r="AE19" s="31">
        <f t="shared" si="11"/>
        <v>33</v>
      </c>
      <c r="AF19" s="31">
        <f t="shared" si="11"/>
        <v>299</v>
      </c>
    </row>
    <row r="20" spans="2:32" ht="23.1" customHeight="1" x14ac:dyDescent="0.25">
      <c r="B20" s="23" t="s">
        <v>47</v>
      </c>
      <c r="C20" s="50">
        <v>0</v>
      </c>
      <c r="D20" s="50">
        <v>2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2</v>
      </c>
      <c r="N20" s="50">
        <v>0</v>
      </c>
      <c r="O20" s="15">
        <f t="shared" si="0"/>
        <v>2</v>
      </c>
      <c r="P20" s="15">
        <f t="shared" si="1"/>
        <v>4</v>
      </c>
      <c r="R20" s="1" t="s">
        <v>16</v>
      </c>
      <c r="S20" s="17">
        <f t="shared" ref="S20:AF20" si="12">SUM(C50:C53)</f>
        <v>14</v>
      </c>
      <c r="T20" s="17">
        <f t="shared" si="12"/>
        <v>2</v>
      </c>
      <c r="U20" s="17">
        <f t="shared" si="12"/>
        <v>1</v>
      </c>
      <c r="V20" s="17">
        <f t="shared" si="12"/>
        <v>5</v>
      </c>
      <c r="W20" s="17">
        <f t="shared" si="12"/>
        <v>0</v>
      </c>
      <c r="X20" s="17">
        <f t="shared" si="12"/>
        <v>1</v>
      </c>
      <c r="Y20" s="17">
        <f t="shared" si="12"/>
        <v>2</v>
      </c>
      <c r="Z20" s="17">
        <f t="shared" si="12"/>
        <v>0</v>
      </c>
      <c r="AA20" s="17">
        <f t="shared" si="12"/>
        <v>0</v>
      </c>
      <c r="AB20" s="17">
        <f t="shared" si="12"/>
        <v>1</v>
      </c>
      <c r="AC20" s="17">
        <f t="shared" si="12"/>
        <v>165</v>
      </c>
      <c r="AD20" s="17">
        <f t="shared" si="12"/>
        <v>0</v>
      </c>
      <c r="AE20" s="31">
        <f t="shared" si="12"/>
        <v>26</v>
      </c>
      <c r="AF20" s="31">
        <f t="shared" si="12"/>
        <v>191</v>
      </c>
    </row>
    <row r="21" spans="2:32" ht="23.1" customHeight="1" x14ac:dyDescent="0.25">
      <c r="B21" s="23" t="s">
        <v>48</v>
      </c>
      <c r="C21" s="50">
        <v>1</v>
      </c>
      <c r="D21" s="50">
        <v>0</v>
      </c>
      <c r="E21" s="50">
        <v>1</v>
      </c>
      <c r="F21" s="50">
        <v>0</v>
      </c>
      <c r="G21" s="50">
        <v>0</v>
      </c>
      <c r="H21" s="50">
        <v>0</v>
      </c>
      <c r="I21" s="50">
        <v>0</v>
      </c>
      <c r="J21" s="50">
        <v>1</v>
      </c>
      <c r="K21" s="50">
        <v>0</v>
      </c>
      <c r="L21" s="50">
        <v>0</v>
      </c>
      <c r="M21" s="50">
        <v>1</v>
      </c>
      <c r="N21" s="50">
        <v>0</v>
      </c>
      <c r="O21" s="15">
        <f t="shared" si="0"/>
        <v>3</v>
      </c>
      <c r="P21" s="15">
        <f t="shared" si="1"/>
        <v>4</v>
      </c>
      <c r="R21" s="36" t="s">
        <v>20</v>
      </c>
      <c r="S21" s="34">
        <f t="shared" ref="S21:AF21" si="13">SUM(C54:C57)</f>
        <v>11</v>
      </c>
      <c r="T21" s="17">
        <f t="shared" si="13"/>
        <v>3</v>
      </c>
      <c r="U21" s="17">
        <f t="shared" si="13"/>
        <v>0</v>
      </c>
      <c r="V21" s="17">
        <f t="shared" si="13"/>
        <v>2</v>
      </c>
      <c r="W21" s="17">
        <f t="shared" si="13"/>
        <v>0</v>
      </c>
      <c r="X21" s="17">
        <f t="shared" si="13"/>
        <v>1</v>
      </c>
      <c r="Y21" s="17">
        <f t="shared" si="13"/>
        <v>2</v>
      </c>
      <c r="Z21" s="17">
        <f t="shared" si="13"/>
        <v>0</v>
      </c>
      <c r="AA21" s="17">
        <f t="shared" si="13"/>
        <v>0</v>
      </c>
      <c r="AB21" s="17">
        <f t="shared" si="13"/>
        <v>3</v>
      </c>
      <c r="AC21" s="17">
        <f t="shared" si="13"/>
        <v>278</v>
      </c>
      <c r="AD21" s="17">
        <f t="shared" si="13"/>
        <v>0</v>
      </c>
      <c r="AE21" s="31">
        <f t="shared" si="13"/>
        <v>22</v>
      </c>
      <c r="AF21" s="31">
        <f t="shared" si="13"/>
        <v>300</v>
      </c>
    </row>
    <row r="22" spans="2:32" ht="23.1" customHeight="1" x14ac:dyDescent="0.25">
      <c r="B22" s="23" t="s">
        <v>49</v>
      </c>
      <c r="C22" s="50">
        <v>3</v>
      </c>
      <c r="D22" s="50">
        <v>1</v>
      </c>
      <c r="E22" s="50">
        <v>0</v>
      </c>
      <c r="F22" s="50">
        <v>0</v>
      </c>
      <c r="G22" s="50">
        <v>0</v>
      </c>
      <c r="H22" s="50">
        <v>1</v>
      </c>
      <c r="I22" s="50">
        <v>0</v>
      </c>
      <c r="J22" s="50">
        <v>1</v>
      </c>
      <c r="K22" s="50">
        <v>0</v>
      </c>
      <c r="L22" s="50">
        <v>0</v>
      </c>
      <c r="M22" s="50">
        <v>3</v>
      </c>
      <c r="N22" s="50">
        <v>0</v>
      </c>
      <c r="O22" s="15">
        <f t="shared" si="0"/>
        <v>6</v>
      </c>
      <c r="P22" s="15">
        <f t="shared" si="1"/>
        <v>9</v>
      </c>
      <c r="R22" s="38" t="s">
        <v>90</v>
      </c>
      <c r="S22" s="39">
        <f>MAX(S10:S12)</f>
        <v>12</v>
      </c>
      <c r="T22" s="39">
        <f t="shared" ref="T22:AF22" si="14">MAX(T10:T12)</f>
        <v>2</v>
      </c>
      <c r="U22" s="39">
        <f t="shared" si="14"/>
        <v>1</v>
      </c>
      <c r="V22" s="39">
        <f t="shared" si="14"/>
        <v>1</v>
      </c>
      <c r="W22" s="39">
        <f t="shared" si="14"/>
        <v>0</v>
      </c>
      <c r="X22" s="39">
        <f t="shared" si="14"/>
        <v>3</v>
      </c>
      <c r="Y22" s="39">
        <f t="shared" si="14"/>
        <v>3</v>
      </c>
      <c r="Z22" s="39">
        <f t="shared" si="14"/>
        <v>4</v>
      </c>
      <c r="AA22" s="39">
        <f t="shared" si="14"/>
        <v>1</v>
      </c>
      <c r="AB22" s="39">
        <f t="shared" si="14"/>
        <v>2</v>
      </c>
      <c r="AC22" s="39">
        <f t="shared" si="14"/>
        <v>113</v>
      </c>
      <c r="AD22" s="39">
        <f t="shared" si="14"/>
        <v>0</v>
      </c>
      <c r="AE22" s="40">
        <f t="shared" si="14"/>
        <v>28</v>
      </c>
      <c r="AF22" s="40">
        <f t="shared" si="14"/>
        <v>141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0</v>
      </c>
      <c r="F23" s="50">
        <v>1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10</v>
      </c>
      <c r="N23" s="50">
        <v>0</v>
      </c>
      <c r="O23" s="15">
        <f t="shared" si="0"/>
        <v>3</v>
      </c>
      <c r="P23" s="15">
        <f t="shared" si="1"/>
        <v>13</v>
      </c>
      <c r="R23" s="38" t="s">
        <v>91</v>
      </c>
      <c r="S23" s="39">
        <f>MAX(S13:S18)</f>
        <v>25</v>
      </c>
      <c r="T23" s="39">
        <f t="shared" ref="T23:AF23" si="15">MAX(T13:T18)</f>
        <v>3</v>
      </c>
      <c r="U23" s="39">
        <f t="shared" si="15"/>
        <v>3</v>
      </c>
      <c r="V23" s="39">
        <f t="shared" si="15"/>
        <v>7</v>
      </c>
      <c r="W23" s="39">
        <f t="shared" si="15"/>
        <v>0</v>
      </c>
      <c r="X23" s="39">
        <f t="shared" si="15"/>
        <v>2</v>
      </c>
      <c r="Y23" s="39">
        <f t="shared" si="15"/>
        <v>1</v>
      </c>
      <c r="Z23" s="39">
        <f t="shared" si="15"/>
        <v>3</v>
      </c>
      <c r="AA23" s="39">
        <f t="shared" si="15"/>
        <v>1</v>
      </c>
      <c r="AB23" s="39">
        <f t="shared" si="15"/>
        <v>6</v>
      </c>
      <c r="AC23" s="39">
        <f t="shared" si="15"/>
        <v>196</v>
      </c>
      <c r="AD23" s="39">
        <f t="shared" si="15"/>
        <v>0</v>
      </c>
      <c r="AE23" s="40">
        <f t="shared" si="15"/>
        <v>35</v>
      </c>
      <c r="AF23" s="40">
        <f t="shared" si="15"/>
        <v>231</v>
      </c>
    </row>
    <row r="24" spans="2:32" ht="23.1" customHeight="1" x14ac:dyDescent="0.25">
      <c r="B24" s="23" t="s">
        <v>51</v>
      </c>
      <c r="C24" s="50">
        <v>4</v>
      </c>
      <c r="D24" s="50">
        <v>1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20</v>
      </c>
      <c r="N24" s="50">
        <v>0</v>
      </c>
      <c r="O24" s="15">
        <f t="shared" si="0"/>
        <v>5</v>
      </c>
      <c r="P24" s="15">
        <f t="shared" si="1"/>
        <v>25</v>
      </c>
      <c r="R24" s="38" t="s">
        <v>92</v>
      </c>
      <c r="S24" s="39">
        <f>MAX(S19:S21)</f>
        <v>15</v>
      </c>
      <c r="T24" s="39">
        <f t="shared" ref="T24:AF24" si="16">MAX(T19:T21)</f>
        <v>3</v>
      </c>
      <c r="U24" s="39">
        <f t="shared" si="16"/>
        <v>1</v>
      </c>
      <c r="V24" s="39">
        <f t="shared" si="16"/>
        <v>8</v>
      </c>
      <c r="W24" s="39">
        <f t="shared" si="16"/>
        <v>0</v>
      </c>
      <c r="X24" s="39">
        <f t="shared" si="16"/>
        <v>1</v>
      </c>
      <c r="Y24" s="39">
        <f t="shared" si="16"/>
        <v>2</v>
      </c>
      <c r="Z24" s="39">
        <f t="shared" si="16"/>
        <v>1</v>
      </c>
      <c r="AA24" s="39">
        <f t="shared" si="16"/>
        <v>1</v>
      </c>
      <c r="AB24" s="39">
        <f t="shared" si="16"/>
        <v>5</v>
      </c>
      <c r="AC24" s="39">
        <f t="shared" si="16"/>
        <v>278</v>
      </c>
      <c r="AD24" s="39">
        <f t="shared" si="16"/>
        <v>0</v>
      </c>
      <c r="AE24" s="40">
        <f t="shared" si="16"/>
        <v>33</v>
      </c>
      <c r="AF24" s="40">
        <f t="shared" si="16"/>
        <v>300</v>
      </c>
    </row>
    <row r="25" spans="2:32" ht="23.1" customHeight="1" x14ac:dyDescent="0.25">
      <c r="B25" s="23" t="s">
        <v>52</v>
      </c>
      <c r="C25" s="50">
        <v>3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2</v>
      </c>
      <c r="K25" s="50">
        <v>0</v>
      </c>
      <c r="L25" s="50">
        <v>1</v>
      </c>
      <c r="M25" s="50">
        <v>13</v>
      </c>
      <c r="N25" s="50">
        <v>0</v>
      </c>
      <c r="O25" s="15">
        <f t="shared" si="0"/>
        <v>6</v>
      </c>
      <c r="P25" s="15">
        <f t="shared" si="1"/>
        <v>19</v>
      </c>
      <c r="R25" s="37" t="s">
        <v>85</v>
      </c>
      <c r="S25" s="35">
        <f t="shared" ref="S25:AF25" si="17">SUM(S10:S12)</f>
        <v>22</v>
      </c>
      <c r="T25" s="16">
        <f t="shared" si="17"/>
        <v>4</v>
      </c>
      <c r="U25" s="16">
        <f t="shared" si="17"/>
        <v>2</v>
      </c>
      <c r="V25" s="16">
        <f t="shared" si="17"/>
        <v>2</v>
      </c>
      <c r="W25" s="16">
        <f t="shared" si="17"/>
        <v>0</v>
      </c>
      <c r="X25" s="16">
        <f t="shared" si="17"/>
        <v>3</v>
      </c>
      <c r="Y25" s="16">
        <f t="shared" si="17"/>
        <v>5</v>
      </c>
      <c r="Z25" s="16">
        <f t="shared" si="17"/>
        <v>8</v>
      </c>
      <c r="AA25" s="16">
        <f t="shared" si="17"/>
        <v>1</v>
      </c>
      <c r="AB25" s="16">
        <f t="shared" si="17"/>
        <v>3</v>
      </c>
      <c r="AC25" s="16">
        <f t="shared" si="17"/>
        <v>146</v>
      </c>
      <c r="AD25" s="16">
        <f t="shared" si="17"/>
        <v>0</v>
      </c>
      <c r="AE25" s="32">
        <f t="shared" si="17"/>
        <v>50</v>
      </c>
      <c r="AF25" s="32">
        <f t="shared" si="17"/>
        <v>196</v>
      </c>
    </row>
    <row r="26" spans="2:32" ht="23.1" customHeight="1" x14ac:dyDescent="0.25">
      <c r="B26" s="23" t="s">
        <v>53</v>
      </c>
      <c r="C26" s="50">
        <v>2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25</v>
      </c>
      <c r="N26" s="50">
        <v>0</v>
      </c>
      <c r="O26" s="15">
        <f t="shared" si="0"/>
        <v>2</v>
      </c>
      <c r="P26" s="15">
        <f t="shared" si="1"/>
        <v>27</v>
      </c>
      <c r="R26" s="28" t="s">
        <v>86</v>
      </c>
      <c r="S26" s="16">
        <f t="shared" ref="S26:AF26" si="18">SUM(S13:S18)</f>
        <v>87</v>
      </c>
      <c r="T26" s="16">
        <f t="shared" si="18"/>
        <v>7</v>
      </c>
      <c r="U26" s="16">
        <f t="shared" si="18"/>
        <v>5</v>
      </c>
      <c r="V26" s="16">
        <f t="shared" si="18"/>
        <v>25</v>
      </c>
      <c r="W26" s="16">
        <f t="shared" si="18"/>
        <v>0</v>
      </c>
      <c r="X26" s="16">
        <f t="shared" si="18"/>
        <v>7</v>
      </c>
      <c r="Y26" s="16">
        <f t="shared" si="18"/>
        <v>3</v>
      </c>
      <c r="Z26" s="16">
        <f t="shared" si="18"/>
        <v>11</v>
      </c>
      <c r="AA26" s="16">
        <f t="shared" si="18"/>
        <v>2</v>
      </c>
      <c r="AB26" s="16">
        <f t="shared" si="18"/>
        <v>22</v>
      </c>
      <c r="AC26" s="16">
        <f t="shared" si="18"/>
        <v>831</v>
      </c>
      <c r="AD26" s="16">
        <f t="shared" si="18"/>
        <v>0</v>
      </c>
      <c r="AE26" s="32">
        <f t="shared" si="18"/>
        <v>169</v>
      </c>
      <c r="AF26" s="32">
        <f t="shared" si="18"/>
        <v>1000</v>
      </c>
    </row>
    <row r="27" spans="2:32" ht="23.1" customHeight="1" x14ac:dyDescent="0.25">
      <c r="B27" s="23" t="s">
        <v>54</v>
      </c>
      <c r="C27" s="50">
        <v>10</v>
      </c>
      <c r="D27" s="50">
        <v>0</v>
      </c>
      <c r="E27" s="50">
        <v>0</v>
      </c>
      <c r="F27" s="50">
        <v>1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53</v>
      </c>
      <c r="N27" s="50">
        <v>0</v>
      </c>
      <c r="O27" s="15">
        <f t="shared" si="0"/>
        <v>11</v>
      </c>
      <c r="P27" s="15">
        <f t="shared" si="1"/>
        <v>64</v>
      </c>
      <c r="R27" s="29" t="s">
        <v>87</v>
      </c>
      <c r="S27" s="16">
        <f t="shared" ref="S27:AF27" si="19">SUM(S19:S21)</f>
        <v>40</v>
      </c>
      <c r="T27" s="16">
        <f t="shared" si="19"/>
        <v>6</v>
      </c>
      <c r="U27" s="16">
        <f t="shared" si="19"/>
        <v>2</v>
      </c>
      <c r="V27" s="16">
        <f t="shared" si="19"/>
        <v>15</v>
      </c>
      <c r="W27" s="16">
        <f t="shared" si="19"/>
        <v>0</v>
      </c>
      <c r="X27" s="16">
        <f t="shared" si="19"/>
        <v>3</v>
      </c>
      <c r="Y27" s="16">
        <f t="shared" si="19"/>
        <v>4</v>
      </c>
      <c r="Z27" s="16">
        <f t="shared" si="19"/>
        <v>1</v>
      </c>
      <c r="AA27" s="16">
        <f t="shared" si="19"/>
        <v>1</v>
      </c>
      <c r="AB27" s="16">
        <f t="shared" si="19"/>
        <v>9</v>
      </c>
      <c r="AC27" s="16">
        <f t="shared" si="19"/>
        <v>709</v>
      </c>
      <c r="AD27" s="16">
        <f t="shared" si="19"/>
        <v>0</v>
      </c>
      <c r="AE27" s="32">
        <f t="shared" si="19"/>
        <v>81</v>
      </c>
      <c r="AF27" s="32">
        <f t="shared" si="19"/>
        <v>790</v>
      </c>
    </row>
    <row r="28" spans="2:32" ht="23.1" customHeight="1" x14ac:dyDescent="0.25">
      <c r="B28" s="23" t="s">
        <v>55</v>
      </c>
      <c r="C28" s="50">
        <v>4</v>
      </c>
      <c r="D28" s="50">
        <v>0</v>
      </c>
      <c r="E28" s="50">
        <v>0</v>
      </c>
      <c r="F28" s="50">
        <v>0</v>
      </c>
      <c r="G28" s="50">
        <v>0</v>
      </c>
      <c r="H28" s="50">
        <v>2</v>
      </c>
      <c r="I28" s="50">
        <v>0</v>
      </c>
      <c r="J28" s="50">
        <v>0</v>
      </c>
      <c r="K28" s="50">
        <v>0</v>
      </c>
      <c r="L28" s="50">
        <v>1</v>
      </c>
      <c r="M28" s="50">
        <v>41</v>
      </c>
      <c r="N28" s="50">
        <v>0</v>
      </c>
      <c r="O28" s="15">
        <f t="shared" si="0"/>
        <v>7</v>
      </c>
      <c r="P28" s="15">
        <f t="shared" si="1"/>
        <v>48</v>
      </c>
      <c r="R28" s="5" t="s">
        <v>17</v>
      </c>
      <c r="S28" s="16">
        <f t="shared" ref="S28:AF28" si="20">SUM(S10:S21)</f>
        <v>149</v>
      </c>
      <c r="T28" s="16">
        <f t="shared" si="20"/>
        <v>17</v>
      </c>
      <c r="U28" s="16">
        <f t="shared" si="20"/>
        <v>9</v>
      </c>
      <c r="V28" s="16">
        <f t="shared" si="20"/>
        <v>42</v>
      </c>
      <c r="W28" s="16">
        <f t="shared" si="20"/>
        <v>0</v>
      </c>
      <c r="X28" s="16">
        <f t="shared" si="20"/>
        <v>13</v>
      </c>
      <c r="Y28" s="16">
        <f t="shared" si="20"/>
        <v>12</v>
      </c>
      <c r="Z28" s="16">
        <f t="shared" si="20"/>
        <v>20</v>
      </c>
      <c r="AA28" s="16">
        <f t="shared" si="20"/>
        <v>4</v>
      </c>
      <c r="AB28" s="16">
        <f t="shared" si="20"/>
        <v>34</v>
      </c>
      <c r="AC28" s="16">
        <f t="shared" si="20"/>
        <v>1686</v>
      </c>
      <c r="AD28" s="16">
        <f t="shared" si="20"/>
        <v>0</v>
      </c>
      <c r="AE28" s="32">
        <f t="shared" si="20"/>
        <v>300</v>
      </c>
      <c r="AF28" s="32">
        <f t="shared" si="20"/>
        <v>1986</v>
      </c>
    </row>
    <row r="29" spans="2:32" ht="23.1" customHeight="1" x14ac:dyDescent="0.25">
      <c r="B29" s="23" t="s">
        <v>56</v>
      </c>
      <c r="C29" s="50">
        <v>9</v>
      </c>
      <c r="D29" s="50">
        <v>0</v>
      </c>
      <c r="E29" s="50">
        <v>0</v>
      </c>
      <c r="F29" s="50">
        <v>2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1</v>
      </c>
      <c r="M29" s="50">
        <v>49</v>
      </c>
      <c r="N29" s="50">
        <v>0</v>
      </c>
      <c r="O29" s="15">
        <f t="shared" si="0"/>
        <v>12</v>
      </c>
      <c r="P29" s="15">
        <f t="shared" si="1"/>
        <v>61</v>
      </c>
      <c r="R29"/>
      <c r="S29" s="20"/>
      <c r="T29" s="19"/>
    </row>
    <row r="30" spans="2:32" ht="23.1" customHeight="1" x14ac:dyDescent="0.25">
      <c r="B30" s="23" t="s">
        <v>57</v>
      </c>
      <c r="C30" s="50">
        <v>5</v>
      </c>
      <c r="D30" s="50">
        <v>0</v>
      </c>
      <c r="E30" s="50">
        <v>1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64</v>
      </c>
      <c r="N30" s="50">
        <v>0</v>
      </c>
      <c r="O30" s="15">
        <f t="shared" si="0"/>
        <v>6</v>
      </c>
      <c r="P30" s="15">
        <f t="shared" si="1"/>
        <v>70</v>
      </c>
    </row>
    <row r="31" spans="2:32" ht="23.1" customHeight="1" x14ac:dyDescent="0.25">
      <c r="B31" s="24" t="s">
        <v>58</v>
      </c>
      <c r="C31" s="50">
        <v>5</v>
      </c>
      <c r="D31" s="50">
        <v>0</v>
      </c>
      <c r="E31" s="50">
        <v>0</v>
      </c>
      <c r="F31" s="50">
        <v>1</v>
      </c>
      <c r="G31" s="50">
        <v>0</v>
      </c>
      <c r="H31" s="50">
        <v>1</v>
      </c>
      <c r="I31" s="50">
        <v>0</v>
      </c>
      <c r="J31" s="50">
        <v>2</v>
      </c>
      <c r="K31" s="50">
        <v>0</v>
      </c>
      <c r="L31" s="50">
        <v>0</v>
      </c>
      <c r="M31" s="50">
        <v>48</v>
      </c>
      <c r="N31" s="50">
        <v>0</v>
      </c>
      <c r="O31" s="15">
        <f t="shared" si="0"/>
        <v>9</v>
      </c>
      <c r="P31" s="15">
        <f t="shared" si="1"/>
        <v>57</v>
      </c>
    </row>
    <row r="32" spans="2:32" ht="23.1" customHeight="1" x14ac:dyDescent="0.25">
      <c r="B32" s="24" t="s">
        <v>59</v>
      </c>
      <c r="C32" s="50">
        <v>8</v>
      </c>
      <c r="D32" s="50">
        <v>1</v>
      </c>
      <c r="E32" s="50">
        <v>0</v>
      </c>
      <c r="F32" s="50">
        <v>0</v>
      </c>
      <c r="G32" s="50">
        <v>0</v>
      </c>
      <c r="H32" s="50">
        <v>1</v>
      </c>
      <c r="I32" s="50">
        <v>0</v>
      </c>
      <c r="J32" s="50">
        <v>0</v>
      </c>
      <c r="K32" s="50">
        <v>1</v>
      </c>
      <c r="L32" s="50">
        <v>2</v>
      </c>
      <c r="M32" s="50">
        <v>37</v>
      </c>
      <c r="N32" s="50">
        <v>0</v>
      </c>
      <c r="O32" s="15">
        <f t="shared" si="0"/>
        <v>13</v>
      </c>
      <c r="P32" s="15">
        <f t="shared" si="1"/>
        <v>50</v>
      </c>
    </row>
    <row r="33" spans="2:20" ht="23.1" customHeight="1" x14ac:dyDescent="0.25">
      <c r="B33" s="23" t="s">
        <v>60</v>
      </c>
      <c r="C33" s="50">
        <v>2</v>
      </c>
      <c r="D33" s="50">
        <v>0</v>
      </c>
      <c r="E33" s="50">
        <v>0</v>
      </c>
      <c r="F33" s="50">
        <v>4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1</v>
      </c>
      <c r="M33" s="50">
        <v>47</v>
      </c>
      <c r="N33" s="50">
        <v>0</v>
      </c>
      <c r="O33" s="15">
        <f t="shared" si="0"/>
        <v>7</v>
      </c>
      <c r="P33" s="15">
        <f t="shared" si="1"/>
        <v>54</v>
      </c>
    </row>
    <row r="34" spans="2:20" ht="23.1" customHeight="1" x14ac:dyDescent="0.25">
      <c r="B34" s="24" t="s">
        <v>61</v>
      </c>
      <c r="C34" s="50">
        <v>4</v>
      </c>
      <c r="D34" s="50">
        <v>1</v>
      </c>
      <c r="E34" s="50">
        <v>1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1</v>
      </c>
      <c r="L34" s="50">
        <v>0</v>
      </c>
      <c r="M34" s="50">
        <v>72</v>
      </c>
      <c r="N34" s="50">
        <v>0</v>
      </c>
      <c r="O34" s="15">
        <f t="shared" si="0"/>
        <v>7</v>
      </c>
      <c r="P34" s="15">
        <f t="shared" si="1"/>
        <v>79</v>
      </c>
    </row>
    <row r="35" spans="2:20" ht="23.1" customHeight="1" x14ac:dyDescent="0.25">
      <c r="B35" s="24" t="s">
        <v>62</v>
      </c>
      <c r="C35" s="50">
        <v>3</v>
      </c>
      <c r="D35" s="50">
        <v>2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1</v>
      </c>
      <c r="M35" s="50">
        <v>24</v>
      </c>
      <c r="N35" s="50">
        <v>0</v>
      </c>
      <c r="O35" s="15">
        <f t="shared" si="0"/>
        <v>6</v>
      </c>
      <c r="P35" s="15">
        <f t="shared" si="1"/>
        <v>30</v>
      </c>
    </row>
    <row r="36" spans="2:20" ht="23.1" customHeight="1" x14ac:dyDescent="0.25">
      <c r="B36" s="24" t="s">
        <v>63</v>
      </c>
      <c r="C36" s="50">
        <v>3</v>
      </c>
      <c r="D36" s="50">
        <v>0</v>
      </c>
      <c r="E36" s="50">
        <v>0</v>
      </c>
      <c r="F36" s="50">
        <v>1</v>
      </c>
      <c r="G36" s="50">
        <v>0</v>
      </c>
      <c r="H36" s="50">
        <v>1</v>
      </c>
      <c r="I36" s="50">
        <v>1</v>
      </c>
      <c r="J36" s="50">
        <v>1</v>
      </c>
      <c r="K36" s="50">
        <v>0</v>
      </c>
      <c r="L36" s="50">
        <v>1</v>
      </c>
      <c r="M36" s="50">
        <v>21</v>
      </c>
      <c r="N36" s="50">
        <v>0</v>
      </c>
      <c r="O36" s="15">
        <f t="shared" si="0"/>
        <v>8</v>
      </c>
      <c r="P36" s="15">
        <f t="shared" si="1"/>
        <v>29</v>
      </c>
    </row>
    <row r="37" spans="2:20" ht="23.1" customHeight="1" x14ac:dyDescent="0.25">
      <c r="B37" s="23" t="s">
        <v>64</v>
      </c>
      <c r="C37" s="50">
        <v>3</v>
      </c>
      <c r="D37" s="50">
        <v>0</v>
      </c>
      <c r="E37" s="50">
        <v>2</v>
      </c>
      <c r="F37" s="50">
        <v>4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2</v>
      </c>
      <c r="M37" s="50">
        <v>42</v>
      </c>
      <c r="N37" s="50">
        <v>0</v>
      </c>
      <c r="O37" s="15">
        <f t="shared" si="0"/>
        <v>11</v>
      </c>
      <c r="P37" s="15">
        <f t="shared" si="1"/>
        <v>53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18</v>
      </c>
      <c r="N38" s="50">
        <v>0</v>
      </c>
      <c r="O38" s="15">
        <f t="shared" si="0"/>
        <v>0</v>
      </c>
      <c r="P38" s="15">
        <f t="shared" si="1"/>
        <v>18</v>
      </c>
    </row>
    <row r="39" spans="2:20" ht="23.1" customHeight="1" x14ac:dyDescent="0.25">
      <c r="B39" s="24" t="s">
        <v>66</v>
      </c>
      <c r="C39" s="50">
        <v>2</v>
      </c>
      <c r="D39" s="50">
        <v>0</v>
      </c>
      <c r="E39" s="50">
        <v>0</v>
      </c>
      <c r="F39" s="50">
        <v>2</v>
      </c>
      <c r="G39" s="50">
        <v>0</v>
      </c>
      <c r="H39" s="50">
        <v>0</v>
      </c>
      <c r="I39" s="50">
        <v>0</v>
      </c>
      <c r="J39" s="50">
        <v>1</v>
      </c>
      <c r="K39" s="50">
        <v>0</v>
      </c>
      <c r="L39" s="50">
        <v>4</v>
      </c>
      <c r="M39" s="50">
        <v>23</v>
      </c>
      <c r="N39" s="50">
        <v>0</v>
      </c>
      <c r="O39" s="15">
        <f t="shared" si="0"/>
        <v>9</v>
      </c>
      <c r="P39" s="15">
        <f t="shared" si="1"/>
        <v>32</v>
      </c>
    </row>
    <row r="40" spans="2:20" ht="23.1" customHeight="1" x14ac:dyDescent="0.25">
      <c r="B40" s="24" t="s">
        <v>67</v>
      </c>
      <c r="C40" s="50">
        <v>2</v>
      </c>
      <c r="D40" s="50">
        <v>0</v>
      </c>
      <c r="E40" s="50">
        <v>0</v>
      </c>
      <c r="F40" s="50">
        <v>3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36</v>
      </c>
      <c r="N40" s="50">
        <v>0</v>
      </c>
      <c r="O40" s="15">
        <f t="shared" si="0"/>
        <v>5</v>
      </c>
      <c r="P40" s="15">
        <f t="shared" si="1"/>
        <v>41</v>
      </c>
    </row>
    <row r="41" spans="2:20" ht="23.1" customHeight="1" x14ac:dyDescent="0.25">
      <c r="B41" s="23" t="s">
        <v>68</v>
      </c>
      <c r="C41" s="50">
        <v>3</v>
      </c>
      <c r="D41" s="50">
        <v>0</v>
      </c>
      <c r="E41" s="50">
        <v>0</v>
      </c>
      <c r="F41" s="50">
        <v>2</v>
      </c>
      <c r="G41" s="50">
        <v>0</v>
      </c>
      <c r="H41" s="50">
        <v>0</v>
      </c>
      <c r="I41" s="50">
        <v>0</v>
      </c>
      <c r="J41" s="50">
        <v>1</v>
      </c>
      <c r="K41" s="50">
        <v>0</v>
      </c>
      <c r="L41" s="50">
        <v>2</v>
      </c>
      <c r="M41" s="50">
        <v>32</v>
      </c>
      <c r="N41" s="50">
        <v>0</v>
      </c>
      <c r="O41" s="15">
        <f t="shared" si="0"/>
        <v>8</v>
      </c>
      <c r="P41" s="15">
        <f t="shared" si="1"/>
        <v>40</v>
      </c>
    </row>
    <row r="42" spans="2:20" ht="23.1" customHeight="1" x14ac:dyDescent="0.25">
      <c r="B42" s="24" t="s">
        <v>69</v>
      </c>
      <c r="C42" s="50">
        <v>3</v>
      </c>
      <c r="D42" s="50">
        <v>1</v>
      </c>
      <c r="E42" s="50">
        <v>0</v>
      </c>
      <c r="F42" s="50">
        <v>0</v>
      </c>
      <c r="G42" s="50">
        <v>0</v>
      </c>
      <c r="H42" s="50">
        <v>1</v>
      </c>
      <c r="I42" s="50">
        <v>0</v>
      </c>
      <c r="J42" s="50">
        <v>0</v>
      </c>
      <c r="K42" s="50">
        <v>0</v>
      </c>
      <c r="L42" s="50">
        <v>1</v>
      </c>
      <c r="M42" s="50">
        <v>36</v>
      </c>
      <c r="N42" s="50">
        <v>0</v>
      </c>
      <c r="O42" s="15">
        <f t="shared" si="0"/>
        <v>6</v>
      </c>
      <c r="P42" s="15">
        <f t="shared" si="1"/>
        <v>42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1</v>
      </c>
      <c r="K43" s="50">
        <v>0</v>
      </c>
      <c r="L43" s="50">
        <v>2</v>
      </c>
      <c r="M43" s="50">
        <v>18</v>
      </c>
      <c r="N43" s="50">
        <v>0</v>
      </c>
      <c r="O43" s="15">
        <f t="shared" si="0"/>
        <v>3</v>
      </c>
      <c r="P43" s="15">
        <f t="shared" si="1"/>
        <v>21</v>
      </c>
    </row>
    <row r="44" spans="2:20" ht="23.1" customHeight="1" x14ac:dyDescent="0.25">
      <c r="B44" s="25" t="s">
        <v>71</v>
      </c>
      <c r="C44" s="50">
        <v>4</v>
      </c>
      <c r="D44" s="50">
        <v>0</v>
      </c>
      <c r="E44" s="50">
        <v>1</v>
      </c>
      <c r="F44" s="50">
        <v>2</v>
      </c>
      <c r="G44" s="50">
        <v>0</v>
      </c>
      <c r="H44" s="50">
        <v>0</v>
      </c>
      <c r="I44" s="50">
        <v>0</v>
      </c>
      <c r="J44" s="50">
        <v>2</v>
      </c>
      <c r="K44" s="50">
        <v>0</v>
      </c>
      <c r="L44" s="50">
        <v>1</v>
      </c>
      <c r="M44" s="50">
        <v>56</v>
      </c>
      <c r="N44" s="50">
        <v>0</v>
      </c>
      <c r="O44" s="15">
        <f t="shared" si="0"/>
        <v>10</v>
      </c>
      <c r="P44" s="15">
        <f t="shared" si="1"/>
        <v>66</v>
      </c>
    </row>
    <row r="45" spans="2:20" ht="23.1" customHeight="1" x14ac:dyDescent="0.25">
      <c r="B45" s="23" t="s">
        <v>72</v>
      </c>
      <c r="C45" s="50">
        <v>4</v>
      </c>
      <c r="D45" s="50">
        <v>0</v>
      </c>
      <c r="E45" s="50">
        <v>0</v>
      </c>
      <c r="F45" s="50">
        <v>2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2</v>
      </c>
      <c r="M45" s="50">
        <v>43</v>
      </c>
      <c r="N45" s="50">
        <v>0</v>
      </c>
      <c r="O45" s="15">
        <f t="shared" si="0"/>
        <v>9</v>
      </c>
      <c r="P45" s="15">
        <f t="shared" si="1"/>
        <v>52</v>
      </c>
    </row>
    <row r="46" spans="2:20" ht="23.1" customHeight="1" x14ac:dyDescent="0.25">
      <c r="B46" s="24" t="s">
        <v>73</v>
      </c>
      <c r="C46" s="50">
        <v>3</v>
      </c>
      <c r="D46" s="50">
        <v>0</v>
      </c>
      <c r="E46" s="50">
        <v>0</v>
      </c>
      <c r="F46" s="50">
        <v>1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1</v>
      </c>
      <c r="M46" s="50">
        <v>50</v>
      </c>
      <c r="N46" s="50">
        <v>0</v>
      </c>
      <c r="O46" s="15">
        <f t="shared" si="0"/>
        <v>5</v>
      </c>
      <c r="P46" s="15">
        <f t="shared" si="1"/>
        <v>55</v>
      </c>
      <c r="R46" s="8"/>
      <c r="T46"/>
    </row>
    <row r="47" spans="2:20" ht="23.1" customHeight="1" x14ac:dyDescent="0.25">
      <c r="B47" s="24" t="s">
        <v>74</v>
      </c>
      <c r="C47" s="50">
        <v>6</v>
      </c>
      <c r="D47" s="50">
        <v>0</v>
      </c>
      <c r="E47" s="50">
        <v>1</v>
      </c>
      <c r="F47" s="50">
        <v>3</v>
      </c>
      <c r="G47" s="50">
        <v>0</v>
      </c>
      <c r="H47" s="50">
        <v>0</v>
      </c>
      <c r="I47" s="50">
        <v>0</v>
      </c>
      <c r="J47" s="50">
        <v>1</v>
      </c>
      <c r="K47" s="50">
        <v>1</v>
      </c>
      <c r="L47" s="50">
        <v>1</v>
      </c>
      <c r="M47" s="50">
        <v>103</v>
      </c>
      <c r="N47" s="50">
        <v>0</v>
      </c>
      <c r="O47" s="15">
        <f t="shared" si="0"/>
        <v>13</v>
      </c>
      <c r="P47" s="15">
        <f t="shared" si="1"/>
        <v>116</v>
      </c>
      <c r="R47" s="8"/>
      <c r="T47"/>
    </row>
    <row r="48" spans="2:20" ht="23.1" customHeight="1" x14ac:dyDescent="0.25">
      <c r="B48" s="24" t="s">
        <v>75</v>
      </c>
      <c r="C48" s="50">
        <v>4</v>
      </c>
      <c r="D48" s="50">
        <v>1</v>
      </c>
      <c r="E48" s="50">
        <v>0</v>
      </c>
      <c r="F48" s="50">
        <v>2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1</v>
      </c>
      <c r="M48" s="50">
        <v>76</v>
      </c>
      <c r="N48" s="50">
        <v>0</v>
      </c>
      <c r="O48" s="15">
        <f t="shared" si="0"/>
        <v>8</v>
      </c>
      <c r="P48" s="15">
        <f t="shared" si="1"/>
        <v>84</v>
      </c>
      <c r="R48" s="8"/>
      <c r="T48"/>
    </row>
    <row r="49" spans="2:20" ht="23.1" customHeight="1" x14ac:dyDescent="0.25">
      <c r="B49" s="23" t="s">
        <v>76</v>
      </c>
      <c r="C49" s="50">
        <v>2</v>
      </c>
      <c r="D49" s="50">
        <v>0</v>
      </c>
      <c r="E49" s="50">
        <v>0</v>
      </c>
      <c r="F49" s="50">
        <v>2</v>
      </c>
      <c r="G49" s="50">
        <v>0</v>
      </c>
      <c r="H49" s="50">
        <v>1</v>
      </c>
      <c r="I49" s="50">
        <v>0</v>
      </c>
      <c r="J49" s="50">
        <v>0</v>
      </c>
      <c r="K49" s="50">
        <v>0</v>
      </c>
      <c r="L49" s="50">
        <v>2</v>
      </c>
      <c r="M49" s="50">
        <v>37</v>
      </c>
      <c r="N49" s="50">
        <v>0</v>
      </c>
      <c r="O49" s="15">
        <f t="shared" si="0"/>
        <v>7</v>
      </c>
      <c r="P49" s="15">
        <f t="shared" si="1"/>
        <v>44</v>
      </c>
      <c r="R49" s="8"/>
      <c r="T49"/>
    </row>
    <row r="50" spans="2:20" ht="23.1" customHeight="1" x14ac:dyDescent="0.25">
      <c r="B50" s="24" t="s">
        <v>77</v>
      </c>
      <c r="C50" s="50">
        <v>2</v>
      </c>
      <c r="D50" s="50">
        <v>0</v>
      </c>
      <c r="E50" s="50">
        <v>0</v>
      </c>
      <c r="F50" s="50">
        <v>1</v>
      </c>
      <c r="G50" s="50">
        <v>0</v>
      </c>
      <c r="H50" s="50">
        <v>1</v>
      </c>
      <c r="I50" s="50">
        <v>0</v>
      </c>
      <c r="J50" s="50">
        <v>0</v>
      </c>
      <c r="K50" s="50">
        <v>0</v>
      </c>
      <c r="L50" s="50">
        <v>0</v>
      </c>
      <c r="M50" s="50">
        <v>55</v>
      </c>
      <c r="N50" s="50">
        <v>0</v>
      </c>
      <c r="O50" s="15">
        <f t="shared" si="0"/>
        <v>4</v>
      </c>
      <c r="P50" s="15">
        <f t="shared" si="1"/>
        <v>59</v>
      </c>
      <c r="R50" s="8"/>
      <c r="T50"/>
    </row>
    <row r="51" spans="2:20" ht="23.1" customHeight="1" x14ac:dyDescent="0.25">
      <c r="B51" s="24" t="s">
        <v>78</v>
      </c>
      <c r="C51" s="50">
        <v>7</v>
      </c>
      <c r="D51" s="50">
        <v>0</v>
      </c>
      <c r="E51" s="50">
        <v>1</v>
      </c>
      <c r="F51" s="50">
        <v>3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51</v>
      </c>
      <c r="N51" s="50">
        <v>0</v>
      </c>
      <c r="O51" s="15">
        <f t="shared" si="0"/>
        <v>13</v>
      </c>
      <c r="P51" s="15">
        <f t="shared" si="1"/>
        <v>64</v>
      </c>
      <c r="R51" s="8"/>
      <c r="T51"/>
    </row>
    <row r="52" spans="2:20" ht="23.1" customHeight="1" x14ac:dyDescent="0.25">
      <c r="B52" s="24" t="s">
        <v>79</v>
      </c>
      <c r="C52" s="50">
        <v>3</v>
      </c>
      <c r="D52" s="50">
        <v>1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1</v>
      </c>
      <c r="M52" s="50">
        <v>23</v>
      </c>
      <c r="N52" s="50">
        <v>0</v>
      </c>
      <c r="O52" s="15">
        <f t="shared" si="0"/>
        <v>5</v>
      </c>
      <c r="P52" s="15">
        <f t="shared" si="1"/>
        <v>28</v>
      </c>
      <c r="R52" s="8"/>
      <c r="T52"/>
    </row>
    <row r="53" spans="2:20" ht="23.1" customHeight="1" x14ac:dyDescent="0.25">
      <c r="B53" s="23" t="s">
        <v>80</v>
      </c>
      <c r="C53" s="50">
        <v>2</v>
      </c>
      <c r="D53" s="50">
        <v>1</v>
      </c>
      <c r="E53" s="50">
        <v>0</v>
      </c>
      <c r="F53" s="50">
        <v>1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36</v>
      </c>
      <c r="N53" s="50">
        <v>0</v>
      </c>
      <c r="O53" s="15">
        <f t="shared" si="0"/>
        <v>4</v>
      </c>
      <c r="P53" s="15">
        <f t="shared" si="1"/>
        <v>40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1</v>
      </c>
      <c r="E54" s="50">
        <v>0</v>
      </c>
      <c r="F54" s="50">
        <v>0</v>
      </c>
      <c r="G54" s="50">
        <v>0</v>
      </c>
      <c r="H54" s="50">
        <v>1</v>
      </c>
      <c r="I54" s="50">
        <v>0</v>
      </c>
      <c r="J54" s="50">
        <v>0</v>
      </c>
      <c r="K54" s="50">
        <v>0</v>
      </c>
      <c r="L54" s="50">
        <v>1</v>
      </c>
      <c r="M54" s="50">
        <v>62</v>
      </c>
      <c r="N54" s="50">
        <v>0</v>
      </c>
      <c r="O54" s="15">
        <f t="shared" si="0"/>
        <v>3</v>
      </c>
      <c r="P54" s="15">
        <f t="shared" si="1"/>
        <v>65</v>
      </c>
      <c r="R54" s="8"/>
      <c r="T54"/>
    </row>
    <row r="55" spans="2:20" ht="23.1" customHeight="1" x14ac:dyDescent="0.25">
      <c r="B55" s="23" t="s">
        <v>82</v>
      </c>
      <c r="C55" s="50">
        <v>4</v>
      </c>
      <c r="D55" s="50">
        <v>1</v>
      </c>
      <c r="E55" s="50">
        <v>0</v>
      </c>
      <c r="F55" s="50">
        <v>1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1</v>
      </c>
      <c r="M55" s="50">
        <v>68</v>
      </c>
      <c r="N55" s="50">
        <v>0</v>
      </c>
      <c r="O55" s="15">
        <f t="shared" si="0"/>
        <v>8</v>
      </c>
      <c r="P55" s="15">
        <f t="shared" si="1"/>
        <v>76</v>
      </c>
      <c r="R55" s="8"/>
      <c r="T55"/>
    </row>
    <row r="56" spans="2:20" ht="23.1" customHeight="1" x14ac:dyDescent="0.25">
      <c r="B56" s="23" t="s">
        <v>83</v>
      </c>
      <c r="C56" s="50">
        <v>5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1</v>
      </c>
      <c r="M56" s="50">
        <v>97</v>
      </c>
      <c r="N56" s="50">
        <v>0</v>
      </c>
      <c r="O56" s="15">
        <f t="shared" si="0"/>
        <v>6</v>
      </c>
      <c r="P56" s="15">
        <f t="shared" si="1"/>
        <v>103</v>
      </c>
      <c r="R56" s="8"/>
      <c r="T56"/>
    </row>
    <row r="57" spans="2:20" ht="23.1" customHeight="1" x14ac:dyDescent="0.25">
      <c r="B57" s="23" t="s">
        <v>84</v>
      </c>
      <c r="C57" s="50">
        <v>2</v>
      </c>
      <c r="D57" s="50">
        <v>1</v>
      </c>
      <c r="E57" s="50">
        <v>0</v>
      </c>
      <c r="F57" s="50">
        <v>1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51</v>
      </c>
      <c r="N57" s="50">
        <v>0</v>
      </c>
      <c r="O57" s="15">
        <f t="shared" si="0"/>
        <v>5</v>
      </c>
      <c r="P57" s="15">
        <f t="shared" si="1"/>
        <v>56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149</v>
      </c>
      <c r="D58" s="16">
        <f t="shared" si="21"/>
        <v>17</v>
      </c>
      <c r="E58" s="16">
        <f t="shared" si="21"/>
        <v>9</v>
      </c>
      <c r="F58" s="16">
        <f t="shared" si="21"/>
        <v>42</v>
      </c>
      <c r="G58" s="16">
        <f t="shared" si="21"/>
        <v>0</v>
      </c>
      <c r="H58" s="16">
        <f t="shared" si="21"/>
        <v>13</v>
      </c>
      <c r="I58" s="16">
        <f t="shared" si="21"/>
        <v>12</v>
      </c>
      <c r="J58" s="16">
        <f t="shared" si="21"/>
        <v>20</v>
      </c>
      <c r="K58" s="16">
        <f t="shared" si="21"/>
        <v>4</v>
      </c>
      <c r="L58" s="16">
        <f t="shared" si="21"/>
        <v>34</v>
      </c>
      <c r="M58" s="16">
        <f t="shared" si="21"/>
        <v>1686</v>
      </c>
      <c r="N58" s="16">
        <f t="shared" si="21"/>
        <v>0</v>
      </c>
      <c r="O58" s="16">
        <f t="shared" si="21"/>
        <v>300</v>
      </c>
      <c r="P58" s="16">
        <f t="shared" si="21"/>
        <v>1986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7.5025176233635443E-2</v>
      </c>
      <c r="D59" s="43">
        <f t="shared" si="22"/>
        <v>8.559919436052367E-3</v>
      </c>
      <c r="E59" s="43">
        <f t="shared" si="22"/>
        <v>4.5317220543806651E-3</v>
      </c>
      <c r="F59" s="43">
        <f t="shared" si="22"/>
        <v>2.1148036253776436E-2</v>
      </c>
      <c r="G59" s="43">
        <f t="shared" si="22"/>
        <v>0</v>
      </c>
      <c r="H59" s="43">
        <f t="shared" si="22"/>
        <v>6.545820745216516E-3</v>
      </c>
      <c r="I59" s="43">
        <f t="shared" si="22"/>
        <v>6.0422960725075529E-3</v>
      </c>
      <c r="J59" s="43">
        <f t="shared" si="22"/>
        <v>1.0070493454179255E-2</v>
      </c>
      <c r="K59" s="43">
        <f t="shared" si="22"/>
        <v>2.014098690835851E-3</v>
      </c>
      <c r="L59" s="43">
        <f t="shared" si="22"/>
        <v>1.7119838872104734E-2</v>
      </c>
      <c r="M59" s="43">
        <f t="shared" si="22"/>
        <v>0.84894259818731121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0.49666666666666665</v>
      </c>
      <c r="D60" s="44">
        <f t="shared" ref="D60:N60" si="23">D58/$O$58</f>
        <v>5.6666666666666664E-2</v>
      </c>
      <c r="E60" s="44">
        <f t="shared" si="23"/>
        <v>0.03</v>
      </c>
      <c r="F60" s="44">
        <f t="shared" si="23"/>
        <v>0.14000000000000001</v>
      </c>
      <c r="G60" s="44">
        <f t="shared" si="23"/>
        <v>0</v>
      </c>
      <c r="H60" s="44">
        <f t="shared" si="23"/>
        <v>4.3333333333333335E-2</v>
      </c>
      <c r="I60" s="44">
        <f t="shared" si="23"/>
        <v>0.04</v>
      </c>
      <c r="J60" s="44">
        <f t="shared" si="23"/>
        <v>6.6666666666666666E-2</v>
      </c>
      <c r="K60" s="44">
        <f t="shared" si="23"/>
        <v>1.3333333333333334E-2</v>
      </c>
      <c r="L60" s="44">
        <f t="shared" si="23"/>
        <v>0.11333333333333333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K5" sqref="K5:L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'26.10 KASESE-PONDWE'!C3:G3</f>
        <v>MCC - C4 - STN137 - KASESE 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'26.10 KASESE-PONDWE'!D5</f>
        <v>26.10.19</v>
      </c>
      <c r="E5" s="3"/>
      <c r="F5" s="41" t="s">
        <v>1</v>
      </c>
      <c r="G5" s="63" t="str">
        <f>'26.10 KASESE-PONDWE'!G5:H5</f>
        <v>KABUYIRI</v>
      </c>
      <c r="H5" s="64"/>
      <c r="I5" s="14"/>
      <c r="J5" s="2" t="s">
        <v>5</v>
      </c>
      <c r="K5" s="63" t="s">
        <v>169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57" t="s">
        <v>166</v>
      </c>
      <c r="E6" s="58"/>
      <c r="F6" s="2" t="s">
        <v>2</v>
      </c>
      <c r="G6" s="57" t="s">
        <v>164</v>
      </c>
      <c r="H6" s="58"/>
      <c r="J6" s="2" t="s">
        <v>21</v>
      </c>
      <c r="K6" s="63" t="str">
        <f>'26.10 KASESE-PONDWE'!K6:L6</f>
        <v>GODFREY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17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18</v>
      </c>
      <c r="R10" s="1" t="s">
        <v>6</v>
      </c>
      <c r="S10" s="17">
        <f t="shared" ref="S10:AF10" si="2">SUM(C10:C13)</f>
        <v>4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1</v>
      </c>
      <c r="Y10" s="17">
        <f t="shared" si="2"/>
        <v>1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74</v>
      </c>
      <c r="AD10" s="17">
        <f t="shared" si="2"/>
        <v>0</v>
      </c>
      <c r="AE10" s="31">
        <f t="shared" si="2"/>
        <v>6</v>
      </c>
      <c r="AF10" s="31">
        <f t="shared" si="2"/>
        <v>80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22</v>
      </c>
      <c r="N11" s="50">
        <v>0</v>
      </c>
      <c r="O11" s="15">
        <f t="shared" si="0"/>
        <v>1</v>
      </c>
      <c r="P11" s="15">
        <f t="shared" si="1"/>
        <v>23</v>
      </c>
      <c r="R11" s="1" t="s">
        <v>7</v>
      </c>
      <c r="S11" s="17">
        <f t="shared" ref="S11:AF11" si="3">SUM(C14:C17)</f>
        <v>7</v>
      </c>
      <c r="T11" s="17">
        <f t="shared" si="3"/>
        <v>1</v>
      </c>
      <c r="U11" s="17">
        <f t="shared" si="3"/>
        <v>0</v>
      </c>
      <c r="V11" s="17">
        <f t="shared" si="3"/>
        <v>0</v>
      </c>
      <c r="W11" s="17">
        <f t="shared" si="3"/>
        <v>0</v>
      </c>
      <c r="X11" s="17">
        <f t="shared" si="3"/>
        <v>3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76</v>
      </c>
      <c r="AD11" s="17">
        <f t="shared" si="3"/>
        <v>0</v>
      </c>
      <c r="AE11" s="31">
        <f t="shared" si="3"/>
        <v>12</v>
      </c>
      <c r="AF11" s="31">
        <f t="shared" si="3"/>
        <v>88</v>
      </c>
    </row>
    <row r="12" spans="2:32" ht="23.1" customHeight="1" x14ac:dyDescent="0.25">
      <c r="B12" s="23" t="s">
        <v>39</v>
      </c>
      <c r="C12" s="50">
        <v>2</v>
      </c>
      <c r="D12" s="50">
        <v>0</v>
      </c>
      <c r="E12" s="50">
        <v>0</v>
      </c>
      <c r="F12" s="50">
        <v>0</v>
      </c>
      <c r="G12" s="50">
        <v>0</v>
      </c>
      <c r="H12" s="50">
        <v>1</v>
      </c>
      <c r="I12" s="50">
        <v>0</v>
      </c>
      <c r="J12" s="50">
        <v>0</v>
      </c>
      <c r="K12" s="50">
        <v>0</v>
      </c>
      <c r="L12" s="50">
        <v>0</v>
      </c>
      <c r="M12" s="50">
        <v>21</v>
      </c>
      <c r="N12" s="50">
        <v>0</v>
      </c>
      <c r="O12" s="15">
        <f t="shared" si="0"/>
        <v>3</v>
      </c>
      <c r="P12" s="15">
        <f t="shared" si="1"/>
        <v>24</v>
      </c>
      <c r="R12" s="1" t="s">
        <v>8</v>
      </c>
      <c r="S12" s="17">
        <f t="shared" ref="S12:AF12" si="4">SUM(C18:C21)</f>
        <v>10</v>
      </c>
      <c r="T12" s="17">
        <f t="shared" si="4"/>
        <v>1</v>
      </c>
      <c r="U12" s="17">
        <f t="shared" si="4"/>
        <v>1</v>
      </c>
      <c r="V12" s="17">
        <f t="shared" si="4"/>
        <v>0</v>
      </c>
      <c r="W12" s="17">
        <f t="shared" si="4"/>
        <v>0</v>
      </c>
      <c r="X12" s="17">
        <f t="shared" si="4"/>
        <v>1</v>
      </c>
      <c r="Y12" s="17">
        <f t="shared" si="4"/>
        <v>1</v>
      </c>
      <c r="Z12" s="17">
        <f t="shared" si="4"/>
        <v>2</v>
      </c>
      <c r="AA12" s="17">
        <f t="shared" si="4"/>
        <v>0</v>
      </c>
      <c r="AB12" s="17">
        <f t="shared" si="4"/>
        <v>1</v>
      </c>
      <c r="AC12" s="17">
        <f t="shared" si="4"/>
        <v>36</v>
      </c>
      <c r="AD12" s="17">
        <f t="shared" si="4"/>
        <v>0</v>
      </c>
      <c r="AE12" s="31">
        <f t="shared" si="4"/>
        <v>17</v>
      </c>
      <c r="AF12" s="31">
        <f t="shared" si="4"/>
        <v>53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14</v>
      </c>
      <c r="N13" s="50">
        <v>0</v>
      </c>
      <c r="O13" s="15">
        <f t="shared" si="0"/>
        <v>1</v>
      </c>
      <c r="P13" s="15">
        <f t="shared" si="1"/>
        <v>15</v>
      </c>
      <c r="R13" s="1" t="s">
        <v>9</v>
      </c>
      <c r="S13" s="17">
        <f t="shared" ref="S13:AF13" si="5">SUM(C22:C25)</f>
        <v>9</v>
      </c>
      <c r="T13" s="17">
        <f t="shared" si="5"/>
        <v>0</v>
      </c>
      <c r="U13" s="17">
        <f t="shared" si="5"/>
        <v>0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59</v>
      </c>
      <c r="AD13" s="17">
        <f t="shared" si="5"/>
        <v>0</v>
      </c>
      <c r="AE13" s="31">
        <f t="shared" si="5"/>
        <v>11</v>
      </c>
      <c r="AF13" s="31">
        <f t="shared" si="5"/>
        <v>70</v>
      </c>
    </row>
    <row r="14" spans="2:32" ht="23.1" customHeight="1" x14ac:dyDescent="0.25">
      <c r="B14" s="23" t="s">
        <v>41</v>
      </c>
      <c r="C14" s="50">
        <v>2</v>
      </c>
      <c r="D14" s="50">
        <v>0</v>
      </c>
      <c r="E14" s="50">
        <v>0</v>
      </c>
      <c r="F14" s="50">
        <v>0</v>
      </c>
      <c r="G14" s="50">
        <v>0</v>
      </c>
      <c r="H14" s="50">
        <v>1</v>
      </c>
      <c r="I14" s="50">
        <v>0</v>
      </c>
      <c r="J14" s="50">
        <v>0</v>
      </c>
      <c r="K14" s="50">
        <v>0</v>
      </c>
      <c r="L14" s="50">
        <v>0</v>
      </c>
      <c r="M14" s="50">
        <v>24</v>
      </c>
      <c r="N14" s="50">
        <v>0</v>
      </c>
      <c r="O14" s="15">
        <f t="shared" si="0"/>
        <v>3</v>
      </c>
      <c r="P14" s="15">
        <f t="shared" si="1"/>
        <v>27</v>
      </c>
      <c r="R14" s="1" t="s">
        <v>10</v>
      </c>
      <c r="S14" s="17">
        <f t="shared" ref="S14:AF14" si="6">SUM(C26:C29)</f>
        <v>21</v>
      </c>
      <c r="T14" s="17">
        <f t="shared" si="6"/>
        <v>2</v>
      </c>
      <c r="U14" s="17">
        <f t="shared" si="6"/>
        <v>2</v>
      </c>
      <c r="V14" s="17">
        <f t="shared" si="6"/>
        <v>0</v>
      </c>
      <c r="W14" s="17">
        <f t="shared" si="6"/>
        <v>0</v>
      </c>
      <c r="X14" s="17">
        <f t="shared" si="6"/>
        <v>1</v>
      </c>
      <c r="Y14" s="17">
        <f t="shared" si="6"/>
        <v>1</v>
      </c>
      <c r="Z14" s="17">
        <f t="shared" si="6"/>
        <v>2</v>
      </c>
      <c r="AA14" s="17">
        <f t="shared" si="6"/>
        <v>0</v>
      </c>
      <c r="AB14" s="17">
        <f t="shared" si="6"/>
        <v>0</v>
      </c>
      <c r="AC14" s="17">
        <f t="shared" si="6"/>
        <v>158</v>
      </c>
      <c r="AD14" s="17">
        <f t="shared" si="6"/>
        <v>0</v>
      </c>
      <c r="AE14" s="31">
        <f t="shared" si="6"/>
        <v>29</v>
      </c>
      <c r="AF14" s="31">
        <f t="shared" si="6"/>
        <v>187</v>
      </c>
    </row>
    <row r="15" spans="2:32" ht="23.1" customHeight="1" x14ac:dyDescent="0.25">
      <c r="B15" s="23" t="s">
        <v>42</v>
      </c>
      <c r="C15" s="50">
        <v>2</v>
      </c>
      <c r="D15" s="50">
        <v>0</v>
      </c>
      <c r="E15" s="50">
        <v>0</v>
      </c>
      <c r="F15" s="50">
        <v>0</v>
      </c>
      <c r="G15" s="50">
        <v>0</v>
      </c>
      <c r="H15" s="50">
        <v>1</v>
      </c>
      <c r="I15" s="50">
        <v>0</v>
      </c>
      <c r="J15" s="50">
        <v>0</v>
      </c>
      <c r="K15" s="50">
        <v>0</v>
      </c>
      <c r="L15" s="50">
        <v>0</v>
      </c>
      <c r="M15" s="50">
        <v>15</v>
      </c>
      <c r="N15" s="50">
        <v>0</v>
      </c>
      <c r="O15" s="15">
        <f t="shared" si="0"/>
        <v>3</v>
      </c>
      <c r="P15" s="15">
        <f t="shared" si="1"/>
        <v>18</v>
      </c>
      <c r="R15" s="1" t="s">
        <v>11</v>
      </c>
      <c r="S15" s="17">
        <f t="shared" ref="S15:AF15" si="7">SUM(C30:C33)</f>
        <v>36</v>
      </c>
      <c r="T15" s="17">
        <f t="shared" si="7"/>
        <v>2</v>
      </c>
      <c r="U15" s="17">
        <f t="shared" si="7"/>
        <v>3</v>
      </c>
      <c r="V15" s="17">
        <f t="shared" si="7"/>
        <v>1</v>
      </c>
      <c r="W15" s="17">
        <f t="shared" si="7"/>
        <v>0</v>
      </c>
      <c r="X15" s="17">
        <f t="shared" si="7"/>
        <v>1</v>
      </c>
      <c r="Y15" s="17">
        <f t="shared" si="7"/>
        <v>0</v>
      </c>
      <c r="Z15" s="17">
        <f t="shared" si="7"/>
        <v>6</v>
      </c>
      <c r="AA15" s="17">
        <f t="shared" si="7"/>
        <v>0</v>
      </c>
      <c r="AB15" s="17">
        <f t="shared" si="7"/>
        <v>0</v>
      </c>
      <c r="AC15" s="17">
        <f t="shared" si="7"/>
        <v>201</v>
      </c>
      <c r="AD15" s="17">
        <f t="shared" si="7"/>
        <v>0</v>
      </c>
      <c r="AE15" s="31">
        <f t="shared" si="7"/>
        <v>49</v>
      </c>
      <c r="AF15" s="31">
        <f t="shared" si="7"/>
        <v>250</v>
      </c>
    </row>
    <row r="16" spans="2:32" ht="23.1" customHeight="1" x14ac:dyDescent="0.25">
      <c r="B16" s="23" t="s">
        <v>43</v>
      </c>
      <c r="C16" s="50">
        <v>1</v>
      </c>
      <c r="D16" s="50">
        <v>1</v>
      </c>
      <c r="E16" s="50">
        <v>0</v>
      </c>
      <c r="F16" s="50">
        <v>0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17</v>
      </c>
      <c r="N16" s="50">
        <v>0</v>
      </c>
      <c r="O16" s="15">
        <f t="shared" si="0"/>
        <v>3</v>
      </c>
      <c r="P16" s="15">
        <f t="shared" si="1"/>
        <v>20</v>
      </c>
      <c r="R16" s="1" t="s">
        <v>12</v>
      </c>
      <c r="S16" s="17">
        <f t="shared" ref="S16:AF16" si="8">SUM(C34:C37)</f>
        <v>13</v>
      </c>
      <c r="T16" s="17">
        <f t="shared" si="8"/>
        <v>2</v>
      </c>
      <c r="U16" s="17">
        <f t="shared" si="8"/>
        <v>0</v>
      </c>
      <c r="V16" s="17">
        <f t="shared" si="8"/>
        <v>0</v>
      </c>
      <c r="W16" s="17">
        <f t="shared" si="8"/>
        <v>0</v>
      </c>
      <c r="X16" s="17">
        <f t="shared" si="8"/>
        <v>1</v>
      </c>
      <c r="Y16" s="17">
        <f t="shared" si="8"/>
        <v>0</v>
      </c>
      <c r="Z16" s="17">
        <f t="shared" si="8"/>
        <v>2</v>
      </c>
      <c r="AA16" s="17">
        <f t="shared" si="8"/>
        <v>1</v>
      </c>
      <c r="AB16" s="17">
        <f t="shared" si="8"/>
        <v>0</v>
      </c>
      <c r="AC16" s="17">
        <f t="shared" si="8"/>
        <v>207</v>
      </c>
      <c r="AD16" s="17">
        <f t="shared" si="8"/>
        <v>0</v>
      </c>
      <c r="AE16" s="31">
        <f t="shared" si="8"/>
        <v>19</v>
      </c>
      <c r="AF16" s="31">
        <f t="shared" si="8"/>
        <v>226</v>
      </c>
    </row>
    <row r="17" spans="2:32" ht="23.1" customHeight="1" x14ac:dyDescent="0.25">
      <c r="B17" s="23" t="s">
        <v>44</v>
      </c>
      <c r="C17" s="50">
        <v>2</v>
      </c>
      <c r="D17" s="50">
        <v>0</v>
      </c>
      <c r="E17" s="50">
        <v>0</v>
      </c>
      <c r="F17" s="50">
        <v>0</v>
      </c>
      <c r="G17" s="50">
        <v>0</v>
      </c>
      <c r="H17" s="50">
        <v>1</v>
      </c>
      <c r="I17" s="50">
        <v>0</v>
      </c>
      <c r="J17" s="50">
        <v>0</v>
      </c>
      <c r="K17" s="50">
        <v>0</v>
      </c>
      <c r="L17" s="50">
        <v>0</v>
      </c>
      <c r="M17" s="50">
        <v>20</v>
      </c>
      <c r="N17" s="50">
        <v>0</v>
      </c>
      <c r="O17" s="15">
        <f t="shared" si="0"/>
        <v>3</v>
      </c>
      <c r="P17" s="15">
        <f t="shared" si="1"/>
        <v>23</v>
      </c>
      <c r="R17" s="1" t="s">
        <v>13</v>
      </c>
      <c r="S17" s="17">
        <f t="shared" ref="S17:AF17" si="9">SUM(C38:C41)</f>
        <v>20</v>
      </c>
      <c r="T17" s="17">
        <f t="shared" si="9"/>
        <v>1</v>
      </c>
      <c r="U17" s="17">
        <f t="shared" si="9"/>
        <v>0</v>
      </c>
      <c r="V17" s="17">
        <f t="shared" si="9"/>
        <v>2</v>
      </c>
      <c r="W17" s="17">
        <f t="shared" si="9"/>
        <v>0</v>
      </c>
      <c r="X17" s="17">
        <f t="shared" si="9"/>
        <v>1</v>
      </c>
      <c r="Y17" s="17">
        <f t="shared" si="9"/>
        <v>2</v>
      </c>
      <c r="Z17" s="17">
        <f t="shared" si="9"/>
        <v>0</v>
      </c>
      <c r="AA17" s="17">
        <f t="shared" si="9"/>
        <v>1</v>
      </c>
      <c r="AB17" s="17">
        <f t="shared" si="9"/>
        <v>0</v>
      </c>
      <c r="AC17" s="17">
        <f t="shared" si="9"/>
        <v>273</v>
      </c>
      <c r="AD17" s="17">
        <f t="shared" si="9"/>
        <v>0</v>
      </c>
      <c r="AE17" s="31">
        <f t="shared" si="9"/>
        <v>27</v>
      </c>
      <c r="AF17" s="31">
        <f t="shared" si="9"/>
        <v>300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11</v>
      </c>
      <c r="N18" s="50">
        <v>0</v>
      </c>
      <c r="O18" s="15">
        <f t="shared" si="0"/>
        <v>1</v>
      </c>
      <c r="P18" s="15">
        <f t="shared" si="1"/>
        <v>12</v>
      </c>
      <c r="R18" s="1" t="s">
        <v>14</v>
      </c>
      <c r="S18" s="17">
        <f t="shared" ref="S18:AF18" si="10">SUM(C42:C45)</f>
        <v>27</v>
      </c>
      <c r="T18" s="17">
        <f t="shared" si="10"/>
        <v>2</v>
      </c>
      <c r="U18" s="17">
        <f t="shared" si="10"/>
        <v>2</v>
      </c>
      <c r="V18" s="17">
        <f t="shared" si="10"/>
        <v>0</v>
      </c>
      <c r="W18" s="17">
        <f t="shared" si="10"/>
        <v>0</v>
      </c>
      <c r="X18" s="17">
        <f t="shared" si="10"/>
        <v>1</v>
      </c>
      <c r="Y18" s="17">
        <f t="shared" si="10"/>
        <v>2</v>
      </c>
      <c r="Z18" s="17">
        <f t="shared" si="10"/>
        <v>2</v>
      </c>
      <c r="AA18" s="17">
        <f t="shared" si="10"/>
        <v>0</v>
      </c>
      <c r="AB18" s="17">
        <f t="shared" si="10"/>
        <v>4</v>
      </c>
      <c r="AC18" s="17">
        <f t="shared" si="10"/>
        <v>274</v>
      </c>
      <c r="AD18" s="17">
        <f t="shared" si="10"/>
        <v>0</v>
      </c>
      <c r="AE18" s="31">
        <f t="shared" si="10"/>
        <v>40</v>
      </c>
      <c r="AF18" s="31">
        <f t="shared" si="10"/>
        <v>314</v>
      </c>
    </row>
    <row r="19" spans="2:32" ht="23.1" customHeight="1" x14ac:dyDescent="0.25">
      <c r="B19" s="23" t="s">
        <v>46</v>
      </c>
      <c r="C19" s="50">
        <v>4</v>
      </c>
      <c r="D19" s="50">
        <v>1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1</v>
      </c>
      <c r="K19" s="50">
        <v>0</v>
      </c>
      <c r="L19" s="50">
        <v>0</v>
      </c>
      <c r="M19" s="50">
        <v>15</v>
      </c>
      <c r="N19" s="50">
        <v>0</v>
      </c>
      <c r="O19" s="15">
        <f t="shared" si="0"/>
        <v>6</v>
      </c>
      <c r="P19" s="15">
        <f t="shared" si="1"/>
        <v>21</v>
      </c>
      <c r="R19" s="1" t="s">
        <v>15</v>
      </c>
      <c r="S19" s="17">
        <f t="shared" ref="S19:AF19" si="11">SUM(C46:C49)</f>
        <v>26</v>
      </c>
      <c r="T19" s="17">
        <f t="shared" si="11"/>
        <v>4</v>
      </c>
      <c r="U19" s="17">
        <f t="shared" si="11"/>
        <v>2</v>
      </c>
      <c r="V19" s="17">
        <f t="shared" si="11"/>
        <v>0</v>
      </c>
      <c r="W19" s="17">
        <f t="shared" si="11"/>
        <v>0</v>
      </c>
      <c r="X19" s="17">
        <f t="shared" si="11"/>
        <v>1</v>
      </c>
      <c r="Y19" s="17">
        <f t="shared" si="11"/>
        <v>3</v>
      </c>
      <c r="Z19" s="17">
        <f t="shared" si="11"/>
        <v>4</v>
      </c>
      <c r="AA19" s="17">
        <f t="shared" si="11"/>
        <v>0</v>
      </c>
      <c r="AB19" s="17">
        <f t="shared" si="11"/>
        <v>2</v>
      </c>
      <c r="AC19" s="17">
        <f t="shared" si="11"/>
        <v>255</v>
      </c>
      <c r="AD19" s="17">
        <f t="shared" si="11"/>
        <v>0</v>
      </c>
      <c r="AE19" s="31">
        <f t="shared" si="11"/>
        <v>42</v>
      </c>
      <c r="AF19" s="31">
        <f t="shared" si="11"/>
        <v>297</v>
      </c>
    </row>
    <row r="20" spans="2:32" ht="23.1" customHeight="1" x14ac:dyDescent="0.25">
      <c r="B20" s="23" t="s">
        <v>47</v>
      </c>
      <c r="C20" s="50">
        <v>3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</v>
      </c>
      <c r="N20" s="50">
        <v>0</v>
      </c>
      <c r="O20" s="15">
        <f t="shared" si="0"/>
        <v>3</v>
      </c>
      <c r="P20" s="15">
        <f t="shared" si="1"/>
        <v>4</v>
      </c>
      <c r="R20" s="1" t="s">
        <v>16</v>
      </c>
      <c r="S20" s="17">
        <f t="shared" ref="S20:AF20" si="12">SUM(C50:C53)</f>
        <v>25</v>
      </c>
      <c r="T20" s="17">
        <f t="shared" si="12"/>
        <v>2</v>
      </c>
      <c r="U20" s="17">
        <f t="shared" si="12"/>
        <v>2</v>
      </c>
      <c r="V20" s="17">
        <f t="shared" si="12"/>
        <v>4</v>
      </c>
      <c r="W20" s="17">
        <f t="shared" si="12"/>
        <v>0</v>
      </c>
      <c r="X20" s="17">
        <f t="shared" si="12"/>
        <v>0</v>
      </c>
      <c r="Y20" s="17">
        <f t="shared" si="12"/>
        <v>2</v>
      </c>
      <c r="Z20" s="17">
        <f t="shared" si="12"/>
        <v>1</v>
      </c>
      <c r="AA20" s="17">
        <f t="shared" si="12"/>
        <v>1</v>
      </c>
      <c r="AB20" s="17">
        <f t="shared" si="12"/>
        <v>5</v>
      </c>
      <c r="AC20" s="17">
        <f t="shared" si="12"/>
        <v>234</v>
      </c>
      <c r="AD20" s="17">
        <f t="shared" si="12"/>
        <v>0</v>
      </c>
      <c r="AE20" s="31">
        <f t="shared" si="12"/>
        <v>42</v>
      </c>
      <c r="AF20" s="31">
        <f t="shared" si="12"/>
        <v>276</v>
      </c>
    </row>
    <row r="21" spans="2:32" ht="23.1" customHeight="1" x14ac:dyDescent="0.25">
      <c r="B21" s="23" t="s">
        <v>48</v>
      </c>
      <c r="C21" s="50">
        <v>3</v>
      </c>
      <c r="D21" s="50">
        <v>0</v>
      </c>
      <c r="E21" s="50">
        <v>0</v>
      </c>
      <c r="F21" s="50">
        <v>0</v>
      </c>
      <c r="G21" s="50">
        <v>0</v>
      </c>
      <c r="H21" s="50">
        <v>1</v>
      </c>
      <c r="I21" s="50">
        <v>1</v>
      </c>
      <c r="J21" s="50">
        <v>1</v>
      </c>
      <c r="K21" s="50">
        <v>0</v>
      </c>
      <c r="L21" s="50">
        <v>1</v>
      </c>
      <c r="M21" s="50">
        <v>9</v>
      </c>
      <c r="N21" s="50">
        <v>0</v>
      </c>
      <c r="O21" s="15">
        <f t="shared" si="0"/>
        <v>7</v>
      </c>
      <c r="P21" s="15">
        <f t="shared" si="1"/>
        <v>16</v>
      </c>
      <c r="R21" s="36" t="s">
        <v>20</v>
      </c>
      <c r="S21" s="34">
        <f t="shared" ref="S21:AF21" si="13">SUM(C54:C57)</f>
        <v>14</v>
      </c>
      <c r="T21" s="17">
        <f t="shared" si="13"/>
        <v>1</v>
      </c>
      <c r="U21" s="17">
        <f t="shared" si="13"/>
        <v>1</v>
      </c>
      <c r="V21" s="17">
        <f t="shared" si="13"/>
        <v>0</v>
      </c>
      <c r="W21" s="17">
        <f t="shared" si="13"/>
        <v>0</v>
      </c>
      <c r="X21" s="17">
        <f t="shared" si="13"/>
        <v>1</v>
      </c>
      <c r="Y21" s="17">
        <f t="shared" si="13"/>
        <v>2</v>
      </c>
      <c r="Z21" s="17">
        <f t="shared" si="13"/>
        <v>1</v>
      </c>
      <c r="AA21" s="17">
        <f t="shared" si="13"/>
        <v>0</v>
      </c>
      <c r="AB21" s="17">
        <f t="shared" si="13"/>
        <v>3</v>
      </c>
      <c r="AC21" s="17">
        <f t="shared" si="13"/>
        <v>244</v>
      </c>
      <c r="AD21" s="17">
        <f t="shared" si="13"/>
        <v>0</v>
      </c>
      <c r="AE21" s="31">
        <f t="shared" si="13"/>
        <v>23</v>
      </c>
      <c r="AF21" s="31">
        <f t="shared" si="13"/>
        <v>267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10</v>
      </c>
      <c r="N22" s="50">
        <v>0</v>
      </c>
      <c r="O22" s="15">
        <f t="shared" si="0"/>
        <v>0</v>
      </c>
      <c r="P22" s="15">
        <f t="shared" si="1"/>
        <v>10</v>
      </c>
      <c r="R22" s="38" t="s">
        <v>90</v>
      </c>
      <c r="S22" s="39">
        <f>MAX(S10:S12)</f>
        <v>10</v>
      </c>
      <c r="T22" s="39">
        <f t="shared" ref="T22:AF22" si="14">MAX(T10:T12)</f>
        <v>1</v>
      </c>
      <c r="U22" s="39">
        <f t="shared" si="14"/>
        <v>1</v>
      </c>
      <c r="V22" s="39">
        <f t="shared" si="14"/>
        <v>0</v>
      </c>
      <c r="W22" s="39">
        <f t="shared" si="14"/>
        <v>0</v>
      </c>
      <c r="X22" s="39">
        <f t="shared" si="14"/>
        <v>3</v>
      </c>
      <c r="Y22" s="39">
        <f t="shared" si="14"/>
        <v>1</v>
      </c>
      <c r="Z22" s="39">
        <f t="shared" si="14"/>
        <v>2</v>
      </c>
      <c r="AA22" s="39">
        <f t="shared" si="14"/>
        <v>0</v>
      </c>
      <c r="AB22" s="39">
        <f t="shared" si="14"/>
        <v>1</v>
      </c>
      <c r="AC22" s="39">
        <f t="shared" si="14"/>
        <v>76</v>
      </c>
      <c r="AD22" s="39">
        <f t="shared" si="14"/>
        <v>0</v>
      </c>
      <c r="AE22" s="40">
        <f t="shared" si="14"/>
        <v>17</v>
      </c>
      <c r="AF22" s="40">
        <f t="shared" si="14"/>
        <v>88</v>
      </c>
    </row>
    <row r="23" spans="2:32" ht="23.1" customHeight="1" x14ac:dyDescent="0.25">
      <c r="B23" s="23" t="s">
        <v>50</v>
      </c>
      <c r="C23" s="50">
        <v>5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1</v>
      </c>
      <c r="K23" s="50">
        <v>0</v>
      </c>
      <c r="L23" s="50">
        <v>0</v>
      </c>
      <c r="M23" s="50">
        <v>23</v>
      </c>
      <c r="N23" s="50">
        <v>0</v>
      </c>
      <c r="O23" s="15">
        <f t="shared" si="0"/>
        <v>6</v>
      </c>
      <c r="P23" s="15">
        <f t="shared" si="1"/>
        <v>29</v>
      </c>
      <c r="R23" s="38" t="s">
        <v>91</v>
      </c>
      <c r="S23" s="39">
        <f>MAX(S13:S18)</f>
        <v>36</v>
      </c>
      <c r="T23" s="39">
        <f t="shared" ref="T23:AF23" si="15">MAX(T13:T18)</f>
        <v>2</v>
      </c>
      <c r="U23" s="39">
        <f t="shared" si="15"/>
        <v>3</v>
      </c>
      <c r="V23" s="39">
        <f t="shared" si="15"/>
        <v>2</v>
      </c>
      <c r="W23" s="39">
        <f t="shared" si="15"/>
        <v>0</v>
      </c>
      <c r="X23" s="39">
        <f t="shared" si="15"/>
        <v>1</v>
      </c>
      <c r="Y23" s="39">
        <f t="shared" si="15"/>
        <v>2</v>
      </c>
      <c r="Z23" s="39">
        <f t="shared" si="15"/>
        <v>6</v>
      </c>
      <c r="AA23" s="39">
        <f t="shared" si="15"/>
        <v>1</v>
      </c>
      <c r="AB23" s="39">
        <f t="shared" si="15"/>
        <v>4</v>
      </c>
      <c r="AC23" s="39">
        <f t="shared" si="15"/>
        <v>274</v>
      </c>
      <c r="AD23" s="39">
        <f t="shared" si="15"/>
        <v>0</v>
      </c>
      <c r="AE23" s="40">
        <f t="shared" si="15"/>
        <v>49</v>
      </c>
      <c r="AF23" s="40">
        <f t="shared" si="15"/>
        <v>314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5</v>
      </c>
      <c r="N24" s="50">
        <v>0</v>
      </c>
      <c r="O24" s="15">
        <f t="shared" si="0"/>
        <v>0</v>
      </c>
      <c r="P24" s="15">
        <f t="shared" si="1"/>
        <v>5</v>
      </c>
      <c r="R24" s="38" t="s">
        <v>92</v>
      </c>
      <c r="S24" s="39">
        <f>MAX(S19:S21)</f>
        <v>26</v>
      </c>
      <c r="T24" s="39">
        <f t="shared" ref="T24:AF24" si="16">MAX(T19:T21)</f>
        <v>4</v>
      </c>
      <c r="U24" s="39">
        <f t="shared" si="16"/>
        <v>2</v>
      </c>
      <c r="V24" s="39">
        <f t="shared" si="16"/>
        <v>4</v>
      </c>
      <c r="W24" s="39">
        <f t="shared" si="16"/>
        <v>0</v>
      </c>
      <c r="X24" s="39">
        <f t="shared" si="16"/>
        <v>1</v>
      </c>
      <c r="Y24" s="39">
        <f t="shared" si="16"/>
        <v>3</v>
      </c>
      <c r="Z24" s="39">
        <f t="shared" si="16"/>
        <v>4</v>
      </c>
      <c r="AA24" s="39">
        <f t="shared" si="16"/>
        <v>1</v>
      </c>
      <c r="AB24" s="39">
        <f t="shared" si="16"/>
        <v>5</v>
      </c>
      <c r="AC24" s="39">
        <f t="shared" si="16"/>
        <v>255</v>
      </c>
      <c r="AD24" s="39">
        <f t="shared" si="16"/>
        <v>0</v>
      </c>
      <c r="AE24" s="40">
        <f t="shared" si="16"/>
        <v>42</v>
      </c>
      <c r="AF24" s="40">
        <f t="shared" si="16"/>
        <v>297</v>
      </c>
    </row>
    <row r="25" spans="2:32" ht="23.1" customHeight="1" x14ac:dyDescent="0.25">
      <c r="B25" s="23" t="s">
        <v>52</v>
      </c>
      <c r="C25" s="50">
        <v>4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21</v>
      </c>
      <c r="N25" s="50">
        <v>0</v>
      </c>
      <c r="O25" s="15">
        <f t="shared" si="0"/>
        <v>5</v>
      </c>
      <c r="P25" s="15">
        <f t="shared" si="1"/>
        <v>26</v>
      </c>
      <c r="R25" s="37" t="s">
        <v>85</v>
      </c>
      <c r="S25" s="35">
        <f t="shared" ref="S25:AF25" si="17">SUM(S10:S12)</f>
        <v>21</v>
      </c>
      <c r="T25" s="16">
        <f t="shared" si="17"/>
        <v>2</v>
      </c>
      <c r="U25" s="16">
        <f t="shared" si="17"/>
        <v>1</v>
      </c>
      <c r="V25" s="16">
        <f t="shared" si="17"/>
        <v>0</v>
      </c>
      <c r="W25" s="16">
        <f t="shared" si="17"/>
        <v>0</v>
      </c>
      <c r="X25" s="16">
        <f t="shared" si="17"/>
        <v>5</v>
      </c>
      <c r="Y25" s="16">
        <f t="shared" si="17"/>
        <v>3</v>
      </c>
      <c r="Z25" s="16">
        <f t="shared" si="17"/>
        <v>2</v>
      </c>
      <c r="AA25" s="16">
        <f t="shared" si="17"/>
        <v>0</v>
      </c>
      <c r="AB25" s="16">
        <f t="shared" si="17"/>
        <v>1</v>
      </c>
      <c r="AC25" s="16">
        <f t="shared" si="17"/>
        <v>186</v>
      </c>
      <c r="AD25" s="16">
        <f t="shared" si="17"/>
        <v>0</v>
      </c>
      <c r="AE25" s="32">
        <f t="shared" si="17"/>
        <v>35</v>
      </c>
      <c r="AF25" s="32">
        <f t="shared" si="17"/>
        <v>221</v>
      </c>
    </row>
    <row r="26" spans="2:32" ht="23.1" customHeight="1" x14ac:dyDescent="0.25">
      <c r="B26" s="23" t="s">
        <v>53</v>
      </c>
      <c r="C26" s="50">
        <v>4</v>
      </c>
      <c r="D26" s="50">
        <v>1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2</v>
      </c>
      <c r="K26" s="50">
        <v>0</v>
      </c>
      <c r="L26" s="50">
        <v>0</v>
      </c>
      <c r="M26" s="50">
        <v>42</v>
      </c>
      <c r="N26" s="50">
        <v>0</v>
      </c>
      <c r="O26" s="15">
        <f t="shared" si="0"/>
        <v>7</v>
      </c>
      <c r="P26" s="15">
        <f t="shared" si="1"/>
        <v>49</v>
      </c>
      <c r="R26" s="28" t="s">
        <v>86</v>
      </c>
      <c r="S26" s="16">
        <f t="shared" ref="S26:AF26" si="18">SUM(S13:S18)</f>
        <v>126</v>
      </c>
      <c r="T26" s="16">
        <f t="shared" si="18"/>
        <v>9</v>
      </c>
      <c r="U26" s="16">
        <f t="shared" si="18"/>
        <v>7</v>
      </c>
      <c r="V26" s="16">
        <f t="shared" si="18"/>
        <v>3</v>
      </c>
      <c r="W26" s="16">
        <f t="shared" si="18"/>
        <v>0</v>
      </c>
      <c r="X26" s="16">
        <f t="shared" si="18"/>
        <v>5</v>
      </c>
      <c r="Y26" s="16">
        <f t="shared" si="18"/>
        <v>6</v>
      </c>
      <c r="Z26" s="16">
        <f t="shared" si="18"/>
        <v>13</v>
      </c>
      <c r="AA26" s="16">
        <f t="shared" si="18"/>
        <v>2</v>
      </c>
      <c r="AB26" s="16">
        <f t="shared" si="18"/>
        <v>4</v>
      </c>
      <c r="AC26" s="16">
        <f t="shared" si="18"/>
        <v>1172</v>
      </c>
      <c r="AD26" s="16">
        <f t="shared" si="18"/>
        <v>0</v>
      </c>
      <c r="AE26" s="32">
        <f t="shared" si="18"/>
        <v>175</v>
      </c>
      <c r="AF26" s="32">
        <f t="shared" si="18"/>
        <v>1347</v>
      </c>
    </row>
    <row r="27" spans="2:32" ht="23.1" customHeight="1" x14ac:dyDescent="0.25">
      <c r="B27" s="23" t="s">
        <v>54</v>
      </c>
      <c r="C27" s="50">
        <v>4</v>
      </c>
      <c r="D27" s="50">
        <v>1</v>
      </c>
      <c r="E27" s="50">
        <v>0</v>
      </c>
      <c r="F27" s="50">
        <v>0</v>
      </c>
      <c r="G27" s="50">
        <v>0</v>
      </c>
      <c r="H27" s="50">
        <v>1</v>
      </c>
      <c r="I27" s="50">
        <v>0</v>
      </c>
      <c r="J27" s="50">
        <v>0</v>
      </c>
      <c r="K27" s="50">
        <v>0</v>
      </c>
      <c r="L27" s="50">
        <v>0</v>
      </c>
      <c r="M27" s="50">
        <v>45</v>
      </c>
      <c r="N27" s="50">
        <v>0</v>
      </c>
      <c r="O27" s="15">
        <f t="shared" si="0"/>
        <v>6</v>
      </c>
      <c r="P27" s="15">
        <f t="shared" si="1"/>
        <v>51</v>
      </c>
      <c r="R27" s="29" t="s">
        <v>87</v>
      </c>
      <c r="S27" s="16">
        <f t="shared" ref="S27:AF27" si="19">SUM(S19:S21)</f>
        <v>65</v>
      </c>
      <c r="T27" s="16">
        <f t="shared" si="19"/>
        <v>7</v>
      </c>
      <c r="U27" s="16">
        <f t="shared" si="19"/>
        <v>5</v>
      </c>
      <c r="V27" s="16">
        <f t="shared" si="19"/>
        <v>4</v>
      </c>
      <c r="W27" s="16">
        <f t="shared" si="19"/>
        <v>0</v>
      </c>
      <c r="X27" s="16">
        <f t="shared" si="19"/>
        <v>2</v>
      </c>
      <c r="Y27" s="16">
        <f t="shared" si="19"/>
        <v>7</v>
      </c>
      <c r="Z27" s="16">
        <f t="shared" si="19"/>
        <v>6</v>
      </c>
      <c r="AA27" s="16">
        <f t="shared" si="19"/>
        <v>1</v>
      </c>
      <c r="AB27" s="16">
        <f t="shared" si="19"/>
        <v>10</v>
      </c>
      <c r="AC27" s="16">
        <f t="shared" si="19"/>
        <v>733</v>
      </c>
      <c r="AD27" s="16">
        <f t="shared" si="19"/>
        <v>0</v>
      </c>
      <c r="AE27" s="32">
        <f t="shared" si="19"/>
        <v>107</v>
      </c>
      <c r="AF27" s="32">
        <f t="shared" si="19"/>
        <v>840</v>
      </c>
    </row>
    <row r="28" spans="2:32" ht="23.1" customHeight="1" x14ac:dyDescent="0.25">
      <c r="B28" s="23" t="s">
        <v>55</v>
      </c>
      <c r="C28" s="50">
        <v>8</v>
      </c>
      <c r="D28" s="50">
        <v>0</v>
      </c>
      <c r="E28" s="50">
        <v>2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43</v>
      </c>
      <c r="N28" s="50">
        <v>0</v>
      </c>
      <c r="O28" s="15">
        <f t="shared" si="0"/>
        <v>10</v>
      </c>
      <c r="P28" s="15">
        <f t="shared" si="1"/>
        <v>53</v>
      </c>
      <c r="R28" s="5" t="s">
        <v>17</v>
      </c>
      <c r="S28" s="16">
        <f t="shared" ref="S28:AF28" si="20">SUM(S10:S21)</f>
        <v>212</v>
      </c>
      <c r="T28" s="16">
        <f t="shared" si="20"/>
        <v>18</v>
      </c>
      <c r="U28" s="16">
        <f t="shared" si="20"/>
        <v>13</v>
      </c>
      <c r="V28" s="16">
        <f t="shared" si="20"/>
        <v>7</v>
      </c>
      <c r="W28" s="16">
        <f t="shared" si="20"/>
        <v>0</v>
      </c>
      <c r="X28" s="16">
        <f t="shared" si="20"/>
        <v>12</v>
      </c>
      <c r="Y28" s="16">
        <f t="shared" si="20"/>
        <v>16</v>
      </c>
      <c r="Z28" s="16">
        <f t="shared" si="20"/>
        <v>21</v>
      </c>
      <c r="AA28" s="16">
        <f t="shared" si="20"/>
        <v>3</v>
      </c>
      <c r="AB28" s="16">
        <f t="shared" si="20"/>
        <v>15</v>
      </c>
      <c r="AC28" s="16">
        <f t="shared" si="20"/>
        <v>2091</v>
      </c>
      <c r="AD28" s="16">
        <f t="shared" si="20"/>
        <v>0</v>
      </c>
      <c r="AE28" s="32">
        <f t="shared" si="20"/>
        <v>317</v>
      </c>
      <c r="AF28" s="32">
        <f t="shared" si="20"/>
        <v>2408</v>
      </c>
    </row>
    <row r="29" spans="2:32" ht="23.1" customHeight="1" x14ac:dyDescent="0.25">
      <c r="B29" s="23" t="s">
        <v>56</v>
      </c>
      <c r="C29" s="50">
        <v>5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28</v>
      </c>
      <c r="N29" s="50">
        <v>0</v>
      </c>
      <c r="O29" s="15">
        <f t="shared" si="0"/>
        <v>6</v>
      </c>
      <c r="P29" s="15">
        <f t="shared" si="1"/>
        <v>34</v>
      </c>
      <c r="R29"/>
      <c r="S29" s="20"/>
      <c r="T29" s="19"/>
    </row>
    <row r="30" spans="2:32" ht="23.1" customHeight="1" x14ac:dyDescent="0.25">
      <c r="B30" s="23" t="s">
        <v>57</v>
      </c>
      <c r="C30" s="50">
        <v>11</v>
      </c>
      <c r="D30" s="50">
        <v>0</v>
      </c>
      <c r="E30" s="50">
        <v>0</v>
      </c>
      <c r="F30" s="50">
        <v>1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42</v>
      </c>
      <c r="N30" s="50">
        <v>0</v>
      </c>
      <c r="O30" s="15">
        <f t="shared" si="0"/>
        <v>12</v>
      </c>
      <c r="P30" s="15">
        <f t="shared" si="1"/>
        <v>54</v>
      </c>
    </row>
    <row r="31" spans="2:32" ht="23.1" customHeight="1" x14ac:dyDescent="0.25">
      <c r="B31" s="24" t="s">
        <v>58</v>
      </c>
      <c r="C31" s="50">
        <v>8</v>
      </c>
      <c r="D31" s="50">
        <v>1</v>
      </c>
      <c r="E31" s="50">
        <v>2</v>
      </c>
      <c r="F31" s="50">
        <v>0</v>
      </c>
      <c r="G31" s="50">
        <v>0</v>
      </c>
      <c r="H31" s="50">
        <v>1</v>
      </c>
      <c r="I31" s="50">
        <v>0</v>
      </c>
      <c r="J31" s="50">
        <v>3</v>
      </c>
      <c r="K31" s="50">
        <v>0</v>
      </c>
      <c r="L31" s="50">
        <v>0</v>
      </c>
      <c r="M31" s="50">
        <v>59</v>
      </c>
      <c r="N31" s="50">
        <v>0</v>
      </c>
      <c r="O31" s="15">
        <f t="shared" si="0"/>
        <v>15</v>
      </c>
      <c r="P31" s="15">
        <f t="shared" si="1"/>
        <v>74</v>
      </c>
    </row>
    <row r="32" spans="2:32" ht="23.1" customHeight="1" x14ac:dyDescent="0.25">
      <c r="B32" s="24" t="s">
        <v>59</v>
      </c>
      <c r="C32" s="50">
        <v>8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3</v>
      </c>
      <c r="K32" s="50">
        <v>0</v>
      </c>
      <c r="L32" s="50">
        <v>0</v>
      </c>
      <c r="M32" s="50">
        <v>59</v>
      </c>
      <c r="N32" s="50">
        <v>0</v>
      </c>
      <c r="O32" s="15">
        <f t="shared" si="0"/>
        <v>11</v>
      </c>
      <c r="P32" s="15">
        <f t="shared" si="1"/>
        <v>70</v>
      </c>
    </row>
    <row r="33" spans="2:20" ht="23.1" customHeight="1" x14ac:dyDescent="0.25">
      <c r="B33" s="23" t="s">
        <v>60</v>
      </c>
      <c r="C33" s="50">
        <v>9</v>
      </c>
      <c r="D33" s="50">
        <v>1</v>
      </c>
      <c r="E33" s="50">
        <v>1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41</v>
      </c>
      <c r="N33" s="50">
        <v>0</v>
      </c>
      <c r="O33" s="15">
        <f t="shared" si="0"/>
        <v>11</v>
      </c>
      <c r="P33" s="15">
        <f t="shared" si="1"/>
        <v>52</v>
      </c>
    </row>
    <row r="34" spans="2:20" ht="23.1" customHeight="1" x14ac:dyDescent="0.25">
      <c r="B34" s="24" t="s">
        <v>61</v>
      </c>
      <c r="C34" s="50">
        <v>4</v>
      </c>
      <c r="D34" s="50">
        <v>1</v>
      </c>
      <c r="E34" s="50">
        <v>0</v>
      </c>
      <c r="F34" s="50">
        <v>0</v>
      </c>
      <c r="G34" s="50">
        <v>0</v>
      </c>
      <c r="H34" s="50">
        <v>1</v>
      </c>
      <c r="I34" s="50">
        <v>0</v>
      </c>
      <c r="J34" s="50">
        <v>0</v>
      </c>
      <c r="K34" s="50">
        <v>0</v>
      </c>
      <c r="L34" s="50">
        <v>0</v>
      </c>
      <c r="M34" s="50">
        <v>41</v>
      </c>
      <c r="N34" s="50">
        <v>0</v>
      </c>
      <c r="O34" s="15">
        <f t="shared" si="0"/>
        <v>6</v>
      </c>
      <c r="P34" s="15">
        <f t="shared" si="1"/>
        <v>47</v>
      </c>
    </row>
    <row r="35" spans="2:20" ht="23.1" customHeight="1" x14ac:dyDescent="0.25">
      <c r="B35" s="24" t="s">
        <v>62</v>
      </c>
      <c r="C35" s="50">
        <v>3</v>
      </c>
      <c r="D35" s="50">
        <v>1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1</v>
      </c>
      <c r="L35" s="50">
        <v>0</v>
      </c>
      <c r="M35" s="50">
        <v>63</v>
      </c>
      <c r="N35" s="50">
        <v>0</v>
      </c>
      <c r="O35" s="15">
        <f t="shared" si="0"/>
        <v>5</v>
      </c>
      <c r="P35" s="15">
        <f t="shared" si="1"/>
        <v>68</v>
      </c>
    </row>
    <row r="36" spans="2:20" ht="23.1" customHeight="1" x14ac:dyDescent="0.25">
      <c r="B36" s="24" t="s">
        <v>63</v>
      </c>
      <c r="C36" s="50">
        <v>2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2</v>
      </c>
      <c r="K36" s="50">
        <v>0</v>
      </c>
      <c r="L36" s="50">
        <v>0</v>
      </c>
      <c r="M36" s="50">
        <v>59</v>
      </c>
      <c r="N36" s="50">
        <v>0</v>
      </c>
      <c r="O36" s="15">
        <f t="shared" si="0"/>
        <v>4</v>
      </c>
      <c r="P36" s="15">
        <f t="shared" si="1"/>
        <v>63</v>
      </c>
    </row>
    <row r="37" spans="2:20" ht="23.1" customHeight="1" x14ac:dyDescent="0.25">
      <c r="B37" s="23" t="s">
        <v>64</v>
      </c>
      <c r="C37" s="50">
        <v>4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44</v>
      </c>
      <c r="N37" s="50">
        <v>0</v>
      </c>
      <c r="O37" s="15">
        <f t="shared" si="0"/>
        <v>4</v>
      </c>
      <c r="P37" s="15">
        <f t="shared" si="1"/>
        <v>48</v>
      </c>
    </row>
    <row r="38" spans="2:20" ht="23.1" customHeight="1" x14ac:dyDescent="0.25">
      <c r="B38" s="24" t="s">
        <v>65</v>
      </c>
      <c r="C38" s="50">
        <v>4</v>
      </c>
      <c r="D38" s="50">
        <v>1</v>
      </c>
      <c r="E38" s="50">
        <v>0</v>
      </c>
      <c r="F38" s="50">
        <v>1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64</v>
      </c>
      <c r="N38" s="50">
        <v>0</v>
      </c>
      <c r="O38" s="15">
        <f t="shared" si="0"/>
        <v>7</v>
      </c>
      <c r="P38" s="15">
        <f t="shared" si="1"/>
        <v>71</v>
      </c>
    </row>
    <row r="39" spans="2:20" ht="23.1" customHeight="1" x14ac:dyDescent="0.25">
      <c r="B39" s="24" t="s">
        <v>66</v>
      </c>
      <c r="C39" s="50">
        <v>7</v>
      </c>
      <c r="D39" s="50">
        <v>0</v>
      </c>
      <c r="E39" s="50">
        <v>0</v>
      </c>
      <c r="F39" s="50">
        <v>1</v>
      </c>
      <c r="G39" s="50">
        <v>0</v>
      </c>
      <c r="H39" s="50">
        <v>1</v>
      </c>
      <c r="I39" s="50">
        <v>0</v>
      </c>
      <c r="J39" s="50">
        <v>0</v>
      </c>
      <c r="K39" s="50">
        <v>0</v>
      </c>
      <c r="L39" s="50">
        <v>0</v>
      </c>
      <c r="M39" s="50">
        <v>72</v>
      </c>
      <c r="N39" s="50">
        <v>0</v>
      </c>
      <c r="O39" s="15">
        <f t="shared" si="0"/>
        <v>9</v>
      </c>
      <c r="P39" s="15">
        <f t="shared" si="1"/>
        <v>81</v>
      </c>
    </row>
    <row r="40" spans="2:20" ht="23.1" customHeight="1" x14ac:dyDescent="0.25">
      <c r="B40" s="24" t="s">
        <v>67</v>
      </c>
      <c r="C40" s="50">
        <v>4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1</v>
      </c>
      <c r="L40" s="50">
        <v>0</v>
      </c>
      <c r="M40" s="50">
        <v>66</v>
      </c>
      <c r="N40" s="50">
        <v>0</v>
      </c>
      <c r="O40" s="15">
        <f t="shared" si="0"/>
        <v>5</v>
      </c>
      <c r="P40" s="15">
        <f t="shared" si="1"/>
        <v>71</v>
      </c>
    </row>
    <row r="41" spans="2:20" ht="23.1" customHeight="1" x14ac:dyDescent="0.25">
      <c r="B41" s="23" t="s">
        <v>68</v>
      </c>
      <c r="C41" s="50">
        <v>5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71</v>
      </c>
      <c r="N41" s="50">
        <v>0</v>
      </c>
      <c r="O41" s="15">
        <f t="shared" si="0"/>
        <v>6</v>
      </c>
      <c r="P41" s="15">
        <f t="shared" si="1"/>
        <v>77</v>
      </c>
    </row>
    <row r="42" spans="2:20" ht="23.1" customHeight="1" x14ac:dyDescent="0.25">
      <c r="B42" s="24" t="s">
        <v>69</v>
      </c>
      <c r="C42" s="50">
        <v>10</v>
      </c>
      <c r="D42" s="50">
        <v>1</v>
      </c>
      <c r="E42" s="50">
        <v>0</v>
      </c>
      <c r="F42" s="50">
        <v>0</v>
      </c>
      <c r="G42" s="50">
        <v>0</v>
      </c>
      <c r="H42" s="50">
        <v>1</v>
      </c>
      <c r="I42" s="50">
        <v>1</v>
      </c>
      <c r="J42" s="50">
        <v>0</v>
      </c>
      <c r="K42" s="50">
        <v>0</v>
      </c>
      <c r="L42" s="50">
        <v>1</v>
      </c>
      <c r="M42" s="50">
        <v>84</v>
      </c>
      <c r="N42" s="50">
        <v>0</v>
      </c>
      <c r="O42" s="15">
        <f t="shared" si="0"/>
        <v>14</v>
      </c>
      <c r="P42" s="15">
        <f t="shared" si="1"/>
        <v>98</v>
      </c>
    </row>
    <row r="43" spans="2:20" ht="23.1" customHeight="1" x14ac:dyDescent="0.25">
      <c r="B43" s="23" t="s">
        <v>70</v>
      </c>
      <c r="C43" s="50">
        <v>5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1</v>
      </c>
      <c r="K43" s="50">
        <v>0</v>
      </c>
      <c r="L43" s="50">
        <v>1</v>
      </c>
      <c r="M43" s="50">
        <v>55</v>
      </c>
      <c r="N43" s="50">
        <v>0</v>
      </c>
      <c r="O43" s="15">
        <f t="shared" si="0"/>
        <v>7</v>
      </c>
      <c r="P43" s="15">
        <f t="shared" si="1"/>
        <v>62</v>
      </c>
    </row>
    <row r="44" spans="2:20" ht="23.1" customHeight="1" x14ac:dyDescent="0.25">
      <c r="B44" s="25" t="s">
        <v>71</v>
      </c>
      <c r="C44" s="50">
        <v>4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1</v>
      </c>
      <c r="J44" s="50">
        <v>1</v>
      </c>
      <c r="K44" s="50">
        <v>0</v>
      </c>
      <c r="L44" s="50">
        <v>2</v>
      </c>
      <c r="M44" s="50">
        <v>61</v>
      </c>
      <c r="N44" s="50">
        <v>0</v>
      </c>
      <c r="O44" s="15">
        <f t="shared" si="0"/>
        <v>8</v>
      </c>
      <c r="P44" s="15">
        <f t="shared" si="1"/>
        <v>69</v>
      </c>
    </row>
    <row r="45" spans="2:20" ht="23.1" customHeight="1" x14ac:dyDescent="0.25">
      <c r="B45" s="23" t="s">
        <v>72</v>
      </c>
      <c r="C45" s="50">
        <v>8</v>
      </c>
      <c r="D45" s="50">
        <v>1</v>
      </c>
      <c r="E45" s="50">
        <v>2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74</v>
      </c>
      <c r="N45" s="50">
        <v>0</v>
      </c>
      <c r="O45" s="15">
        <f t="shared" si="0"/>
        <v>11</v>
      </c>
      <c r="P45" s="15">
        <f t="shared" si="1"/>
        <v>85</v>
      </c>
    </row>
    <row r="46" spans="2:20" ht="23.1" customHeight="1" x14ac:dyDescent="0.25">
      <c r="B46" s="24" t="s">
        <v>73</v>
      </c>
      <c r="C46" s="50">
        <v>6</v>
      </c>
      <c r="D46" s="50">
        <v>1</v>
      </c>
      <c r="E46" s="50">
        <v>1</v>
      </c>
      <c r="F46" s="50">
        <v>0</v>
      </c>
      <c r="G46" s="50">
        <v>0</v>
      </c>
      <c r="H46" s="50">
        <v>0</v>
      </c>
      <c r="I46" s="50">
        <v>0</v>
      </c>
      <c r="J46" s="50">
        <v>1</v>
      </c>
      <c r="K46" s="50">
        <v>0</v>
      </c>
      <c r="L46" s="50">
        <v>0</v>
      </c>
      <c r="M46" s="50">
        <v>65</v>
      </c>
      <c r="N46" s="50">
        <v>0</v>
      </c>
      <c r="O46" s="15">
        <f t="shared" si="0"/>
        <v>9</v>
      </c>
      <c r="P46" s="15">
        <f t="shared" si="1"/>
        <v>74</v>
      </c>
      <c r="R46" s="8"/>
      <c r="T46"/>
    </row>
    <row r="47" spans="2:20" ht="23.1" customHeight="1" x14ac:dyDescent="0.25">
      <c r="B47" s="24" t="s">
        <v>74</v>
      </c>
      <c r="C47" s="50">
        <v>5</v>
      </c>
      <c r="D47" s="50">
        <v>0</v>
      </c>
      <c r="E47" s="50">
        <v>0</v>
      </c>
      <c r="F47" s="50">
        <v>0</v>
      </c>
      <c r="G47" s="50">
        <v>0</v>
      </c>
      <c r="H47" s="50">
        <v>1</v>
      </c>
      <c r="I47" s="50">
        <v>0</v>
      </c>
      <c r="J47" s="50">
        <v>1</v>
      </c>
      <c r="K47" s="50">
        <v>0</v>
      </c>
      <c r="L47" s="50">
        <v>2</v>
      </c>
      <c r="M47" s="50">
        <v>89</v>
      </c>
      <c r="N47" s="50">
        <v>0</v>
      </c>
      <c r="O47" s="15">
        <f t="shared" si="0"/>
        <v>9</v>
      </c>
      <c r="P47" s="15">
        <f t="shared" si="1"/>
        <v>98</v>
      </c>
      <c r="R47" s="8"/>
      <c r="T47"/>
    </row>
    <row r="48" spans="2:20" ht="23.1" customHeight="1" x14ac:dyDescent="0.25">
      <c r="B48" s="24" t="s">
        <v>75</v>
      </c>
      <c r="C48" s="50">
        <v>3</v>
      </c>
      <c r="D48" s="50">
        <v>1</v>
      </c>
      <c r="E48" s="50">
        <v>0</v>
      </c>
      <c r="F48" s="50">
        <v>0</v>
      </c>
      <c r="G48" s="50">
        <v>0</v>
      </c>
      <c r="H48" s="50">
        <v>0</v>
      </c>
      <c r="I48" s="50">
        <v>1</v>
      </c>
      <c r="J48" s="50">
        <v>1</v>
      </c>
      <c r="K48" s="50">
        <v>0</v>
      </c>
      <c r="L48" s="50">
        <v>0</v>
      </c>
      <c r="M48" s="50">
        <v>52</v>
      </c>
      <c r="N48" s="50">
        <v>0</v>
      </c>
      <c r="O48" s="15">
        <f t="shared" si="0"/>
        <v>6</v>
      </c>
      <c r="P48" s="15">
        <f t="shared" si="1"/>
        <v>58</v>
      </c>
      <c r="R48" s="8"/>
      <c r="T48"/>
    </row>
    <row r="49" spans="2:20" ht="23.1" customHeight="1" x14ac:dyDescent="0.25">
      <c r="B49" s="23" t="s">
        <v>76</v>
      </c>
      <c r="C49" s="50">
        <v>12</v>
      </c>
      <c r="D49" s="50">
        <v>2</v>
      </c>
      <c r="E49" s="50">
        <v>1</v>
      </c>
      <c r="F49" s="50">
        <v>0</v>
      </c>
      <c r="G49" s="50">
        <v>0</v>
      </c>
      <c r="H49" s="50">
        <v>0</v>
      </c>
      <c r="I49" s="50">
        <v>2</v>
      </c>
      <c r="J49" s="50">
        <v>1</v>
      </c>
      <c r="K49" s="50">
        <v>0</v>
      </c>
      <c r="L49" s="50">
        <v>0</v>
      </c>
      <c r="M49" s="50">
        <v>49</v>
      </c>
      <c r="N49" s="50">
        <v>0</v>
      </c>
      <c r="O49" s="15">
        <f t="shared" si="0"/>
        <v>18</v>
      </c>
      <c r="P49" s="15">
        <f t="shared" si="1"/>
        <v>67</v>
      </c>
      <c r="R49" s="8"/>
      <c r="T49"/>
    </row>
    <row r="50" spans="2:20" ht="23.1" customHeight="1" x14ac:dyDescent="0.25">
      <c r="B50" s="24" t="s">
        <v>77</v>
      </c>
      <c r="C50" s="50">
        <v>9</v>
      </c>
      <c r="D50" s="50">
        <v>0</v>
      </c>
      <c r="E50" s="50">
        <v>1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81</v>
      </c>
      <c r="N50" s="50">
        <v>0</v>
      </c>
      <c r="O50" s="15">
        <f t="shared" si="0"/>
        <v>10</v>
      </c>
      <c r="P50" s="15">
        <f t="shared" si="1"/>
        <v>91</v>
      </c>
      <c r="R50" s="8"/>
      <c r="T50"/>
    </row>
    <row r="51" spans="2:20" ht="23.1" customHeight="1" x14ac:dyDescent="0.25">
      <c r="B51" s="24" t="s">
        <v>78</v>
      </c>
      <c r="C51" s="50">
        <v>2</v>
      </c>
      <c r="D51" s="50">
        <v>1</v>
      </c>
      <c r="E51" s="50">
        <v>0</v>
      </c>
      <c r="F51" s="50">
        <v>2</v>
      </c>
      <c r="G51" s="50">
        <v>0</v>
      </c>
      <c r="H51" s="50">
        <v>0</v>
      </c>
      <c r="I51" s="50">
        <v>0</v>
      </c>
      <c r="J51" s="50">
        <v>1</v>
      </c>
      <c r="K51" s="50">
        <v>0</v>
      </c>
      <c r="L51" s="50">
        <v>0</v>
      </c>
      <c r="M51" s="50">
        <v>51</v>
      </c>
      <c r="N51" s="50">
        <v>0</v>
      </c>
      <c r="O51" s="15">
        <f t="shared" si="0"/>
        <v>6</v>
      </c>
      <c r="P51" s="15">
        <f t="shared" si="1"/>
        <v>57</v>
      </c>
      <c r="R51" s="8"/>
      <c r="T51"/>
    </row>
    <row r="52" spans="2:20" ht="23.1" customHeight="1" x14ac:dyDescent="0.25">
      <c r="B52" s="24" t="s">
        <v>79</v>
      </c>
      <c r="C52" s="50">
        <v>7</v>
      </c>
      <c r="D52" s="50">
        <v>0</v>
      </c>
      <c r="E52" s="50">
        <v>1</v>
      </c>
      <c r="F52" s="50">
        <v>1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1</v>
      </c>
      <c r="M52" s="50">
        <v>48</v>
      </c>
      <c r="N52" s="50">
        <v>0</v>
      </c>
      <c r="O52" s="15">
        <f t="shared" si="0"/>
        <v>11</v>
      </c>
      <c r="P52" s="15">
        <f t="shared" si="1"/>
        <v>59</v>
      </c>
      <c r="R52" s="8"/>
      <c r="T52"/>
    </row>
    <row r="53" spans="2:20" ht="23.1" customHeight="1" x14ac:dyDescent="0.25">
      <c r="B53" s="23" t="s">
        <v>80</v>
      </c>
      <c r="C53" s="50">
        <v>7</v>
      </c>
      <c r="D53" s="50">
        <v>1</v>
      </c>
      <c r="E53" s="50">
        <v>0</v>
      </c>
      <c r="F53" s="50">
        <v>1</v>
      </c>
      <c r="G53" s="50">
        <v>0</v>
      </c>
      <c r="H53" s="50">
        <v>0</v>
      </c>
      <c r="I53" s="50">
        <v>1</v>
      </c>
      <c r="J53" s="50">
        <v>0</v>
      </c>
      <c r="K53" s="50">
        <v>1</v>
      </c>
      <c r="L53" s="50">
        <v>4</v>
      </c>
      <c r="M53" s="50">
        <v>54</v>
      </c>
      <c r="N53" s="50">
        <v>0</v>
      </c>
      <c r="O53" s="15">
        <f t="shared" si="0"/>
        <v>15</v>
      </c>
      <c r="P53" s="15">
        <f t="shared" si="1"/>
        <v>69</v>
      </c>
      <c r="R53" s="8"/>
      <c r="T53"/>
    </row>
    <row r="54" spans="2:20" ht="23.1" customHeight="1" x14ac:dyDescent="0.25">
      <c r="B54" s="23" t="s">
        <v>81</v>
      </c>
      <c r="C54" s="50">
        <v>3</v>
      </c>
      <c r="D54" s="50">
        <v>0</v>
      </c>
      <c r="E54" s="50">
        <v>1</v>
      </c>
      <c r="F54" s="50">
        <v>0</v>
      </c>
      <c r="G54" s="50">
        <v>0</v>
      </c>
      <c r="H54" s="50">
        <v>1</v>
      </c>
      <c r="I54" s="50">
        <v>0</v>
      </c>
      <c r="J54" s="50">
        <v>0</v>
      </c>
      <c r="K54" s="50">
        <v>0</v>
      </c>
      <c r="L54" s="50">
        <v>0</v>
      </c>
      <c r="M54" s="50">
        <v>46</v>
      </c>
      <c r="N54" s="50">
        <v>0</v>
      </c>
      <c r="O54" s="15">
        <f t="shared" si="0"/>
        <v>5</v>
      </c>
      <c r="P54" s="15">
        <f t="shared" si="1"/>
        <v>51</v>
      </c>
      <c r="R54" s="8"/>
      <c r="T54"/>
    </row>
    <row r="55" spans="2:20" ht="23.1" customHeight="1" x14ac:dyDescent="0.25">
      <c r="B55" s="23" t="s">
        <v>82</v>
      </c>
      <c r="C55" s="50">
        <v>3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1</v>
      </c>
      <c r="J55" s="50">
        <v>1</v>
      </c>
      <c r="K55" s="50">
        <v>0</v>
      </c>
      <c r="L55" s="50">
        <v>1</v>
      </c>
      <c r="M55" s="50">
        <v>72</v>
      </c>
      <c r="N55" s="50">
        <v>0</v>
      </c>
      <c r="O55" s="15">
        <f t="shared" si="0"/>
        <v>6</v>
      </c>
      <c r="P55" s="15">
        <f t="shared" si="1"/>
        <v>78</v>
      </c>
      <c r="R55" s="8"/>
      <c r="T55"/>
    </row>
    <row r="56" spans="2:20" ht="23.1" customHeight="1" x14ac:dyDescent="0.25">
      <c r="B56" s="23" t="s">
        <v>83</v>
      </c>
      <c r="C56" s="50">
        <v>2</v>
      </c>
      <c r="D56" s="50">
        <v>1</v>
      </c>
      <c r="E56" s="50">
        <v>0</v>
      </c>
      <c r="F56" s="50">
        <v>0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1</v>
      </c>
      <c r="M56" s="50">
        <v>63</v>
      </c>
      <c r="N56" s="50">
        <v>0</v>
      </c>
      <c r="O56" s="15">
        <f t="shared" si="0"/>
        <v>5</v>
      </c>
      <c r="P56" s="15">
        <f t="shared" si="1"/>
        <v>68</v>
      </c>
      <c r="R56" s="8"/>
      <c r="T56"/>
    </row>
    <row r="57" spans="2:20" ht="23.1" customHeight="1" x14ac:dyDescent="0.25">
      <c r="B57" s="23" t="s">
        <v>84</v>
      </c>
      <c r="C57" s="50">
        <v>6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1</v>
      </c>
      <c r="M57" s="50">
        <v>63</v>
      </c>
      <c r="N57" s="50">
        <v>0</v>
      </c>
      <c r="O57" s="15">
        <f t="shared" si="0"/>
        <v>7</v>
      </c>
      <c r="P57" s="15">
        <f t="shared" si="1"/>
        <v>70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212</v>
      </c>
      <c r="D58" s="16">
        <f t="shared" si="21"/>
        <v>18</v>
      </c>
      <c r="E58" s="16">
        <f t="shared" si="21"/>
        <v>13</v>
      </c>
      <c r="F58" s="16">
        <f t="shared" si="21"/>
        <v>7</v>
      </c>
      <c r="G58" s="16">
        <f t="shared" si="21"/>
        <v>0</v>
      </c>
      <c r="H58" s="16">
        <f t="shared" si="21"/>
        <v>12</v>
      </c>
      <c r="I58" s="16">
        <f t="shared" si="21"/>
        <v>16</v>
      </c>
      <c r="J58" s="16">
        <f t="shared" si="21"/>
        <v>21</v>
      </c>
      <c r="K58" s="16">
        <f t="shared" si="21"/>
        <v>3</v>
      </c>
      <c r="L58" s="16">
        <f t="shared" si="21"/>
        <v>15</v>
      </c>
      <c r="M58" s="16">
        <f t="shared" si="21"/>
        <v>2091</v>
      </c>
      <c r="N58" s="16">
        <f t="shared" si="21"/>
        <v>0</v>
      </c>
      <c r="O58" s="16">
        <f t="shared" si="21"/>
        <v>317</v>
      </c>
      <c r="P58" s="16">
        <f t="shared" si="21"/>
        <v>2408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8.8039867109634545E-2</v>
      </c>
      <c r="D59" s="43">
        <f t="shared" si="22"/>
        <v>7.4750830564784057E-3</v>
      </c>
      <c r="E59" s="43">
        <f t="shared" si="22"/>
        <v>5.3986710963455148E-3</v>
      </c>
      <c r="F59" s="43">
        <f t="shared" si="22"/>
        <v>2.9069767441860465E-3</v>
      </c>
      <c r="G59" s="43">
        <f t="shared" si="22"/>
        <v>0</v>
      </c>
      <c r="H59" s="43">
        <f t="shared" si="22"/>
        <v>4.9833887043189366E-3</v>
      </c>
      <c r="I59" s="43">
        <f t="shared" si="22"/>
        <v>6.6445182724252493E-3</v>
      </c>
      <c r="J59" s="43">
        <f t="shared" si="22"/>
        <v>8.7209302325581394E-3</v>
      </c>
      <c r="K59" s="43">
        <f t="shared" si="22"/>
        <v>1.2458471760797341E-3</v>
      </c>
      <c r="L59" s="43">
        <f t="shared" si="22"/>
        <v>6.2292358803986711E-3</v>
      </c>
      <c r="M59" s="43">
        <f t="shared" si="22"/>
        <v>0.86835548172757471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0.66876971608832803</v>
      </c>
      <c r="D60" s="44">
        <f t="shared" ref="D60:N60" si="23">D58/$O$58</f>
        <v>5.6782334384858045E-2</v>
      </c>
      <c r="E60" s="44">
        <f t="shared" si="23"/>
        <v>4.1009463722397478E-2</v>
      </c>
      <c r="F60" s="44">
        <f t="shared" si="23"/>
        <v>2.2082018927444796E-2</v>
      </c>
      <c r="G60" s="44">
        <f t="shared" si="23"/>
        <v>0</v>
      </c>
      <c r="H60" s="44">
        <f t="shared" si="23"/>
        <v>3.7854889589905363E-2</v>
      </c>
      <c r="I60" s="44">
        <f t="shared" si="23"/>
        <v>5.0473186119873815E-2</v>
      </c>
      <c r="J60" s="44">
        <f t="shared" si="23"/>
        <v>6.6246056782334389E-2</v>
      </c>
      <c r="K60" s="44">
        <f t="shared" si="23"/>
        <v>9.4637223974763408E-3</v>
      </c>
      <c r="L60" s="44">
        <f t="shared" si="23"/>
        <v>4.7318611987381701E-2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G5" sqref="G5:H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'26.10 KASESE-PONDWE'!C3:G3</f>
        <v>MCC - C4 - STN137 - KASESE 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170</v>
      </c>
      <c r="E5" s="3"/>
      <c r="F5" s="41" t="s">
        <v>1</v>
      </c>
      <c r="G5" s="66" t="str">
        <f>'26.10 KASESE-PONDWE'!G5:H5</f>
        <v>KABUYIRI</v>
      </c>
      <c r="H5" s="67"/>
      <c r="I5" s="14"/>
      <c r="J5" s="2" t="s">
        <v>5</v>
      </c>
      <c r="K5" s="66" t="s">
        <v>168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'26.10 KASESE-PONDWE'!D6:E6</f>
        <v>KASESE</v>
      </c>
      <c r="E6" s="67"/>
      <c r="F6" s="2" t="s">
        <v>2</v>
      </c>
      <c r="G6" s="66" t="str">
        <f>'26.10 KASESE-PONDWE'!G6:H6</f>
        <v>PONDWE</v>
      </c>
      <c r="H6" s="67"/>
      <c r="J6" s="2" t="s">
        <v>21</v>
      </c>
      <c r="K6" s="66" t="str">
        <f>'26.10 KASESE-PONDWE'!K6:L6</f>
        <v>GODFREY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7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8</v>
      </c>
      <c r="R10" s="1" t="s">
        <v>6</v>
      </c>
      <c r="S10" s="17">
        <f t="shared" ref="S10:AF10" si="2">SUM(C10:C13)</f>
        <v>4</v>
      </c>
      <c r="T10" s="17">
        <f t="shared" si="2"/>
        <v>0</v>
      </c>
      <c r="U10" s="17">
        <f t="shared" si="2"/>
        <v>0</v>
      </c>
      <c r="V10" s="17">
        <f t="shared" si="2"/>
        <v>2</v>
      </c>
      <c r="W10" s="17">
        <f t="shared" si="2"/>
        <v>0</v>
      </c>
      <c r="X10" s="17">
        <f t="shared" si="2"/>
        <v>1</v>
      </c>
      <c r="Y10" s="17">
        <f t="shared" si="2"/>
        <v>1</v>
      </c>
      <c r="Z10" s="17">
        <f t="shared" si="2"/>
        <v>3</v>
      </c>
      <c r="AA10" s="17">
        <f t="shared" si="2"/>
        <v>0</v>
      </c>
      <c r="AB10" s="17">
        <f t="shared" si="2"/>
        <v>3</v>
      </c>
      <c r="AC10" s="17">
        <f t="shared" si="2"/>
        <v>73</v>
      </c>
      <c r="AD10" s="17">
        <f t="shared" si="2"/>
        <v>0</v>
      </c>
      <c r="AE10" s="31">
        <f t="shared" si="2"/>
        <v>14</v>
      </c>
      <c r="AF10" s="31">
        <f t="shared" si="2"/>
        <v>87</v>
      </c>
    </row>
    <row r="11" spans="2:32" s="6" customFormat="1" ht="23.1" customHeight="1" x14ac:dyDescent="0.25">
      <c r="B11" s="23" t="s">
        <v>38</v>
      </c>
      <c r="C11" s="50">
        <v>2</v>
      </c>
      <c r="D11" s="50">
        <v>0</v>
      </c>
      <c r="E11" s="50">
        <v>0</v>
      </c>
      <c r="F11" s="50">
        <v>0</v>
      </c>
      <c r="G11" s="50">
        <v>0</v>
      </c>
      <c r="H11" s="50">
        <v>1</v>
      </c>
      <c r="I11" s="50">
        <v>0</v>
      </c>
      <c r="J11" s="50">
        <v>0</v>
      </c>
      <c r="K11" s="50">
        <v>0</v>
      </c>
      <c r="L11" s="50">
        <v>0</v>
      </c>
      <c r="M11" s="50">
        <v>12</v>
      </c>
      <c r="N11" s="50">
        <v>0</v>
      </c>
      <c r="O11" s="15">
        <f t="shared" si="0"/>
        <v>3</v>
      </c>
      <c r="P11" s="15">
        <f t="shared" si="1"/>
        <v>15</v>
      </c>
      <c r="R11" s="1" t="s">
        <v>7</v>
      </c>
      <c r="S11" s="17">
        <f t="shared" ref="S11:AF11" si="3">SUM(C14:C17)</f>
        <v>11</v>
      </c>
      <c r="T11" s="17">
        <f t="shared" si="3"/>
        <v>0</v>
      </c>
      <c r="U11" s="17">
        <f t="shared" si="3"/>
        <v>0</v>
      </c>
      <c r="V11" s="17">
        <f t="shared" si="3"/>
        <v>3</v>
      </c>
      <c r="W11" s="17">
        <f t="shared" si="3"/>
        <v>0</v>
      </c>
      <c r="X11" s="17">
        <f t="shared" si="3"/>
        <v>1</v>
      </c>
      <c r="Y11" s="17">
        <f t="shared" si="3"/>
        <v>0</v>
      </c>
      <c r="Z11" s="17">
        <f t="shared" si="3"/>
        <v>2</v>
      </c>
      <c r="AA11" s="17">
        <f t="shared" si="3"/>
        <v>0</v>
      </c>
      <c r="AB11" s="17">
        <f t="shared" si="3"/>
        <v>4</v>
      </c>
      <c r="AC11" s="17">
        <f t="shared" si="3"/>
        <v>156</v>
      </c>
      <c r="AD11" s="17">
        <f t="shared" si="3"/>
        <v>0</v>
      </c>
      <c r="AE11" s="31">
        <f t="shared" si="3"/>
        <v>21</v>
      </c>
      <c r="AF11" s="31">
        <f t="shared" si="3"/>
        <v>177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1</v>
      </c>
      <c r="M12" s="50">
        <v>17</v>
      </c>
      <c r="N12" s="50">
        <v>0</v>
      </c>
      <c r="O12" s="15">
        <f t="shared" si="0"/>
        <v>1</v>
      </c>
      <c r="P12" s="15">
        <f t="shared" si="1"/>
        <v>18</v>
      </c>
      <c r="R12" s="1" t="s">
        <v>8</v>
      </c>
      <c r="S12" s="17">
        <f t="shared" ref="S12:AF12" si="4">SUM(C18:C21)</f>
        <v>20</v>
      </c>
      <c r="T12" s="17">
        <f t="shared" si="4"/>
        <v>1</v>
      </c>
      <c r="U12" s="17">
        <f t="shared" si="4"/>
        <v>2</v>
      </c>
      <c r="V12" s="17">
        <f t="shared" si="4"/>
        <v>3</v>
      </c>
      <c r="W12" s="17">
        <f t="shared" si="4"/>
        <v>0</v>
      </c>
      <c r="X12" s="17">
        <f t="shared" si="4"/>
        <v>1</v>
      </c>
      <c r="Y12" s="17">
        <f t="shared" si="4"/>
        <v>1</v>
      </c>
      <c r="Z12" s="17">
        <f t="shared" si="4"/>
        <v>2</v>
      </c>
      <c r="AA12" s="17">
        <f t="shared" si="4"/>
        <v>1</v>
      </c>
      <c r="AB12" s="17">
        <f t="shared" si="4"/>
        <v>3</v>
      </c>
      <c r="AC12" s="17">
        <f t="shared" si="4"/>
        <v>250</v>
      </c>
      <c r="AD12" s="17">
        <f t="shared" si="4"/>
        <v>0</v>
      </c>
      <c r="AE12" s="31">
        <f t="shared" si="4"/>
        <v>34</v>
      </c>
      <c r="AF12" s="31">
        <f t="shared" si="4"/>
        <v>284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0</v>
      </c>
      <c r="F13" s="50">
        <v>2</v>
      </c>
      <c r="G13" s="50">
        <v>0</v>
      </c>
      <c r="H13" s="50">
        <v>0</v>
      </c>
      <c r="I13" s="50">
        <v>1</v>
      </c>
      <c r="J13" s="50">
        <v>3</v>
      </c>
      <c r="K13" s="50">
        <v>0</v>
      </c>
      <c r="L13" s="50">
        <v>2</v>
      </c>
      <c r="M13" s="50">
        <v>37</v>
      </c>
      <c r="N13" s="50">
        <v>0</v>
      </c>
      <c r="O13" s="15">
        <f t="shared" si="0"/>
        <v>9</v>
      </c>
      <c r="P13" s="15">
        <f t="shared" si="1"/>
        <v>46</v>
      </c>
      <c r="R13" s="1" t="s">
        <v>9</v>
      </c>
      <c r="S13" s="17">
        <f t="shared" ref="S13:AF13" si="5">SUM(C22:C25)</f>
        <v>17</v>
      </c>
      <c r="T13" s="17">
        <f t="shared" si="5"/>
        <v>1</v>
      </c>
      <c r="U13" s="17">
        <f t="shared" si="5"/>
        <v>2</v>
      </c>
      <c r="V13" s="17">
        <f t="shared" si="5"/>
        <v>2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3</v>
      </c>
      <c r="AA13" s="17">
        <f t="shared" si="5"/>
        <v>1</v>
      </c>
      <c r="AB13" s="17">
        <f t="shared" si="5"/>
        <v>1</v>
      </c>
      <c r="AC13" s="17">
        <f t="shared" si="5"/>
        <v>126</v>
      </c>
      <c r="AD13" s="17">
        <f t="shared" si="5"/>
        <v>0</v>
      </c>
      <c r="AE13" s="31">
        <f t="shared" si="5"/>
        <v>28</v>
      </c>
      <c r="AF13" s="31">
        <f t="shared" si="5"/>
        <v>154</v>
      </c>
    </row>
    <row r="14" spans="2:32" ht="23.1" customHeight="1" x14ac:dyDescent="0.25">
      <c r="B14" s="23" t="s">
        <v>41</v>
      </c>
      <c r="C14" s="50">
        <v>4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51</v>
      </c>
      <c r="N14" s="50">
        <v>0</v>
      </c>
      <c r="O14" s="15">
        <f t="shared" si="0"/>
        <v>4</v>
      </c>
      <c r="P14" s="15">
        <f t="shared" si="1"/>
        <v>55</v>
      </c>
      <c r="R14" s="1" t="s">
        <v>10</v>
      </c>
      <c r="S14" s="17">
        <f t="shared" ref="S14:AF14" si="6">SUM(C26:C29)</f>
        <v>16</v>
      </c>
      <c r="T14" s="17">
        <f t="shared" si="6"/>
        <v>0</v>
      </c>
      <c r="U14" s="17">
        <f t="shared" si="6"/>
        <v>0</v>
      </c>
      <c r="V14" s="17">
        <f t="shared" si="6"/>
        <v>3</v>
      </c>
      <c r="W14" s="17">
        <f t="shared" si="6"/>
        <v>0</v>
      </c>
      <c r="X14" s="17">
        <f t="shared" si="6"/>
        <v>1</v>
      </c>
      <c r="Y14" s="17">
        <f t="shared" si="6"/>
        <v>1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126</v>
      </c>
      <c r="AD14" s="17">
        <f t="shared" si="6"/>
        <v>0</v>
      </c>
      <c r="AE14" s="31">
        <f t="shared" si="6"/>
        <v>22</v>
      </c>
      <c r="AF14" s="31">
        <f t="shared" si="6"/>
        <v>148</v>
      </c>
    </row>
    <row r="15" spans="2:32" ht="23.1" customHeight="1" x14ac:dyDescent="0.25">
      <c r="B15" s="23" t="s">
        <v>42</v>
      </c>
      <c r="C15" s="50">
        <v>1</v>
      </c>
      <c r="D15" s="50">
        <v>0</v>
      </c>
      <c r="E15" s="50">
        <v>0</v>
      </c>
      <c r="F15" s="50">
        <v>1</v>
      </c>
      <c r="G15" s="50">
        <v>0</v>
      </c>
      <c r="H15" s="50">
        <v>1</v>
      </c>
      <c r="I15" s="50">
        <v>0</v>
      </c>
      <c r="J15" s="50">
        <v>0</v>
      </c>
      <c r="K15" s="50">
        <v>0</v>
      </c>
      <c r="L15" s="50">
        <v>1</v>
      </c>
      <c r="M15" s="50">
        <v>29</v>
      </c>
      <c r="N15" s="50">
        <v>0</v>
      </c>
      <c r="O15" s="15">
        <f t="shared" si="0"/>
        <v>4</v>
      </c>
      <c r="P15" s="15">
        <f t="shared" si="1"/>
        <v>33</v>
      </c>
      <c r="R15" s="1" t="s">
        <v>11</v>
      </c>
      <c r="S15" s="17">
        <f t="shared" ref="S15:AF15" si="7">SUM(C30:C33)</f>
        <v>7</v>
      </c>
      <c r="T15" s="17">
        <f t="shared" si="7"/>
        <v>1</v>
      </c>
      <c r="U15" s="17">
        <f t="shared" si="7"/>
        <v>1</v>
      </c>
      <c r="V15" s="17">
        <f t="shared" si="7"/>
        <v>8</v>
      </c>
      <c r="W15" s="17">
        <f t="shared" si="7"/>
        <v>0</v>
      </c>
      <c r="X15" s="17">
        <f t="shared" si="7"/>
        <v>0</v>
      </c>
      <c r="Y15" s="17">
        <f t="shared" si="7"/>
        <v>4</v>
      </c>
      <c r="Z15" s="17">
        <f t="shared" si="7"/>
        <v>1</v>
      </c>
      <c r="AA15" s="17">
        <f t="shared" si="7"/>
        <v>2</v>
      </c>
      <c r="AB15" s="17">
        <f t="shared" si="7"/>
        <v>1</v>
      </c>
      <c r="AC15" s="17">
        <f t="shared" si="7"/>
        <v>124</v>
      </c>
      <c r="AD15" s="17">
        <f t="shared" si="7"/>
        <v>0</v>
      </c>
      <c r="AE15" s="31">
        <f t="shared" si="7"/>
        <v>25</v>
      </c>
      <c r="AF15" s="31">
        <f t="shared" si="7"/>
        <v>149</v>
      </c>
    </row>
    <row r="16" spans="2:32" ht="23.1" customHeight="1" x14ac:dyDescent="0.25">
      <c r="B16" s="23" t="s">
        <v>43</v>
      </c>
      <c r="C16" s="50">
        <v>3</v>
      </c>
      <c r="D16" s="50">
        <v>0</v>
      </c>
      <c r="E16" s="50">
        <v>0</v>
      </c>
      <c r="F16" s="50">
        <v>2</v>
      </c>
      <c r="G16" s="50">
        <v>0</v>
      </c>
      <c r="H16" s="50">
        <v>0</v>
      </c>
      <c r="I16" s="50">
        <v>0</v>
      </c>
      <c r="J16" s="50">
        <v>2</v>
      </c>
      <c r="K16" s="50">
        <v>0</v>
      </c>
      <c r="L16" s="50">
        <v>3</v>
      </c>
      <c r="M16" s="50">
        <v>28</v>
      </c>
      <c r="N16" s="50">
        <v>0</v>
      </c>
      <c r="O16" s="15">
        <f t="shared" si="0"/>
        <v>10</v>
      </c>
      <c r="P16" s="15">
        <f t="shared" si="1"/>
        <v>38</v>
      </c>
      <c r="R16" s="1" t="s">
        <v>12</v>
      </c>
      <c r="S16" s="17">
        <f t="shared" ref="S16:AF16" si="8">SUM(C34:C37)</f>
        <v>10</v>
      </c>
      <c r="T16" s="17">
        <f t="shared" si="8"/>
        <v>0</v>
      </c>
      <c r="U16" s="17">
        <f t="shared" si="8"/>
        <v>1</v>
      </c>
      <c r="V16" s="17">
        <f t="shared" si="8"/>
        <v>6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1</v>
      </c>
      <c r="AA16" s="17">
        <f t="shared" si="8"/>
        <v>0</v>
      </c>
      <c r="AB16" s="17">
        <f t="shared" si="8"/>
        <v>3</v>
      </c>
      <c r="AC16" s="17">
        <f t="shared" si="8"/>
        <v>154</v>
      </c>
      <c r="AD16" s="17">
        <f t="shared" si="8"/>
        <v>0</v>
      </c>
      <c r="AE16" s="31">
        <f t="shared" si="8"/>
        <v>22</v>
      </c>
      <c r="AF16" s="31">
        <f t="shared" si="8"/>
        <v>176</v>
      </c>
    </row>
    <row r="17" spans="2:32" ht="23.1" customHeight="1" x14ac:dyDescent="0.25">
      <c r="B17" s="23" t="s">
        <v>44</v>
      </c>
      <c r="C17" s="50">
        <v>3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48</v>
      </c>
      <c r="N17" s="50">
        <v>0</v>
      </c>
      <c r="O17" s="15">
        <f t="shared" si="0"/>
        <v>3</v>
      </c>
      <c r="P17" s="15">
        <f t="shared" si="1"/>
        <v>51</v>
      </c>
      <c r="R17" s="1" t="s">
        <v>13</v>
      </c>
      <c r="S17" s="17">
        <f t="shared" ref="S17:AF17" si="9">SUM(C38:C41)</f>
        <v>9</v>
      </c>
      <c r="T17" s="17">
        <f t="shared" si="9"/>
        <v>0</v>
      </c>
      <c r="U17" s="17">
        <f t="shared" si="9"/>
        <v>1</v>
      </c>
      <c r="V17" s="17">
        <f t="shared" si="9"/>
        <v>3</v>
      </c>
      <c r="W17" s="17">
        <f t="shared" si="9"/>
        <v>0</v>
      </c>
      <c r="X17" s="17">
        <f t="shared" si="9"/>
        <v>1</v>
      </c>
      <c r="Y17" s="17">
        <f t="shared" si="9"/>
        <v>0</v>
      </c>
      <c r="Z17" s="17">
        <f t="shared" si="9"/>
        <v>0</v>
      </c>
      <c r="AA17" s="17">
        <f t="shared" si="9"/>
        <v>1</v>
      </c>
      <c r="AB17" s="17">
        <f t="shared" si="9"/>
        <v>1</v>
      </c>
      <c r="AC17" s="17">
        <f t="shared" si="9"/>
        <v>192</v>
      </c>
      <c r="AD17" s="17">
        <f t="shared" si="9"/>
        <v>0</v>
      </c>
      <c r="AE17" s="31">
        <f t="shared" si="9"/>
        <v>16</v>
      </c>
      <c r="AF17" s="31">
        <f t="shared" si="9"/>
        <v>208</v>
      </c>
    </row>
    <row r="18" spans="2:32" ht="23.1" customHeight="1" x14ac:dyDescent="0.25">
      <c r="B18" s="23" t="s">
        <v>45</v>
      </c>
      <c r="C18" s="50">
        <v>3</v>
      </c>
      <c r="D18" s="50">
        <v>0</v>
      </c>
      <c r="E18" s="50">
        <v>1</v>
      </c>
      <c r="F18" s="50">
        <v>2</v>
      </c>
      <c r="G18" s="50">
        <v>0</v>
      </c>
      <c r="H18" s="50">
        <v>0</v>
      </c>
      <c r="I18" s="50">
        <v>1</v>
      </c>
      <c r="J18" s="50">
        <v>1</v>
      </c>
      <c r="K18" s="50">
        <v>1</v>
      </c>
      <c r="L18" s="50">
        <v>1</v>
      </c>
      <c r="M18" s="50">
        <v>52</v>
      </c>
      <c r="N18" s="50">
        <v>0</v>
      </c>
      <c r="O18" s="15">
        <f t="shared" si="0"/>
        <v>10</v>
      </c>
      <c r="P18" s="15">
        <f t="shared" si="1"/>
        <v>62</v>
      </c>
      <c r="R18" s="1" t="s">
        <v>14</v>
      </c>
      <c r="S18" s="17">
        <f t="shared" ref="S18:AF18" si="10">SUM(C42:C45)</f>
        <v>17</v>
      </c>
      <c r="T18" s="17">
        <f t="shared" si="10"/>
        <v>3</v>
      </c>
      <c r="U18" s="17">
        <f t="shared" si="10"/>
        <v>0</v>
      </c>
      <c r="V18" s="17">
        <f t="shared" si="10"/>
        <v>7</v>
      </c>
      <c r="W18" s="17">
        <f t="shared" si="10"/>
        <v>0</v>
      </c>
      <c r="X18" s="17">
        <f t="shared" si="10"/>
        <v>0</v>
      </c>
      <c r="Y18" s="17">
        <f t="shared" si="10"/>
        <v>4</v>
      </c>
      <c r="Z18" s="17">
        <f t="shared" si="10"/>
        <v>0</v>
      </c>
      <c r="AA18" s="17">
        <f t="shared" si="10"/>
        <v>0</v>
      </c>
      <c r="AB18" s="17">
        <f t="shared" si="10"/>
        <v>1</v>
      </c>
      <c r="AC18" s="17">
        <f t="shared" si="10"/>
        <v>178</v>
      </c>
      <c r="AD18" s="17">
        <f t="shared" si="10"/>
        <v>0</v>
      </c>
      <c r="AE18" s="31">
        <f t="shared" si="10"/>
        <v>32</v>
      </c>
      <c r="AF18" s="31">
        <f t="shared" si="10"/>
        <v>210</v>
      </c>
    </row>
    <row r="19" spans="2:32" ht="23.1" customHeight="1" x14ac:dyDescent="0.25">
      <c r="B19" s="23" t="s">
        <v>46</v>
      </c>
      <c r="C19" s="50">
        <v>3</v>
      </c>
      <c r="D19" s="50">
        <v>1</v>
      </c>
      <c r="E19" s="50">
        <v>0</v>
      </c>
      <c r="F19" s="50">
        <v>1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57</v>
      </c>
      <c r="N19" s="50">
        <v>0</v>
      </c>
      <c r="O19" s="15">
        <f t="shared" si="0"/>
        <v>5</v>
      </c>
      <c r="P19" s="15">
        <f t="shared" si="1"/>
        <v>62</v>
      </c>
      <c r="R19" s="1" t="s">
        <v>15</v>
      </c>
      <c r="S19" s="17">
        <f t="shared" ref="S19:AF19" si="11">SUM(C46:C49)</f>
        <v>11</v>
      </c>
      <c r="T19" s="17">
        <f t="shared" si="11"/>
        <v>3</v>
      </c>
      <c r="U19" s="17">
        <f t="shared" si="11"/>
        <v>1</v>
      </c>
      <c r="V19" s="17">
        <f t="shared" si="11"/>
        <v>6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1</v>
      </c>
      <c r="AA19" s="17">
        <f t="shared" si="11"/>
        <v>0</v>
      </c>
      <c r="AB19" s="17">
        <f t="shared" si="11"/>
        <v>1</v>
      </c>
      <c r="AC19" s="17">
        <f t="shared" si="11"/>
        <v>242</v>
      </c>
      <c r="AD19" s="17">
        <f t="shared" si="11"/>
        <v>0</v>
      </c>
      <c r="AE19" s="31">
        <f t="shared" si="11"/>
        <v>23</v>
      </c>
      <c r="AF19" s="31">
        <f t="shared" si="11"/>
        <v>265</v>
      </c>
    </row>
    <row r="20" spans="2:32" ht="23.1" customHeight="1" x14ac:dyDescent="0.25">
      <c r="B20" s="23" t="s">
        <v>47</v>
      </c>
      <c r="C20" s="50">
        <v>3</v>
      </c>
      <c r="D20" s="50">
        <v>0</v>
      </c>
      <c r="E20" s="50">
        <v>1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1</v>
      </c>
      <c r="M20" s="50">
        <v>69</v>
      </c>
      <c r="N20" s="50">
        <v>0</v>
      </c>
      <c r="O20" s="15">
        <f t="shared" si="0"/>
        <v>5</v>
      </c>
      <c r="P20" s="15">
        <f t="shared" si="1"/>
        <v>74</v>
      </c>
      <c r="R20" s="1" t="s">
        <v>16</v>
      </c>
      <c r="S20" s="17">
        <f t="shared" ref="S20:AF20" si="12">SUM(C50:C53)</f>
        <v>20</v>
      </c>
      <c r="T20" s="17">
        <f t="shared" si="12"/>
        <v>3</v>
      </c>
      <c r="U20" s="17">
        <f t="shared" si="12"/>
        <v>0</v>
      </c>
      <c r="V20" s="17">
        <f t="shared" si="12"/>
        <v>3</v>
      </c>
      <c r="W20" s="17">
        <f t="shared" si="12"/>
        <v>0</v>
      </c>
      <c r="X20" s="17">
        <f t="shared" si="12"/>
        <v>2</v>
      </c>
      <c r="Y20" s="17">
        <f t="shared" si="12"/>
        <v>1</v>
      </c>
      <c r="Z20" s="17">
        <f t="shared" si="12"/>
        <v>0</v>
      </c>
      <c r="AA20" s="17">
        <f t="shared" si="12"/>
        <v>0</v>
      </c>
      <c r="AB20" s="17">
        <f t="shared" si="12"/>
        <v>1</v>
      </c>
      <c r="AC20" s="17">
        <f t="shared" si="12"/>
        <v>178</v>
      </c>
      <c r="AD20" s="17">
        <f t="shared" si="12"/>
        <v>0</v>
      </c>
      <c r="AE20" s="31">
        <f t="shared" si="12"/>
        <v>30</v>
      </c>
      <c r="AF20" s="31">
        <f t="shared" si="12"/>
        <v>208</v>
      </c>
    </row>
    <row r="21" spans="2:32" ht="23.1" customHeight="1" x14ac:dyDescent="0.25">
      <c r="B21" s="23" t="s">
        <v>48</v>
      </c>
      <c r="C21" s="50">
        <v>11</v>
      </c>
      <c r="D21" s="50">
        <v>0</v>
      </c>
      <c r="E21" s="50">
        <v>0</v>
      </c>
      <c r="F21" s="50">
        <v>0</v>
      </c>
      <c r="G21" s="50">
        <v>0</v>
      </c>
      <c r="H21" s="50">
        <v>1</v>
      </c>
      <c r="I21" s="50">
        <v>0</v>
      </c>
      <c r="J21" s="50">
        <v>1</v>
      </c>
      <c r="K21" s="50">
        <v>0</v>
      </c>
      <c r="L21" s="50">
        <v>1</v>
      </c>
      <c r="M21" s="50">
        <v>72</v>
      </c>
      <c r="N21" s="50">
        <v>0</v>
      </c>
      <c r="O21" s="15">
        <f t="shared" si="0"/>
        <v>14</v>
      </c>
      <c r="P21" s="15">
        <f t="shared" si="1"/>
        <v>86</v>
      </c>
      <c r="R21" s="36" t="s">
        <v>20</v>
      </c>
      <c r="S21" s="34">
        <f t="shared" ref="S21:AF21" si="13">SUM(C54:C57)</f>
        <v>15</v>
      </c>
      <c r="T21" s="17">
        <f t="shared" si="13"/>
        <v>1</v>
      </c>
      <c r="U21" s="17">
        <f t="shared" si="13"/>
        <v>1</v>
      </c>
      <c r="V21" s="17">
        <f t="shared" si="13"/>
        <v>3</v>
      </c>
      <c r="W21" s="17">
        <f t="shared" si="13"/>
        <v>0</v>
      </c>
      <c r="X21" s="17">
        <f t="shared" si="13"/>
        <v>0</v>
      </c>
      <c r="Y21" s="17">
        <f t="shared" si="13"/>
        <v>4</v>
      </c>
      <c r="Z21" s="17">
        <f t="shared" si="13"/>
        <v>0</v>
      </c>
      <c r="AA21" s="17">
        <f t="shared" si="13"/>
        <v>1</v>
      </c>
      <c r="AB21" s="17">
        <f t="shared" si="13"/>
        <v>1</v>
      </c>
      <c r="AC21" s="17">
        <f t="shared" si="13"/>
        <v>219</v>
      </c>
      <c r="AD21" s="17">
        <f t="shared" si="13"/>
        <v>0</v>
      </c>
      <c r="AE21" s="31">
        <f t="shared" si="13"/>
        <v>26</v>
      </c>
      <c r="AF21" s="31">
        <f t="shared" si="13"/>
        <v>245</v>
      </c>
    </row>
    <row r="22" spans="2:32" ht="23.1" customHeight="1" x14ac:dyDescent="0.25">
      <c r="B22" s="23" t="s">
        <v>49</v>
      </c>
      <c r="C22" s="50">
        <v>3</v>
      </c>
      <c r="D22" s="50">
        <v>1</v>
      </c>
      <c r="E22" s="50">
        <v>0</v>
      </c>
      <c r="F22" s="50">
        <v>0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17</v>
      </c>
      <c r="N22" s="50">
        <v>0</v>
      </c>
      <c r="O22" s="15">
        <f t="shared" si="0"/>
        <v>5</v>
      </c>
      <c r="P22" s="15">
        <f t="shared" si="1"/>
        <v>22</v>
      </c>
      <c r="R22" s="38" t="s">
        <v>90</v>
      </c>
      <c r="S22" s="39">
        <f>MAX(S10:S12)</f>
        <v>20</v>
      </c>
      <c r="T22" s="39">
        <f t="shared" ref="T22:AF22" si="14">MAX(T10:T12)</f>
        <v>1</v>
      </c>
      <c r="U22" s="39">
        <f t="shared" si="14"/>
        <v>2</v>
      </c>
      <c r="V22" s="39">
        <f t="shared" si="14"/>
        <v>3</v>
      </c>
      <c r="W22" s="39">
        <f t="shared" si="14"/>
        <v>0</v>
      </c>
      <c r="X22" s="39">
        <f t="shared" si="14"/>
        <v>1</v>
      </c>
      <c r="Y22" s="39">
        <f t="shared" si="14"/>
        <v>1</v>
      </c>
      <c r="Z22" s="39">
        <f t="shared" si="14"/>
        <v>3</v>
      </c>
      <c r="AA22" s="39">
        <f t="shared" si="14"/>
        <v>1</v>
      </c>
      <c r="AB22" s="39">
        <f t="shared" si="14"/>
        <v>4</v>
      </c>
      <c r="AC22" s="39">
        <f t="shared" si="14"/>
        <v>250</v>
      </c>
      <c r="AD22" s="39">
        <f t="shared" si="14"/>
        <v>0</v>
      </c>
      <c r="AE22" s="40">
        <f t="shared" si="14"/>
        <v>34</v>
      </c>
      <c r="AF22" s="40">
        <f t="shared" si="14"/>
        <v>284</v>
      </c>
    </row>
    <row r="23" spans="2:32" ht="23.1" customHeight="1" x14ac:dyDescent="0.25">
      <c r="B23" s="23" t="s">
        <v>50</v>
      </c>
      <c r="C23" s="50">
        <v>7</v>
      </c>
      <c r="D23" s="50">
        <v>0</v>
      </c>
      <c r="E23" s="50">
        <v>1</v>
      </c>
      <c r="F23" s="50">
        <v>0</v>
      </c>
      <c r="G23" s="50">
        <v>0</v>
      </c>
      <c r="H23" s="50">
        <v>0</v>
      </c>
      <c r="I23" s="50">
        <v>0</v>
      </c>
      <c r="J23" s="50">
        <v>2</v>
      </c>
      <c r="K23" s="50">
        <v>0</v>
      </c>
      <c r="L23" s="50">
        <v>0</v>
      </c>
      <c r="M23" s="50">
        <v>47</v>
      </c>
      <c r="N23" s="50">
        <v>0</v>
      </c>
      <c r="O23" s="15">
        <f t="shared" si="0"/>
        <v>10</v>
      </c>
      <c r="P23" s="15">
        <f t="shared" si="1"/>
        <v>57</v>
      </c>
      <c r="R23" s="38" t="s">
        <v>91</v>
      </c>
      <c r="S23" s="39">
        <f>MAX(S13:S18)</f>
        <v>17</v>
      </c>
      <c r="T23" s="39">
        <f t="shared" ref="T23:AF23" si="15">MAX(T13:T18)</f>
        <v>3</v>
      </c>
      <c r="U23" s="39">
        <f t="shared" si="15"/>
        <v>2</v>
      </c>
      <c r="V23" s="39">
        <f t="shared" si="15"/>
        <v>8</v>
      </c>
      <c r="W23" s="39">
        <f t="shared" si="15"/>
        <v>0</v>
      </c>
      <c r="X23" s="39">
        <f t="shared" si="15"/>
        <v>1</v>
      </c>
      <c r="Y23" s="39">
        <f t="shared" si="15"/>
        <v>4</v>
      </c>
      <c r="Z23" s="39">
        <f t="shared" si="15"/>
        <v>3</v>
      </c>
      <c r="AA23" s="39">
        <f t="shared" si="15"/>
        <v>2</v>
      </c>
      <c r="AB23" s="39">
        <f t="shared" si="15"/>
        <v>3</v>
      </c>
      <c r="AC23" s="39">
        <f t="shared" si="15"/>
        <v>192</v>
      </c>
      <c r="AD23" s="39">
        <f t="shared" si="15"/>
        <v>0</v>
      </c>
      <c r="AE23" s="40">
        <f t="shared" si="15"/>
        <v>32</v>
      </c>
      <c r="AF23" s="40">
        <f t="shared" si="15"/>
        <v>210</v>
      </c>
    </row>
    <row r="24" spans="2:32" ht="23.1" customHeight="1" x14ac:dyDescent="0.25">
      <c r="B24" s="23" t="s">
        <v>51</v>
      </c>
      <c r="C24" s="50">
        <v>2</v>
      </c>
      <c r="D24" s="50">
        <v>0</v>
      </c>
      <c r="E24" s="50">
        <v>1</v>
      </c>
      <c r="F24" s="50">
        <v>2</v>
      </c>
      <c r="G24" s="50">
        <v>0</v>
      </c>
      <c r="H24" s="50">
        <v>0</v>
      </c>
      <c r="I24" s="50">
        <v>0</v>
      </c>
      <c r="J24" s="50">
        <v>1</v>
      </c>
      <c r="K24" s="50">
        <v>0</v>
      </c>
      <c r="L24" s="50">
        <v>0</v>
      </c>
      <c r="M24" s="50">
        <v>34</v>
      </c>
      <c r="N24" s="50">
        <v>0</v>
      </c>
      <c r="O24" s="15">
        <f t="shared" si="0"/>
        <v>6</v>
      </c>
      <c r="P24" s="15">
        <f t="shared" si="1"/>
        <v>40</v>
      </c>
      <c r="R24" s="38" t="s">
        <v>92</v>
      </c>
      <c r="S24" s="39">
        <f>MAX(S19:S21)</f>
        <v>20</v>
      </c>
      <c r="T24" s="39">
        <f t="shared" ref="T24:AF24" si="16">MAX(T19:T21)</f>
        <v>3</v>
      </c>
      <c r="U24" s="39">
        <f t="shared" si="16"/>
        <v>1</v>
      </c>
      <c r="V24" s="39">
        <f t="shared" si="16"/>
        <v>6</v>
      </c>
      <c r="W24" s="39">
        <f t="shared" si="16"/>
        <v>0</v>
      </c>
      <c r="X24" s="39">
        <f t="shared" si="16"/>
        <v>2</v>
      </c>
      <c r="Y24" s="39">
        <f t="shared" si="16"/>
        <v>4</v>
      </c>
      <c r="Z24" s="39">
        <f t="shared" si="16"/>
        <v>1</v>
      </c>
      <c r="AA24" s="39">
        <f t="shared" si="16"/>
        <v>1</v>
      </c>
      <c r="AB24" s="39">
        <f t="shared" si="16"/>
        <v>1</v>
      </c>
      <c r="AC24" s="39">
        <f t="shared" si="16"/>
        <v>242</v>
      </c>
      <c r="AD24" s="39">
        <f t="shared" si="16"/>
        <v>0</v>
      </c>
      <c r="AE24" s="40">
        <f t="shared" si="16"/>
        <v>30</v>
      </c>
      <c r="AF24" s="40">
        <f t="shared" si="16"/>
        <v>265</v>
      </c>
    </row>
    <row r="25" spans="2:32" ht="23.1" customHeight="1" x14ac:dyDescent="0.25">
      <c r="B25" s="23" t="s">
        <v>52</v>
      </c>
      <c r="C25" s="50">
        <v>5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1</v>
      </c>
      <c r="L25" s="50">
        <v>1</v>
      </c>
      <c r="M25" s="50">
        <v>28</v>
      </c>
      <c r="N25" s="50">
        <v>0</v>
      </c>
      <c r="O25" s="15">
        <f t="shared" si="0"/>
        <v>7</v>
      </c>
      <c r="P25" s="15">
        <f t="shared" si="1"/>
        <v>35</v>
      </c>
      <c r="R25" s="37" t="s">
        <v>85</v>
      </c>
      <c r="S25" s="35">
        <f t="shared" ref="S25:AF25" si="17">SUM(S10:S12)</f>
        <v>35</v>
      </c>
      <c r="T25" s="16">
        <f t="shared" si="17"/>
        <v>1</v>
      </c>
      <c r="U25" s="16">
        <f t="shared" si="17"/>
        <v>2</v>
      </c>
      <c r="V25" s="16">
        <f t="shared" si="17"/>
        <v>8</v>
      </c>
      <c r="W25" s="16">
        <f t="shared" si="17"/>
        <v>0</v>
      </c>
      <c r="X25" s="16">
        <f t="shared" si="17"/>
        <v>3</v>
      </c>
      <c r="Y25" s="16">
        <f t="shared" si="17"/>
        <v>2</v>
      </c>
      <c r="Z25" s="16">
        <f t="shared" si="17"/>
        <v>7</v>
      </c>
      <c r="AA25" s="16">
        <f t="shared" si="17"/>
        <v>1</v>
      </c>
      <c r="AB25" s="16">
        <f t="shared" si="17"/>
        <v>10</v>
      </c>
      <c r="AC25" s="16">
        <f t="shared" si="17"/>
        <v>479</v>
      </c>
      <c r="AD25" s="16">
        <f t="shared" si="17"/>
        <v>0</v>
      </c>
      <c r="AE25" s="32">
        <f t="shared" si="17"/>
        <v>69</v>
      </c>
      <c r="AF25" s="32">
        <f t="shared" si="17"/>
        <v>548</v>
      </c>
    </row>
    <row r="26" spans="2:32" ht="23.1" customHeight="1" x14ac:dyDescent="0.25">
      <c r="B26" s="23" t="s">
        <v>53</v>
      </c>
      <c r="C26" s="50">
        <v>8</v>
      </c>
      <c r="D26" s="50">
        <v>0</v>
      </c>
      <c r="E26" s="50">
        <v>0</v>
      </c>
      <c r="F26" s="50">
        <v>1</v>
      </c>
      <c r="G26" s="50">
        <v>0</v>
      </c>
      <c r="H26" s="50">
        <v>1</v>
      </c>
      <c r="I26" s="50">
        <v>0</v>
      </c>
      <c r="J26" s="50">
        <v>0</v>
      </c>
      <c r="K26" s="50">
        <v>0</v>
      </c>
      <c r="L26" s="50">
        <v>0</v>
      </c>
      <c r="M26" s="50">
        <v>32</v>
      </c>
      <c r="N26" s="50">
        <v>0</v>
      </c>
      <c r="O26" s="15">
        <f t="shared" si="0"/>
        <v>10</v>
      </c>
      <c r="P26" s="15">
        <f t="shared" si="1"/>
        <v>42</v>
      </c>
      <c r="R26" s="28" t="s">
        <v>86</v>
      </c>
      <c r="S26" s="16">
        <f t="shared" ref="S26:AF26" si="18">SUM(S13:S18)</f>
        <v>76</v>
      </c>
      <c r="T26" s="16">
        <f t="shared" si="18"/>
        <v>5</v>
      </c>
      <c r="U26" s="16">
        <f t="shared" si="18"/>
        <v>5</v>
      </c>
      <c r="V26" s="16">
        <f t="shared" si="18"/>
        <v>29</v>
      </c>
      <c r="W26" s="16">
        <f t="shared" si="18"/>
        <v>0</v>
      </c>
      <c r="X26" s="16">
        <f t="shared" si="18"/>
        <v>2</v>
      </c>
      <c r="Y26" s="16">
        <f t="shared" si="18"/>
        <v>11</v>
      </c>
      <c r="Z26" s="16">
        <f t="shared" si="18"/>
        <v>6</v>
      </c>
      <c r="AA26" s="16">
        <f t="shared" si="18"/>
        <v>4</v>
      </c>
      <c r="AB26" s="16">
        <f t="shared" si="18"/>
        <v>7</v>
      </c>
      <c r="AC26" s="16">
        <f t="shared" si="18"/>
        <v>900</v>
      </c>
      <c r="AD26" s="16">
        <f t="shared" si="18"/>
        <v>0</v>
      </c>
      <c r="AE26" s="32">
        <f t="shared" si="18"/>
        <v>145</v>
      </c>
      <c r="AF26" s="32">
        <f t="shared" si="18"/>
        <v>1045</v>
      </c>
    </row>
    <row r="27" spans="2:32" ht="23.1" customHeight="1" x14ac:dyDescent="0.25">
      <c r="B27" s="23" t="s">
        <v>54</v>
      </c>
      <c r="C27" s="50">
        <v>2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1</v>
      </c>
      <c r="K27" s="50">
        <v>0</v>
      </c>
      <c r="L27" s="50">
        <v>0</v>
      </c>
      <c r="M27" s="50">
        <v>28</v>
      </c>
      <c r="N27" s="50">
        <v>0</v>
      </c>
      <c r="O27" s="15">
        <f t="shared" si="0"/>
        <v>3</v>
      </c>
      <c r="P27" s="15">
        <f t="shared" si="1"/>
        <v>31</v>
      </c>
      <c r="R27" s="29" t="s">
        <v>87</v>
      </c>
      <c r="S27" s="16">
        <f t="shared" ref="S27:AF27" si="19">SUM(S19:S21)</f>
        <v>46</v>
      </c>
      <c r="T27" s="16">
        <f t="shared" si="19"/>
        <v>7</v>
      </c>
      <c r="U27" s="16">
        <f t="shared" si="19"/>
        <v>2</v>
      </c>
      <c r="V27" s="16">
        <f t="shared" si="19"/>
        <v>12</v>
      </c>
      <c r="W27" s="16">
        <f t="shared" si="19"/>
        <v>0</v>
      </c>
      <c r="X27" s="16">
        <f t="shared" si="19"/>
        <v>2</v>
      </c>
      <c r="Y27" s="16">
        <f t="shared" si="19"/>
        <v>5</v>
      </c>
      <c r="Z27" s="16">
        <f t="shared" si="19"/>
        <v>1</v>
      </c>
      <c r="AA27" s="16">
        <f t="shared" si="19"/>
        <v>1</v>
      </c>
      <c r="AB27" s="16">
        <f t="shared" si="19"/>
        <v>3</v>
      </c>
      <c r="AC27" s="16">
        <f t="shared" si="19"/>
        <v>639</v>
      </c>
      <c r="AD27" s="16">
        <f t="shared" si="19"/>
        <v>0</v>
      </c>
      <c r="AE27" s="32">
        <f t="shared" si="19"/>
        <v>79</v>
      </c>
      <c r="AF27" s="32">
        <f t="shared" si="19"/>
        <v>718</v>
      </c>
    </row>
    <row r="28" spans="2:32" ht="23.1" customHeight="1" x14ac:dyDescent="0.25">
      <c r="B28" s="23" t="s">
        <v>55</v>
      </c>
      <c r="C28" s="50">
        <v>4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36</v>
      </c>
      <c r="N28" s="50">
        <v>0</v>
      </c>
      <c r="O28" s="15">
        <f t="shared" si="0"/>
        <v>4</v>
      </c>
      <c r="P28" s="15">
        <f t="shared" si="1"/>
        <v>40</v>
      </c>
      <c r="R28" s="5" t="s">
        <v>17</v>
      </c>
      <c r="S28" s="16">
        <f t="shared" ref="S28:AF28" si="20">SUM(S10:S21)</f>
        <v>157</v>
      </c>
      <c r="T28" s="16">
        <f t="shared" si="20"/>
        <v>13</v>
      </c>
      <c r="U28" s="16">
        <f t="shared" si="20"/>
        <v>9</v>
      </c>
      <c r="V28" s="16">
        <f t="shared" si="20"/>
        <v>49</v>
      </c>
      <c r="W28" s="16">
        <f t="shared" si="20"/>
        <v>0</v>
      </c>
      <c r="X28" s="16">
        <f t="shared" si="20"/>
        <v>7</v>
      </c>
      <c r="Y28" s="16">
        <f t="shared" si="20"/>
        <v>18</v>
      </c>
      <c r="Z28" s="16">
        <f t="shared" si="20"/>
        <v>14</v>
      </c>
      <c r="AA28" s="16">
        <f t="shared" si="20"/>
        <v>6</v>
      </c>
      <c r="AB28" s="16">
        <f t="shared" si="20"/>
        <v>20</v>
      </c>
      <c r="AC28" s="16">
        <f t="shared" si="20"/>
        <v>2018</v>
      </c>
      <c r="AD28" s="16">
        <f t="shared" si="20"/>
        <v>0</v>
      </c>
      <c r="AE28" s="32">
        <f t="shared" si="20"/>
        <v>293</v>
      </c>
      <c r="AF28" s="32">
        <f t="shared" si="20"/>
        <v>2311</v>
      </c>
    </row>
    <row r="29" spans="2:32" ht="23.1" customHeight="1" x14ac:dyDescent="0.25">
      <c r="B29" s="23" t="s">
        <v>56</v>
      </c>
      <c r="C29" s="50">
        <v>2</v>
      </c>
      <c r="D29" s="50">
        <v>0</v>
      </c>
      <c r="E29" s="50">
        <v>0</v>
      </c>
      <c r="F29" s="50">
        <v>2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30</v>
      </c>
      <c r="N29" s="50">
        <v>0</v>
      </c>
      <c r="O29" s="15">
        <f t="shared" si="0"/>
        <v>5</v>
      </c>
      <c r="P29" s="15">
        <f t="shared" si="1"/>
        <v>35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1</v>
      </c>
      <c r="F30" s="50">
        <v>2</v>
      </c>
      <c r="G30" s="50">
        <v>0</v>
      </c>
      <c r="H30" s="50">
        <v>0</v>
      </c>
      <c r="I30" s="50">
        <v>0</v>
      </c>
      <c r="J30" s="50">
        <v>0</v>
      </c>
      <c r="K30" s="50">
        <v>1</v>
      </c>
      <c r="L30" s="50">
        <v>0</v>
      </c>
      <c r="M30" s="50">
        <v>27</v>
      </c>
      <c r="N30" s="50">
        <v>0</v>
      </c>
      <c r="O30" s="15">
        <f t="shared" si="0"/>
        <v>4</v>
      </c>
      <c r="P30" s="15">
        <f t="shared" si="1"/>
        <v>31</v>
      </c>
    </row>
    <row r="31" spans="2:32" ht="23.1" customHeight="1" x14ac:dyDescent="0.25">
      <c r="B31" s="24" t="s">
        <v>58</v>
      </c>
      <c r="C31" s="50">
        <v>1</v>
      </c>
      <c r="D31" s="50">
        <v>1</v>
      </c>
      <c r="E31" s="50">
        <v>0</v>
      </c>
      <c r="F31" s="50">
        <v>3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43</v>
      </c>
      <c r="N31" s="50">
        <v>0</v>
      </c>
      <c r="O31" s="15">
        <f t="shared" si="0"/>
        <v>6</v>
      </c>
      <c r="P31" s="15">
        <f t="shared" si="1"/>
        <v>49</v>
      </c>
    </row>
    <row r="32" spans="2:32" ht="23.1" customHeight="1" x14ac:dyDescent="0.25">
      <c r="B32" s="24" t="s">
        <v>59</v>
      </c>
      <c r="C32" s="50">
        <v>4</v>
      </c>
      <c r="D32" s="50">
        <v>0</v>
      </c>
      <c r="E32" s="50">
        <v>0</v>
      </c>
      <c r="F32" s="50">
        <v>1</v>
      </c>
      <c r="G32" s="50">
        <v>0</v>
      </c>
      <c r="H32" s="50">
        <v>0</v>
      </c>
      <c r="I32" s="50">
        <v>0</v>
      </c>
      <c r="J32" s="50">
        <v>1</v>
      </c>
      <c r="K32" s="50">
        <v>0</v>
      </c>
      <c r="L32" s="50">
        <v>0</v>
      </c>
      <c r="M32" s="50">
        <v>30</v>
      </c>
      <c r="N32" s="50">
        <v>0</v>
      </c>
      <c r="O32" s="15">
        <f t="shared" si="0"/>
        <v>6</v>
      </c>
      <c r="P32" s="15">
        <f t="shared" si="1"/>
        <v>36</v>
      </c>
    </row>
    <row r="33" spans="2:20" ht="23.1" customHeight="1" x14ac:dyDescent="0.25">
      <c r="B33" s="23" t="s">
        <v>60</v>
      </c>
      <c r="C33" s="50">
        <v>2</v>
      </c>
      <c r="D33" s="50">
        <v>0</v>
      </c>
      <c r="E33" s="50">
        <v>0</v>
      </c>
      <c r="F33" s="50">
        <v>2</v>
      </c>
      <c r="G33" s="50">
        <v>0</v>
      </c>
      <c r="H33" s="50">
        <v>0</v>
      </c>
      <c r="I33" s="50">
        <v>3</v>
      </c>
      <c r="J33" s="50">
        <v>0</v>
      </c>
      <c r="K33" s="50">
        <v>1</v>
      </c>
      <c r="L33" s="50">
        <v>1</v>
      </c>
      <c r="M33" s="50">
        <v>24</v>
      </c>
      <c r="N33" s="50">
        <v>0</v>
      </c>
      <c r="O33" s="15">
        <f t="shared" si="0"/>
        <v>9</v>
      </c>
      <c r="P33" s="15">
        <f t="shared" si="1"/>
        <v>33</v>
      </c>
    </row>
    <row r="34" spans="2:20" ht="23.1" customHeight="1" x14ac:dyDescent="0.25">
      <c r="B34" s="24" t="s">
        <v>61</v>
      </c>
      <c r="C34" s="50">
        <v>3</v>
      </c>
      <c r="D34" s="50">
        <v>0</v>
      </c>
      <c r="E34" s="50">
        <v>0</v>
      </c>
      <c r="F34" s="50">
        <v>1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1</v>
      </c>
      <c r="M34" s="50">
        <v>24</v>
      </c>
      <c r="N34" s="50">
        <v>0</v>
      </c>
      <c r="O34" s="15">
        <f t="shared" si="0"/>
        <v>5</v>
      </c>
      <c r="P34" s="15">
        <f t="shared" si="1"/>
        <v>29</v>
      </c>
    </row>
    <row r="35" spans="2:20" ht="23.1" customHeight="1" x14ac:dyDescent="0.25">
      <c r="B35" s="24" t="s">
        <v>62</v>
      </c>
      <c r="C35" s="50">
        <v>2</v>
      </c>
      <c r="D35" s="50">
        <v>0</v>
      </c>
      <c r="E35" s="50">
        <v>0</v>
      </c>
      <c r="F35" s="50">
        <v>3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42</v>
      </c>
      <c r="N35" s="50">
        <v>0</v>
      </c>
      <c r="O35" s="15">
        <f t="shared" si="0"/>
        <v>5</v>
      </c>
      <c r="P35" s="15">
        <f t="shared" si="1"/>
        <v>47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1</v>
      </c>
      <c r="G36" s="50">
        <v>0</v>
      </c>
      <c r="H36" s="50">
        <v>0</v>
      </c>
      <c r="I36" s="50">
        <v>0</v>
      </c>
      <c r="J36" s="50">
        <v>1</v>
      </c>
      <c r="K36" s="50">
        <v>0</v>
      </c>
      <c r="L36" s="50">
        <v>0</v>
      </c>
      <c r="M36" s="50">
        <v>33</v>
      </c>
      <c r="N36" s="50">
        <v>0</v>
      </c>
      <c r="O36" s="15">
        <f t="shared" si="0"/>
        <v>2</v>
      </c>
      <c r="P36" s="15">
        <f t="shared" si="1"/>
        <v>35</v>
      </c>
    </row>
    <row r="37" spans="2:20" ht="23.1" customHeight="1" x14ac:dyDescent="0.25">
      <c r="B37" s="23" t="s">
        <v>64</v>
      </c>
      <c r="C37" s="50">
        <v>5</v>
      </c>
      <c r="D37" s="50">
        <v>0</v>
      </c>
      <c r="E37" s="50">
        <v>1</v>
      </c>
      <c r="F37" s="50">
        <v>1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2</v>
      </c>
      <c r="M37" s="50">
        <v>55</v>
      </c>
      <c r="N37" s="50">
        <v>0</v>
      </c>
      <c r="O37" s="15">
        <f t="shared" si="0"/>
        <v>10</v>
      </c>
      <c r="P37" s="15">
        <f t="shared" si="1"/>
        <v>65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1</v>
      </c>
      <c r="F38" s="50">
        <v>2</v>
      </c>
      <c r="G38" s="50">
        <v>0</v>
      </c>
      <c r="H38" s="50">
        <v>0</v>
      </c>
      <c r="I38" s="50">
        <v>0</v>
      </c>
      <c r="J38" s="50">
        <v>0</v>
      </c>
      <c r="K38" s="50">
        <v>1</v>
      </c>
      <c r="L38" s="50">
        <v>0</v>
      </c>
      <c r="M38" s="50">
        <v>57</v>
      </c>
      <c r="N38" s="50">
        <v>0</v>
      </c>
      <c r="O38" s="15">
        <f t="shared" si="0"/>
        <v>4</v>
      </c>
      <c r="P38" s="15">
        <f t="shared" si="1"/>
        <v>61</v>
      </c>
    </row>
    <row r="39" spans="2:20" ht="23.1" customHeight="1" x14ac:dyDescent="0.25">
      <c r="B39" s="24" t="s">
        <v>66</v>
      </c>
      <c r="C39" s="50">
        <v>2</v>
      </c>
      <c r="D39" s="50">
        <v>0</v>
      </c>
      <c r="E39" s="50">
        <v>0</v>
      </c>
      <c r="F39" s="50">
        <v>0</v>
      </c>
      <c r="G39" s="50">
        <v>0</v>
      </c>
      <c r="H39" s="50">
        <v>1</v>
      </c>
      <c r="I39" s="50">
        <v>0</v>
      </c>
      <c r="J39" s="50">
        <v>0</v>
      </c>
      <c r="K39" s="50">
        <v>0</v>
      </c>
      <c r="L39" s="50">
        <v>0</v>
      </c>
      <c r="M39" s="50">
        <v>58</v>
      </c>
      <c r="N39" s="50">
        <v>0</v>
      </c>
      <c r="O39" s="15">
        <f t="shared" si="0"/>
        <v>3</v>
      </c>
      <c r="P39" s="15">
        <f t="shared" si="1"/>
        <v>61</v>
      </c>
    </row>
    <row r="40" spans="2:20" ht="23.1" customHeight="1" x14ac:dyDescent="0.25">
      <c r="B40" s="24" t="s">
        <v>67</v>
      </c>
      <c r="C40" s="50">
        <v>1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1</v>
      </c>
      <c r="M40" s="50">
        <v>30</v>
      </c>
      <c r="N40" s="50">
        <v>0</v>
      </c>
      <c r="O40" s="15">
        <f t="shared" si="0"/>
        <v>2</v>
      </c>
      <c r="P40" s="15">
        <f t="shared" si="1"/>
        <v>32</v>
      </c>
    </row>
    <row r="41" spans="2:20" ht="23.1" customHeight="1" x14ac:dyDescent="0.25">
      <c r="B41" s="23" t="s">
        <v>68</v>
      </c>
      <c r="C41" s="50">
        <v>6</v>
      </c>
      <c r="D41" s="50">
        <v>0</v>
      </c>
      <c r="E41" s="50">
        <v>0</v>
      </c>
      <c r="F41" s="50">
        <v>1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47</v>
      </c>
      <c r="N41" s="50">
        <v>0</v>
      </c>
      <c r="O41" s="15">
        <f t="shared" si="0"/>
        <v>7</v>
      </c>
      <c r="P41" s="15">
        <f t="shared" si="1"/>
        <v>54</v>
      </c>
    </row>
    <row r="42" spans="2:20" ht="23.1" customHeight="1" x14ac:dyDescent="0.25">
      <c r="B42" s="24" t="s">
        <v>69</v>
      </c>
      <c r="C42" s="50">
        <v>8</v>
      </c>
      <c r="D42" s="50">
        <v>0</v>
      </c>
      <c r="E42" s="50">
        <v>0</v>
      </c>
      <c r="F42" s="50">
        <v>2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32</v>
      </c>
      <c r="N42" s="50">
        <v>0</v>
      </c>
      <c r="O42" s="15">
        <f t="shared" si="0"/>
        <v>11</v>
      </c>
      <c r="P42" s="15">
        <f t="shared" si="1"/>
        <v>43</v>
      </c>
    </row>
    <row r="43" spans="2:20" ht="23.1" customHeight="1" x14ac:dyDescent="0.25">
      <c r="B43" s="23" t="s">
        <v>70</v>
      </c>
      <c r="C43" s="50">
        <v>4</v>
      </c>
      <c r="D43" s="50">
        <v>2</v>
      </c>
      <c r="E43" s="50">
        <v>0</v>
      </c>
      <c r="F43" s="50">
        <v>3</v>
      </c>
      <c r="G43" s="50">
        <v>0</v>
      </c>
      <c r="H43" s="50">
        <v>0</v>
      </c>
      <c r="I43" s="50">
        <v>2</v>
      </c>
      <c r="J43" s="50">
        <v>0</v>
      </c>
      <c r="K43" s="50">
        <v>0</v>
      </c>
      <c r="L43" s="50">
        <v>1</v>
      </c>
      <c r="M43" s="50">
        <v>65</v>
      </c>
      <c r="N43" s="50">
        <v>0</v>
      </c>
      <c r="O43" s="15">
        <f t="shared" si="0"/>
        <v>12</v>
      </c>
      <c r="P43" s="15">
        <f t="shared" si="1"/>
        <v>77</v>
      </c>
    </row>
    <row r="44" spans="2:20" ht="23.1" customHeight="1" x14ac:dyDescent="0.25">
      <c r="B44" s="25" t="s">
        <v>71</v>
      </c>
      <c r="C44" s="50">
        <v>0</v>
      </c>
      <c r="D44" s="50">
        <v>1</v>
      </c>
      <c r="E44" s="50">
        <v>0</v>
      </c>
      <c r="F44" s="50">
        <v>0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38</v>
      </c>
      <c r="N44" s="50">
        <v>0</v>
      </c>
      <c r="O44" s="15">
        <f t="shared" si="0"/>
        <v>2</v>
      </c>
      <c r="P44" s="15">
        <f t="shared" si="1"/>
        <v>40</v>
      </c>
    </row>
    <row r="45" spans="2:20" ht="23.1" customHeight="1" x14ac:dyDescent="0.25">
      <c r="B45" s="23" t="s">
        <v>72</v>
      </c>
      <c r="C45" s="50">
        <v>5</v>
      </c>
      <c r="D45" s="50">
        <v>0</v>
      </c>
      <c r="E45" s="50">
        <v>0</v>
      </c>
      <c r="F45" s="50">
        <v>2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43</v>
      </c>
      <c r="N45" s="50">
        <v>0</v>
      </c>
      <c r="O45" s="15">
        <f t="shared" si="0"/>
        <v>7</v>
      </c>
      <c r="P45" s="15">
        <f t="shared" si="1"/>
        <v>50</v>
      </c>
    </row>
    <row r="46" spans="2:20" ht="23.1" customHeight="1" x14ac:dyDescent="0.25">
      <c r="B46" s="24" t="s">
        <v>73</v>
      </c>
      <c r="C46" s="50">
        <v>3</v>
      </c>
      <c r="D46" s="50">
        <v>0</v>
      </c>
      <c r="E46" s="50">
        <v>0</v>
      </c>
      <c r="F46" s="50">
        <v>1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38</v>
      </c>
      <c r="N46" s="50">
        <v>0</v>
      </c>
      <c r="O46" s="15">
        <f t="shared" si="0"/>
        <v>4</v>
      </c>
      <c r="P46" s="15">
        <f t="shared" si="1"/>
        <v>42</v>
      </c>
      <c r="R46" s="8"/>
      <c r="T46"/>
    </row>
    <row r="47" spans="2:20" ht="23.1" customHeight="1" x14ac:dyDescent="0.25">
      <c r="B47" s="24" t="s">
        <v>74</v>
      </c>
      <c r="C47" s="50">
        <v>1</v>
      </c>
      <c r="D47" s="50">
        <v>2</v>
      </c>
      <c r="E47" s="50">
        <v>1</v>
      </c>
      <c r="F47" s="50">
        <v>3</v>
      </c>
      <c r="G47" s="50">
        <v>0</v>
      </c>
      <c r="H47" s="50">
        <v>0</v>
      </c>
      <c r="I47" s="50">
        <v>0</v>
      </c>
      <c r="J47" s="50">
        <v>1</v>
      </c>
      <c r="K47" s="50">
        <v>0</v>
      </c>
      <c r="L47" s="50">
        <v>0</v>
      </c>
      <c r="M47" s="50">
        <v>63</v>
      </c>
      <c r="N47" s="50">
        <v>0</v>
      </c>
      <c r="O47" s="15">
        <f t="shared" si="0"/>
        <v>8</v>
      </c>
      <c r="P47" s="15">
        <f t="shared" si="1"/>
        <v>71</v>
      </c>
      <c r="R47" s="8"/>
      <c r="T47"/>
    </row>
    <row r="48" spans="2:20" ht="23.1" customHeight="1" x14ac:dyDescent="0.25">
      <c r="B48" s="24" t="s">
        <v>75</v>
      </c>
      <c r="C48" s="50">
        <v>2</v>
      </c>
      <c r="D48" s="50">
        <v>0</v>
      </c>
      <c r="E48" s="50">
        <v>0</v>
      </c>
      <c r="F48" s="50">
        <v>2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94</v>
      </c>
      <c r="N48" s="50">
        <v>0</v>
      </c>
      <c r="O48" s="15">
        <f t="shared" si="0"/>
        <v>4</v>
      </c>
      <c r="P48" s="15">
        <f t="shared" si="1"/>
        <v>98</v>
      </c>
      <c r="R48" s="8"/>
      <c r="T48"/>
    </row>
    <row r="49" spans="2:20" ht="23.1" customHeight="1" x14ac:dyDescent="0.25">
      <c r="B49" s="23" t="s">
        <v>76</v>
      </c>
      <c r="C49" s="50">
        <v>5</v>
      </c>
      <c r="D49" s="50">
        <v>1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1</v>
      </c>
      <c r="M49" s="50">
        <v>47</v>
      </c>
      <c r="N49" s="50">
        <v>0</v>
      </c>
      <c r="O49" s="15">
        <f t="shared" si="0"/>
        <v>7</v>
      </c>
      <c r="P49" s="15">
        <f t="shared" si="1"/>
        <v>54</v>
      </c>
      <c r="R49" s="8"/>
      <c r="T49"/>
    </row>
    <row r="50" spans="2:20" ht="23.1" customHeight="1" x14ac:dyDescent="0.25">
      <c r="B50" s="24" t="s">
        <v>77</v>
      </c>
      <c r="C50" s="50">
        <v>2</v>
      </c>
      <c r="D50" s="50">
        <v>1</v>
      </c>
      <c r="E50" s="50">
        <v>0</v>
      </c>
      <c r="F50" s="50">
        <v>0</v>
      </c>
      <c r="G50" s="50">
        <v>0</v>
      </c>
      <c r="H50" s="50">
        <v>1</v>
      </c>
      <c r="I50" s="50">
        <v>0</v>
      </c>
      <c r="J50" s="50">
        <v>0</v>
      </c>
      <c r="K50" s="50">
        <v>0</v>
      </c>
      <c r="L50" s="50">
        <v>0</v>
      </c>
      <c r="M50" s="50">
        <v>29</v>
      </c>
      <c r="N50" s="50">
        <v>0</v>
      </c>
      <c r="O50" s="15">
        <f t="shared" si="0"/>
        <v>4</v>
      </c>
      <c r="P50" s="15">
        <f t="shared" si="1"/>
        <v>33</v>
      </c>
      <c r="R50" s="8"/>
      <c r="T50"/>
    </row>
    <row r="51" spans="2:20" ht="23.1" customHeight="1" x14ac:dyDescent="0.25">
      <c r="B51" s="24" t="s">
        <v>78</v>
      </c>
      <c r="C51" s="50">
        <v>6</v>
      </c>
      <c r="D51" s="50">
        <v>1</v>
      </c>
      <c r="E51" s="50">
        <v>0</v>
      </c>
      <c r="F51" s="50">
        <v>2</v>
      </c>
      <c r="G51" s="50">
        <v>0</v>
      </c>
      <c r="H51" s="50">
        <v>1</v>
      </c>
      <c r="I51" s="50">
        <v>0</v>
      </c>
      <c r="J51" s="50">
        <v>0</v>
      </c>
      <c r="K51" s="50">
        <v>0</v>
      </c>
      <c r="L51" s="50">
        <v>1</v>
      </c>
      <c r="M51" s="50">
        <v>35</v>
      </c>
      <c r="N51" s="50">
        <v>0</v>
      </c>
      <c r="O51" s="15">
        <f t="shared" si="0"/>
        <v>11</v>
      </c>
      <c r="P51" s="15">
        <f t="shared" si="1"/>
        <v>46</v>
      </c>
      <c r="R51" s="8"/>
      <c r="T51"/>
    </row>
    <row r="52" spans="2:20" ht="23.1" customHeight="1" x14ac:dyDescent="0.25">
      <c r="B52" s="24" t="s">
        <v>79</v>
      </c>
      <c r="C52" s="50">
        <v>7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72</v>
      </c>
      <c r="N52" s="50">
        <v>0</v>
      </c>
      <c r="O52" s="15">
        <f t="shared" si="0"/>
        <v>8</v>
      </c>
      <c r="P52" s="15">
        <f t="shared" si="1"/>
        <v>80</v>
      </c>
      <c r="R52" s="8"/>
      <c r="T52"/>
    </row>
    <row r="53" spans="2:20" ht="23.1" customHeight="1" x14ac:dyDescent="0.25">
      <c r="B53" s="23" t="s">
        <v>80</v>
      </c>
      <c r="C53" s="50">
        <v>5</v>
      </c>
      <c r="D53" s="50">
        <v>1</v>
      </c>
      <c r="E53" s="50">
        <v>0</v>
      </c>
      <c r="F53" s="50">
        <v>1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42</v>
      </c>
      <c r="N53" s="50">
        <v>0</v>
      </c>
      <c r="O53" s="15">
        <f t="shared" si="0"/>
        <v>7</v>
      </c>
      <c r="P53" s="15">
        <f t="shared" si="1"/>
        <v>49</v>
      </c>
      <c r="R53" s="8"/>
      <c r="T53"/>
    </row>
    <row r="54" spans="2:20" ht="23.1" customHeight="1" x14ac:dyDescent="0.25">
      <c r="B54" s="23" t="s">
        <v>81</v>
      </c>
      <c r="C54" s="50">
        <v>2</v>
      </c>
      <c r="D54" s="50">
        <v>1</v>
      </c>
      <c r="E54" s="50">
        <v>0</v>
      </c>
      <c r="F54" s="50">
        <v>1</v>
      </c>
      <c r="G54" s="50">
        <v>0</v>
      </c>
      <c r="H54" s="50">
        <v>0</v>
      </c>
      <c r="I54" s="50">
        <v>1</v>
      </c>
      <c r="J54" s="50">
        <v>0</v>
      </c>
      <c r="K54" s="50">
        <v>1</v>
      </c>
      <c r="L54" s="50">
        <v>1</v>
      </c>
      <c r="M54" s="50">
        <v>38</v>
      </c>
      <c r="N54" s="50">
        <v>0</v>
      </c>
      <c r="O54" s="15">
        <f t="shared" si="0"/>
        <v>7</v>
      </c>
      <c r="P54" s="15">
        <f t="shared" si="1"/>
        <v>45</v>
      </c>
      <c r="R54" s="8"/>
      <c r="T54"/>
    </row>
    <row r="55" spans="2:20" ht="23.1" customHeight="1" x14ac:dyDescent="0.25">
      <c r="B55" s="23" t="s">
        <v>82</v>
      </c>
      <c r="C55" s="50">
        <v>8</v>
      </c>
      <c r="D55" s="50">
        <v>0</v>
      </c>
      <c r="E55" s="50">
        <v>0</v>
      </c>
      <c r="F55" s="50">
        <v>1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74</v>
      </c>
      <c r="N55" s="50">
        <v>0</v>
      </c>
      <c r="O55" s="15">
        <f t="shared" si="0"/>
        <v>11</v>
      </c>
      <c r="P55" s="15">
        <f t="shared" si="1"/>
        <v>85</v>
      </c>
      <c r="R55" s="8"/>
      <c r="T55"/>
    </row>
    <row r="56" spans="2:20" ht="23.1" customHeight="1" x14ac:dyDescent="0.25">
      <c r="B56" s="23" t="s">
        <v>83</v>
      </c>
      <c r="C56" s="50">
        <v>3</v>
      </c>
      <c r="D56" s="50">
        <v>0</v>
      </c>
      <c r="E56" s="50">
        <v>0</v>
      </c>
      <c r="F56" s="50">
        <v>1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52</v>
      </c>
      <c r="N56" s="50">
        <v>0</v>
      </c>
      <c r="O56" s="15">
        <f t="shared" si="0"/>
        <v>5</v>
      </c>
      <c r="P56" s="15">
        <f t="shared" si="1"/>
        <v>57</v>
      </c>
      <c r="R56" s="8"/>
      <c r="T56"/>
    </row>
    <row r="57" spans="2:20" ht="23.1" customHeight="1" x14ac:dyDescent="0.25">
      <c r="B57" s="23" t="s">
        <v>84</v>
      </c>
      <c r="C57" s="50">
        <v>2</v>
      </c>
      <c r="D57" s="50">
        <v>0</v>
      </c>
      <c r="E57" s="50">
        <v>1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55</v>
      </c>
      <c r="N57" s="50">
        <v>0</v>
      </c>
      <c r="O57" s="15">
        <f t="shared" si="0"/>
        <v>3</v>
      </c>
      <c r="P57" s="15">
        <f t="shared" si="1"/>
        <v>58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157</v>
      </c>
      <c r="D58" s="16">
        <f t="shared" si="21"/>
        <v>13</v>
      </c>
      <c r="E58" s="16">
        <f t="shared" si="21"/>
        <v>9</v>
      </c>
      <c r="F58" s="16">
        <f t="shared" si="21"/>
        <v>49</v>
      </c>
      <c r="G58" s="16">
        <f t="shared" si="21"/>
        <v>0</v>
      </c>
      <c r="H58" s="16">
        <f t="shared" si="21"/>
        <v>7</v>
      </c>
      <c r="I58" s="16">
        <f t="shared" si="21"/>
        <v>18</v>
      </c>
      <c r="J58" s="16">
        <f t="shared" si="21"/>
        <v>14</v>
      </c>
      <c r="K58" s="16">
        <f t="shared" si="21"/>
        <v>6</v>
      </c>
      <c r="L58" s="16">
        <f t="shared" si="21"/>
        <v>20</v>
      </c>
      <c r="M58" s="16">
        <f t="shared" si="21"/>
        <v>2018</v>
      </c>
      <c r="N58" s="16">
        <f t="shared" si="21"/>
        <v>0</v>
      </c>
      <c r="O58" s="16">
        <f t="shared" si="21"/>
        <v>293</v>
      </c>
      <c r="P58" s="16">
        <f t="shared" si="21"/>
        <v>2311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6.7935958459541326E-2</v>
      </c>
      <c r="D59" s="43">
        <f t="shared" si="22"/>
        <v>5.6252704456945047E-3</v>
      </c>
      <c r="E59" s="43">
        <f t="shared" si="22"/>
        <v>3.8944180008654264E-3</v>
      </c>
      <c r="F59" s="43">
        <f t="shared" si="22"/>
        <v>2.1202942449156211E-2</v>
      </c>
      <c r="G59" s="43">
        <f t="shared" si="22"/>
        <v>0</v>
      </c>
      <c r="H59" s="43">
        <f t="shared" si="22"/>
        <v>3.0289917784508871E-3</v>
      </c>
      <c r="I59" s="43">
        <f t="shared" si="22"/>
        <v>7.7888360017308528E-3</v>
      </c>
      <c r="J59" s="43">
        <f t="shared" si="22"/>
        <v>6.0579835569017741E-3</v>
      </c>
      <c r="K59" s="43">
        <f t="shared" si="22"/>
        <v>2.5962786672436176E-3</v>
      </c>
      <c r="L59" s="43">
        <f t="shared" si="22"/>
        <v>8.6542622241453909E-3</v>
      </c>
      <c r="M59" s="43">
        <f t="shared" si="22"/>
        <v>0.87321505841627001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0.53583617747440271</v>
      </c>
      <c r="D60" s="44">
        <f t="shared" ref="D60:N60" si="23">D58/$O$58</f>
        <v>4.4368600682593858E-2</v>
      </c>
      <c r="E60" s="44">
        <f t="shared" si="23"/>
        <v>3.0716723549488054E-2</v>
      </c>
      <c r="F60" s="44">
        <f t="shared" si="23"/>
        <v>0.16723549488054607</v>
      </c>
      <c r="G60" s="44">
        <f t="shared" si="23"/>
        <v>0</v>
      </c>
      <c r="H60" s="44">
        <f t="shared" si="23"/>
        <v>2.3890784982935155E-2</v>
      </c>
      <c r="I60" s="44">
        <f t="shared" si="23"/>
        <v>6.1433447098976107E-2</v>
      </c>
      <c r="J60" s="44">
        <f t="shared" si="23"/>
        <v>4.778156996587031E-2</v>
      </c>
      <c r="K60" s="44">
        <f t="shared" si="23"/>
        <v>2.0477815699658702E-2</v>
      </c>
      <c r="L60" s="44">
        <f t="shared" si="23"/>
        <v>6.8259385665529013E-2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K6" sqref="K6:L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'26.10.PONDWE-KASESE'!C3:G3</f>
        <v>MCC - C4 - STN137 - KASESE 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'27.10 KASESE-PONDWE'!D5</f>
        <v>27.10.19</v>
      </c>
      <c r="E5" s="3"/>
      <c r="F5" s="41" t="s">
        <v>1</v>
      </c>
      <c r="G5" s="66" t="str">
        <f>'26.10 KASESE-PONDWE'!G5:H5</f>
        <v>KABUYIRI</v>
      </c>
      <c r="H5" s="67"/>
      <c r="I5" s="14"/>
      <c r="J5" s="2" t="s">
        <v>5</v>
      </c>
      <c r="K5" s="66" t="s">
        <v>171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tr">
        <f>'26.10.PONDWE-KASESE'!D6:E6</f>
        <v>PONDWE</v>
      </c>
      <c r="E6" s="67"/>
      <c r="F6" s="2" t="s">
        <v>2</v>
      </c>
      <c r="G6" s="66" t="str">
        <f>'26.10.PONDWE-KASESE'!G6:H6</f>
        <v>KASESE</v>
      </c>
      <c r="H6" s="67"/>
      <c r="J6" s="2" t="s">
        <v>21</v>
      </c>
      <c r="K6" s="66" t="str">
        <f>'26.10 KASESE-PONDWE'!K6:L6</f>
        <v>GODFREY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</v>
      </c>
      <c r="D10" s="50">
        <v>0</v>
      </c>
      <c r="E10" s="50">
        <v>1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10</v>
      </c>
      <c r="N10" s="50">
        <v>0</v>
      </c>
      <c r="O10" s="15">
        <f t="shared" ref="O10:O57" si="0">SUM(C10:L10,N10)</f>
        <v>4</v>
      </c>
      <c r="P10" s="15">
        <f t="shared" ref="P10:P57" si="1">SUM(C10:N10)</f>
        <v>14</v>
      </c>
      <c r="R10" s="1" t="s">
        <v>6</v>
      </c>
      <c r="S10" s="17">
        <f t="shared" ref="S10:AF10" si="2">SUM(C10:C13)</f>
        <v>6</v>
      </c>
      <c r="T10" s="17">
        <f t="shared" si="2"/>
        <v>0</v>
      </c>
      <c r="U10" s="17">
        <f t="shared" si="2"/>
        <v>1</v>
      </c>
      <c r="V10" s="17">
        <f t="shared" si="2"/>
        <v>0</v>
      </c>
      <c r="W10" s="17">
        <f t="shared" si="2"/>
        <v>0</v>
      </c>
      <c r="X10" s="17">
        <f t="shared" si="2"/>
        <v>1</v>
      </c>
      <c r="Y10" s="17">
        <f t="shared" si="2"/>
        <v>0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95</v>
      </c>
      <c r="AD10" s="17">
        <f t="shared" si="2"/>
        <v>0</v>
      </c>
      <c r="AE10" s="31">
        <f t="shared" si="2"/>
        <v>9</v>
      </c>
      <c r="AF10" s="31">
        <f t="shared" si="2"/>
        <v>104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17</v>
      </c>
      <c r="N11" s="50">
        <v>0</v>
      </c>
      <c r="O11" s="15">
        <f t="shared" si="0"/>
        <v>1</v>
      </c>
      <c r="P11" s="15">
        <f t="shared" si="1"/>
        <v>18</v>
      </c>
      <c r="R11" s="1" t="s">
        <v>7</v>
      </c>
      <c r="S11" s="17">
        <f t="shared" ref="S11:AF11" si="3">SUM(C14:C17)</f>
        <v>11</v>
      </c>
      <c r="T11" s="17">
        <f t="shared" si="3"/>
        <v>0</v>
      </c>
      <c r="U11" s="17">
        <f t="shared" si="3"/>
        <v>0</v>
      </c>
      <c r="V11" s="17">
        <f t="shared" si="3"/>
        <v>0</v>
      </c>
      <c r="W11" s="17">
        <f t="shared" si="3"/>
        <v>0</v>
      </c>
      <c r="X11" s="17">
        <f t="shared" si="3"/>
        <v>2</v>
      </c>
      <c r="Y11" s="17">
        <f t="shared" si="3"/>
        <v>0</v>
      </c>
      <c r="Z11" s="17">
        <f t="shared" si="3"/>
        <v>1</v>
      </c>
      <c r="AA11" s="17">
        <f t="shared" si="3"/>
        <v>0</v>
      </c>
      <c r="AB11" s="17">
        <f t="shared" si="3"/>
        <v>1</v>
      </c>
      <c r="AC11" s="17">
        <f t="shared" si="3"/>
        <v>116</v>
      </c>
      <c r="AD11" s="17">
        <f t="shared" si="3"/>
        <v>0</v>
      </c>
      <c r="AE11" s="31">
        <f t="shared" si="3"/>
        <v>15</v>
      </c>
      <c r="AF11" s="31">
        <f t="shared" si="3"/>
        <v>131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0</v>
      </c>
      <c r="F12" s="50">
        <v>0</v>
      </c>
      <c r="G12" s="50">
        <v>0</v>
      </c>
      <c r="H12" s="50">
        <v>1</v>
      </c>
      <c r="I12" s="50">
        <v>0</v>
      </c>
      <c r="J12" s="50">
        <v>0</v>
      </c>
      <c r="K12" s="50">
        <v>0</v>
      </c>
      <c r="L12" s="50">
        <v>0</v>
      </c>
      <c r="M12" s="50">
        <v>33</v>
      </c>
      <c r="N12" s="50">
        <v>0</v>
      </c>
      <c r="O12" s="15">
        <f t="shared" si="0"/>
        <v>2</v>
      </c>
      <c r="P12" s="15">
        <f t="shared" si="1"/>
        <v>35</v>
      </c>
      <c r="R12" s="1" t="s">
        <v>8</v>
      </c>
      <c r="S12" s="17">
        <f t="shared" ref="S12:AF12" si="4">SUM(C18:C21)</f>
        <v>13</v>
      </c>
      <c r="T12" s="17">
        <f t="shared" si="4"/>
        <v>0</v>
      </c>
      <c r="U12" s="17">
        <f t="shared" si="4"/>
        <v>2</v>
      </c>
      <c r="V12" s="17">
        <f t="shared" si="4"/>
        <v>0</v>
      </c>
      <c r="W12" s="17">
        <f t="shared" si="4"/>
        <v>1</v>
      </c>
      <c r="X12" s="17">
        <f t="shared" si="4"/>
        <v>0</v>
      </c>
      <c r="Y12" s="17">
        <f t="shared" si="4"/>
        <v>2</v>
      </c>
      <c r="Z12" s="17">
        <f t="shared" si="4"/>
        <v>2</v>
      </c>
      <c r="AA12" s="17">
        <f t="shared" si="4"/>
        <v>0</v>
      </c>
      <c r="AB12" s="17">
        <f t="shared" si="4"/>
        <v>1</v>
      </c>
      <c r="AC12" s="17">
        <f t="shared" si="4"/>
        <v>223</v>
      </c>
      <c r="AD12" s="17">
        <f t="shared" si="4"/>
        <v>0</v>
      </c>
      <c r="AE12" s="31">
        <f t="shared" si="4"/>
        <v>21</v>
      </c>
      <c r="AF12" s="31">
        <f t="shared" si="4"/>
        <v>244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1</v>
      </c>
      <c r="K13" s="50">
        <v>0</v>
      </c>
      <c r="L13" s="50">
        <v>0</v>
      </c>
      <c r="M13" s="50">
        <v>35</v>
      </c>
      <c r="N13" s="50">
        <v>0</v>
      </c>
      <c r="O13" s="15">
        <f t="shared" si="0"/>
        <v>2</v>
      </c>
      <c r="P13" s="15">
        <f t="shared" si="1"/>
        <v>37</v>
      </c>
      <c r="R13" s="1" t="s">
        <v>9</v>
      </c>
      <c r="S13" s="17">
        <f t="shared" ref="S13:AF13" si="5">SUM(C22:C25)</f>
        <v>11</v>
      </c>
      <c r="T13" s="17">
        <f t="shared" si="5"/>
        <v>0</v>
      </c>
      <c r="U13" s="17">
        <f t="shared" si="5"/>
        <v>3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1</v>
      </c>
      <c r="AA13" s="17">
        <f t="shared" si="5"/>
        <v>0</v>
      </c>
      <c r="AB13" s="17">
        <f t="shared" si="5"/>
        <v>7</v>
      </c>
      <c r="AC13" s="17">
        <f t="shared" si="5"/>
        <v>210</v>
      </c>
      <c r="AD13" s="17">
        <f t="shared" si="5"/>
        <v>0</v>
      </c>
      <c r="AE13" s="31">
        <f t="shared" si="5"/>
        <v>23</v>
      </c>
      <c r="AF13" s="31">
        <f t="shared" si="5"/>
        <v>233</v>
      </c>
    </row>
    <row r="14" spans="2:32" ht="23.1" customHeight="1" x14ac:dyDescent="0.25">
      <c r="B14" s="23" t="s">
        <v>41</v>
      </c>
      <c r="C14" s="50">
        <v>3</v>
      </c>
      <c r="D14" s="50">
        <v>0</v>
      </c>
      <c r="E14" s="50">
        <v>0</v>
      </c>
      <c r="F14" s="50">
        <v>0</v>
      </c>
      <c r="G14" s="50">
        <v>0</v>
      </c>
      <c r="H14" s="50">
        <v>1</v>
      </c>
      <c r="I14" s="50">
        <v>0</v>
      </c>
      <c r="J14" s="50">
        <v>0</v>
      </c>
      <c r="K14" s="50">
        <v>0</v>
      </c>
      <c r="L14" s="50">
        <v>1</v>
      </c>
      <c r="M14" s="50">
        <v>24</v>
      </c>
      <c r="N14" s="50">
        <v>0</v>
      </c>
      <c r="O14" s="15">
        <f t="shared" si="0"/>
        <v>5</v>
      </c>
      <c r="P14" s="15">
        <f t="shared" si="1"/>
        <v>29</v>
      </c>
      <c r="R14" s="1" t="s">
        <v>10</v>
      </c>
      <c r="S14" s="17">
        <f t="shared" ref="S14:AF14" si="6">SUM(C26:C29)</f>
        <v>21</v>
      </c>
      <c r="T14" s="17">
        <f t="shared" si="6"/>
        <v>0</v>
      </c>
      <c r="U14" s="17">
        <f t="shared" si="6"/>
        <v>1</v>
      </c>
      <c r="V14" s="17">
        <f t="shared" si="6"/>
        <v>0</v>
      </c>
      <c r="W14" s="17">
        <f t="shared" si="6"/>
        <v>1</v>
      </c>
      <c r="X14" s="17">
        <f t="shared" si="6"/>
        <v>1</v>
      </c>
      <c r="Y14" s="17">
        <f t="shared" si="6"/>
        <v>4</v>
      </c>
      <c r="Z14" s="17">
        <f t="shared" si="6"/>
        <v>2</v>
      </c>
      <c r="AA14" s="17">
        <f t="shared" si="6"/>
        <v>1</v>
      </c>
      <c r="AB14" s="17">
        <f t="shared" si="6"/>
        <v>5</v>
      </c>
      <c r="AC14" s="17">
        <f t="shared" si="6"/>
        <v>254</v>
      </c>
      <c r="AD14" s="17">
        <f t="shared" si="6"/>
        <v>0</v>
      </c>
      <c r="AE14" s="31">
        <f t="shared" si="6"/>
        <v>36</v>
      </c>
      <c r="AF14" s="31">
        <f t="shared" si="6"/>
        <v>290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30</v>
      </c>
      <c r="N15" s="50">
        <v>0</v>
      </c>
      <c r="O15" s="15">
        <f t="shared" si="0"/>
        <v>0</v>
      </c>
      <c r="P15" s="15">
        <f t="shared" si="1"/>
        <v>30</v>
      </c>
      <c r="R15" s="1" t="s">
        <v>11</v>
      </c>
      <c r="S15" s="17">
        <f t="shared" ref="S15:AF15" si="7">SUM(C30:C33)</f>
        <v>15</v>
      </c>
      <c r="T15" s="17">
        <f t="shared" si="7"/>
        <v>0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2</v>
      </c>
      <c r="AA15" s="17">
        <f t="shared" si="7"/>
        <v>2</v>
      </c>
      <c r="AB15" s="17">
        <f t="shared" si="7"/>
        <v>0</v>
      </c>
      <c r="AC15" s="17">
        <f t="shared" si="7"/>
        <v>199</v>
      </c>
      <c r="AD15" s="17">
        <f t="shared" si="7"/>
        <v>0</v>
      </c>
      <c r="AE15" s="31">
        <f t="shared" si="7"/>
        <v>20</v>
      </c>
      <c r="AF15" s="31">
        <f t="shared" si="7"/>
        <v>219</v>
      </c>
    </row>
    <row r="16" spans="2:32" ht="23.1" customHeight="1" x14ac:dyDescent="0.25">
      <c r="B16" s="23" t="s">
        <v>43</v>
      </c>
      <c r="C16" s="50">
        <v>4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23</v>
      </c>
      <c r="N16" s="50">
        <v>0</v>
      </c>
      <c r="O16" s="15">
        <f t="shared" si="0"/>
        <v>4</v>
      </c>
      <c r="P16" s="15">
        <f t="shared" si="1"/>
        <v>27</v>
      </c>
      <c r="R16" s="1" t="s">
        <v>12</v>
      </c>
      <c r="S16" s="17">
        <f t="shared" ref="S16:AF16" si="8">SUM(C34:C37)</f>
        <v>23</v>
      </c>
      <c r="T16" s="17">
        <f t="shared" si="8"/>
        <v>0</v>
      </c>
      <c r="U16" s="17">
        <f t="shared" si="8"/>
        <v>1</v>
      </c>
      <c r="V16" s="17">
        <f t="shared" si="8"/>
        <v>1</v>
      </c>
      <c r="W16" s="17">
        <f t="shared" si="8"/>
        <v>0</v>
      </c>
      <c r="X16" s="17">
        <f t="shared" si="8"/>
        <v>1</v>
      </c>
      <c r="Y16" s="17">
        <f t="shared" si="8"/>
        <v>1</v>
      </c>
      <c r="Z16" s="17">
        <f t="shared" si="8"/>
        <v>5</v>
      </c>
      <c r="AA16" s="17">
        <f t="shared" si="8"/>
        <v>0</v>
      </c>
      <c r="AB16" s="17">
        <f t="shared" si="8"/>
        <v>3</v>
      </c>
      <c r="AC16" s="17">
        <f t="shared" si="8"/>
        <v>278</v>
      </c>
      <c r="AD16" s="17">
        <f t="shared" si="8"/>
        <v>0</v>
      </c>
      <c r="AE16" s="31">
        <f t="shared" si="8"/>
        <v>35</v>
      </c>
      <c r="AF16" s="31">
        <f t="shared" si="8"/>
        <v>313</v>
      </c>
    </row>
    <row r="17" spans="2:32" ht="23.1" customHeight="1" x14ac:dyDescent="0.25">
      <c r="B17" s="23" t="s">
        <v>44</v>
      </c>
      <c r="C17" s="50">
        <v>4</v>
      </c>
      <c r="D17" s="50">
        <v>0</v>
      </c>
      <c r="E17" s="50">
        <v>0</v>
      </c>
      <c r="F17" s="50">
        <v>0</v>
      </c>
      <c r="G17" s="50">
        <v>0</v>
      </c>
      <c r="H17" s="50">
        <v>1</v>
      </c>
      <c r="I17" s="50">
        <v>0</v>
      </c>
      <c r="J17" s="50">
        <v>1</v>
      </c>
      <c r="K17" s="50">
        <v>0</v>
      </c>
      <c r="L17" s="50">
        <v>0</v>
      </c>
      <c r="M17" s="50">
        <v>39</v>
      </c>
      <c r="N17" s="50">
        <v>0</v>
      </c>
      <c r="O17" s="15">
        <f t="shared" si="0"/>
        <v>6</v>
      </c>
      <c r="P17" s="15">
        <f t="shared" si="1"/>
        <v>45</v>
      </c>
      <c r="R17" s="1" t="s">
        <v>13</v>
      </c>
      <c r="S17" s="17">
        <f t="shared" ref="S17:AF17" si="9">SUM(C38:C41)</f>
        <v>24</v>
      </c>
      <c r="T17" s="17">
        <f t="shared" si="9"/>
        <v>0</v>
      </c>
      <c r="U17" s="17">
        <f t="shared" si="9"/>
        <v>1</v>
      </c>
      <c r="V17" s="17">
        <f t="shared" si="9"/>
        <v>2</v>
      </c>
      <c r="W17" s="17">
        <f t="shared" si="9"/>
        <v>0</v>
      </c>
      <c r="X17" s="17">
        <f t="shared" si="9"/>
        <v>1</v>
      </c>
      <c r="Y17" s="17">
        <f t="shared" si="9"/>
        <v>3</v>
      </c>
      <c r="Z17" s="17">
        <f t="shared" si="9"/>
        <v>1</v>
      </c>
      <c r="AA17" s="17">
        <f t="shared" si="9"/>
        <v>0</v>
      </c>
      <c r="AB17" s="17">
        <f t="shared" si="9"/>
        <v>9</v>
      </c>
      <c r="AC17" s="17">
        <f t="shared" si="9"/>
        <v>280</v>
      </c>
      <c r="AD17" s="17">
        <f t="shared" si="9"/>
        <v>0</v>
      </c>
      <c r="AE17" s="31">
        <f t="shared" si="9"/>
        <v>41</v>
      </c>
      <c r="AF17" s="31">
        <f t="shared" si="9"/>
        <v>321</v>
      </c>
    </row>
    <row r="18" spans="2:32" ht="23.1" customHeight="1" x14ac:dyDescent="0.25">
      <c r="B18" s="23" t="s">
        <v>45</v>
      </c>
      <c r="C18" s="50">
        <v>2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50</v>
      </c>
      <c r="N18" s="50">
        <v>0</v>
      </c>
      <c r="O18" s="15">
        <f t="shared" si="0"/>
        <v>5</v>
      </c>
      <c r="P18" s="15">
        <f t="shared" si="1"/>
        <v>55</v>
      </c>
      <c r="R18" s="1" t="s">
        <v>14</v>
      </c>
      <c r="S18" s="17">
        <f t="shared" ref="S18:AF18" si="10">SUM(C42:C45)</f>
        <v>25</v>
      </c>
      <c r="T18" s="17">
        <f t="shared" si="10"/>
        <v>1</v>
      </c>
      <c r="U18" s="17">
        <f t="shared" si="10"/>
        <v>0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3</v>
      </c>
      <c r="Z18" s="17">
        <f t="shared" si="10"/>
        <v>4</v>
      </c>
      <c r="AA18" s="17">
        <f t="shared" si="10"/>
        <v>0</v>
      </c>
      <c r="AB18" s="17">
        <f t="shared" si="10"/>
        <v>2</v>
      </c>
      <c r="AC18" s="17">
        <f t="shared" si="10"/>
        <v>229</v>
      </c>
      <c r="AD18" s="17">
        <f t="shared" si="10"/>
        <v>0</v>
      </c>
      <c r="AE18" s="31">
        <f t="shared" si="10"/>
        <v>35</v>
      </c>
      <c r="AF18" s="31">
        <f t="shared" si="10"/>
        <v>264</v>
      </c>
    </row>
    <row r="19" spans="2:32" ht="23.1" customHeight="1" x14ac:dyDescent="0.25">
      <c r="B19" s="23" t="s">
        <v>46</v>
      </c>
      <c r="C19" s="50">
        <v>5</v>
      </c>
      <c r="D19" s="50">
        <v>0</v>
      </c>
      <c r="E19" s="50">
        <v>1</v>
      </c>
      <c r="F19" s="50">
        <v>0</v>
      </c>
      <c r="G19" s="50">
        <v>0</v>
      </c>
      <c r="H19" s="50">
        <v>0</v>
      </c>
      <c r="I19" s="50">
        <v>0</v>
      </c>
      <c r="J19" s="50">
        <v>2</v>
      </c>
      <c r="K19" s="50">
        <v>0</v>
      </c>
      <c r="L19" s="50">
        <v>0</v>
      </c>
      <c r="M19" s="50">
        <v>39</v>
      </c>
      <c r="N19" s="50">
        <v>0</v>
      </c>
      <c r="O19" s="15">
        <f t="shared" si="0"/>
        <v>8</v>
      </c>
      <c r="P19" s="15">
        <f t="shared" si="1"/>
        <v>47</v>
      </c>
      <c r="R19" s="1" t="s">
        <v>15</v>
      </c>
      <c r="S19" s="17">
        <f t="shared" ref="S19:AF19" si="11">SUM(C46:C49)</f>
        <v>28</v>
      </c>
      <c r="T19" s="17">
        <f t="shared" si="11"/>
        <v>0</v>
      </c>
      <c r="U19" s="17">
        <f t="shared" si="11"/>
        <v>2</v>
      </c>
      <c r="V19" s="17">
        <f t="shared" si="11"/>
        <v>2</v>
      </c>
      <c r="W19" s="17">
        <f t="shared" si="11"/>
        <v>0</v>
      </c>
      <c r="X19" s="17">
        <f t="shared" si="11"/>
        <v>1</v>
      </c>
      <c r="Y19" s="17">
        <f t="shared" si="11"/>
        <v>6</v>
      </c>
      <c r="Z19" s="17">
        <f t="shared" si="11"/>
        <v>1</v>
      </c>
      <c r="AA19" s="17">
        <f t="shared" si="11"/>
        <v>0</v>
      </c>
      <c r="AB19" s="17">
        <f t="shared" si="11"/>
        <v>3</v>
      </c>
      <c r="AC19" s="17">
        <f t="shared" si="11"/>
        <v>319</v>
      </c>
      <c r="AD19" s="17">
        <f t="shared" si="11"/>
        <v>0</v>
      </c>
      <c r="AE19" s="31">
        <f t="shared" si="11"/>
        <v>43</v>
      </c>
      <c r="AF19" s="31">
        <f t="shared" si="11"/>
        <v>362</v>
      </c>
    </row>
    <row r="20" spans="2:32" ht="23.1" customHeight="1" x14ac:dyDescent="0.25">
      <c r="B20" s="23" t="s">
        <v>47</v>
      </c>
      <c r="C20" s="50">
        <v>4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69</v>
      </c>
      <c r="N20" s="50">
        <v>0</v>
      </c>
      <c r="O20" s="15">
        <f t="shared" si="0"/>
        <v>4</v>
      </c>
      <c r="P20" s="15">
        <f t="shared" si="1"/>
        <v>73</v>
      </c>
      <c r="R20" s="1" t="s">
        <v>16</v>
      </c>
      <c r="S20" s="17">
        <f t="shared" ref="S20:AF20" si="12">SUM(C50:C53)</f>
        <v>29</v>
      </c>
      <c r="T20" s="17">
        <f t="shared" si="12"/>
        <v>3</v>
      </c>
      <c r="U20" s="17">
        <f t="shared" si="12"/>
        <v>0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2</v>
      </c>
      <c r="Z20" s="17">
        <f t="shared" si="12"/>
        <v>0</v>
      </c>
      <c r="AA20" s="17">
        <f t="shared" si="12"/>
        <v>0</v>
      </c>
      <c r="AB20" s="17">
        <f t="shared" si="12"/>
        <v>3</v>
      </c>
      <c r="AC20" s="17">
        <f t="shared" si="12"/>
        <v>199</v>
      </c>
      <c r="AD20" s="17">
        <f t="shared" si="12"/>
        <v>0</v>
      </c>
      <c r="AE20" s="31">
        <f t="shared" si="12"/>
        <v>37</v>
      </c>
      <c r="AF20" s="31">
        <f t="shared" si="12"/>
        <v>236</v>
      </c>
    </row>
    <row r="21" spans="2:32" ht="23.1" customHeight="1" x14ac:dyDescent="0.25">
      <c r="B21" s="23" t="s">
        <v>48</v>
      </c>
      <c r="C21" s="50">
        <v>2</v>
      </c>
      <c r="D21" s="50">
        <v>0</v>
      </c>
      <c r="E21" s="50">
        <v>0</v>
      </c>
      <c r="F21" s="50">
        <v>0</v>
      </c>
      <c r="G21" s="50">
        <v>1</v>
      </c>
      <c r="H21" s="50">
        <v>0</v>
      </c>
      <c r="I21" s="50">
        <v>0</v>
      </c>
      <c r="J21" s="50">
        <v>0</v>
      </c>
      <c r="K21" s="50">
        <v>0</v>
      </c>
      <c r="L21" s="50">
        <v>1</v>
      </c>
      <c r="M21" s="50">
        <v>65</v>
      </c>
      <c r="N21" s="50">
        <v>0</v>
      </c>
      <c r="O21" s="15">
        <f t="shared" si="0"/>
        <v>4</v>
      </c>
      <c r="P21" s="15">
        <f t="shared" si="1"/>
        <v>69</v>
      </c>
      <c r="R21" s="36" t="s">
        <v>20</v>
      </c>
      <c r="S21" s="34">
        <f t="shared" ref="S21:AF21" si="13">SUM(C54:C57)</f>
        <v>19</v>
      </c>
      <c r="T21" s="17">
        <f t="shared" si="13"/>
        <v>0</v>
      </c>
      <c r="U21" s="17">
        <f t="shared" si="13"/>
        <v>0</v>
      </c>
      <c r="V21" s="17">
        <f t="shared" si="13"/>
        <v>1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2</v>
      </c>
      <c r="AA21" s="17">
        <f t="shared" si="13"/>
        <v>0</v>
      </c>
      <c r="AB21" s="17">
        <f t="shared" si="13"/>
        <v>3</v>
      </c>
      <c r="AC21" s="17">
        <f t="shared" si="13"/>
        <v>254</v>
      </c>
      <c r="AD21" s="17">
        <f t="shared" si="13"/>
        <v>0</v>
      </c>
      <c r="AE21" s="31">
        <f t="shared" si="13"/>
        <v>26</v>
      </c>
      <c r="AF21" s="31">
        <f t="shared" si="13"/>
        <v>280</v>
      </c>
    </row>
    <row r="22" spans="2:32" ht="23.1" customHeight="1" x14ac:dyDescent="0.25">
      <c r="B22" s="23" t="s">
        <v>49</v>
      </c>
      <c r="C22" s="50">
        <v>5</v>
      </c>
      <c r="D22" s="50">
        <v>0</v>
      </c>
      <c r="E22" s="50">
        <v>1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61</v>
      </c>
      <c r="N22" s="50">
        <v>0</v>
      </c>
      <c r="O22" s="15">
        <f t="shared" si="0"/>
        <v>6</v>
      </c>
      <c r="P22" s="15">
        <f t="shared" si="1"/>
        <v>67</v>
      </c>
      <c r="R22" s="38" t="s">
        <v>90</v>
      </c>
      <c r="S22" s="39">
        <f>MAX(S10:S12)</f>
        <v>13</v>
      </c>
      <c r="T22" s="39">
        <f t="shared" ref="T22:AF22" si="14">MAX(T10:T12)</f>
        <v>0</v>
      </c>
      <c r="U22" s="39">
        <f t="shared" si="14"/>
        <v>2</v>
      </c>
      <c r="V22" s="39">
        <f t="shared" si="14"/>
        <v>0</v>
      </c>
      <c r="W22" s="39">
        <f t="shared" si="14"/>
        <v>1</v>
      </c>
      <c r="X22" s="39">
        <f t="shared" si="14"/>
        <v>2</v>
      </c>
      <c r="Y22" s="39">
        <f t="shared" si="14"/>
        <v>2</v>
      </c>
      <c r="Z22" s="39">
        <f t="shared" si="14"/>
        <v>2</v>
      </c>
      <c r="AA22" s="39">
        <f t="shared" si="14"/>
        <v>0</v>
      </c>
      <c r="AB22" s="39">
        <f t="shared" si="14"/>
        <v>1</v>
      </c>
      <c r="AC22" s="39">
        <f t="shared" si="14"/>
        <v>223</v>
      </c>
      <c r="AD22" s="39">
        <f t="shared" si="14"/>
        <v>0</v>
      </c>
      <c r="AE22" s="40">
        <f t="shared" si="14"/>
        <v>21</v>
      </c>
      <c r="AF22" s="40">
        <f t="shared" si="14"/>
        <v>244</v>
      </c>
    </row>
    <row r="23" spans="2:32" ht="23.1" customHeight="1" x14ac:dyDescent="0.25">
      <c r="B23" s="23" t="s">
        <v>50</v>
      </c>
      <c r="C23" s="50">
        <v>2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1</v>
      </c>
      <c r="J23" s="50">
        <v>1</v>
      </c>
      <c r="K23" s="50">
        <v>0</v>
      </c>
      <c r="L23" s="50">
        <v>0</v>
      </c>
      <c r="M23" s="50">
        <v>46</v>
      </c>
      <c r="N23" s="50">
        <v>0</v>
      </c>
      <c r="O23" s="15">
        <f t="shared" si="0"/>
        <v>4</v>
      </c>
      <c r="P23" s="15">
        <f t="shared" si="1"/>
        <v>50</v>
      </c>
      <c r="R23" s="38" t="s">
        <v>91</v>
      </c>
      <c r="S23" s="39">
        <f>MAX(S13:S18)</f>
        <v>25</v>
      </c>
      <c r="T23" s="39">
        <f t="shared" ref="T23:AF23" si="15">MAX(T13:T18)</f>
        <v>1</v>
      </c>
      <c r="U23" s="39">
        <f t="shared" si="15"/>
        <v>3</v>
      </c>
      <c r="V23" s="39">
        <f t="shared" si="15"/>
        <v>2</v>
      </c>
      <c r="W23" s="39">
        <f t="shared" si="15"/>
        <v>1</v>
      </c>
      <c r="X23" s="39">
        <f t="shared" si="15"/>
        <v>1</v>
      </c>
      <c r="Y23" s="39">
        <f t="shared" si="15"/>
        <v>4</v>
      </c>
      <c r="Z23" s="39">
        <f t="shared" si="15"/>
        <v>5</v>
      </c>
      <c r="AA23" s="39">
        <f t="shared" si="15"/>
        <v>2</v>
      </c>
      <c r="AB23" s="39">
        <f t="shared" si="15"/>
        <v>9</v>
      </c>
      <c r="AC23" s="39">
        <f t="shared" si="15"/>
        <v>280</v>
      </c>
      <c r="AD23" s="39">
        <f t="shared" si="15"/>
        <v>0</v>
      </c>
      <c r="AE23" s="40">
        <f t="shared" si="15"/>
        <v>41</v>
      </c>
      <c r="AF23" s="40">
        <f t="shared" si="15"/>
        <v>321</v>
      </c>
    </row>
    <row r="24" spans="2:32" ht="23.1" customHeight="1" x14ac:dyDescent="0.25">
      <c r="B24" s="23" t="s">
        <v>51</v>
      </c>
      <c r="C24" s="50">
        <v>2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2</v>
      </c>
      <c r="M24" s="50">
        <v>55</v>
      </c>
      <c r="N24" s="50">
        <v>0</v>
      </c>
      <c r="O24" s="15">
        <f t="shared" si="0"/>
        <v>4</v>
      </c>
      <c r="P24" s="15">
        <f t="shared" si="1"/>
        <v>59</v>
      </c>
      <c r="R24" s="38" t="s">
        <v>92</v>
      </c>
      <c r="S24" s="39">
        <f>MAX(S19:S21)</f>
        <v>29</v>
      </c>
      <c r="T24" s="39">
        <f t="shared" ref="T24:AF24" si="16">MAX(T19:T21)</f>
        <v>3</v>
      </c>
      <c r="U24" s="39">
        <f t="shared" si="16"/>
        <v>2</v>
      </c>
      <c r="V24" s="39">
        <f t="shared" si="16"/>
        <v>2</v>
      </c>
      <c r="W24" s="39">
        <f t="shared" si="16"/>
        <v>0</v>
      </c>
      <c r="X24" s="39">
        <f t="shared" si="16"/>
        <v>1</v>
      </c>
      <c r="Y24" s="39">
        <f t="shared" si="16"/>
        <v>6</v>
      </c>
      <c r="Z24" s="39">
        <f t="shared" si="16"/>
        <v>2</v>
      </c>
      <c r="AA24" s="39">
        <f t="shared" si="16"/>
        <v>0</v>
      </c>
      <c r="AB24" s="39">
        <f t="shared" si="16"/>
        <v>3</v>
      </c>
      <c r="AC24" s="39">
        <f t="shared" si="16"/>
        <v>319</v>
      </c>
      <c r="AD24" s="39">
        <f t="shared" si="16"/>
        <v>0</v>
      </c>
      <c r="AE24" s="40">
        <f t="shared" si="16"/>
        <v>43</v>
      </c>
      <c r="AF24" s="40">
        <f t="shared" si="16"/>
        <v>362</v>
      </c>
    </row>
    <row r="25" spans="2:32" ht="23.1" customHeight="1" x14ac:dyDescent="0.25">
      <c r="B25" s="23" t="s">
        <v>52</v>
      </c>
      <c r="C25" s="50">
        <v>2</v>
      </c>
      <c r="D25" s="50">
        <v>0</v>
      </c>
      <c r="E25" s="50">
        <v>2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5</v>
      </c>
      <c r="M25" s="50">
        <v>48</v>
      </c>
      <c r="N25" s="50">
        <v>0</v>
      </c>
      <c r="O25" s="15">
        <f t="shared" si="0"/>
        <v>9</v>
      </c>
      <c r="P25" s="15">
        <f t="shared" si="1"/>
        <v>57</v>
      </c>
      <c r="R25" s="37" t="s">
        <v>85</v>
      </c>
      <c r="S25" s="35">
        <f t="shared" ref="S25:AF25" si="17">SUM(S10:S12)</f>
        <v>30</v>
      </c>
      <c r="T25" s="16">
        <f t="shared" si="17"/>
        <v>0</v>
      </c>
      <c r="U25" s="16">
        <f t="shared" si="17"/>
        <v>3</v>
      </c>
      <c r="V25" s="16">
        <f t="shared" si="17"/>
        <v>0</v>
      </c>
      <c r="W25" s="16">
        <f t="shared" si="17"/>
        <v>1</v>
      </c>
      <c r="X25" s="16">
        <f t="shared" si="17"/>
        <v>3</v>
      </c>
      <c r="Y25" s="16">
        <f t="shared" si="17"/>
        <v>2</v>
      </c>
      <c r="Z25" s="16">
        <f t="shared" si="17"/>
        <v>4</v>
      </c>
      <c r="AA25" s="16">
        <f t="shared" si="17"/>
        <v>0</v>
      </c>
      <c r="AB25" s="16">
        <f t="shared" si="17"/>
        <v>2</v>
      </c>
      <c r="AC25" s="16">
        <f t="shared" si="17"/>
        <v>434</v>
      </c>
      <c r="AD25" s="16">
        <f t="shared" si="17"/>
        <v>0</v>
      </c>
      <c r="AE25" s="32">
        <f t="shared" si="17"/>
        <v>45</v>
      </c>
      <c r="AF25" s="32">
        <f t="shared" si="17"/>
        <v>479</v>
      </c>
    </row>
    <row r="26" spans="2:32" ht="23.1" customHeight="1" x14ac:dyDescent="0.25">
      <c r="B26" s="23" t="s">
        <v>53</v>
      </c>
      <c r="C26" s="50">
        <v>6</v>
      </c>
      <c r="D26" s="50">
        <v>0</v>
      </c>
      <c r="E26" s="50">
        <v>1</v>
      </c>
      <c r="F26" s="50">
        <v>0</v>
      </c>
      <c r="G26" s="50">
        <v>1</v>
      </c>
      <c r="H26" s="50">
        <v>0</v>
      </c>
      <c r="I26" s="50">
        <v>2</v>
      </c>
      <c r="J26" s="50">
        <v>2</v>
      </c>
      <c r="K26" s="50">
        <v>1</v>
      </c>
      <c r="L26" s="50">
        <v>2</v>
      </c>
      <c r="M26" s="50">
        <v>58</v>
      </c>
      <c r="N26" s="50">
        <v>0</v>
      </c>
      <c r="O26" s="15">
        <f t="shared" si="0"/>
        <v>15</v>
      </c>
      <c r="P26" s="15">
        <f t="shared" si="1"/>
        <v>73</v>
      </c>
      <c r="R26" s="28" t="s">
        <v>86</v>
      </c>
      <c r="S26" s="16">
        <f t="shared" ref="S26:AF26" si="18">SUM(S13:S18)</f>
        <v>119</v>
      </c>
      <c r="T26" s="16">
        <f t="shared" si="18"/>
        <v>1</v>
      </c>
      <c r="U26" s="16">
        <f t="shared" si="18"/>
        <v>6</v>
      </c>
      <c r="V26" s="16">
        <f t="shared" si="18"/>
        <v>3</v>
      </c>
      <c r="W26" s="16">
        <f t="shared" si="18"/>
        <v>1</v>
      </c>
      <c r="X26" s="16">
        <f t="shared" si="18"/>
        <v>3</v>
      </c>
      <c r="Y26" s="16">
        <f t="shared" si="18"/>
        <v>13</v>
      </c>
      <c r="Z26" s="16">
        <f t="shared" si="18"/>
        <v>15</v>
      </c>
      <c r="AA26" s="16">
        <f t="shared" si="18"/>
        <v>3</v>
      </c>
      <c r="AB26" s="16">
        <f t="shared" si="18"/>
        <v>26</v>
      </c>
      <c r="AC26" s="16">
        <f t="shared" si="18"/>
        <v>1450</v>
      </c>
      <c r="AD26" s="16">
        <f t="shared" si="18"/>
        <v>0</v>
      </c>
      <c r="AE26" s="32">
        <f t="shared" si="18"/>
        <v>190</v>
      </c>
      <c r="AF26" s="32">
        <f t="shared" si="18"/>
        <v>1640</v>
      </c>
    </row>
    <row r="27" spans="2:32" ht="23.1" customHeight="1" x14ac:dyDescent="0.25">
      <c r="B27" s="23" t="s">
        <v>54</v>
      </c>
      <c r="C27" s="50">
        <v>3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2</v>
      </c>
      <c r="M27" s="50">
        <v>74</v>
      </c>
      <c r="N27" s="50">
        <v>0</v>
      </c>
      <c r="O27" s="15">
        <f t="shared" si="0"/>
        <v>6</v>
      </c>
      <c r="P27" s="15">
        <f t="shared" si="1"/>
        <v>80</v>
      </c>
      <c r="R27" s="29" t="s">
        <v>87</v>
      </c>
      <c r="S27" s="16">
        <f t="shared" ref="S27:AF27" si="19">SUM(S19:S21)</f>
        <v>76</v>
      </c>
      <c r="T27" s="16">
        <f t="shared" si="19"/>
        <v>3</v>
      </c>
      <c r="U27" s="16">
        <f t="shared" si="19"/>
        <v>2</v>
      </c>
      <c r="V27" s="16">
        <f t="shared" si="19"/>
        <v>3</v>
      </c>
      <c r="W27" s="16">
        <f t="shared" si="19"/>
        <v>0</v>
      </c>
      <c r="X27" s="16">
        <f t="shared" si="19"/>
        <v>1</v>
      </c>
      <c r="Y27" s="16">
        <f t="shared" si="19"/>
        <v>9</v>
      </c>
      <c r="Z27" s="16">
        <f t="shared" si="19"/>
        <v>3</v>
      </c>
      <c r="AA27" s="16">
        <f t="shared" si="19"/>
        <v>0</v>
      </c>
      <c r="AB27" s="16">
        <f t="shared" si="19"/>
        <v>9</v>
      </c>
      <c r="AC27" s="16">
        <f t="shared" si="19"/>
        <v>772</v>
      </c>
      <c r="AD27" s="16">
        <f t="shared" si="19"/>
        <v>0</v>
      </c>
      <c r="AE27" s="32">
        <f t="shared" si="19"/>
        <v>106</v>
      </c>
      <c r="AF27" s="32">
        <f t="shared" si="19"/>
        <v>878</v>
      </c>
    </row>
    <row r="28" spans="2:32" ht="23.1" customHeight="1" x14ac:dyDescent="0.25">
      <c r="B28" s="23" t="s">
        <v>55</v>
      </c>
      <c r="C28" s="50">
        <v>7</v>
      </c>
      <c r="D28" s="50">
        <v>0</v>
      </c>
      <c r="E28" s="50">
        <v>0</v>
      </c>
      <c r="F28" s="50">
        <v>0</v>
      </c>
      <c r="G28" s="50">
        <v>0</v>
      </c>
      <c r="H28" s="50">
        <v>1</v>
      </c>
      <c r="I28" s="50">
        <v>1</v>
      </c>
      <c r="J28" s="50">
        <v>0</v>
      </c>
      <c r="K28" s="50">
        <v>0</v>
      </c>
      <c r="L28" s="50">
        <v>1</v>
      </c>
      <c r="M28" s="50">
        <v>81</v>
      </c>
      <c r="N28" s="50">
        <v>0</v>
      </c>
      <c r="O28" s="15">
        <f t="shared" si="0"/>
        <v>10</v>
      </c>
      <c r="P28" s="15">
        <f t="shared" si="1"/>
        <v>91</v>
      </c>
      <c r="R28" s="5" t="s">
        <v>17</v>
      </c>
      <c r="S28" s="16">
        <f t="shared" ref="S28:AF28" si="20">SUM(S10:S21)</f>
        <v>225</v>
      </c>
      <c r="T28" s="16">
        <f t="shared" si="20"/>
        <v>4</v>
      </c>
      <c r="U28" s="16">
        <f t="shared" si="20"/>
        <v>11</v>
      </c>
      <c r="V28" s="16">
        <f t="shared" si="20"/>
        <v>6</v>
      </c>
      <c r="W28" s="16">
        <f t="shared" si="20"/>
        <v>2</v>
      </c>
      <c r="X28" s="16">
        <f t="shared" si="20"/>
        <v>7</v>
      </c>
      <c r="Y28" s="16">
        <f t="shared" si="20"/>
        <v>24</v>
      </c>
      <c r="Z28" s="16">
        <f t="shared" si="20"/>
        <v>22</v>
      </c>
      <c r="AA28" s="16">
        <f t="shared" si="20"/>
        <v>3</v>
      </c>
      <c r="AB28" s="16">
        <f t="shared" si="20"/>
        <v>37</v>
      </c>
      <c r="AC28" s="16">
        <f t="shared" si="20"/>
        <v>2656</v>
      </c>
      <c r="AD28" s="16">
        <f t="shared" si="20"/>
        <v>0</v>
      </c>
      <c r="AE28" s="32">
        <f t="shared" si="20"/>
        <v>341</v>
      </c>
      <c r="AF28" s="32">
        <f t="shared" si="20"/>
        <v>2997</v>
      </c>
    </row>
    <row r="29" spans="2:32" ht="23.1" customHeight="1" x14ac:dyDescent="0.25">
      <c r="B29" s="23" t="s">
        <v>56</v>
      </c>
      <c r="C29" s="50">
        <v>5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41</v>
      </c>
      <c r="N29" s="50">
        <v>0</v>
      </c>
      <c r="O29" s="15">
        <f t="shared" si="0"/>
        <v>5</v>
      </c>
      <c r="P29" s="15">
        <f t="shared" si="1"/>
        <v>46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1</v>
      </c>
      <c r="K30" s="50">
        <v>0</v>
      </c>
      <c r="L30" s="50">
        <v>0</v>
      </c>
      <c r="M30" s="50">
        <v>44</v>
      </c>
      <c r="N30" s="50">
        <v>0</v>
      </c>
      <c r="O30" s="15">
        <f t="shared" si="0"/>
        <v>3</v>
      </c>
      <c r="P30" s="15">
        <f t="shared" si="1"/>
        <v>47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52</v>
      </c>
      <c r="N31" s="50">
        <v>0</v>
      </c>
      <c r="O31" s="15">
        <f t="shared" si="0"/>
        <v>2</v>
      </c>
      <c r="P31" s="15">
        <f t="shared" si="1"/>
        <v>54</v>
      </c>
    </row>
    <row r="32" spans="2:32" ht="23.1" customHeight="1" x14ac:dyDescent="0.25">
      <c r="B32" s="24" t="s">
        <v>59</v>
      </c>
      <c r="C32" s="50">
        <v>8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43</v>
      </c>
      <c r="N32" s="50">
        <v>0</v>
      </c>
      <c r="O32" s="15">
        <f t="shared" si="0"/>
        <v>8</v>
      </c>
      <c r="P32" s="15">
        <f t="shared" si="1"/>
        <v>51</v>
      </c>
    </row>
    <row r="33" spans="2:20" ht="23.1" customHeight="1" x14ac:dyDescent="0.25">
      <c r="B33" s="23" t="s">
        <v>60</v>
      </c>
      <c r="C33" s="50">
        <v>4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1</v>
      </c>
      <c r="K33" s="50">
        <v>2</v>
      </c>
      <c r="L33" s="50">
        <v>0</v>
      </c>
      <c r="M33" s="50">
        <v>60</v>
      </c>
      <c r="N33" s="50">
        <v>0</v>
      </c>
      <c r="O33" s="15">
        <f t="shared" si="0"/>
        <v>7</v>
      </c>
      <c r="P33" s="15">
        <f t="shared" si="1"/>
        <v>67</v>
      </c>
    </row>
    <row r="34" spans="2:20" ht="23.1" customHeight="1" x14ac:dyDescent="0.25">
      <c r="B34" s="24" t="s">
        <v>61</v>
      </c>
      <c r="C34" s="50">
        <v>5</v>
      </c>
      <c r="D34" s="50">
        <v>0</v>
      </c>
      <c r="E34" s="50">
        <v>1</v>
      </c>
      <c r="F34" s="50">
        <v>0</v>
      </c>
      <c r="G34" s="50">
        <v>0</v>
      </c>
      <c r="H34" s="50">
        <v>1</v>
      </c>
      <c r="I34" s="50">
        <v>0</v>
      </c>
      <c r="J34" s="50">
        <v>2</v>
      </c>
      <c r="K34" s="50">
        <v>0</v>
      </c>
      <c r="L34" s="50">
        <v>1</v>
      </c>
      <c r="M34" s="50">
        <v>66</v>
      </c>
      <c r="N34" s="50">
        <v>0</v>
      </c>
      <c r="O34" s="15">
        <f t="shared" si="0"/>
        <v>10</v>
      </c>
      <c r="P34" s="15">
        <f t="shared" si="1"/>
        <v>76</v>
      </c>
    </row>
    <row r="35" spans="2:20" ht="23.1" customHeight="1" x14ac:dyDescent="0.25">
      <c r="B35" s="24" t="s">
        <v>62</v>
      </c>
      <c r="C35" s="50">
        <v>8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1</v>
      </c>
      <c r="J35" s="50">
        <v>1</v>
      </c>
      <c r="K35" s="50">
        <v>0</v>
      </c>
      <c r="L35" s="50">
        <v>0</v>
      </c>
      <c r="M35" s="50">
        <v>61</v>
      </c>
      <c r="N35" s="50">
        <v>0</v>
      </c>
      <c r="O35" s="15">
        <f t="shared" si="0"/>
        <v>10</v>
      </c>
      <c r="P35" s="15">
        <f t="shared" si="1"/>
        <v>71</v>
      </c>
    </row>
    <row r="36" spans="2:20" ht="23.1" customHeight="1" x14ac:dyDescent="0.25">
      <c r="B36" s="24" t="s">
        <v>63</v>
      </c>
      <c r="C36" s="50">
        <v>8</v>
      </c>
      <c r="D36" s="50">
        <v>0</v>
      </c>
      <c r="E36" s="50">
        <v>0</v>
      </c>
      <c r="F36" s="50">
        <v>1</v>
      </c>
      <c r="G36" s="50">
        <v>0</v>
      </c>
      <c r="H36" s="50">
        <v>0</v>
      </c>
      <c r="I36" s="50">
        <v>0</v>
      </c>
      <c r="J36" s="50">
        <v>1</v>
      </c>
      <c r="K36" s="50">
        <v>0</v>
      </c>
      <c r="L36" s="50">
        <v>2</v>
      </c>
      <c r="M36" s="50">
        <v>89</v>
      </c>
      <c r="N36" s="50">
        <v>0</v>
      </c>
      <c r="O36" s="15">
        <f t="shared" si="0"/>
        <v>12</v>
      </c>
      <c r="P36" s="15">
        <f t="shared" si="1"/>
        <v>101</v>
      </c>
    </row>
    <row r="37" spans="2:20" ht="23.1" customHeight="1" x14ac:dyDescent="0.25">
      <c r="B37" s="23" t="s">
        <v>64</v>
      </c>
      <c r="C37" s="50">
        <v>2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1</v>
      </c>
      <c r="K37" s="50">
        <v>0</v>
      </c>
      <c r="L37" s="50">
        <v>0</v>
      </c>
      <c r="M37" s="50">
        <v>62</v>
      </c>
      <c r="N37" s="50">
        <v>0</v>
      </c>
      <c r="O37" s="15">
        <f t="shared" si="0"/>
        <v>3</v>
      </c>
      <c r="P37" s="15">
        <f t="shared" si="1"/>
        <v>65</v>
      </c>
    </row>
    <row r="38" spans="2:20" ht="23.1" customHeight="1" x14ac:dyDescent="0.25">
      <c r="B38" s="24" t="s">
        <v>65</v>
      </c>
      <c r="C38" s="50">
        <v>5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52</v>
      </c>
      <c r="N38" s="50">
        <v>0</v>
      </c>
      <c r="O38" s="15">
        <f t="shared" si="0"/>
        <v>6</v>
      </c>
      <c r="P38" s="15">
        <f t="shared" si="1"/>
        <v>58</v>
      </c>
    </row>
    <row r="39" spans="2:20" ht="23.1" customHeight="1" x14ac:dyDescent="0.25">
      <c r="B39" s="24" t="s">
        <v>66</v>
      </c>
      <c r="C39" s="50">
        <v>9</v>
      </c>
      <c r="D39" s="50">
        <v>0</v>
      </c>
      <c r="E39" s="50">
        <v>1</v>
      </c>
      <c r="F39" s="50">
        <v>0</v>
      </c>
      <c r="G39" s="50">
        <v>0</v>
      </c>
      <c r="H39" s="50">
        <v>1</v>
      </c>
      <c r="I39" s="50">
        <v>0</v>
      </c>
      <c r="J39" s="50">
        <v>0</v>
      </c>
      <c r="K39" s="50">
        <v>0</v>
      </c>
      <c r="L39" s="50">
        <v>1</v>
      </c>
      <c r="M39" s="50">
        <v>98</v>
      </c>
      <c r="N39" s="50">
        <v>0</v>
      </c>
      <c r="O39" s="15">
        <f t="shared" si="0"/>
        <v>12</v>
      </c>
      <c r="P39" s="15">
        <f t="shared" si="1"/>
        <v>110</v>
      </c>
    </row>
    <row r="40" spans="2:20" ht="23.1" customHeight="1" x14ac:dyDescent="0.25">
      <c r="B40" s="24" t="s">
        <v>67</v>
      </c>
      <c r="C40" s="50">
        <v>3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2</v>
      </c>
      <c r="J40" s="50">
        <v>1</v>
      </c>
      <c r="K40" s="50">
        <v>0</v>
      </c>
      <c r="L40" s="50">
        <v>4</v>
      </c>
      <c r="M40" s="50">
        <v>57</v>
      </c>
      <c r="N40" s="50">
        <v>0</v>
      </c>
      <c r="O40" s="15">
        <f t="shared" si="0"/>
        <v>10</v>
      </c>
      <c r="P40" s="15">
        <f t="shared" si="1"/>
        <v>67</v>
      </c>
    </row>
    <row r="41" spans="2:20" ht="23.1" customHeight="1" x14ac:dyDescent="0.25">
      <c r="B41" s="23" t="s">
        <v>68</v>
      </c>
      <c r="C41" s="50">
        <v>7</v>
      </c>
      <c r="D41" s="50">
        <v>0</v>
      </c>
      <c r="E41" s="50">
        <v>0</v>
      </c>
      <c r="F41" s="50">
        <v>2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4</v>
      </c>
      <c r="M41" s="50">
        <v>73</v>
      </c>
      <c r="N41" s="50">
        <v>0</v>
      </c>
      <c r="O41" s="15">
        <f t="shared" si="0"/>
        <v>13</v>
      </c>
      <c r="P41" s="15">
        <f t="shared" si="1"/>
        <v>86</v>
      </c>
    </row>
    <row r="42" spans="2:20" ht="23.1" customHeight="1" x14ac:dyDescent="0.25">
      <c r="B42" s="24" t="s">
        <v>69</v>
      </c>
      <c r="C42" s="50">
        <v>7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1</v>
      </c>
      <c r="M42" s="50">
        <v>57</v>
      </c>
      <c r="N42" s="50">
        <v>0</v>
      </c>
      <c r="O42" s="15">
        <f t="shared" si="0"/>
        <v>9</v>
      </c>
      <c r="P42" s="15">
        <f t="shared" si="1"/>
        <v>66</v>
      </c>
    </row>
    <row r="43" spans="2:20" ht="23.1" customHeight="1" x14ac:dyDescent="0.25">
      <c r="B43" s="23" t="s">
        <v>70</v>
      </c>
      <c r="C43" s="50">
        <v>8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1</v>
      </c>
      <c r="K43" s="50">
        <v>0</v>
      </c>
      <c r="L43" s="50">
        <v>0</v>
      </c>
      <c r="M43" s="50">
        <v>41</v>
      </c>
      <c r="N43" s="50">
        <v>0</v>
      </c>
      <c r="O43" s="15">
        <f t="shared" si="0"/>
        <v>9</v>
      </c>
      <c r="P43" s="15">
        <f t="shared" si="1"/>
        <v>50</v>
      </c>
    </row>
    <row r="44" spans="2:20" ht="23.1" customHeight="1" x14ac:dyDescent="0.25">
      <c r="B44" s="25" t="s">
        <v>71</v>
      </c>
      <c r="C44" s="50">
        <v>4</v>
      </c>
      <c r="D44" s="50">
        <v>1</v>
      </c>
      <c r="E44" s="50">
        <v>0</v>
      </c>
      <c r="F44" s="50">
        <v>0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1</v>
      </c>
      <c r="M44" s="50">
        <v>64</v>
      </c>
      <c r="N44" s="50">
        <v>0</v>
      </c>
      <c r="O44" s="15">
        <f t="shared" si="0"/>
        <v>7</v>
      </c>
      <c r="P44" s="15">
        <f t="shared" si="1"/>
        <v>71</v>
      </c>
    </row>
    <row r="45" spans="2:20" ht="23.1" customHeight="1" x14ac:dyDescent="0.25">
      <c r="B45" s="23" t="s">
        <v>72</v>
      </c>
      <c r="C45" s="50">
        <v>6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1</v>
      </c>
      <c r="J45" s="50">
        <v>3</v>
      </c>
      <c r="K45" s="50">
        <v>0</v>
      </c>
      <c r="L45" s="50">
        <v>0</v>
      </c>
      <c r="M45" s="50">
        <v>67</v>
      </c>
      <c r="N45" s="50">
        <v>0</v>
      </c>
      <c r="O45" s="15">
        <f t="shared" si="0"/>
        <v>10</v>
      </c>
      <c r="P45" s="15">
        <f t="shared" si="1"/>
        <v>77</v>
      </c>
    </row>
    <row r="46" spans="2:20" ht="23.1" customHeight="1" x14ac:dyDescent="0.25">
      <c r="B46" s="24" t="s">
        <v>73</v>
      </c>
      <c r="C46" s="50">
        <v>7</v>
      </c>
      <c r="D46" s="50">
        <v>0</v>
      </c>
      <c r="E46" s="50">
        <v>0</v>
      </c>
      <c r="F46" s="50">
        <v>0</v>
      </c>
      <c r="G46" s="50">
        <v>0</v>
      </c>
      <c r="H46" s="50">
        <v>1</v>
      </c>
      <c r="I46" s="50">
        <v>1</v>
      </c>
      <c r="J46" s="50">
        <v>0</v>
      </c>
      <c r="K46" s="50">
        <v>0</v>
      </c>
      <c r="L46" s="50">
        <v>1</v>
      </c>
      <c r="M46" s="50">
        <v>76</v>
      </c>
      <c r="N46" s="50">
        <v>0</v>
      </c>
      <c r="O46" s="15">
        <f t="shared" si="0"/>
        <v>10</v>
      </c>
      <c r="P46" s="15">
        <f t="shared" si="1"/>
        <v>86</v>
      </c>
      <c r="R46" s="8"/>
      <c r="T46"/>
    </row>
    <row r="47" spans="2:20" ht="23.1" customHeight="1" x14ac:dyDescent="0.25">
      <c r="B47" s="24" t="s">
        <v>74</v>
      </c>
      <c r="C47" s="50">
        <v>5</v>
      </c>
      <c r="D47" s="50">
        <v>0</v>
      </c>
      <c r="E47" s="50">
        <v>1</v>
      </c>
      <c r="F47" s="50">
        <v>0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75</v>
      </c>
      <c r="N47" s="50">
        <v>0</v>
      </c>
      <c r="O47" s="15">
        <f t="shared" si="0"/>
        <v>7</v>
      </c>
      <c r="P47" s="15">
        <f t="shared" si="1"/>
        <v>82</v>
      </c>
      <c r="R47" s="8"/>
      <c r="T47"/>
    </row>
    <row r="48" spans="2:20" ht="23.1" customHeight="1" x14ac:dyDescent="0.25">
      <c r="B48" s="24" t="s">
        <v>75</v>
      </c>
      <c r="C48" s="50">
        <v>4</v>
      </c>
      <c r="D48" s="50">
        <v>0</v>
      </c>
      <c r="E48" s="50">
        <v>1</v>
      </c>
      <c r="F48" s="50">
        <v>1</v>
      </c>
      <c r="G48" s="50">
        <v>0</v>
      </c>
      <c r="H48" s="50">
        <v>0</v>
      </c>
      <c r="I48" s="50">
        <v>2</v>
      </c>
      <c r="J48" s="50">
        <v>0</v>
      </c>
      <c r="K48" s="50">
        <v>0</v>
      </c>
      <c r="L48" s="50">
        <v>0</v>
      </c>
      <c r="M48" s="50">
        <v>76</v>
      </c>
      <c r="N48" s="50">
        <v>0</v>
      </c>
      <c r="O48" s="15">
        <f t="shared" si="0"/>
        <v>8</v>
      </c>
      <c r="P48" s="15">
        <f t="shared" si="1"/>
        <v>84</v>
      </c>
      <c r="R48" s="8"/>
      <c r="T48"/>
    </row>
    <row r="49" spans="2:20" ht="23.1" customHeight="1" x14ac:dyDescent="0.25">
      <c r="B49" s="23" t="s">
        <v>76</v>
      </c>
      <c r="C49" s="50">
        <v>12</v>
      </c>
      <c r="D49" s="50">
        <v>0</v>
      </c>
      <c r="E49" s="50">
        <v>0</v>
      </c>
      <c r="F49" s="50">
        <v>1</v>
      </c>
      <c r="G49" s="50">
        <v>0</v>
      </c>
      <c r="H49" s="50">
        <v>0</v>
      </c>
      <c r="I49" s="50">
        <v>2</v>
      </c>
      <c r="J49" s="50">
        <v>1</v>
      </c>
      <c r="K49" s="50">
        <v>0</v>
      </c>
      <c r="L49" s="50">
        <v>2</v>
      </c>
      <c r="M49" s="50">
        <v>92</v>
      </c>
      <c r="N49" s="50">
        <v>0</v>
      </c>
      <c r="O49" s="15">
        <f t="shared" si="0"/>
        <v>18</v>
      </c>
      <c r="P49" s="15">
        <f t="shared" si="1"/>
        <v>110</v>
      </c>
      <c r="R49" s="8"/>
      <c r="T49"/>
    </row>
    <row r="50" spans="2:20" ht="23.1" customHeight="1" x14ac:dyDescent="0.25">
      <c r="B50" s="24" t="s">
        <v>77</v>
      </c>
      <c r="C50" s="50">
        <v>11</v>
      </c>
      <c r="D50" s="50">
        <v>3</v>
      </c>
      <c r="E50" s="50">
        <v>0</v>
      </c>
      <c r="F50" s="50">
        <v>0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45</v>
      </c>
      <c r="N50" s="50">
        <v>0</v>
      </c>
      <c r="O50" s="15">
        <f t="shared" si="0"/>
        <v>16</v>
      </c>
      <c r="P50" s="15">
        <f t="shared" si="1"/>
        <v>61</v>
      </c>
      <c r="R50" s="8"/>
      <c r="T50"/>
    </row>
    <row r="51" spans="2:20" ht="23.1" customHeight="1" x14ac:dyDescent="0.25">
      <c r="B51" s="24" t="s">
        <v>78</v>
      </c>
      <c r="C51" s="50">
        <v>9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1</v>
      </c>
      <c r="M51" s="50">
        <v>69</v>
      </c>
      <c r="N51" s="50">
        <v>0</v>
      </c>
      <c r="O51" s="15">
        <f t="shared" si="0"/>
        <v>10</v>
      </c>
      <c r="P51" s="15">
        <f t="shared" si="1"/>
        <v>79</v>
      </c>
      <c r="R51" s="8"/>
      <c r="T51"/>
    </row>
    <row r="52" spans="2:20" ht="23.1" customHeight="1" x14ac:dyDescent="0.25">
      <c r="B52" s="24" t="s">
        <v>79</v>
      </c>
      <c r="C52" s="50">
        <v>5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1</v>
      </c>
      <c r="M52" s="50">
        <v>36</v>
      </c>
      <c r="N52" s="50">
        <v>0</v>
      </c>
      <c r="O52" s="15">
        <f t="shared" si="0"/>
        <v>6</v>
      </c>
      <c r="P52" s="15">
        <f t="shared" si="1"/>
        <v>42</v>
      </c>
      <c r="R52" s="8"/>
      <c r="T52"/>
    </row>
    <row r="53" spans="2:20" ht="23.1" customHeight="1" x14ac:dyDescent="0.25">
      <c r="B53" s="23" t="s">
        <v>80</v>
      </c>
      <c r="C53" s="50">
        <v>4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1</v>
      </c>
      <c r="M53" s="50">
        <v>49</v>
      </c>
      <c r="N53" s="50">
        <v>0</v>
      </c>
      <c r="O53" s="15">
        <f t="shared" si="0"/>
        <v>5</v>
      </c>
      <c r="P53" s="15">
        <f t="shared" si="1"/>
        <v>54</v>
      </c>
      <c r="R53" s="8"/>
      <c r="T53"/>
    </row>
    <row r="54" spans="2:20" ht="23.1" customHeight="1" x14ac:dyDescent="0.25">
      <c r="B54" s="23" t="s">
        <v>81</v>
      </c>
      <c r="C54" s="50">
        <v>4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1</v>
      </c>
      <c r="K54" s="50">
        <v>0</v>
      </c>
      <c r="L54" s="50">
        <v>2</v>
      </c>
      <c r="M54" s="50">
        <v>58</v>
      </c>
      <c r="N54" s="50">
        <v>0</v>
      </c>
      <c r="O54" s="15">
        <f t="shared" si="0"/>
        <v>7</v>
      </c>
      <c r="P54" s="15">
        <f t="shared" si="1"/>
        <v>65</v>
      </c>
      <c r="R54" s="8"/>
      <c r="T54"/>
    </row>
    <row r="55" spans="2:20" ht="23.1" customHeight="1" x14ac:dyDescent="0.25">
      <c r="B55" s="23" t="s">
        <v>82</v>
      </c>
      <c r="C55" s="50">
        <v>8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1</v>
      </c>
      <c r="K55" s="50">
        <v>0</v>
      </c>
      <c r="L55" s="50">
        <v>1</v>
      </c>
      <c r="M55" s="50">
        <v>78</v>
      </c>
      <c r="N55" s="50">
        <v>0</v>
      </c>
      <c r="O55" s="15">
        <f t="shared" si="0"/>
        <v>10</v>
      </c>
      <c r="P55" s="15">
        <f t="shared" si="1"/>
        <v>88</v>
      </c>
      <c r="R55" s="8"/>
      <c r="T55"/>
    </row>
    <row r="56" spans="2:20" ht="23.1" customHeight="1" x14ac:dyDescent="0.25">
      <c r="B56" s="23" t="s">
        <v>83</v>
      </c>
      <c r="C56" s="50">
        <v>2</v>
      </c>
      <c r="D56" s="50">
        <v>0</v>
      </c>
      <c r="E56" s="50">
        <v>0</v>
      </c>
      <c r="F56" s="50">
        <v>1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53</v>
      </c>
      <c r="N56" s="50">
        <v>0</v>
      </c>
      <c r="O56" s="15">
        <f t="shared" si="0"/>
        <v>3</v>
      </c>
      <c r="P56" s="15">
        <f t="shared" si="1"/>
        <v>56</v>
      </c>
      <c r="R56" s="8"/>
      <c r="T56"/>
    </row>
    <row r="57" spans="2:20" ht="23.1" customHeight="1" x14ac:dyDescent="0.25">
      <c r="B57" s="23" t="s">
        <v>84</v>
      </c>
      <c r="C57" s="50">
        <v>5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65</v>
      </c>
      <c r="N57" s="50">
        <v>0</v>
      </c>
      <c r="O57" s="15">
        <f t="shared" si="0"/>
        <v>6</v>
      </c>
      <c r="P57" s="15">
        <f t="shared" si="1"/>
        <v>71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225</v>
      </c>
      <c r="D58" s="16">
        <f t="shared" si="21"/>
        <v>4</v>
      </c>
      <c r="E58" s="16">
        <f t="shared" si="21"/>
        <v>11</v>
      </c>
      <c r="F58" s="16">
        <f t="shared" si="21"/>
        <v>6</v>
      </c>
      <c r="G58" s="16">
        <f t="shared" si="21"/>
        <v>2</v>
      </c>
      <c r="H58" s="16">
        <f t="shared" si="21"/>
        <v>7</v>
      </c>
      <c r="I58" s="16">
        <f t="shared" si="21"/>
        <v>24</v>
      </c>
      <c r="J58" s="16">
        <f t="shared" si="21"/>
        <v>22</v>
      </c>
      <c r="K58" s="16">
        <f t="shared" si="21"/>
        <v>3</v>
      </c>
      <c r="L58" s="16">
        <f t="shared" si="21"/>
        <v>37</v>
      </c>
      <c r="M58" s="16">
        <f t="shared" si="21"/>
        <v>2656</v>
      </c>
      <c r="N58" s="16">
        <f t="shared" si="21"/>
        <v>0</v>
      </c>
      <c r="O58" s="16">
        <f t="shared" si="21"/>
        <v>341</v>
      </c>
      <c r="P58" s="16">
        <f t="shared" si="21"/>
        <v>2997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7.5075075075075076E-2</v>
      </c>
      <c r="D59" s="43">
        <f t="shared" si="22"/>
        <v>1.3346680013346681E-3</v>
      </c>
      <c r="E59" s="43">
        <f t="shared" si="22"/>
        <v>3.6703370036703371E-3</v>
      </c>
      <c r="F59" s="43">
        <f t="shared" si="22"/>
        <v>2.002002002002002E-3</v>
      </c>
      <c r="G59" s="43">
        <f t="shared" si="22"/>
        <v>6.6733400066733403E-4</v>
      </c>
      <c r="H59" s="43">
        <f t="shared" si="22"/>
        <v>2.3356690023356688E-3</v>
      </c>
      <c r="I59" s="43">
        <f t="shared" si="22"/>
        <v>8.0080080080080079E-3</v>
      </c>
      <c r="J59" s="43">
        <f t="shared" si="22"/>
        <v>7.3406740073406742E-3</v>
      </c>
      <c r="K59" s="43">
        <f t="shared" si="22"/>
        <v>1.001001001001001E-3</v>
      </c>
      <c r="L59" s="43">
        <f t="shared" si="22"/>
        <v>1.2345679012345678E-2</v>
      </c>
      <c r="M59" s="43">
        <f t="shared" si="22"/>
        <v>0.88621955288621956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0.65982404692082108</v>
      </c>
      <c r="D60" s="44">
        <f t="shared" ref="D60:N60" si="23">D58/$O$58</f>
        <v>1.1730205278592375E-2</v>
      </c>
      <c r="E60" s="44">
        <f t="shared" si="23"/>
        <v>3.2258064516129031E-2</v>
      </c>
      <c r="F60" s="44">
        <f t="shared" si="23"/>
        <v>1.7595307917888565E-2</v>
      </c>
      <c r="G60" s="44">
        <f t="shared" si="23"/>
        <v>5.8651026392961877E-3</v>
      </c>
      <c r="H60" s="44">
        <f t="shared" si="23"/>
        <v>2.0527859237536656E-2</v>
      </c>
      <c r="I60" s="44">
        <f t="shared" si="23"/>
        <v>7.0381231671554259E-2</v>
      </c>
      <c r="J60" s="44">
        <f t="shared" si="23"/>
        <v>6.4516129032258063E-2</v>
      </c>
      <c r="K60" s="44">
        <f t="shared" si="23"/>
        <v>8.7976539589442824E-3</v>
      </c>
      <c r="L60" s="44">
        <f t="shared" si="23"/>
        <v>0.10850439882697947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56" zoomScale="60" workbookViewId="0">
      <selection activeCell="B58" sqref="B58:B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'26.10 KASESE-PONDWE'!C3:G3</f>
        <v>MCC - C4 - STN137 - KASESE 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172</v>
      </c>
      <c r="E5" s="3"/>
      <c r="F5" s="41" t="s">
        <v>1</v>
      </c>
      <c r="G5" s="66" t="s">
        <v>165</v>
      </c>
      <c r="H5" s="67"/>
      <c r="I5" s="14"/>
      <c r="J5" s="2" t="s">
        <v>5</v>
      </c>
      <c r="K5" s="66" t="s">
        <v>169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">
        <v>166</v>
      </c>
      <c r="E6" s="67"/>
      <c r="F6" s="2" t="s">
        <v>2</v>
      </c>
      <c r="G6" s="66" t="s">
        <v>164</v>
      </c>
      <c r="H6" s="67"/>
      <c r="J6" s="2" t="s">
        <v>21</v>
      </c>
      <c r="K6" s="66" t="s">
        <v>168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3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52</v>
      </c>
      <c r="N10" s="50">
        <v>0</v>
      </c>
      <c r="O10" s="15">
        <f t="shared" ref="O10:O57" si="0">SUM(C10:L10,N10)</f>
        <v>3</v>
      </c>
      <c r="P10" s="15">
        <f t="shared" ref="P10:P57" si="1">SUM(C10:N10)</f>
        <v>55</v>
      </c>
      <c r="R10" s="1" t="s">
        <v>6</v>
      </c>
      <c r="S10" s="17">
        <f t="shared" ref="S10:AF10" si="2">SUM(C10:C13)</f>
        <v>19</v>
      </c>
      <c r="T10" s="17">
        <f t="shared" si="2"/>
        <v>0</v>
      </c>
      <c r="U10" s="17">
        <f t="shared" si="2"/>
        <v>0</v>
      </c>
      <c r="V10" s="17">
        <f t="shared" si="2"/>
        <v>3</v>
      </c>
      <c r="W10" s="17">
        <f t="shared" si="2"/>
        <v>0</v>
      </c>
      <c r="X10" s="17">
        <f t="shared" si="2"/>
        <v>2</v>
      </c>
      <c r="Y10" s="17">
        <f t="shared" si="2"/>
        <v>2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442</v>
      </c>
      <c r="AD10" s="17">
        <f t="shared" si="2"/>
        <v>0</v>
      </c>
      <c r="AE10" s="31">
        <f t="shared" si="2"/>
        <v>26</v>
      </c>
      <c r="AF10" s="31">
        <f t="shared" si="2"/>
        <v>468</v>
      </c>
    </row>
    <row r="11" spans="2:32" s="6" customFormat="1" ht="23.1" customHeight="1" x14ac:dyDescent="0.25">
      <c r="B11" s="45" t="s">
        <v>38</v>
      </c>
      <c r="C11" s="50">
        <v>7</v>
      </c>
      <c r="D11" s="50">
        <v>0</v>
      </c>
      <c r="E11" s="50">
        <v>0</v>
      </c>
      <c r="F11" s="50">
        <v>1</v>
      </c>
      <c r="G11" s="50">
        <v>0</v>
      </c>
      <c r="H11" s="50">
        <v>1</v>
      </c>
      <c r="I11" s="50">
        <v>1</v>
      </c>
      <c r="J11" s="50">
        <v>0</v>
      </c>
      <c r="K11" s="50">
        <v>0</v>
      </c>
      <c r="L11" s="50">
        <v>0</v>
      </c>
      <c r="M11" s="50">
        <v>102</v>
      </c>
      <c r="N11" s="50">
        <v>0</v>
      </c>
      <c r="O11" s="15">
        <f t="shared" si="0"/>
        <v>10</v>
      </c>
      <c r="P11" s="15">
        <f t="shared" si="1"/>
        <v>112</v>
      </c>
      <c r="R11" s="1" t="s">
        <v>7</v>
      </c>
      <c r="S11" s="17">
        <f t="shared" ref="S11:AF11" si="3">SUM(C14:C17)</f>
        <v>23</v>
      </c>
      <c r="T11" s="17">
        <f t="shared" si="3"/>
        <v>1</v>
      </c>
      <c r="U11" s="17">
        <f t="shared" si="3"/>
        <v>1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3</v>
      </c>
      <c r="Z11" s="17">
        <f t="shared" si="3"/>
        <v>1</v>
      </c>
      <c r="AA11" s="17">
        <f t="shared" si="3"/>
        <v>1</v>
      </c>
      <c r="AB11" s="17">
        <f t="shared" si="3"/>
        <v>0</v>
      </c>
      <c r="AC11" s="17">
        <f t="shared" si="3"/>
        <v>433</v>
      </c>
      <c r="AD11" s="17">
        <f t="shared" si="3"/>
        <v>0</v>
      </c>
      <c r="AE11" s="31">
        <f t="shared" si="3"/>
        <v>32</v>
      </c>
      <c r="AF11" s="31">
        <f t="shared" si="3"/>
        <v>465</v>
      </c>
    </row>
    <row r="12" spans="2:32" ht="23.1" customHeight="1" x14ac:dyDescent="0.25">
      <c r="B12" s="45" t="s">
        <v>39</v>
      </c>
      <c r="C12" s="50">
        <v>5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135</v>
      </c>
      <c r="N12" s="50">
        <v>0</v>
      </c>
      <c r="O12" s="15">
        <f t="shared" si="0"/>
        <v>6</v>
      </c>
      <c r="P12" s="15">
        <f t="shared" si="1"/>
        <v>141</v>
      </c>
      <c r="R12" s="1" t="s">
        <v>8</v>
      </c>
      <c r="S12" s="17">
        <f t="shared" ref="S12:AF12" si="4">SUM(C18:C21)</f>
        <v>21</v>
      </c>
      <c r="T12" s="17">
        <f t="shared" si="4"/>
        <v>1</v>
      </c>
      <c r="U12" s="17">
        <f t="shared" si="4"/>
        <v>3</v>
      </c>
      <c r="V12" s="17">
        <f t="shared" si="4"/>
        <v>1</v>
      </c>
      <c r="W12" s="17">
        <f t="shared" si="4"/>
        <v>0</v>
      </c>
      <c r="X12" s="17">
        <f t="shared" si="4"/>
        <v>1</v>
      </c>
      <c r="Y12" s="17">
        <f t="shared" si="4"/>
        <v>5</v>
      </c>
      <c r="Z12" s="17">
        <f t="shared" si="4"/>
        <v>1</v>
      </c>
      <c r="AA12" s="17">
        <f t="shared" si="4"/>
        <v>1</v>
      </c>
      <c r="AB12" s="17">
        <f t="shared" si="4"/>
        <v>6</v>
      </c>
      <c r="AC12" s="17">
        <f t="shared" si="4"/>
        <v>315</v>
      </c>
      <c r="AD12" s="17">
        <f t="shared" si="4"/>
        <v>0</v>
      </c>
      <c r="AE12" s="31">
        <f t="shared" si="4"/>
        <v>40</v>
      </c>
      <c r="AF12" s="31">
        <f t="shared" si="4"/>
        <v>355</v>
      </c>
    </row>
    <row r="13" spans="2:32" ht="23.1" customHeight="1" x14ac:dyDescent="0.25">
      <c r="B13" s="45" t="s">
        <v>40</v>
      </c>
      <c r="C13" s="50">
        <v>4</v>
      </c>
      <c r="D13" s="50">
        <v>0</v>
      </c>
      <c r="E13" s="50">
        <v>0</v>
      </c>
      <c r="F13" s="50">
        <v>2</v>
      </c>
      <c r="G13" s="50">
        <v>0</v>
      </c>
      <c r="H13" s="50">
        <v>1</v>
      </c>
      <c r="I13" s="50">
        <v>0</v>
      </c>
      <c r="J13" s="50">
        <v>0</v>
      </c>
      <c r="K13" s="50">
        <v>0</v>
      </c>
      <c r="L13" s="50">
        <v>0</v>
      </c>
      <c r="M13" s="50">
        <v>153</v>
      </c>
      <c r="N13" s="50">
        <v>0</v>
      </c>
      <c r="O13" s="15">
        <f t="shared" si="0"/>
        <v>7</v>
      </c>
      <c r="P13" s="15">
        <f t="shared" si="1"/>
        <v>160</v>
      </c>
      <c r="R13" s="1" t="s">
        <v>9</v>
      </c>
      <c r="S13" s="17">
        <f t="shared" ref="S13:AF13" si="5">SUM(C22:C25)</f>
        <v>24</v>
      </c>
      <c r="T13" s="17">
        <f t="shared" si="5"/>
        <v>2</v>
      </c>
      <c r="U13" s="17">
        <f t="shared" si="5"/>
        <v>2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10</v>
      </c>
      <c r="Z13" s="17">
        <f t="shared" si="5"/>
        <v>1</v>
      </c>
      <c r="AA13" s="17">
        <f t="shared" si="5"/>
        <v>0</v>
      </c>
      <c r="AB13" s="17">
        <f t="shared" si="5"/>
        <v>1</v>
      </c>
      <c r="AC13" s="17">
        <f t="shared" si="5"/>
        <v>314</v>
      </c>
      <c r="AD13" s="17">
        <f t="shared" si="5"/>
        <v>0</v>
      </c>
      <c r="AE13" s="31">
        <f t="shared" si="5"/>
        <v>40</v>
      </c>
      <c r="AF13" s="31">
        <f t="shared" si="5"/>
        <v>354</v>
      </c>
    </row>
    <row r="14" spans="2:32" ht="23.1" customHeight="1" x14ac:dyDescent="0.25">
      <c r="B14" s="45" t="s">
        <v>41</v>
      </c>
      <c r="C14" s="50">
        <v>2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135</v>
      </c>
      <c r="N14" s="50">
        <v>0</v>
      </c>
      <c r="O14" s="15">
        <f t="shared" si="0"/>
        <v>2</v>
      </c>
      <c r="P14" s="15">
        <f t="shared" si="1"/>
        <v>137</v>
      </c>
      <c r="R14" s="1" t="s">
        <v>10</v>
      </c>
      <c r="S14" s="17">
        <f t="shared" ref="S14:AF14" si="6">SUM(C26:C29)</f>
        <v>41</v>
      </c>
      <c r="T14" s="17">
        <f t="shared" si="6"/>
        <v>1</v>
      </c>
      <c r="U14" s="17">
        <f t="shared" si="6"/>
        <v>3</v>
      </c>
      <c r="V14" s="17">
        <f t="shared" si="6"/>
        <v>1</v>
      </c>
      <c r="W14" s="17">
        <f t="shared" si="6"/>
        <v>0</v>
      </c>
      <c r="X14" s="17">
        <f t="shared" si="6"/>
        <v>1</v>
      </c>
      <c r="Y14" s="17">
        <f t="shared" si="6"/>
        <v>10</v>
      </c>
      <c r="Z14" s="17">
        <f t="shared" si="6"/>
        <v>2</v>
      </c>
      <c r="AA14" s="17">
        <f t="shared" si="6"/>
        <v>0</v>
      </c>
      <c r="AB14" s="17">
        <f t="shared" si="6"/>
        <v>3</v>
      </c>
      <c r="AC14" s="17">
        <f t="shared" si="6"/>
        <v>437</v>
      </c>
      <c r="AD14" s="17">
        <f t="shared" si="6"/>
        <v>0</v>
      </c>
      <c r="AE14" s="31">
        <f t="shared" si="6"/>
        <v>62</v>
      </c>
      <c r="AF14" s="31">
        <f t="shared" si="6"/>
        <v>499</v>
      </c>
    </row>
    <row r="15" spans="2:32" ht="23.1" customHeight="1" x14ac:dyDescent="0.25">
      <c r="B15" s="45" t="s">
        <v>42</v>
      </c>
      <c r="C15" s="50">
        <v>8</v>
      </c>
      <c r="D15" s="50">
        <v>0</v>
      </c>
      <c r="E15" s="50">
        <v>0</v>
      </c>
      <c r="F15" s="50">
        <v>1</v>
      </c>
      <c r="G15" s="50">
        <v>0</v>
      </c>
      <c r="H15" s="50">
        <v>0</v>
      </c>
      <c r="I15" s="50">
        <v>3</v>
      </c>
      <c r="J15" s="50">
        <v>0</v>
      </c>
      <c r="K15" s="50">
        <v>0</v>
      </c>
      <c r="L15" s="50">
        <v>0</v>
      </c>
      <c r="M15" s="50">
        <v>98</v>
      </c>
      <c r="N15" s="50">
        <v>0</v>
      </c>
      <c r="O15" s="15">
        <f t="shared" si="0"/>
        <v>12</v>
      </c>
      <c r="P15" s="15">
        <f t="shared" si="1"/>
        <v>110</v>
      </c>
      <c r="R15" s="1" t="s">
        <v>11</v>
      </c>
      <c r="S15" s="17">
        <f t="shared" ref="S15:AF15" si="7">SUM(C30:C33)</f>
        <v>20</v>
      </c>
      <c r="T15" s="17">
        <f t="shared" si="7"/>
        <v>3</v>
      </c>
      <c r="U15" s="17">
        <f t="shared" si="7"/>
        <v>3</v>
      </c>
      <c r="V15" s="17">
        <f t="shared" si="7"/>
        <v>0</v>
      </c>
      <c r="W15" s="17">
        <f t="shared" si="7"/>
        <v>1</v>
      </c>
      <c r="X15" s="17">
        <f t="shared" si="7"/>
        <v>1</v>
      </c>
      <c r="Y15" s="17">
        <f t="shared" si="7"/>
        <v>8</v>
      </c>
      <c r="Z15" s="17">
        <f t="shared" si="7"/>
        <v>1</v>
      </c>
      <c r="AA15" s="17">
        <f t="shared" si="7"/>
        <v>0</v>
      </c>
      <c r="AB15" s="17">
        <f t="shared" si="7"/>
        <v>1</v>
      </c>
      <c r="AC15" s="17">
        <f t="shared" si="7"/>
        <v>278</v>
      </c>
      <c r="AD15" s="17">
        <f t="shared" si="7"/>
        <v>0</v>
      </c>
      <c r="AE15" s="31">
        <f t="shared" si="7"/>
        <v>38</v>
      </c>
      <c r="AF15" s="31">
        <f t="shared" si="7"/>
        <v>316</v>
      </c>
    </row>
    <row r="16" spans="2:32" ht="23.1" customHeight="1" x14ac:dyDescent="0.25">
      <c r="B16" s="45" t="s">
        <v>43</v>
      </c>
      <c r="C16" s="50">
        <v>7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1</v>
      </c>
      <c r="K16" s="50">
        <v>0</v>
      </c>
      <c r="L16" s="50">
        <v>0</v>
      </c>
      <c r="M16" s="50">
        <v>102</v>
      </c>
      <c r="N16" s="50">
        <v>0</v>
      </c>
      <c r="O16" s="15">
        <f t="shared" si="0"/>
        <v>8</v>
      </c>
      <c r="P16" s="15">
        <f t="shared" si="1"/>
        <v>110</v>
      </c>
      <c r="R16" s="1" t="s">
        <v>12</v>
      </c>
      <c r="S16" s="17">
        <f t="shared" ref="S16:AF16" si="8">SUM(C34:C37)</f>
        <v>46</v>
      </c>
      <c r="T16" s="17">
        <f t="shared" si="8"/>
        <v>7</v>
      </c>
      <c r="U16" s="17">
        <f t="shared" si="8"/>
        <v>4</v>
      </c>
      <c r="V16" s="17">
        <f t="shared" si="8"/>
        <v>2</v>
      </c>
      <c r="W16" s="17">
        <f t="shared" si="8"/>
        <v>0</v>
      </c>
      <c r="X16" s="17">
        <f t="shared" si="8"/>
        <v>1</v>
      </c>
      <c r="Y16" s="17">
        <f t="shared" si="8"/>
        <v>9</v>
      </c>
      <c r="Z16" s="17">
        <f t="shared" si="8"/>
        <v>2</v>
      </c>
      <c r="AA16" s="17">
        <f t="shared" si="8"/>
        <v>0</v>
      </c>
      <c r="AB16" s="17">
        <f t="shared" si="8"/>
        <v>3</v>
      </c>
      <c r="AC16" s="17">
        <f t="shared" si="8"/>
        <v>324</v>
      </c>
      <c r="AD16" s="17">
        <f t="shared" si="8"/>
        <v>0</v>
      </c>
      <c r="AE16" s="31">
        <f t="shared" si="8"/>
        <v>74</v>
      </c>
      <c r="AF16" s="31">
        <f t="shared" si="8"/>
        <v>398</v>
      </c>
    </row>
    <row r="17" spans="2:32" ht="23.1" customHeight="1" x14ac:dyDescent="0.25">
      <c r="B17" s="45" t="s">
        <v>44</v>
      </c>
      <c r="C17" s="50">
        <v>6</v>
      </c>
      <c r="D17" s="50">
        <v>1</v>
      </c>
      <c r="E17" s="50">
        <v>1</v>
      </c>
      <c r="F17" s="50">
        <v>1</v>
      </c>
      <c r="G17" s="50">
        <v>0</v>
      </c>
      <c r="H17" s="50">
        <v>0</v>
      </c>
      <c r="I17" s="50">
        <v>0</v>
      </c>
      <c r="J17" s="50">
        <v>0</v>
      </c>
      <c r="K17" s="50">
        <v>1</v>
      </c>
      <c r="L17" s="50">
        <v>0</v>
      </c>
      <c r="M17" s="50">
        <v>98</v>
      </c>
      <c r="N17" s="50">
        <v>0</v>
      </c>
      <c r="O17" s="15">
        <f t="shared" si="0"/>
        <v>10</v>
      </c>
      <c r="P17" s="15">
        <f t="shared" si="1"/>
        <v>108</v>
      </c>
      <c r="R17" s="1" t="s">
        <v>13</v>
      </c>
      <c r="S17" s="17">
        <f t="shared" ref="S17:AF17" si="9">SUM(C38:C41)</f>
        <v>26</v>
      </c>
      <c r="T17" s="17">
        <f t="shared" si="9"/>
        <v>3</v>
      </c>
      <c r="U17" s="17">
        <f t="shared" si="9"/>
        <v>3</v>
      </c>
      <c r="V17" s="17">
        <f t="shared" si="9"/>
        <v>3</v>
      </c>
      <c r="W17" s="17">
        <f t="shared" si="9"/>
        <v>0</v>
      </c>
      <c r="X17" s="17">
        <f t="shared" si="9"/>
        <v>2</v>
      </c>
      <c r="Y17" s="17">
        <f t="shared" si="9"/>
        <v>5</v>
      </c>
      <c r="Z17" s="17">
        <f t="shared" si="9"/>
        <v>4</v>
      </c>
      <c r="AA17" s="17">
        <f t="shared" si="9"/>
        <v>0</v>
      </c>
      <c r="AB17" s="17">
        <f t="shared" si="9"/>
        <v>1</v>
      </c>
      <c r="AC17" s="17">
        <f t="shared" si="9"/>
        <v>354</v>
      </c>
      <c r="AD17" s="17">
        <f t="shared" si="9"/>
        <v>0</v>
      </c>
      <c r="AE17" s="31">
        <f t="shared" si="9"/>
        <v>47</v>
      </c>
      <c r="AF17" s="31">
        <f t="shared" si="9"/>
        <v>401</v>
      </c>
    </row>
    <row r="18" spans="2:32" ht="23.1" customHeight="1" x14ac:dyDescent="0.25">
      <c r="B18" s="45" t="s">
        <v>45</v>
      </c>
      <c r="C18" s="50">
        <v>6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94</v>
      </c>
      <c r="N18" s="50">
        <v>0</v>
      </c>
      <c r="O18" s="15">
        <f t="shared" si="0"/>
        <v>7</v>
      </c>
      <c r="P18" s="15">
        <f t="shared" si="1"/>
        <v>101</v>
      </c>
      <c r="R18" s="1" t="s">
        <v>14</v>
      </c>
      <c r="S18" s="17">
        <f t="shared" ref="S18:AF18" si="10">SUM(C42:C45)</f>
        <v>22</v>
      </c>
      <c r="T18" s="17">
        <f t="shared" si="10"/>
        <v>2</v>
      </c>
      <c r="U18" s="17">
        <f t="shared" si="10"/>
        <v>2</v>
      </c>
      <c r="V18" s="17">
        <f t="shared" si="10"/>
        <v>12</v>
      </c>
      <c r="W18" s="17">
        <f t="shared" si="10"/>
        <v>0</v>
      </c>
      <c r="X18" s="17">
        <f t="shared" si="10"/>
        <v>0</v>
      </c>
      <c r="Y18" s="17">
        <f t="shared" si="10"/>
        <v>4</v>
      </c>
      <c r="Z18" s="17">
        <f t="shared" si="10"/>
        <v>2</v>
      </c>
      <c r="AA18" s="17">
        <f t="shared" si="10"/>
        <v>1</v>
      </c>
      <c r="AB18" s="17">
        <f t="shared" si="10"/>
        <v>4</v>
      </c>
      <c r="AC18" s="17">
        <f t="shared" si="10"/>
        <v>331</v>
      </c>
      <c r="AD18" s="17">
        <f t="shared" si="10"/>
        <v>0</v>
      </c>
      <c r="AE18" s="31">
        <f t="shared" si="10"/>
        <v>49</v>
      </c>
      <c r="AF18" s="31">
        <f t="shared" si="10"/>
        <v>380</v>
      </c>
    </row>
    <row r="19" spans="2:32" ht="23.1" customHeight="1" x14ac:dyDescent="0.25">
      <c r="B19" s="45" t="s">
        <v>46</v>
      </c>
      <c r="C19" s="50">
        <v>4</v>
      </c>
      <c r="D19" s="50">
        <v>0</v>
      </c>
      <c r="E19" s="50">
        <v>0</v>
      </c>
      <c r="F19" s="50">
        <v>1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80</v>
      </c>
      <c r="N19" s="50">
        <v>0</v>
      </c>
      <c r="O19" s="15">
        <f t="shared" si="0"/>
        <v>7</v>
      </c>
      <c r="P19" s="15">
        <f t="shared" si="1"/>
        <v>87</v>
      </c>
      <c r="R19" s="1" t="s">
        <v>15</v>
      </c>
      <c r="S19" s="17">
        <f t="shared" ref="S19:AF19" si="11">SUM(C46:C49)</f>
        <v>55</v>
      </c>
      <c r="T19" s="17">
        <f t="shared" si="11"/>
        <v>3</v>
      </c>
      <c r="U19" s="17">
        <f t="shared" si="11"/>
        <v>2</v>
      </c>
      <c r="V19" s="17">
        <f t="shared" si="11"/>
        <v>3</v>
      </c>
      <c r="W19" s="17">
        <f t="shared" si="11"/>
        <v>0</v>
      </c>
      <c r="X19" s="17">
        <f t="shared" si="11"/>
        <v>0</v>
      </c>
      <c r="Y19" s="17">
        <f t="shared" si="11"/>
        <v>8</v>
      </c>
      <c r="Z19" s="17">
        <f t="shared" si="11"/>
        <v>3</v>
      </c>
      <c r="AA19" s="17">
        <f t="shared" si="11"/>
        <v>1</v>
      </c>
      <c r="AB19" s="17">
        <f t="shared" si="11"/>
        <v>8</v>
      </c>
      <c r="AC19" s="17">
        <f t="shared" si="11"/>
        <v>281</v>
      </c>
      <c r="AD19" s="17">
        <f t="shared" si="11"/>
        <v>0</v>
      </c>
      <c r="AE19" s="31">
        <f t="shared" si="11"/>
        <v>83</v>
      </c>
      <c r="AF19" s="31">
        <f t="shared" si="11"/>
        <v>364</v>
      </c>
    </row>
    <row r="20" spans="2:32" ht="23.1" customHeight="1" x14ac:dyDescent="0.25">
      <c r="B20" s="45" t="s">
        <v>47</v>
      </c>
      <c r="C20" s="50">
        <v>6</v>
      </c>
      <c r="D20" s="50">
        <v>0</v>
      </c>
      <c r="E20" s="50">
        <v>1</v>
      </c>
      <c r="F20" s="50">
        <v>0</v>
      </c>
      <c r="G20" s="50">
        <v>0</v>
      </c>
      <c r="H20" s="50">
        <v>0</v>
      </c>
      <c r="I20" s="50">
        <v>2</v>
      </c>
      <c r="J20" s="50">
        <v>0</v>
      </c>
      <c r="K20" s="50">
        <v>1</v>
      </c>
      <c r="L20" s="50">
        <v>6</v>
      </c>
      <c r="M20" s="50">
        <v>75</v>
      </c>
      <c r="N20" s="50">
        <v>0</v>
      </c>
      <c r="O20" s="15">
        <f t="shared" si="0"/>
        <v>16</v>
      </c>
      <c r="P20" s="15">
        <f t="shared" si="1"/>
        <v>91</v>
      </c>
      <c r="R20" s="1" t="s">
        <v>16</v>
      </c>
      <c r="S20" s="17">
        <f t="shared" ref="S20:AF20" si="12">SUM(C50:C53)</f>
        <v>36</v>
      </c>
      <c r="T20" s="17">
        <f t="shared" si="12"/>
        <v>2</v>
      </c>
      <c r="U20" s="17">
        <f t="shared" si="12"/>
        <v>1</v>
      </c>
      <c r="V20" s="17">
        <f t="shared" si="12"/>
        <v>5</v>
      </c>
      <c r="W20" s="17">
        <f t="shared" si="12"/>
        <v>0</v>
      </c>
      <c r="X20" s="17">
        <f t="shared" si="12"/>
        <v>0</v>
      </c>
      <c r="Y20" s="17">
        <f t="shared" si="12"/>
        <v>7</v>
      </c>
      <c r="Z20" s="17">
        <f t="shared" si="12"/>
        <v>2</v>
      </c>
      <c r="AA20" s="17">
        <f t="shared" si="12"/>
        <v>0</v>
      </c>
      <c r="AB20" s="17">
        <f t="shared" si="12"/>
        <v>3</v>
      </c>
      <c r="AC20" s="17">
        <f t="shared" si="12"/>
        <v>342</v>
      </c>
      <c r="AD20" s="17">
        <f t="shared" si="12"/>
        <v>0</v>
      </c>
      <c r="AE20" s="31">
        <f t="shared" si="12"/>
        <v>56</v>
      </c>
      <c r="AF20" s="31">
        <f t="shared" si="12"/>
        <v>398</v>
      </c>
    </row>
    <row r="21" spans="2:32" ht="23.1" customHeight="1" x14ac:dyDescent="0.25">
      <c r="B21" s="45" t="s">
        <v>48</v>
      </c>
      <c r="C21" s="50">
        <v>5</v>
      </c>
      <c r="D21" s="50">
        <v>1</v>
      </c>
      <c r="E21" s="50">
        <v>1</v>
      </c>
      <c r="F21" s="50">
        <v>0</v>
      </c>
      <c r="G21" s="50">
        <v>0</v>
      </c>
      <c r="H21" s="50">
        <v>1</v>
      </c>
      <c r="I21" s="50">
        <v>1</v>
      </c>
      <c r="J21" s="50">
        <v>1</v>
      </c>
      <c r="K21" s="50">
        <v>0</v>
      </c>
      <c r="L21" s="50">
        <v>0</v>
      </c>
      <c r="M21" s="50">
        <v>66</v>
      </c>
      <c r="N21" s="50">
        <v>0</v>
      </c>
      <c r="O21" s="15">
        <f t="shared" si="0"/>
        <v>10</v>
      </c>
      <c r="P21" s="15">
        <f t="shared" si="1"/>
        <v>76</v>
      </c>
      <c r="R21" s="36" t="s">
        <v>20</v>
      </c>
      <c r="S21" s="34">
        <f t="shared" ref="S21:AF21" si="13">SUM(C54:C57)</f>
        <v>59</v>
      </c>
      <c r="T21" s="17">
        <f t="shared" si="13"/>
        <v>1</v>
      </c>
      <c r="U21" s="17">
        <f t="shared" si="13"/>
        <v>1</v>
      </c>
      <c r="V21" s="17">
        <f t="shared" si="13"/>
        <v>8</v>
      </c>
      <c r="W21" s="17">
        <f t="shared" si="13"/>
        <v>0</v>
      </c>
      <c r="X21" s="17">
        <f t="shared" si="13"/>
        <v>0</v>
      </c>
      <c r="Y21" s="17">
        <f t="shared" si="13"/>
        <v>7</v>
      </c>
      <c r="Z21" s="17">
        <f t="shared" si="13"/>
        <v>7</v>
      </c>
      <c r="AA21" s="17">
        <f t="shared" si="13"/>
        <v>1</v>
      </c>
      <c r="AB21" s="17">
        <f t="shared" si="13"/>
        <v>1</v>
      </c>
      <c r="AC21" s="17">
        <f t="shared" si="13"/>
        <v>549</v>
      </c>
      <c r="AD21" s="17">
        <f t="shared" si="13"/>
        <v>0</v>
      </c>
      <c r="AE21" s="31">
        <f t="shared" si="13"/>
        <v>85</v>
      </c>
      <c r="AF21" s="31">
        <f t="shared" si="13"/>
        <v>634</v>
      </c>
    </row>
    <row r="22" spans="2:32" ht="23.1" customHeight="1" x14ac:dyDescent="0.25">
      <c r="B22" s="45" t="s">
        <v>49</v>
      </c>
      <c r="C22" s="50">
        <v>6</v>
      </c>
      <c r="D22" s="50">
        <v>0</v>
      </c>
      <c r="E22" s="50">
        <v>1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59</v>
      </c>
      <c r="N22" s="50">
        <v>0</v>
      </c>
      <c r="O22" s="15">
        <f t="shared" si="0"/>
        <v>7</v>
      </c>
      <c r="P22" s="15">
        <f t="shared" si="1"/>
        <v>66</v>
      </c>
      <c r="R22" s="36" t="s">
        <v>146</v>
      </c>
      <c r="S22" s="34">
        <f>SUM(C58:C61)</f>
        <v>36</v>
      </c>
      <c r="T22" s="34">
        <f t="shared" ref="T22:AF22" si="14">SUM(D58:D61)</f>
        <v>3</v>
      </c>
      <c r="U22" s="34">
        <f t="shared" si="14"/>
        <v>1</v>
      </c>
      <c r="V22" s="34">
        <f t="shared" si="14"/>
        <v>5</v>
      </c>
      <c r="W22" s="34">
        <f t="shared" si="14"/>
        <v>1</v>
      </c>
      <c r="X22" s="34">
        <f t="shared" si="14"/>
        <v>3</v>
      </c>
      <c r="Y22" s="34">
        <f t="shared" si="14"/>
        <v>5</v>
      </c>
      <c r="Z22" s="34">
        <f t="shared" si="14"/>
        <v>4</v>
      </c>
      <c r="AA22" s="34">
        <f t="shared" si="14"/>
        <v>0</v>
      </c>
      <c r="AB22" s="34">
        <f t="shared" si="14"/>
        <v>3</v>
      </c>
      <c r="AC22" s="34">
        <f t="shared" si="14"/>
        <v>361</v>
      </c>
      <c r="AD22" s="34">
        <f t="shared" si="14"/>
        <v>0</v>
      </c>
      <c r="AE22" s="31">
        <f t="shared" si="14"/>
        <v>61</v>
      </c>
      <c r="AF22" s="31">
        <f t="shared" si="14"/>
        <v>422</v>
      </c>
    </row>
    <row r="23" spans="2:32" ht="23.1" customHeight="1" x14ac:dyDescent="0.25">
      <c r="B23" s="45" t="s">
        <v>50</v>
      </c>
      <c r="C23" s="50">
        <v>6</v>
      </c>
      <c r="D23" s="50">
        <v>0</v>
      </c>
      <c r="E23" s="50">
        <v>1</v>
      </c>
      <c r="F23" s="50">
        <v>0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72</v>
      </c>
      <c r="N23" s="50">
        <v>0</v>
      </c>
      <c r="O23" s="15">
        <f t="shared" si="0"/>
        <v>9</v>
      </c>
      <c r="P23" s="15">
        <f t="shared" si="1"/>
        <v>81</v>
      </c>
      <c r="R23" s="36" t="s">
        <v>147</v>
      </c>
      <c r="S23" s="34">
        <f>SUM(C62:C65)</f>
        <v>22</v>
      </c>
      <c r="T23" s="34">
        <f t="shared" ref="T23:AF23" si="15">SUM(D62:D65)</f>
        <v>1</v>
      </c>
      <c r="U23" s="34">
        <f t="shared" si="15"/>
        <v>0</v>
      </c>
      <c r="V23" s="34">
        <f t="shared" si="15"/>
        <v>0</v>
      </c>
      <c r="W23" s="34">
        <f t="shared" si="15"/>
        <v>0</v>
      </c>
      <c r="X23" s="34">
        <f t="shared" si="15"/>
        <v>3</v>
      </c>
      <c r="Y23" s="34">
        <f t="shared" si="15"/>
        <v>1</v>
      </c>
      <c r="Z23" s="34">
        <f t="shared" si="15"/>
        <v>4</v>
      </c>
      <c r="AA23" s="34">
        <f t="shared" si="15"/>
        <v>0</v>
      </c>
      <c r="AB23" s="34">
        <f t="shared" si="15"/>
        <v>0</v>
      </c>
      <c r="AC23" s="34">
        <f t="shared" si="15"/>
        <v>156</v>
      </c>
      <c r="AD23" s="34">
        <f t="shared" si="15"/>
        <v>0</v>
      </c>
      <c r="AE23" s="31">
        <f t="shared" si="15"/>
        <v>31</v>
      </c>
      <c r="AF23" s="31">
        <f t="shared" si="15"/>
        <v>187</v>
      </c>
    </row>
    <row r="24" spans="2:32" ht="23.1" customHeight="1" x14ac:dyDescent="0.25">
      <c r="B24" s="45" t="s">
        <v>51</v>
      </c>
      <c r="C24" s="50">
        <v>8</v>
      </c>
      <c r="D24" s="50">
        <v>2</v>
      </c>
      <c r="E24" s="50">
        <v>0</v>
      </c>
      <c r="F24" s="50">
        <v>0</v>
      </c>
      <c r="G24" s="50">
        <v>0</v>
      </c>
      <c r="H24" s="50">
        <v>0</v>
      </c>
      <c r="I24" s="50">
        <v>5</v>
      </c>
      <c r="J24" s="50">
        <v>1</v>
      </c>
      <c r="K24" s="50">
        <v>0</v>
      </c>
      <c r="L24" s="50">
        <v>1</v>
      </c>
      <c r="M24" s="50">
        <v>100</v>
      </c>
      <c r="N24" s="50">
        <v>0</v>
      </c>
      <c r="O24" s="15">
        <f t="shared" si="0"/>
        <v>17</v>
      </c>
      <c r="P24" s="15">
        <f t="shared" si="1"/>
        <v>117</v>
      </c>
      <c r="R24" s="36" t="s">
        <v>148</v>
      </c>
      <c r="S24" s="34">
        <f>SUM(C66:C69)</f>
        <v>12</v>
      </c>
      <c r="T24" s="34">
        <f t="shared" ref="T24:AF24" si="16">SUM(D66:D69)</f>
        <v>0</v>
      </c>
      <c r="U24" s="34">
        <f t="shared" si="16"/>
        <v>0</v>
      </c>
      <c r="V24" s="34">
        <f t="shared" si="16"/>
        <v>0</v>
      </c>
      <c r="W24" s="34">
        <f t="shared" si="16"/>
        <v>0</v>
      </c>
      <c r="X24" s="34">
        <f t="shared" si="16"/>
        <v>1</v>
      </c>
      <c r="Y24" s="34">
        <f t="shared" si="16"/>
        <v>1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46</v>
      </c>
      <c r="AD24" s="34">
        <f t="shared" si="16"/>
        <v>0</v>
      </c>
      <c r="AE24" s="31">
        <f t="shared" si="16"/>
        <v>14</v>
      </c>
      <c r="AF24" s="31">
        <f t="shared" si="16"/>
        <v>60</v>
      </c>
    </row>
    <row r="25" spans="2:32" ht="23.1" customHeight="1" x14ac:dyDescent="0.25">
      <c r="B25" s="45" t="s">
        <v>52</v>
      </c>
      <c r="C25" s="50">
        <v>4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3</v>
      </c>
      <c r="J25" s="50">
        <v>0</v>
      </c>
      <c r="K25" s="50">
        <v>0</v>
      </c>
      <c r="L25" s="50">
        <v>0</v>
      </c>
      <c r="M25" s="50">
        <v>83</v>
      </c>
      <c r="N25" s="50">
        <v>0</v>
      </c>
      <c r="O25" s="15">
        <f t="shared" si="0"/>
        <v>7</v>
      </c>
      <c r="P25" s="15">
        <f t="shared" si="1"/>
        <v>90</v>
      </c>
      <c r="R25" s="36" t="s">
        <v>149</v>
      </c>
      <c r="S25" s="34">
        <f>SUM(C70:C73)</f>
        <v>11</v>
      </c>
      <c r="T25" s="34">
        <f t="shared" ref="T25:AF25" si="17">SUM(D70:D73)</f>
        <v>0</v>
      </c>
      <c r="U25" s="34">
        <f t="shared" si="17"/>
        <v>1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34</v>
      </c>
      <c r="AD25" s="34">
        <f t="shared" si="17"/>
        <v>0</v>
      </c>
      <c r="AE25" s="31">
        <f t="shared" si="17"/>
        <v>12</v>
      </c>
      <c r="AF25" s="31">
        <f t="shared" si="17"/>
        <v>46</v>
      </c>
    </row>
    <row r="26" spans="2:32" ht="23.1" customHeight="1" x14ac:dyDescent="0.25">
      <c r="B26" s="45" t="s">
        <v>53</v>
      </c>
      <c r="C26" s="50">
        <v>5</v>
      </c>
      <c r="D26" s="50">
        <v>1</v>
      </c>
      <c r="E26" s="50">
        <v>0</v>
      </c>
      <c r="F26" s="50">
        <v>0</v>
      </c>
      <c r="G26" s="50">
        <v>0</v>
      </c>
      <c r="H26" s="50">
        <v>0</v>
      </c>
      <c r="I26" s="50">
        <v>3</v>
      </c>
      <c r="J26" s="50">
        <v>1</v>
      </c>
      <c r="K26" s="50">
        <v>0</v>
      </c>
      <c r="L26" s="50">
        <v>0</v>
      </c>
      <c r="M26" s="50">
        <v>107</v>
      </c>
      <c r="N26" s="50">
        <v>0</v>
      </c>
      <c r="O26" s="15">
        <f t="shared" si="0"/>
        <v>10</v>
      </c>
      <c r="P26" s="15">
        <f t="shared" si="1"/>
        <v>117</v>
      </c>
      <c r="R26" s="36" t="s">
        <v>150</v>
      </c>
      <c r="S26" s="34">
        <f>SUM(C74:C77)</f>
        <v>0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16</v>
      </c>
      <c r="AD26" s="34">
        <f t="shared" si="18"/>
        <v>0</v>
      </c>
      <c r="AE26" s="31">
        <f t="shared" si="18"/>
        <v>0</v>
      </c>
      <c r="AF26" s="31">
        <f t="shared" si="18"/>
        <v>16</v>
      </c>
    </row>
    <row r="27" spans="2:32" ht="23.1" customHeight="1" x14ac:dyDescent="0.25">
      <c r="B27" s="45" t="s">
        <v>54</v>
      </c>
      <c r="C27" s="50">
        <v>9</v>
      </c>
      <c r="D27" s="50">
        <v>0</v>
      </c>
      <c r="E27" s="50">
        <v>0</v>
      </c>
      <c r="F27" s="50">
        <v>1</v>
      </c>
      <c r="G27" s="50">
        <v>0</v>
      </c>
      <c r="H27" s="50">
        <v>0</v>
      </c>
      <c r="I27" s="50">
        <v>3</v>
      </c>
      <c r="J27" s="50">
        <v>0</v>
      </c>
      <c r="K27" s="50">
        <v>0</v>
      </c>
      <c r="L27" s="50">
        <v>0</v>
      </c>
      <c r="M27" s="50">
        <v>157</v>
      </c>
      <c r="N27" s="50">
        <v>0</v>
      </c>
      <c r="O27" s="15">
        <f t="shared" si="0"/>
        <v>13</v>
      </c>
      <c r="P27" s="15">
        <f t="shared" si="1"/>
        <v>170</v>
      </c>
      <c r="R27" s="36" t="s">
        <v>151</v>
      </c>
      <c r="S27" s="34">
        <f>SUM(C78:C81)</f>
        <v>1</v>
      </c>
      <c r="T27" s="34">
        <f t="shared" ref="T27:AF27" si="19">SUM(D78:D81)</f>
        <v>1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14</v>
      </c>
      <c r="AD27" s="34">
        <f t="shared" si="19"/>
        <v>0</v>
      </c>
      <c r="AE27" s="31">
        <f t="shared" si="19"/>
        <v>2</v>
      </c>
      <c r="AF27" s="31">
        <f t="shared" si="19"/>
        <v>16</v>
      </c>
    </row>
    <row r="28" spans="2:32" ht="23.1" customHeight="1" x14ac:dyDescent="0.25">
      <c r="B28" s="45" t="s">
        <v>55</v>
      </c>
      <c r="C28" s="50">
        <v>16</v>
      </c>
      <c r="D28" s="50">
        <v>0</v>
      </c>
      <c r="E28" s="50">
        <v>2</v>
      </c>
      <c r="F28" s="50">
        <v>0</v>
      </c>
      <c r="G28" s="50">
        <v>0</v>
      </c>
      <c r="H28" s="50">
        <v>1</v>
      </c>
      <c r="I28" s="50">
        <v>1</v>
      </c>
      <c r="J28" s="50">
        <v>1</v>
      </c>
      <c r="K28" s="50">
        <v>0</v>
      </c>
      <c r="L28" s="50">
        <v>3</v>
      </c>
      <c r="M28" s="50">
        <v>101</v>
      </c>
      <c r="N28" s="50">
        <v>0</v>
      </c>
      <c r="O28" s="15">
        <f t="shared" si="0"/>
        <v>24</v>
      </c>
      <c r="P28" s="15">
        <f t="shared" si="1"/>
        <v>125</v>
      </c>
      <c r="R28" s="36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7</v>
      </c>
      <c r="AD28" s="34">
        <f t="shared" si="20"/>
        <v>0</v>
      </c>
      <c r="AE28" s="31">
        <f t="shared" si="20"/>
        <v>1</v>
      </c>
      <c r="AF28" s="31">
        <f t="shared" si="20"/>
        <v>8</v>
      </c>
    </row>
    <row r="29" spans="2:32" ht="23.1" customHeight="1" x14ac:dyDescent="0.25">
      <c r="B29" s="45" t="s">
        <v>56</v>
      </c>
      <c r="C29" s="50">
        <v>11</v>
      </c>
      <c r="D29" s="50">
        <v>0</v>
      </c>
      <c r="E29" s="50">
        <v>1</v>
      </c>
      <c r="F29" s="50">
        <v>0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v>0</v>
      </c>
      <c r="M29" s="50">
        <v>72</v>
      </c>
      <c r="N29" s="50">
        <v>0</v>
      </c>
      <c r="O29" s="15">
        <f t="shared" si="0"/>
        <v>15</v>
      </c>
      <c r="P29" s="15">
        <f t="shared" si="1"/>
        <v>87</v>
      </c>
      <c r="R29" s="36" t="s">
        <v>153</v>
      </c>
      <c r="S29" s="34">
        <f>SUM(C86:C89)</f>
        <v>2</v>
      </c>
      <c r="T29" s="34">
        <f t="shared" ref="T29:AF29" si="21">SUM(D86:D89)</f>
        <v>1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7</v>
      </c>
      <c r="AD29" s="34">
        <f t="shared" si="21"/>
        <v>0</v>
      </c>
      <c r="AE29" s="31">
        <f t="shared" si="21"/>
        <v>3</v>
      </c>
      <c r="AF29" s="31">
        <f t="shared" si="21"/>
        <v>10</v>
      </c>
    </row>
    <row r="30" spans="2:32" ht="23.1" customHeight="1" x14ac:dyDescent="0.25">
      <c r="B30" s="45" t="s">
        <v>57</v>
      </c>
      <c r="C30" s="50">
        <v>6</v>
      </c>
      <c r="D30" s="50">
        <v>0</v>
      </c>
      <c r="E30" s="50">
        <v>0</v>
      </c>
      <c r="F30" s="50">
        <v>0</v>
      </c>
      <c r="G30" s="50">
        <v>1</v>
      </c>
      <c r="H30" s="50">
        <v>0</v>
      </c>
      <c r="I30" s="50">
        <v>3</v>
      </c>
      <c r="J30" s="50">
        <v>1</v>
      </c>
      <c r="K30" s="50">
        <v>0</v>
      </c>
      <c r="L30" s="50">
        <v>0</v>
      </c>
      <c r="M30" s="50">
        <v>60</v>
      </c>
      <c r="N30" s="50">
        <v>0</v>
      </c>
      <c r="O30" s="15">
        <f t="shared" si="0"/>
        <v>11</v>
      </c>
      <c r="P30" s="15">
        <f t="shared" si="1"/>
        <v>71</v>
      </c>
      <c r="R30" s="36" t="s">
        <v>154</v>
      </c>
      <c r="S30" s="34">
        <f>SUM(C90:C93)</f>
        <v>1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34</v>
      </c>
      <c r="AD30" s="34">
        <f t="shared" si="22"/>
        <v>0</v>
      </c>
      <c r="AE30" s="31">
        <f t="shared" si="22"/>
        <v>1</v>
      </c>
      <c r="AF30" s="31">
        <f t="shared" si="22"/>
        <v>35</v>
      </c>
    </row>
    <row r="31" spans="2:32" ht="23.1" customHeight="1" x14ac:dyDescent="0.25">
      <c r="B31" s="46" t="s">
        <v>58</v>
      </c>
      <c r="C31" s="50">
        <v>3</v>
      </c>
      <c r="D31" s="50">
        <v>1</v>
      </c>
      <c r="E31" s="50">
        <v>1</v>
      </c>
      <c r="F31" s="50">
        <v>0</v>
      </c>
      <c r="G31" s="50">
        <v>0</v>
      </c>
      <c r="H31" s="50">
        <v>1</v>
      </c>
      <c r="I31" s="50">
        <v>2</v>
      </c>
      <c r="J31" s="50">
        <v>0</v>
      </c>
      <c r="K31" s="50">
        <v>0</v>
      </c>
      <c r="L31" s="50">
        <v>1</v>
      </c>
      <c r="M31" s="50">
        <v>83</v>
      </c>
      <c r="N31" s="50">
        <v>0</v>
      </c>
      <c r="O31" s="15">
        <f t="shared" si="0"/>
        <v>9</v>
      </c>
      <c r="P31" s="15">
        <f t="shared" si="1"/>
        <v>92</v>
      </c>
      <c r="R31" s="36" t="s">
        <v>155</v>
      </c>
      <c r="S31" s="34">
        <f>SUM(C94:C97)</f>
        <v>1</v>
      </c>
      <c r="T31" s="34">
        <f t="shared" ref="T31:AF31" si="23">SUM(D94:D97)</f>
        <v>0</v>
      </c>
      <c r="U31" s="34">
        <f t="shared" si="23"/>
        <v>1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8</v>
      </c>
      <c r="AD31" s="34">
        <f t="shared" si="23"/>
        <v>0</v>
      </c>
      <c r="AE31" s="31">
        <f t="shared" si="23"/>
        <v>2</v>
      </c>
      <c r="AF31" s="31">
        <f t="shared" si="23"/>
        <v>10</v>
      </c>
    </row>
    <row r="32" spans="2:32" ht="23.1" customHeight="1" x14ac:dyDescent="0.25">
      <c r="B32" s="46" t="s">
        <v>59</v>
      </c>
      <c r="C32" s="50">
        <v>5</v>
      </c>
      <c r="D32" s="50">
        <v>1</v>
      </c>
      <c r="E32" s="50">
        <v>2</v>
      </c>
      <c r="F32" s="50">
        <v>0</v>
      </c>
      <c r="G32" s="50">
        <v>0</v>
      </c>
      <c r="H32" s="50">
        <v>0</v>
      </c>
      <c r="I32" s="50">
        <v>3</v>
      </c>
      <c r="J32" s="50">
        <v>0</v>
      </c>
      <c r="K32" s="50">
        <v>0</v>
      </c>
      <c r="L32" s="50">
        <v>0</v>
      </c>
      <c r="M32" s="50">
        <v>70</v>
      </c>
      <c r="N32" s="50">
        <v>0</v>
      </c>
      <c r="O32" s="15">
        <f t="shared" si="0"/>
        <v>11</v>
      </c>
      <c r="P32" s="15">
        <f t="shared" si="1"/>
        <v>81</v>
      </c>
      <c r="R32" s="33" t="s">
        <v>156</v>
      </c>
      <c r="S32" s="34">
        <f>SUM(C98:C101)</f>
        <v>9</v>
      </c>
      <c r="T32" s="34">
        <f t="shared" ref="T32:AF32" si="24">SUM(D98:D101)</f>
        <v>0</v>
      </c>
      <c r="U32" s="34">
        <f t="shared" si="24"/>
        <v>1</v>
      </c>
      <c r="V32" s="34">
        <f t="shared" si="24"/>
        <v>1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23</v>
      </c>
      <c r="AD32" s="34">
        <f t="shared" si="24"/>
        <v>0</v>
      </c>
      <c r="AE32" s="31">
        <f t="shared" si="24"/>
        <v>11</v>
      </c>
      <c r="AF32" s="31">
        <f t="shared" si="24"/>
        <v>34</v>
      </c>
    </row>
    <row r="33" spans="2:32" ht="23.1" customHeight="1" x14ac:dyDescent="0.25">
      <c r="B33" s="45" t="s">
        <v>60</v>
      </c>
      <c r="C33" s="50">
        <v>6</v>
      </c>
      <c r="D33" s="50">
        <v>1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65</v>
      </c>
      <c r="N33" s="50">
        <v>0</v>
      </c>
      <c r="O33" s="15">
        <f t="shared" si="0"/>
        <v>7</v>
      </c>
      <c r="P33" s="15">
        <f t="shared" si="1"/>
        <v>72</v>
      </c>
      <c r="R33" s="33" t="s">
        <v>157</v>
      </c>
      <c r="S33" s="34">
        <f>SUM(C102:C105)</f>
        <v>7</v>
      </c>
      <c r="T33" s="34">
        <f t="shared" ref="T33:AF33" si="25">SUM(D102:D105)</f>
        <v>1</v>
      </c>
      <c r="U33" s="34">
        <f t="shared" si="25"/>
        <v>0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2</v>
      </c>
      <c r="Z33" s="34">
        <f t="shared" si="25"/>
        <v>0</v>
      </c>
      <c r="AA33" s="34">
        <f t="shared" si="25"/>
        <v>3</v>
      </c>
      <c r="AB33" s="34">
        <f t="shared" si="25"/>
        <v>1</v>
      </c>
      <c r="AC33" s="34">
        <f t="shared" si="25"/>
        <v>16</v>
      </c>
      <c r="AD33" s="34">
        <f t="shared" si="25"/>
        <v>0</v>
      </c>
      <c r="AE33" s="31">
        <f t="shared" si="25"/>
        <v>14</v>
      </c>
      <c r="AF33" s="31">
        <f t="shared" si="25"/>
        <v>30</v>
      </c>
    </row>
    <row r="34" spans="2:32" ht="23.1" customHeight="1" x14ac:dyDescent="0.25">
      <c r="B34" s="46" t="s">
        <v>61</v>
      </c>
      <c r="C34" s="50">
        <v>7</v>
      </c>
      <c r="D34" s="50">
        <v>2</v>
      </c>
      <c r="E34" s="50">
        <v>1</v>
      </c>
      <c r="F34" s="50">
        <v>0</v>
      </c>
      <c r="G34" s="50">
        <v>0</v>
      </c>
      <c r="H34" s="50">
        <v>1</v>
      </c>
      <c r="I34" s="50">
        <v>5</v>
      </c>
      <c r="J34" s="50">
        <v>0</v>
      </c>
      <c r="K34" s="50">
        <v>0</v>
      </c>
      <c r="L34" s="50">
        <v>1</v>
      </c>
      <c r="M34" s="50">
        <v>62</v>
      </c>
      <c r="N34" s="50">
        <v>0</v>
      </c>
      <c r="O34" s="15">
        <f t="shared" si="0"/>
        <v>17</v>
      </c>
      <c r="P34" s="15">
        <f t="shared" si="1"/>
        <v>79</v>
      </c>
      <c r="R34" s="38" t="s">
        <v>90</v>
      </c>
      <c r="S34" s="39">
        <f t="shared" ref="S34:AF34" si="26">MAX(S10:S12)</f>
        <v>23</v>
      </c>
      <c r="T34" s="39">
        <f t="shared" si="26"/>
        <v>1</v>
      </c>
      <c r="U34" s="39">
        <f t="shared" si="26"/>
        <v>3</v>
      </c>
      <c r="V34" s="39">
        <f t="shared" si="26"/>
        <v>3</v>
      </c>
      <c r="W34" s="39">
        <f t="shared" si="26"/>
        <v>0</v>
      </c>
      <c r="X34" s="39">
        <f t="shared" si="26"/>
        <v>2</v>
      </c>
      <c r="Y34" s="39">
        <f t="shared" si="26"/>
        <v>5</v>
      </c>
      <c r="Z34" s="39">
        <f t="shared" si="26"/>
        <v>1</v>
      </c>
      <c r="AA34" s="39">
        <f t="shared" si="26"/>
        <v>1</v>
      </c>
      <c r="AB34" s="39">
        <f t="shared" si="26"/>
        <v>6</v>
      </c>
      <c r="AC34" s="39">
        <f t="shared" si="26"/>
        <v>442</v>
      </c>
      <c r="AD34" s="39">
        <f t="shared" si="26"/>
        <v>0</v>
      </c>
      <c r="AE34" s="40">
        <f t="shared" si="26"/>
        <v>40</v>
      </c>
      <c r="AF34" s="40">
        <f t="shared" si="26"/>
        <v>468</v>
      </c>
    </row>
    <row r="35" spans="2:32" ht="23.1" customHeight="1" x14ac:dyDescent="0.25">
      <c r="B35" s="46" t="s">
        <v>62</v>
      </c>
      <c r="C35" s="50">
        <v>12</v>
      </c>
      <c r="D35" s="50">
        <v>2</v>
      </c>
      <c r="E35" s="50">
        <v>1</v>
      </c>
      <c r="F35" s="50">
        <v>0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94</v>
      </c>
      <c r="N35" s="50">
        <v>0</v>
      </c>
      <c r="O35" s="15">
        <f t="shared" si="0"/>
        <v>16</v>
      </c>
      <c r="P35" s="15">
        <f t="shared" si="1"/>
        <v>110</v>
      </c>
      <c r="R35" s="38" t="s">
        <v>91</v>
      </c>
      <c r="S35" s="39">
        <f t="shared" ref="S35:AF35" si="27">MAX(S13:S18)</f>
        <v>46</v>
      </c>
      <c r="T35" s="39">
        <f t="shared" si="27"/>
        <v>7</v>
      </c>
      <c r="U35" s="39">
        <f t="shared" si="27"/>
        <v>4</v>
      </c>
      <c r="V35" s="39">
        <f t="shared" si="27"/>
        <v>12</v>
      </c>
      <c r="W35" s="39">
        <f t="shared" si="27"/>
        <v>1</v>
      </c>
      <c r="X35" s="39">
        <f t="shared" si="27"/>
        <v>2</v>
      </c>
      <c r="Y35" s="39">
        <f t="shared" si="27"/>
        <v>10</v>
      </c>
      <c r="Z35" s="39">
        <f t="shared" si="27"/>
        <v>4</v>
      </c>
      <c r="AA35" s="39">
        <f t="shared" si="27"/>
        <v>1</v>
      </c>
      <c r="AB35" s="39">
        <f t="shared" si="27"/>
        <v>4</v>
      </c>
      <c r="AC35" s="39">
        <f t="shared" si="27"/>
        <v>437</v>
      </c>
      <c r="AD35" s="39">
        <f t="shared" si="27"/>
        <v>0</v>
      </c>
      <c r="AE35" s="40">
        <f t="shared" si="27"/>
        <v>74</v>
      </c>
      <c r="AF35" s="40">
        <f t="shared" si="27"/>
        <v>499</v>
      </c>
    </row>
    <row r="36" spans="2:32" ht="23.1" customHeight="1" x14ac:dyDescent="0.25">
      <c r="B36" s="46" t="s">
        <v>63</v>
      </c>
      <c r="C36" s="50">
        <v>12</v>
      </c>
      <c r="D36" s="50">
        <v>2</v>
      </c>
      <c r="E36" s="50">
        <v>1</v>
      </c>
      <c r="F36" s="50">
        <v>1</v>
      </c>
      <c r="G36" s="50">
        <v>0</v>
      </c>
      <c r="H36" s="50">
        <v>0</v>
      </c>
      <c r="I36" s="50">
        <v>2</v>
      </c>
      <c r="J36" s="50">
        <v>1</v>
      </c>
      <c r="K36" s="50">
        <v>0</v>
      </c>
      <c r="L36" s="50">
        <v>2</v>
      </c>
      <c r="M36" s="50">
        <v>81</v>
      </c>
      <c r="N36" s="50">
        <v>0</v>
      </c>
      <c r="O36" s="15">
        <f t="shared" si="0"/>
        <v>21</v>
      </c>
      <c r="P36" s="15">
        <f t="shared" si="1"/>
        <v>102</v>
      </c>
      <c r="R36" s="38" t="s">
        <v>92</v>
      </c>
      <c r="S36" s="39">
        <f t="shared" ref="S36:AF36" si="28">MAX(S19:S21)</f>
        <v>59</v>
      </c>
      <c r="T36" s="39">
        <f t="shared" si="28"/>
        <v>3</v>
      </c>
      <c r="U36" s="39">
        <f t="shared" si="28"/>
        <v>2</v>
      </c>
      <c r="V36" s="39">
        <f t="shared" si="28"/>
        <v>8</v>
      </c>
      <c r="W36" s="39">
        <f t="shared" si="28"/>
        <v>0</v>
      </c>
      <c r="X36" s="39">
        <f t="shared" si="28"/>
        <v>0</v>
      </c>
      <c r="Y36" s="39">
        <f t="shared" si="28"/>
        <v>8</v>
      </c>
      <c r="Z36" s="39">
        <f t="shared" si="28"/>
        <v>7</v>
      </c>
      <c r="AA36" s="39">
        <f t="shared" si="28"/>
        <v>1</v>
      </c>
      <c r="AB36" s="39">
        <f t="shared" si="28"/>
        <v>8</v>
      </c>
      <c r="AC36" s="39">
        <f t="shared" si="28"/>
        <v>549</v>
      </c>
      <c r="AD36" s="39">
        <f t="shared" si="28"/>
        <v>0</v>
      </c>
      <c r="AE36" s="40">
        <f t="shared" si="28"/>
        <v>85</v>
      </c>
      <c r="AF36" s="40">
        <f t="shared" si="28"/>
        <v>634</v>
      </c>
    </row>
    <row r="37" spans="2:32" ht="23.1" customHeight="1" x14ac:dyDescent="0.25">
      <c r="B37" s="45" t="s">
        <v>64</v>
      </c>
      <c r="C37" s="50">
        <v>15</v>
      </c>
      <c r="D37" s="50">
        <v>1</v>
      </c>
      <c r="E37" s="50">
        <v>1</v>
      </c>
      <c r="F37" s="50">
        <v>1</v>
      </c>
      <c r="G37" s="50">
        <v>0</v>
      </c>
      <c r="H37" s="50">
        <v>0</v>
      </c>
      <c r="I37" s="50">
        <v>1</v>
      </c>
      <c r="J37" s="50">
        <v>1</v>
      </c>
      <c r="K37" s="50">
        <v>0</v>
      </c>
      <c r="L37" s="50">
        <v>0</v>
      </c>
      <c r="M37" s="50">
        <v>87</v>
      </c>
      <c r="N37" s="50">
        <v>0</v>
      </c>
      <c r="O37" s="15">
        <f t="shared" si="0"/>
        <v>20</v>
      </c>
      <c r="P37" s="15">
        <f t="shared" si="1"/>
        <v>107</v>
      </c>
      <c r="R37" s="37" t="s">
        <v>85</v>
      </c>
      <c r="S37" s="35">
        <f t="shared" ref="S37:AF37" si="29">SUM(S10:S12)</f>
        <v>63</v>
      </c>
      <c r="T37" s="16">
        <f t="shared" si="29"/>
        <v>2</v>
      </c>
      <c r="U37" s="16">
        <f t="shared" si="29"/>
        <v>4</v>
      </c>
      <c r="V37" s="16">
        <f t="shared" si="29"/>
        <v>6</v>
      </c>
      <c r="W37" s="16">
        <f t="shared" si="29"/>
        <v>0</v>
      </c>
      <c r="X37" s="16">
        <f t="shared" si="29"/>
        <v>3</v>
      </c>
      <c r="Y37" s="16">
        <f t="shared" si="29"/>
        <v>10</v>
      </c>
      <c r="Z37" s="16">
        <f t="shared" si="29"/>
        <v>2</v>
      </c>
      <c r="AA37" s="16">
        <f t="shared" si="29"/>
        <v>2</v>
      </c>
      <c r="AB37" s="16">
        <f t="shared" si="29"/>
        <v>6</v>
      </c>
      <c r="AC37" s="16">
        <f t="shared" si="29"/>
        <v>1190</v>
      </c>
      <c r="AD37" s="16">
        <f t="shared" si="29"/>
        <v>0</v>
      </c>
      <c r="AE37" s="32">
        <f t="shared" si="29"/>
        <v>98</v>
      </c>
      <c r="AF37" s="32">
        <f t="shared" si="29"/>
        <v>1288</v>
      </c>
    </row>
    <row r="38" spans="2:32" ht="23.1" customHeight="1" x14ac:dyDescent="0.25">
      <c r="B38" s="46" t="s">
        <v>65</v>
      </c>
      <c r="C38" s="50">
        <v>7</v>
      </c>
      <c r="D38" s="50">
        <v>1</v>
      </c>
      <c r="E38" s="50">
        <v>1</v>
      </c>
      <c r="F38" s="50">
        <v>1</v>
      </c>
      <c r="G38" s="50">
        <v>0</v>
      </c>
      <c r="H38" s="50">
        <v>0</v>
      </c>
      <c r="I38" s="50">
        <v>1</v>
      </c>
      <c r="J38" s="50">
        <v>1</v>
      </c>
      <c r="K38" s="50">
        <v>0</v>
      </c>
      <c r="L38" s="50">
        <v>0</v>
      </c>
      <c r="M38" s="50">
        <v>55</v>
      </c>
      <c r="N38" s="50">
        <v>0</v>
      </c>
      <c r="O38" s="15">
        <f t="shared" si="0"/>
        <v>12</v>
      </c>
      <c r="P38" s="15">
        <f t="shared" si="1"/>
        <v>67</v>
      </c>
      <c r="R38" s="28" t="s">
        <v>86</v>
      </c>
      <c r="S38" s="16">
        <f t="shared" ref="S38:AF38" si="30">SUM(S13:S18)</f>
        <v>179</v>
      </c>
      <c r="T38" s="16">
        <f t="shared" si="30"/>
        <v>18</v>
      </c>
      <c r="U38" s="16">
        <f t="shared" si="30"/>
        <v>17</v>
      </c>
      <c r="V38" s="16">
        <f t="shared" si="30"/>
        <v>18</v>
      </c>
      <c r="W38" s="16">
        <f t="shared" si="30"/>
        <v>1</v>
      </c>
      <c r="X38" s="16">
        <f t="shared" si="30"/>
        <v>5</v>
      </c>
      <c r="Y38" s="16">
        <f t="shared" si="30"/>
        <v>46</v>
      </c>
      <c r="Z38" s="16">
        <f t="shared" si="30"/>
        <v>12</v>
      </c>
      <c r="AA38" s="16">
        <f t="shared" si="30"/>
        <v>1</v>
      </c>
      <c r="AB38" s="16">
        <f t="shared" si="30"/>
        <v>13</v>
      </c>
      <c r="AC38" s="16">
        <f t="shared" si="30"/>
        <v>2038</v>
      </c>
      <c r="AD38" s="16">
        <f t="shared" si="30"/>
        <v>0</v>
      </c>
      <c r="AE38" s="32">
        <f t="shared" si="30"/>
        <v>310</v>
      </c>
      <c r="AF38" s="32">
        <f t="shared" si="30"/>
        <v>2348</v>
      </c>
    </row>
    <row r="39" spans="2:32" ht="23.1" customHeight="1" x14ac:dyDescent="0.25">
      <c r="B39" s="46" t="s">
        <v>66</v>
      </c>
      <c r="C39" s="50">
        <v>4</v>
      </c>
      <c r="D39" s="50">
        <v>1</v>
      </c>
      <c r="E39" s="50">
        <v>0</v>
      </c>
      <c r="F39" s="50">
        <v>1</v>
      </c>
      <c r="G39" s="50">
        <v>0</v>
      </c>
      <c r="H39" s="50">
        <v>0</v>
      </c>
      <c r="I39" s="50">
        <v>3</v>
      </c>
      <c r="J39" s="50">
        <v>2</v>
      </c>
      <c r="K39" s="50">
        <v>0</v>
      </c>
      <c r="L39" s="50">
        <v>0</v>
      </c>
      <c r="M39" s="50">
        <v>103</v>
      </c>
      <c r="N39" s="50">
        <v>0</v>
      </c>
      <c r="O39" s="15">
        <f t="shared" si="0"/>
        <v>11</v>
      </c>
      <c r="P39" s="15">
        <f t="shared" si="1"/>
        <v>114</v>
      </c>
      <c r="R39" s="29" t="s">
        <v>87</v>
      </c>
      <c r="S39" s="16">
        <f t="shared" ref="S39:AF39" si="31">SUM(S19:S21)</f>
        <v>150</v>
      </c>
      <c r="T39" s="16">
        <f t="shared" si="31"/>
        <v>6</v>
      </c>
      <c r="U39" s="16">
        <f t="shared" si="31"/>
        <v>4</v>
      </c>
      <c r="V39" s="16">
        <f t="shared" si="31"/>
        <v>16</v>
      </c>
      <c r="W39" s="16">
        <f t="shared" si="31"/>
        <v>0</v>
      </c>
      <c r="X39" s="16">
        <f t="shared" si="31"/>
        <v>0</v>
      </c>
      <c r="Y39" s="16">
        <f t="shared" si="31"/>
        <v>22</v>
      </c>
      <c r="Z39" s="16">
        <f t="shared" si="31"/>
        <v>12</v>
      </c>
      <c r="AA39" s="16">
        <f t="shared" si="31"/>
        <v>2</v>
      </c>
      <c r="AB39" s="16">
        <f t="shared" si="31"/>
        <v>12</v>
      </c>
      <c r="AC39" s="16">
        <f t="shared" si="31"/>
        <v>1172</v>
      </c>
      <c r="AD39" s="16">
        <f t="shared" si="31"/>
        <v>0</v>
      </c>
      <c r="AE39" s="32">
        <f t="shared" si="31"/>
        <v>224</v>
      </c>
      <c r="AF39" s="32">
        <f t="shared" si="31"/>
        <v>1396</v>
      </c>
    </row>
    <row r="40" spans="2:32" ht="23.1" customHeight="1" x14ac:dyDescent="0.25">
      <c r="B40" s="46" t="s">
        <v>67</v>
      </c>
      <c r="C40" s="50">
        <v>11</v>
      </c>
      <c r="D40" s="50">
        <v>0</v>
      </c>
      <c r="E40" s="50">
        <v>0</v>
      </c>
      <c r="F40" s="50">
        <v>1</v>
      </c>
      <c r="G40" s="50">
        <v>0</v>
      </c>
      <c r="H40" s="50">
        <v>0</v>
      </c>
      <c r="I40" s="50">
        <v>1</v>
      </c>
      <c r="J40" s="50">
        <v>1</v>
      </c>
      <c r="K40" s="50">
        <v>0</v>
      </c>
      <c r="L40" s="50">
        <v>1</v>
      </c>
      <c r="M40" s="50">
        <v>90</v>
      </c>
      <c r="N40" s="50">
        <v>0</v>
      </c>
      <c r="O40" s="15">
        <f t="shared" si="0"/>
        <v>15</v>
      </c>
      <c r="P40" s="15">
        <f t="shared" si="1"/>
        <v>105</v>
      </c>
      <c r="R40" s="5" t="s">
        <v>17</v>
      </c>
      <c r="S40" s="16">
        <f t="shared" ref="S40:AF40" si="32">SUM(S10:S21)</f>
        <v>392</v>
      </c>
      <c r="T40" s="16">
        <f t="shared" si="32"/>
        <v>26</v>
      </c>
      <c r="U40" s="16">
        <f t="shared" si="32"/>
        <v>25</v>
      </c>
      <c r="V40" s="16">
        <f t="shared" si="32"/>
        <v>40</v>
      </c>
      <c r="W40" s="16">
        <f t="shared" si="32"/>
        <v>1</v>
      </c>
      <c r="X40" s="16">
        <f t="shared" si="32"/>
        <v>8</v>
      </c>
      <c r="Y40" s="16">
        <f t="shared" si="32"/>
        <v>78</v>
      </c>
      <c r="Z40" s="16">
        <f t="shared" si="32"/>
        <v>26</v>
      </c>
      <c r="AA40" s="16">
        <f t="shared" si="32"/>
        <v>5</v>
      </c>
      <c r="AB40" s="16">
        <f t="shared" si="32"/>
        <v>31</v>
      </c>
      <c r="AC40" s="16">
        <f t="shared" si="32"/>
        <v>4400</v>
      </c>
      <c r="AD40" s="16">
        <f t="shared" si="32"/>
        <v>0</v>
      </c>
      <c r="AE40" s="32">
        <f t="shared" si="32"/>
        <v>632</v>
      </c>
      <c r="AF40" s="32">
        <f t="shared" si="32"/>
        <v>5032</v>
      </c>
    </row>
    <row r="41" spans="2:32" ht="23.1" customHeight="1" x14ac:dyDescent="0.25">
      <c r="B41" s="45" t="s">
        <v>68</v>
      </c>
      <c r="C41" s="50">
        <v>4</v>
      </c>
      <c r="D41" s="50">
        <v>1</v>
      </c>
      <c r="E41" s="50">
        <v>2</v>
      </c>
      <c r="F41" s="50">
        <v>0</v>
      </c>
      <c r="G41" s="50">
        <v>0</v>
      </c>
      <c r="H41" s="50">
        <v>2</v>
      </c>
      <c r="I41" s="50">
        <v>0</v>
      </c>
      <c r="J41" s="50">
        <v>0</v>
      </c>
      <c r="K41" s="50">
        <v>0</v>
      </c>
      <c r="L41" s="50">
        <v>0</v>
      </c>
      <c r="M41" s="50">
        <v>106</v>
      </c>
      <c r="N41" s="50">
        <v>0</v>
      </c>
      <c r="O41" s="15">
        <f t="shared" si="0"/>
        <v>9</v>
      </c>
      <c r="P41" s="15">
        <f t="shared" si="1"/>
        <v>115</v>
      </c>
      <c r="R41" s="5" t="s">
        <v>159</v>
      </c>
      <c r="S41" s="16">
        <f>SUM(S10:S33)</f>
        <v>495</v>
      </c>
      <c r="T41" s="16">
        <f t="shared" ref="T41:AF41" si="33">SUM(T10:T33)</f>
        <v>33</v>
      </c>
      <c r="U41" s="16">
        <f t="shared" si="33"/>
        <v>29</v>
      </c>
      <c r="V41" s="16">
        <f t="shared" si="33"/>
        <v>46</v>
      </c>
      <c r="W41" s="16">
        <f t="shared" si="33"/>
        <v>2</v>
      </c>
      <c r="X41" s="16">
        <f t="shared" si="33"/>
        <v>15</v>
      </c>
      <c r="Y41" s="16">
        <f t="shared" si="33"/>
        <v>87</v>
      </c>
      <c r="Z41" s="16">
        <f t="shared" si="33"/>
        <v>34</v>
      </c>
      <c r="AA41" s="16">
        <f t="shared" si="33"/>
        <v>8</v>
      </c>
      <c r="AB41" s="16">
        <f t="shared" si="33"/>
        <v>35</v>
      </c>
      <c r="AC41" s="16">
        <f t="shared" si="33"/>
        <v>5122</v>
      </c>
      <c r="AD41" s="16">
        <f t="shared" si="33"/>
        <v>0</v>
      </c>
      <c r="AE41" s="32">
        <f t="shared" si="33"/>
        <v>784</v>
      </c>
      <c r="AF41" s="32">
        <f t="shared" si="33"/>
        <v>5906</v>
      </c>
    </row>
    <row r="42" spans="2:32" ht="23.1" customHeight="1" x14ac:dyDescent="0.25">
      <c r="B42" s="46" t="s">
        <v>69</v>
      </c>
      <c r="C42" s="50">
        <v>8</v>
      </c>
      <c r="D42" s="50">
        <v>1</v>
      </c>
      <c r="E42" s="50">
        <v>1</v>
      </c>
      <c r="F42" s="50">
        <v>8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1</v>
      </c>
      <c r="M42" s="50">
        <v>89</v>
      </c>
      <c r="N42" s="50">
        <v>0</v>
      </c>
      <c r="O42" s="15">
        <f t="shared" si="0"/>
        <v>21</v>
      </c>
      <c r="P42" s="15">
        <f t="shared" si="1"/>
        <v>110</v>
      </c>
      <c r="R42" s="5" t="s">
        <v>160</v>
      </c>
      <c r="S42" s="48">
        <f>S41/S40</f>
        <v>1.2627551020408163</v>
      </c>
      <c r="T42" s="48">
        <f t="shared" ref="T42:AF42" si="34">T41/T40</f>
        <v>1.2692307692307692</v>
      </c>
      <c r="U42" s="48">
        <f t="shared" si="34"/>
        <v>1.1599999999999999</v>
      </c>
      <c r="V42" s="48">
        <f t="shared" si="34"/>
        <v>1.1499999999999999</v>
      </c>
      <c r="W42" s="48">
        <f t="shared" si="34"/>
        <v>2</v>
      </c>
      <c r="X42" s="48">
        <f t="shared" si="34"/>
        <v>1.875</v>
      </c>
      <c r="Y42" s="48">
        <f t="shared" si="34"/>
        <v>1.1153846153846154</v>
      </c>
      <c r="Z42" s="48">
        <f t="shared" si="34"/>
        <v>1.3076923076923077</v>
      </c>
      <c r="AA42" s="48">
        <f t="shared" si="34"/>
        <v>1.6</v>
      </c>
      <c r="AB42" s="48">
        <f t="shared" si="34"/>
        <v>1.1290322580645162</v>
      </c>
      <c r="AC42" s="48">
        <f t="shared" si="34"/>
        <v>1.1640909090909091</v>
      </c>
      <c r="AD42" s="48" t="e">
        <f t="shared" si="34"/>
        <v>#DIV/0!</v>
      </c>
      <c r="AE42" s="48">
        <f t="shared" si="34"/>
        <v>1.240506329113924</v>
      </c>
      <c r="AF42" s="48">
        <f t="shared" si="34"/>
        <v>1.1736883942766296</v>
      </c>
    </row>
    <row r="43" spans="2:32" ht="23.1" customHeight="1" x14ac:dyDescent="0.25">
      <c r="B43" s="45" t="s">
        <v>70</v>
      </c>
      <c r="C43" s="50">
        <v>6</v>
      </c>
      <c r="D43" s="50">
        <v>1</v>
      </c>
      <c r="E43" s="50">
        <v>0</v>
      </c>
      <c r="F43" s="50">
        <v>1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70</v>
      </c>
      <c r="N43" s="50">
        <v>0</v>
      </c>
      <c r="O43" s="15">
        <f t="shared" si="0"/>
        <v>8</v>
      </c>
      <c r="P43" s="15">
        <f t="shared" si="1"/>
        <v>78</v>
      </c>
    </row>
    <row r="44" spans="2:32" ht="23.1" customHeight="1" x14ac:dyDescent="0.25">
      <c r="B44" s="47" t="s">
        <v>71</v>
      </c>
      <c r="C44" s="50">
        <v>4</v>
      </c>
      <c r="D44" s="50">
        <v>0</v>
      </c>
      <c r="E44" s="50">
        <v>1</v>
      </c>
      <c r="F44" s="50">
        <v>1</v>
      </c>
      <c r="G44" s="50">
        <v>0</v>
      </c>
      <c r="H44" s="50">
        <v>0</v>
      </c>
      <c r="I44" s="50">
        <v>1</v>
      </c>
      <c r="J44" s="50">
        <v>1</v>
      </c>
      <c r="K44" s="50">
        <v>0</v>
      </c>
      <c r="L44" s="50">
        <v>1</v>
      </c>
      <c r="M44" s="50">
        <v>108</v>
      </c>
      <c r="N44" s="50">
        <v>0</v>
      </c>
      <c r="O44" s="15">
        <f t="shared" si="0"/>
        <v>9</v>
      </c>
      <c r="P44" s="15">
        <f t="shared" si="1"/>
        <v>117</v>
      </c>
    </row>
    <row r="45" spans="2:32" ht="23.1" customHeight="1" x14ac:dyDescent="0.25">
      <c r="B45" s="45" t="s">
        <v>72</v>
      </c>
      <c r="C45" s="50">
        <v>4</v>
      </c>
      <c r="D45" s="50">
        <v>0</v>
      </c>
      <c r="E45" s="50">
        <v>0</v>
      </c>
      <c r="F45" s="50">
        <v>2</v>
      </c>
      <c r="G45" s="50">
        <v>0</v>
      </c>
      <c r="H45" s="50">
        <v>0</v>
      </c>
      <c r="I45" s="50">
        <v>1</v>
      </c>
      <c r="J45" s="50">
        <v>1</v>
      </c>
      <c r="K45" s="50">
        <v>1</v>
      </c>
      <c r="L45" s="50">
        <v>2</v>
      </c>
      <c r="M45" s="50">
        <v>64</v>
      </c>
      <c r="N45" s="50">
        <v>0</v>
      </c>
      <c r="O45" s="15">
        <f t="shared" si="0"/>
        <v>11</v>
      </c>
      <c r="P45" s="15">
        <f t="shared" si="1"/>
        <v>75</v>
      </c>
    </row>
    <row r="46" spans="2:32" ht="23.1" customHeight="1" x14ac:dyDescent="0.25">
      <c r="B46" s="46" t="s">
        <v>73</v>
      </c>
      <c r="C46" s="50">
        <v>10</v>
      </c>
      <c r="D46" s="50">
        <v>0</v>
      </c>
      <c r="E46" s="50">
        <v>0</v>
      </c>
      <c r="F46" s="50">
        <v>1</v>
      </c>
      <c r="G46" s="50">
        <v>0</v>
      </c>
      <c r="H46" s="50">
        <v>0</v>
      </c>
      <c r="I46" s="50">
        <v>0</v>
      </c>
      <c r="J46" s="50">
        <v>1</v>
      </c>
      <c r="K46" s="50">
        <v>1</v>
      </c>
      <c r="L46" s="50">
        <v>2</v>
      </c>
      <c r="M46" s="50">
        <v>64</v>
      </c>
      <c r="N46" s="50">
        <v>0</v>
      </c>
      <c r="O46" s="15">
        <f t="shared" si="0"/>
        <v>15</v>
      </c>
      <c r="P46" s="15">
        <f t="shared" si="1"/>
        <v>79</v>
      </c>
      <c r="R46" s="8"/>
      <c r="T46"/>
    </row>
    <row r="47" spans="2:32" ht="23.1" customHeight="1" x14ac:dyDescent="0.25">
      <c r="B47" s="46" t="s">
        <v>74</v>
      </c>
      <c r="C47" s="50">
        <v>9</v>
      </c>
      <c r="D47" s="50">
        <v>1</v>
      </c>
      <c r="E47" s="50">
        <v>0</v>
      </c>
      <c r="F47" s="50">
        <v>1</v>
      </c>
      <c r="G47" s="50">
        <v>0</v>
      </c>
      <c r="H47" s="50">
        <v>0</v>
      </c>
      <c r="I47" s="50">
        <v>4</v>
      </c>
      <c r="J47" s="50">
        <v>2</v>
      </c>
      <c r="K47" s="50">
        <v>0</v>
      </c>
      <c r="L47" s="50">
        <v>3</v>
      </c>
      <c r="M47" s="50">
        <v>98</v>
      </c>
      <c r="N47" s="50">
        <v>0</v>
      </c>
      <c r="O47" s="15">
        <f t="shared" si="0"/>
        <v>20</v>
      </c>
      <c r="P47" s="15">
        <f t="shared" si="1"/>
        <v>118</v>
      </c>
      <c r="R47" s="8"/>
      <c r="T47"/>
    </row>
    <row r="48" spans="2:32" ht="23.1" customHeight="1" x14ac:dyDescent="0.25">
      <c r="B48" s="46" t="s">
        <v>75</v>
      </c>
      <c r="C48" s="50">
        <v>26</v>
      </c>
      <c r="D48" s="50">
        <v>0</v>
      </c>
      <c r="E48" s="50">
        <v>1</v>
      </c>
      <c r="F48" s="50">
        <v>0</v>
      </c>
      <c r="G48" s="50">
        <v>0</v>
      </c>
      <c r="H48" s="50">
        <v>0</v>
      </c>
      <c r="I48" s="50">
        <v>2</v>
      </c>
      <c r="J48" s="50">
        <v>0</v>
      </c>
      <c r="K48" s="50">
        <v>0</v>
      </c>
      <c r="L48" s="50">
        <v>0</v>
      </c>
      <c r="M48" s="50">
        <v>44</v>
      </c>
      <c r="N48" s="50">
        <v>0</v>
      </c>
      <c r="O48" s="15">
        <f t="shared" si="0"/>
        <v>29</v>
      </c>
      <c r="P48" s="15">
        <f t="shared" si="1"/>
        <v>73</v>
      </c>
      <c r="R48" s="8"/>
      <c r="T48"/>
    </row>
    <row r="49" spans="2:20" ht="23.1" customHeight="1" x14ac:dyDescent="0.25">
      <c r="B49" s="45" t="s">
        <v>76</v>
      </c>
      <c r="C49" s="50">
        <v>10</v>
      </c>
      <c r="D49" s="50">
        <v>2</v>
      </c>
      <c r="E49" s="50">
        <v>1</v>
      </c>
      <c r="F49" s="50">
        <v>1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3</v>
      </c>
      <c r="M49" s="50">
        <v>75</v>
      </c>
      <c r="N49" s="50">
        <v>0</v>
      </c>
      <c r="O49" s="15">
        <f t="shared" si="0"/>
        <v>19</v>
      </c>
      <c r="P49" s="15">
        <f t="shared" si="1"/>
        <v>94</v>
      </c>
      <c r="R49" s="8"/>
      <c r="T49"/>
    </row>
    <row r="50" spans="2:20" ht="23.1" customHeight="1" x14ac:dyDescent="0.25">
      <c r="B50" s="46" t="s">
        <v>77</v>
      </c>
      <c r="C50" s="50">
        <v>6</v>
      </c>
      <c r="D50" s="50">
        <v>1</v>
      </c>
      <c r="E50" s="50">
        <v>1</v>
      </c>
      <c r="F50" s="50">
        <v>1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2</v>
      </c>
      <c r="M50" s="50">
        <v>65</v>
      </c>
      <c r="N50" s="50">
        <v>0</v>
      </c>
      <c r="O50" s="15">
        <f t="shared" si="0"/>
        <v>11</v>
      </c>
      <c r="P50" s="15">
        <f t="shared" si="1"/>
        <v>76</v>
      </c>
      <c r="R50" s="8"/>
      <c r="T50"/>
    </row>
    <row r="51" spans="2:20" ht="23.1" customHeight="1" x14ac:dyDescent="0.25">
      <c r="B51" s="46" t="s">
        <v>78</v>
      </c>
      <c r="C51" s="50">
        <v>11</v>
      </c>
      <c r="D51" s="50">
        <v>0</v>
      </c>
      <c r="E51" s="50">
        <v>0</v>
      </c>
      <c r="F51" s="50">
        <v>1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92</v>
      </c>
      <c r="N51" s="50">
        <v>0</v>
      </c>
      <c r="O51" s="15">
        <f t="shared" si="0"/>
        <v>12</v>
      </c>
      <c r="P51" s="15">
        <f t="shared" si="1"/>
        <v>104</v>
      </c>
      <c r="R51" s="8"/>
      <c r="T51"/>
    </row>
    <row r="52" spans="2:20" ht="23.1" customHeight="1" x14ac:dyDescent="0.25">
      <c r="B52" s="46" t="s">
        <v>79</v>
      </c>
      <c r="C52" s="50">
        <v>9</v>
      </c>
      <c r="D52" s="50">
        <v>1</v>
      </c>
      <c r="E52" s="50">
        <v>0</v>
      </c>
      <c r="F52" s="50">
        <v>2</v>
      </c>
      <c r="G52" s="50">
        <v>0</v>
      </c>
      <c r="H52" s="50">
        <v>0</v>
      </c>
      <c r="I52" s="50">
        <v>4</v>
      </c>
      <c r="J52" s="50">
        <v>1</v>
      </c>
      <c r="K52" s="50">
        <v>0</v>
      </c>
      <c r="L52" s="50">
        <v>0</v>
      </c>
      <c r="M52" s="50">
        <v>101</v>
      </c>
      <c r="N52" s="50">
        <v>0</v>
      </c>
      <c r="O52" s="15">
        <f t="shared" si="0"/>
        <v>17</v>
      </c>
      <c r="P52" s="15">
        <f t="shared" si="1"/>
        <v>118</v>
      </c>
      <c r="R52" s="8"/>
      <c r="T52"/>
    </row>
    <row r="53" spans="2:20" ht="23.1" customHeight="1" x14ac:dyDescent="0.25">
      <c r="B53" s="45" t="s">
        <v>80</v>
      </c>
      <c r="C53" s="50">
        <v>10</v>
      </c>
      <c r="D53" s="50">
        <v>0</v>
      </c>
      <c r="E53" s="50">
        <v>0</v>
      </c>
      <c r="F53" s="50">
        <v>1</v>
      </c>
      <c r="G53" s="50">
        <v>0</v>
      </c>
      <c r="H53" s="50">
        <v>0</v>
      </c>
      <c r="I53" s="50">
        <v>3</v>
      </c>
      <c r="J53" s="50">
        <v>1</v>
      </c>
      <c r="K53" s="50">
        <v>0</v>
      </c>
      <c r="L53" s="50">
        <v>1</v>
      </c>
      <c r="M53" s="50">
        <v>84</v>
      </c>
      <c r="N53" s="50">
        <v>0</v>
      </c>
      <c r="O53" s="15">
        <f t="shared" si="0"/>
        <v>16</v>
      </c>
      <c r="P53" s="15">
        <f t="shared" si="1"/>
        <v>100</v>
      </c>
      <c r="R53" s="8"/>
      <c r="T53"/>
    </row>
    <row r="54" spans="2:20" ht="23.1" customHeight="1" x14ac:dyDescent="0.25">
      <c r="B54" s="45" t="s">
        <v>81</v>
      </c>
      <c r="C54" s="50">
        <v>14</v>
      </c>
      <c r="D54" s="50">
        <v>0</v>
      </c>
      <c r="E54" s="50">
        <v>0</v>
      </c>
      <c r="F54" s="50">
        <v>3</v>
      </c>
      <c r="G54" s="50">
        <v>0</v>
      </c>
      <c r="H54" s="50">
        <v>0</v>
      </c>
      <c r="I54" s="50">
        <v>2</v>
      </c>
      <c r="J54" s="50">
        <v>1</v>
      </c>
      <c r="K54" s="50">
        <v>0</v>
      </c>
      <c r="L54" s="50">
        <v>1</v>
      </c>
      <c r="M54" s="50">
        <v>140</v>
      </c>
      <c r="N54" s="50">
        <v>0</v>
      </c>
      <c r="O54" s="15">
        <f t="shared" si="0"/>
        <v>21</v>
      </c>
      <c r="P54" s="15">
        <f t="shared" si="1"/>
        <v>161</v>
      </c>
      <c r="R54" s="8"/>
      <c r="T54"/>
    </row>
    <row r="55" spans="2:20" ht="23.1" customHeight="1" x14ac:dyDescent="0.25">
      <c r="B55" s="45" t="s">
        <v>82</v>
      </c>
      <c r="C55" s="50">
        <v>11</v>
      </c>
      <c r="D55" s="50">
        <v>0</v>
      </c>
      <c r="E55" s="50">
        <v>1</v>
      </c>
      <c r="F55" s="50">
        <v>3</v>
      </c>
      <c r="G55" s="50">
        <v>0</v>
      </c>
      <c r="H55" s="50">
        <v>0</v>
      </c>
      <c r="I55" s="50">
        <v>0</v>
      </c>
      <c r="J55" s="50">
        <v>2</v>
      </c>
      <c r="K55" s="50">
        <v>1</v>
      </c>
      <c r="L55" s="50">
        <v>0</v>
      </c>
      <c r="M55" s="50">
        <v>105</v>
      </c>
      <c r="N55" s="50">
        <v>0</v>
      </c>
      <c r="O55" s="15">
        <f t="shared" si="0"/>
        <v>18</v>
      </c>
      <c r="P55" s="15">
        <f t="shared" si="1"/>
        <v>123</v>
      </c>
      <c r="R55" s="8"/>
      <c r="T55"/>
    </row>
    <row r="56" spans="2:20" ht="23.1" customHeight="1" x14ac:dyDescent="0.25">
      <c r="B56" s="45" t="s">
        <v>83</v>
      </c>
      <c r="C56" s="50">
        <v>16</v>
      </c>
      <c r="D56" s="50">
        <v>0</v>
      </c>
      <c r="E56" s="50">
        <v>0</v>
      </c>
      <c r="F56" s="50">
        <v>2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159</v>
      </c>
      <c r="N56" s="50">
        <v>0</v>
      </c>
      <c r="O56" s="15">
        <f t="shared" si="0"/>
        <v>20</v>
      </c>
      <c r="P56" s="15">
        <f t="shared" si="1"/>
        <v>179</v>
      </c>
      <c r="R56" s="8"/>
      <c r="T56"/>
    </row>
    <row r="57" spans="2:20" ht="23.1" customHeight="1" x14ac:dyDescent="0.25">
      <c r="B57" s="45" t="s">
        <v>84</v>
      </c>
      <c r="C57" s="50">
        <v>18</v>
      </c>
      <c r="D57" s="50">
        <v>1</v>
      </c>
      <c r="E57" s="50">
        <v>0</v>
      </c>
      <c r="F57" s="50">
        <v>0</v>
      </c>
      <c r="G57" s="50">
        <v>0</v>
      </c>
      <c r="H57" s="50">
        <v>0</v>
      </c>
      <c r="I57" s="50">
        <v>3</v>
      </c>
      <c r="J57" s="50">
        <v>4</v>
      </c>
      <c r="K57" s="50">
        <v>0</v>
      </c>
      <c r="L57" s="50">
        <v>0</v>
      </c>
      <c r="M57" s="50">
        <v>145</v>
      </c>
      <c r="N57" s="50">
        <v>0</v>
      </c>
      <c r="O57" s="15">
        <f t="shared" si="0"/>
        <v>26</v>
      </c>
      <c r="P57" s="15">
        <f t="shared" si="1"/>
        <v>171</v>
      </c>
      <c r="R57" s="8"/>
      <c r="T57"/>
    </row>
    <row r="58" spans="2:20" ht="23.1" customHeight="1" x14ac:dyDescent="0.25">
      <c r="B58" s="45" t="s">
        <v>99</v>
      </c>
      <c r="C58" s="50">
        <v>9</v>
      </c>
      <c r="D58" s="50">
        <v>2</v>
      </c>
      <c r="E58" s="50">
        <v>0</v>
      </c>
      <c r="F58" s="50">
        <v>2</v>
      </c>
      <c r="G58" s="50">
        <v>1</v>
      </c>
      <c r="H58" s="50">
        <v>0</v>
      </c>
      <c r="I58" s="50">
        <v>2</v>
      </c>
      <c r="J58" s="50">
        <v>1</v>
      </c>
      <c r="K58" s="50">
        <v>0</v>
      </c>
      <c r="L58" s="50">
        <v>1</v>
      </c>
      <c r="M58" s="50">
        <v>135</v>
      </c>
      <c r="N58" s="50">
        <v>0</v>
      </c>
      <c r="O58" s="15">
        <f t="shared" ref="O58:O105" si="35">SUM(C58:L58,N58)</f>
        <v>18</v>
      </c>
      <c r="P58" s="15">
        <f t="shared" ref="P58:P105" si="36">SUM(C58:N58)</f>
        <v>153</v>
      </c>
      <c r="R58" s="8"/>
      <c r="T58"/>
    </row>
    <row r="59" spans="2:20" ht="23.1" customHeight="1" x14ac:dyDescent="0.25">
      <c r="B59" s="45" t="s">
        <v>100</v>
      </c>
      <c r="C59" s="50">
        <v>17</v>
      </c>
      <c r="D59" s="50">
        <v>1</v>
      </c>
      <c r="E59" s="50">
        <v>0</v>
      </c>
      <c r="F59" s="50">
        <v>1</v>
      </c>
      <c r="G59" s="50">
        <v>0</v>
      </c>
      <c r="H59" s="50">
        <v>1</v>
      </c>
      <c r="I59" s="50">
        <v>1</v>
      </c>
      <c r="J59" s="50">
        <v>0</v>
      </c>
      <c r="K59" s="50">
        <v>0</v>
      </c>
      <c r="L59" s="50">
        <v>1</v>
      </c>
      <c r="M59" s="50">
        <v>95</v>
      </c>
      <c r="N59" s="50">
        <v>0</v>
      </c>
      <c r="O59" s="15">
        <f t="shared" si="35"/>
        <v>22</v>
      </c>
      <c r="P59" s="15">
        <f t="shared" si="36"/>
        <v>117</v>
      </c>
      <c r="R59" s="8"/>
      <c r="T59"/>
    </row>
    <row r="60" spans="2:20" ht="23.1" customHeight="1" x14ac:dyDescent="0.25">
      <c r="B60" s="45" t="s">
        <v>101</v>
      </c>
      <c r="C60" s="50">
        <v>4</v>
      </c>
      <c r="D60" s="50">
        <v>0</v>
      </c>
      <c r="E60" s="50">
        <v>1</v>
      </c>
      <c r="F60" s="50">
        <v>2</v>
      </c>
      <c r="G60" s="50">
        <v>0</v>
      </c>
      <c r="H60" s="50">
        <v>2</v>
      </c>
      <c r="I60" s="50">
        <v>0</v>
      </c>
      <c r="J60" s="50">
        <v>1</v>
      </c>
      <c r="K60" s="50">
        <v>0</v>
      </c>
      <c r="L60" s="50">
        <v>1</v>
      </c>
      <c r="M60" s="50">
        <v>75</v>
      </c>
      <c r="N60" s="50">
        <v>0</v>
      </c>
      <c r="O60" s="15">
        <f t="shared" si="35"/>
        <v>11</v>
      </c>
      <c r="P60" s="15">
        <f t="shared" si="36"/>
        <v>86</v>
      </c>
      <c r="R60" s="8"/>
      <c r="T60"/>
    </row>
    <row r="61" spans="2:20" ht="23.1" customHeight="1" x14ac:dyDescent="0.25">
      <c r="B61" s="45" t="s">
        <v>102</v>
      </c>
      <c r="C61" s="50">
        <v>6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2</v>
      </c>
      <c r="J61" s="50">
        <v>2</v>
      </c>
      <c r="K61" s="50">
        <v>0</v>
      </c>
      <c r="L61" s="50">
        <v>0</v>
      </c>
      <c r="M61" s="50">
        <v>56</v>
      </c>
      <c r="N61" s="50">
        <v>0</v>
      </c>
      <c r="O61" s="15">
        <f t="shared" si="35"/>
        <v>10</v>
      </c>
      <c r="P61" s="15">
        <f t="shared" si="36"/>
        <v>66</v>
      </c>
      <c r="R61" s="8"/>
      <c r="T61"/>
    </row>
    <row r="62" spans="2:20" ht="23.1" customHeight="1" x14ac:dyDescent="0.25">
      <c r="B62" s="45" t="s">
        <v>107</v>
      </c>
      <c r="C62" s="50">
        <v>9</v>
      </c>
      <c r="D62" s="50">
        <v>0</v>
      </c>
      <c r="E62" s="50">
        <v>0</v>
      </c>
      <c r="F62" s="50">
        <v>0</v>
      </c>
      <c r="G62" s="50">
        <v>0</v>
      </c>
      <c r="H62" s="50">
        <v>2</v>
      </c>
      <c r="I62" s="50">
        <v>1</v>
      </c>
      <c r="J62" s="50">
        <v>2</v>
      </c>
      <c r="K62" s="50">
        <v>0</v>
      </c>
      <c r="L62" s="50">
        <v>0</v>
      </c>
      <c r="M62" s="50">
        <v>63</v>
      </c>
      <c r="N62" s="50">
        <v>0</v>
      </c>
      <c r="O62" s="15">
        <f t="shared" si="35"/>
        <v>14</v>
      </c>
      <c r="P62" s="15">
        <f t="shared" si="36"/>
        <v>77</v>
      </c>
      <c r="R62" s="8"/>
      <c r="T62"/>
    </row>
    <row r="63" spans="2:20" ht="23.1" customHeight="1" x14ac:dyDescent="0.25">
      <c r="B63" s="45" t="s">
        <v>108</v>
      </c>
      <c r="C63" s="50">
        <v>3</v>
      </c>
      <c r="D63" s="50">
        <v>1</v>
      </c>
      <c r="E63" s="50">
        <v>0</v>
      </c>
      <c r="F63" s="50">
        <v>0</v>
      </c>
      <c r="G63" s="50">
        <v>0</v>
      </c>
      <c r="H63" s="50">
        <v>1</v>
      </c>
      <c r="I63" s="50">
        <v>0</v>
      </c>
      <c r="J63" s="50">
        <v>2</v>
      </c>
      <c r="K63" s="50">
        <v>0</v>
      </c>
      <c r="L63" s="50">
        <v>0</v>
      </c>
      <c r="M63" s="50">
        <v>41</v>
      </c>
      <c r="N63" s="50">
        <v>0</v>
      </c>
      <c r="O63" s="15">
        <f t="shared" si="35"/>
        <v>7</v>
      </c>
      <c r="P63" s="15">
        <f t="shared" si="36"/>
        <v>48</v>
      </c>
      <c r="R63" s="8"/>
      <c r="T63"/>
    </row>
    <row r="64" spans="2:20" ht="23.1" customHeight="1" x14ac:dyDescent="0.25">
      <c r="B64" s="45" t="s">
        <v>109</v>
      </c>
      <c r="C64" s="50">
        <v>2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24</v>
      </c>
      <c r="N64" s="50">
        <v>0</v>
      </c>
      <c r="O64" s="15">
        <f t="shared" si="35"/>
        <v>2</v>
      </c>
      <c r="P64" s="15">
        <f t="shared" si="36"/>
        <v>26</v>
      </c>
      <c r="R64" s="8"/>
      <c r="T64"/>
    </row>
    <row r="65" spans="2:20" ht="23.1" customHeight="1" x14ac:dyDescent="0.25">
      <c r="B65" s="45" t="s">
        <v>158</v>
      </c>
      <c r="C65" s="50">
        <v>8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28</v>
      </c>
      <c r="N65" s="50">
        <v>0</v>
      </c>
      <c r="O65" s="15">
        <f t="shared" si="35"/>
        <v>8</v>
      </c>
      <c r="P65" s="15">
        <f t="shared" si="36"/>
        <v>36</v>
      </c>
      <c r="R65" s="8"/>
      <c r="T65"/>
    </row>
    <row r="66" spans="2:20" ht="23.1" customHeight="1" x14ac:dyDescent="0.25">
      <c r="B66" s="45" t="s">
        <v>103</v>
      </c>
      <c r="C66" s="50">
        <v>4</v>
      </c>
      <c r="D66" s="50">
        <v>0</v>
      </c>
      <c r="E66" s="50">
        <v>0</v>
      </c>
      <c r="F66" s="50">
        <v>0</v>
      </c>
      <c r="G66" s="50">
        <v>0</v>
      </c>
      <c r="H66" s="50">
        <v>1</v>
      </c>
      <c r="I66" s="50">
        <v>0</v>
      </c>
      <c r="J66" s="50">
        <v>0</v>
      </c>
      <c r="K66" s="50">
        <v>0</v>
      </c>
      <c r="L66" s="50">
        <v>0</v>
      </c>
      <c r="M66" s="50">
        <v>13</v>
      </c>
      <c r="N66" s="50">
        <v>0</v>
      </c>
      <c r="O66" s="15">
        <f t="shared" si="35"/>
        <v>5</v>
      </c>
      <c r="P66" s="15">
        <f t="shared" si="36"/>
        <v>18</v>
      </c>
      <c r="R66" s="8"/>
      <c r="T66"/>
    </row>
    <row r="67" spans="2:20" ht="23.1" customHeight="1" x14ac:dyDescent="0.25">
      <c r="B67" s="45" t="s">
        <v>104</v>
      </c>
      <c r="C67" s="50">
        <v>2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1</v>
      </c>
      <c r="J67" s="50">
        <v>0</v>
      </c>
      <c r="K67" s="50">
        <v>0</v>
      </c>
      <c r="L67" s="50">
        <v>0</v>
      </c>
      <c r="M67" s="50">
        <v>19</v>
      </c>
      <c r="N67" s="50">
        <v>0</v>
      </c>
      <c r="O67" s="15">
        <f t="shared" si="35"/>
        <v>3</v>
      </c>
      <c r="P67" s="15">
        <f t="shared" si="36"/>
        <v>22</v>
      </c>
      <c r="R67" s="8"/>
      <c r="T67"/>
    </row>
    <row r="68" spans="2:20" ht="23.1" customHeight="1" x14ac:dyDescent="0.25">
      <c r="B68" s="45" t="s">
        <v>105</v>
      </c>
      <c r="C68" s="50">
        <v>5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5</v>
      </c>
      <c r="N68" s="50">
        <v>0</v>
      </c>
      <c r="O68" s="15">
        <f t="shared" si="35"/>
        <v>5</v>
      </c>
      <c r="P68" s="15">
        <f t="shared" si="36"/>
        <v>10</v>
      </c>
      <c r="R68" s="8"/>
      <c r="T68"/>
    </row>
    <row r="69" spans="2:20" ht="23.1" customHeight="1" x14ac:dyDescent="0.25">
      <c r="B69" s="45" t="s">
        <v>106</v>
      </c>
      <c r="C69" s="50">
        <v>1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9</v>
      </c>
      <c r="N69" s="50">
        <v>0</v>
      </c>
      <c r="O69" s="15">
        <f t="shared" si="35"/>
        <v>1</v>
      </c>
      <c r="P69" s="15">
        <f t="shared" si="36"/>
        <v>10</v>
      </c>
      <c r="R69" s="8"/>
      <c r="T69"/>
    </row>
    <row r="70" spans="2:20" ht="23.1" customHeight="1" x14ac:dyDescent="0.25">
      <c r="B70" s="45" t="s">
        <v>110</v>
      </c>
      <c r="C70" s="50">
        <v>3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10</v>
      </c>
      <c r="N70" s="50">
        <v>0</v>
      </c>
      <c r="O70" s="15">
        <f t="shared" si="35"/>
        <v>3</v>
      </c>
      <c r="P70" s="15">
        <f t="shared" si="36"/>
        <v>13</v>
      </c>
      <c r="R70" s="8"/>
      <c r="T70"/>
    </row>
    <row r="71" spans="2:20" ht="23.1" customHeight="1" x14ac:dyDescent="0.25">
      <c r="B71" s="45" t="s">
        <v>111</v>
      </c>
      <c r="C71" s="50">
        <v>1</v>
      </c>
      <c r="D71" s="50">
        <v>0</v>
      </c>
      <c r="E71" s="50">
        <v>1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10</v>
      </c>
      <c r="N71" s="50">
        <v>0</v>
      </c>
      <c r="O71" s="15">
        <f t="shared" si="35"/>
        <v>2</v>
      </c>
      <c r="P71" s="15">
        <f t="shared" si="36"/>
        <v>12</v>
      </c>
      <c r="R71" s="8"/>
      <c r="T71"/>
    </row>
    <row r="72" spans="2:20" ht="23.1" customHeight="1" x14ac:dyDescent="0.25">
      <c r="B72" s="45" t="s">
        <v>112</v>
      </c>
      <c r="C72" s="50">
        <v>5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6</v>
      </c>
      <c r="N72" s="50">
        <v>0</v>
      </c>
      <c r="O72" s="15">
        <f t="shared" si="35"/>
        <v>5</v>
      </c>
      <c r="P72" s="15">
        <f t="shared" si="36"/>
        <v>11</v>
      </c>
      <c r="R72" s="8"/>
      <c r="T72"/>
    </row>
    <row r="73" spans="2:20" ht="23.1" customHeight="1" x14ac:dyDescent="0.25">
      <c r="B73" s="45" t="s">
        <v>113</v>
      </c>
      <c r="C73" s="50">
        <v>2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8</v>
      </c>
      <c r="N73" s="50">
        <v>0</v>
      </c>
      <c r="O73" s="15">
        <f t="shared" si="35"/>
        <v>2</v>
      </c>
      <c r="P73" s="15">
        <f t="shared" si="36"/>
        <v>10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11</v>
      </c>
      <c r="N74" s="50">
        <v>0</v>
      </c>
      <c r="O74" s="15">
        <f t="shared" si="35"/>
        <v>0</v>
      </c>
      <c r="P74" s="15">
        <f t="shared" si="36"/>
        <v>11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4</v>
      </c>
      <c r="N75" s="50">
        <v>0</v>
      </c>
      <c r="O75" s="15">
        <f t="shared" si="35"/>
        <v>0</v>
      </c>
      <c r="P75" s="15">
        <f t="shared" si="36"/>
        <v>4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1</v>
      </c>
      <c r="N76" s="50">
        <v>0</v>
      </c>
      <c r="O76" s="15">
        <f t="shared" si="35"/>
        <v>0</v>
      </c>
      <c r="P76" s="15">
        <f t="shared" si="36"/>
        <v>1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0</v>
      </c>
      <c r="P77" s="15">
        <f t="shared" si="36"/>
        <v>0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2</v>
      </c>
      <c r="N78" s="50">
        <v>0</v>
      </c>
      <c r="O78" s="15">
        <f t="shared" si="35"/>
        <v>0</v>
      </c>
      <c r="P78" s="15">
        <f t="shared" si="36"/>
        <v>2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1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1</v>
      </c>
      <c r="N79" s="50">
        <v>0</v>
      </c>
      <c r="O79" s="15">
        <f t="shared" si="35"/>
        <v>1</v>
      </c>
      <c r="P79" s="15">
        <f t="shared" si="36"/>
        <v>2</v>
      </c>
      <c r="R79" s="8"/>
      <c r="T79"/>
    </row>
    <row r="80" spans="2:20" ht="23.1" customHeight="1" x14ac:dyDescent="0.25">
      <c r="B80" s="47" t="s">
        <v>120</v>
      </c>
      <c r="C80" s="50">
        <v>1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4</v>
      </c>
      <c r="N80" s="50">
        <v>0</v>
      </c>
      <c r="O80" s="15">
        <f t="shared" si="35"/>
        <v>1</v>
      </c>
      <c r="P80" s="15">
        <f t="shared" si="36"/>
        <v>5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7</v>
      </c>
      <c r="N81" s="50">
        <v>0</v>
      </c>
      <c r="O81" s="15">
        <f t="shared" si="35"/>
        <v>0</v>
      </c>
      <c r="P81" s="15">
        <f t="shared" si="36"/>
        <v>7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0</v>
      </c>
      <c r="P82" s="15">
        <f t="shared" si="36"/>
        <v>0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2</v>
      </c>
      <c r="N83" s="50">
        <v>0</v>
      </c>
      <c r="O83" s="15">
        <f t="shared" si="35"/>
        <v>0</v>
      </c>
      <c r="P83" s="15">
        <f t="shared" si="36"/>
        <v>2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1</v>
      </c>
      <c r="N84" s="50">
        <v>0</v>
      </c>
      <c r="O84" s="15">
        <f t="shared" si="35"/>
        <v>0</v>
      </c>
      <c r="P84" s="15">
        <f t="shared" si="36"/>
        <v>1</v>
      </c>
      <c r="R84" s="8"/>
      <c r="T84"/>
    </row>
    <row r="85" spans="2:20" ht="23.1" customHeight="1" x14ac:dyDescent="0.25">
      <c r="B85" s="45" t="s">
        <v>125</v>
      </c>
      <c r="C85" s="50">
        <v>1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4</v>
      </c>
      <c r="N85" s="50">
        <v>0</v>
      </c>
      <c r="O85" s="15">
        <f t="shared" si="35"/>
        <v>1</v>
      </c>
      <c r="P85" s="15">
        <f t="shared" si="36"/>
        <v>5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1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1</v>
      </c>
      <c r="N86" s="50">
        <v>0</v>
      </c>
      <c r="O86" s="15">
        <f t="shared" si="35"/>
        <v>1</v>
      </c>
      <c r="P86" s="15">
        <f t="shared" si="36"/>
        <v>2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2</v>
      </c>
      <c r="N87" s="50">
        <v>0</v>
      </c>
      <c r="O87" s="15">
        <f t="shared" si="35"/>
        <v>0</v>
      </c>
      <c r="P87" s="15">
        <f t="shared" si="36"/>
        <v>2</v>
      </c>
      <c r="R87" s="8"/>
      <c r="T87"/>
    </row>
    <row r="88" spans="2:20" ht="23.1" customHeight="1" x14ac:dyDescent="0.25">
      <c r="B88" s="47" t="s">
        <v>128</v>
      </c>
      <c r="C88" s="50">
        <v>2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1</v>
      </c>
      <c r="N88" s="50">
        <v>0</v>
      </c>
      <c r="O88" s="15">
        <f t="shared" si="35"/>
        <v>2</v>
      </c>
      <c r="P88" s="15">
        <f t="shared" si="36"/>
        <v>3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3</v>
      </c>
      <c r="N89" s="50">
        <v>0</v>
      </c>
      <c r="O89" s="15">
        <f t="shared" si="35"/>
        <v>0</v>
      </c>
      <c r="P89" s="15">
        <f t="shared" si="36"/>
        <v>3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17</v>
      </c>
      <c r="N90" s="50">
        <v>0</v>
      </c>
      <c r="O90" s="15">
        <f t="shared" si="35"/>
        <v>0</v>
      </c>
      <c r="P90" s="15">
        <f t="shared" si="36"/>
        <v>17</v>
      </c>
      <c r="R90" s="8"/>
      <c r="T90"/>
    </row>
    <row r="91" spans="2:20" ht="23.1" customHeight="1" x14ac:dyDescent="0.25">
      <c r="B91" s="45" t="s">
        <v>131</v>
      </c>
      <c r="C91" s="50">
        <v>1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6</v>
      </c>
      <c r="N91" s="50">
        <v>0</v>
      </c>
      <c r="O91" s="15">
        <f t="shared" si="35"/>
        <v>1</v>
      </c>
      <c r="P91" s="15">
        <f t="shared" si="36"/>
        <v>7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8</v>
      </c>
      <c r="N92" s="50">
        <v>0</v>
      </c>
      <c r="O92" s="15">
        <f t="shared" si="35"/>
        <v>0</v>
      </c>
      <c r="P92" s="15">
        <f t="shared" si="36"/>
        <v>8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3</v>
      </c>
      <c r="N93" s="50">
        <v>0</v>
      </c>
      <c r="O93" s="15">
        <f t="shared" si="35"/>
        <v>0</v>
      </c>
      <c r="P93" s="15">
        <f t="shared" si="36"/>
        <v>3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1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4</v>
      </c>
      <c r="N94" s="50">
        <v>0</v>
      </c>
      <c r="O94" s="15">
        <f t="shared" si="35"/>
        <v>1</v>
      </c>
      <c r="P94" s="15">
        <f t="shared" si="36"/>
        <v>5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1</v>
      </c>
      <c r="N95" s="50">
        <v>0</v>
      </c>
      <c r="O95" s="15">
        <f t="shared" si="35"/>
        <v>0</v>
      </c>
      <c r="P95" s="15">
        <f t="shared" si="36"/>
        <v>1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2</v>
      </c>
      <c r="N96" s="50">
        <v>0</v>
      </c>
      <c r="O96" s="15">
        <f t="shared" si="35"/>
        <v>0</v>
      </c>
      <c r="P96" s="15">
        <f t="shared" si="36"/>
        <v>2</v>
      </c>
      <c r="R96" s="8"/>
      <c r="T96"/>
    </row>
    <row r="97" spans="2:20" ht="23.1" customHeight="1" x14ac:dyDescent="0.25">
      <c r="B97" s="45" t="s">
        <v>137</v>
      </c>
      <c r="C97" s="50">
        <v>1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1</v>
      </c>
      <c r="N97" s="50">
        <v>0</v>
      </c>
      <c r="O97" s="15">
        <f t="shared" si="35"/>
        <v>1</v>
      </c>
      <c r="P97" s="15">
        <f t="shared" si="36"/>
        <v>2</v>
      </c>
      <c r="R97" s="8"/>
      <c r="T97"/>
    </row>
    <row r="98" spans="2:20" ht="23.1" customHeight="1" x14ac:dyDescent="0.25">
      <c r="B98" s="46" t="s">
        <v>138</v>
      </c>
      <c r="C98" s="50">
        <v>2</v>
      </c>
      <c r="D98" s="50">
        <v>0</v>
      </c>
      <c r="E98" s="50">
        <v>1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5</v>
      </c>
      <c r="N98" s="50">
        <v>0</v>
      </c>
      <c r="O98" s="15">
        <f t="shared" si="35"/>
        <v>3</v>
      </c>
      <c r="P98" s="15">
        <f t="shared" si="36"/>
        <v>8</v>
      </c>
      <c r="R98" s="8"/>
      <c r="T98"/>
    </row>
    <row r="99" spans="2:20" ht="23.1" customHeight="1" x14ac:dyDescent="0.25">
      <c r="B99" s="45" t="s">
        <v>139</v>
      </c>
      <c r="C99" s="50">
        <v>1</v>
      </c>
      <c r="D99" s="50">
        <v>0</v>
      </c>
      <c r="E99" s="50">
        <v>0</v>
      </c>
      <c r="F99" s="50">
        <v>1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11</v>
      </c>
      <c r="N99" s="50">
        <v>0</v>
      </c>
      <c r="O99" s="15">
        <f t="shared" si="35"/>
        <v>2</v>
      </c>
      <c r="P99" s="15">
        <f t="shared" si="36"/>
        <v>13</v>
      </c>
      <c r="R99" s="8"/>
      <c r="T99"/>
    </row>
    <row r="100" spans="2:20" ht="23.1" customHeight="1" x14ac:dyDescent="0.25">
      <c r="B100" s="47" t="s">
        <v>140</v>
      </c>
      <c r="C100" s="50">
        <v>4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5</v>
      </c>
      <c r="N100" s="50">
        <v>0</v>
      </c>
      <c r="O100" s="15">
        <f t="shared" si="35"/>
        <v>4</v>
      </c>
      <c r="P100" s="15">
        <f t="shared" si="36"/>
        <v>9</v>
      </c>
      <c r="R100" s="8"/>
      <c r="T100"/>
    </row>
    <row r="101" spans="2:20" ht="23.1" customHeight="1" x14ac:dyDescent="0.25">
      <c r="B101" s="45" t="s">
        <v>141</v>
      </c>
      <c r="C101" s="50">
        <v>2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2</v>
      </c>
      <c r="N101" s="50">
        <v>0</v>
      </c>
      <c r="O101" s="15">
        <f t="shared" si="35"/>
        <v>2</v>
      </c>
      <c r="P101" s="15">
        <f t="shared" si="36"/>
        <v>4</v>
      </c>
      <c r="R101" s="8"/>
      <c r="T101"/>
    </row>
    <row r="102" spans="2:20" ht="23.1" customHeight="1" x14ac:dyDescent="0.25">
      <c r="B102" s="46" t="s">
        <v>142</v>
      </c>
      <c r="C102" s="50">
        <v>1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6</v>
      </c>
      <c r="N102" s="50">
        <v>0</v>
      </c>
      <c r="O102" s="15">
        <f t="shared" si="35"/>
        <v>1</v>
      </c>
      <c r="P102" s="15">
        <f t="shared" si="36"/>
        <v>7</v>
      </c>
      <c r="R102" s="8"/>
      <c r="T102"/>
    </row>
    <row r="103" spans="2:20" ht="23.1" customHeight="1" x14ac:dyDescent="0.25">
      <c r="B103" s="45" t="s">
        <v>143</v>
      </c>
      <c r="C103" s="50">
        <v>3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1</v>
      </c>
      <c r="J103" s="50">
        <v>0</v>
      </c>
      <c r="K103" s="50">
        <v>1</v>
      </c>
      <c r="L103" s="50">
        <v>0</v>
      </c>
      <c r="M103" s="50">
        <v>3</v>
      </c>
      <c r="N103" s="50">
        <v>0</v>
      </c>
      <c r="O103" s="15">
        <f t="shared" si="35"/>
        <v>5</v>
      </c>
      <c r="P103" s="15">
        <f t="shared" si="36"/>
        <v>8</v>
      </c>
      <c r="R103" s="8"/>
      <c r="T103"/>
    </row>
    <row r="104" spans="2:20" ht="23.1" customHeight="1" x14ac:dyDescent="0.25">
      <c r="B104" s="47" t="s">
        <v>144</v>
      </c>
      <c r="C104" s="50">
        <v>1</v>
      </c>
      <c r="D104" s="50">
        <v>1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2</v>
      </c>
      <c r="L104" s="50">
        <v>1</v>
      </c>
      <c r="M104" s="50">
        <v>2</v>
      </c>
      <c r="N104" s="50">
        <v>0</v>
      </c>
      <c r="O104" s="15">
        <f t="shared" si="35"/>
        <v>5</v>
      </c>
      <c r="P104" s="15">
        <f t="shared" si="36"/>
        <v>7</v>
      </c>
      <c r="R104" s="8"/>
      <c r="T104"/>
    </row>
    <row r="105" spans="2:20" ht="23.1" customHeight="1" x14ac:dyDescent="0.25">
      <c r="B105" s="45" t="s">
        <v>145</v>
      </c>
      <c r="C105" s="50">
        <v>2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1</v>
      </c>
      <c r="J105" s="50">
        <v>0</v>
      </c>
      <c r="K105" s="50">
        <v>0</v>
      </c>
      <c r="L105" s="50">
        <v>0</v>
      </c>
      <c r="M105" s="50">
        <v>5</v>
      </c>
      <c r="N105" s="50">
        <v>0</v>
      </c>
      <c r="O105" s="15">
        <f t="shared" si="35"/>
        <v>3</v>
      </c>
      <c r="P105" s="15">
        <f t="shared" si="36"/>
        <v>8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495</v>
      </c>
      <c r="D106" s="16">
        <f t="shared" ref="D106:P106" si="37">SUM(D10:D105)</f>
        <v>33</v>
      </c>
      <c r="E106" s="16">
        <f t="shared" si="37"/>
        <v>29</v>
      </c>
      <c r="F106" s="16">
        <f t="shared" si="37"/>
        <v>46</v>
      </c>
      <c r="G106" s="16">
        <f t="shared" si="37"/>
        <v>2</v>
      </c>
      <c r="H106" s="16">
        <f t="shared" si="37"/>
        <v>15</v>
      </c>
      <c r="I106" s="16">
        <f t="shared" si="37"/>
        <v>87</v>
      </c>
      <c r="J106" s="16">
        <f t="shared" si="37"/>
        <v>34</v>
      </c>
      <c r="K106" s="16">
        <f t="shared" si="37"/>
        <v>8</v>
      </c>
      <c r="L106" s="16">
        <f t="shared" si="37"/>
        <v>35</v>
      </c>
      <c r="M106" s="16">
        <f t="shared" si="37"/>
        <v>5122</v>
      </c>
      <c r="N106" s="16">
        <f t="shared" si="37"/>
        <v>0</v>
      </c>
      <c r="O106" s="16">
        <f t="shared" si="37"/>
        <v>784</v>
      </c>
      <c r="P106" s="16">
        <f t="shared" si="37"/>
        <v>5906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8.3813071452759902E-2</v>
      </c>
      <c r="D107" s="43">
        <f t="shared" si="38"/>
        <v>5.5875380968506607E-3</v>
      </c>
      <c r="E107" s="43">
        <f t="shared" si="38"/>
        <v>4.9102607517778531E-3</v>
      </c>
      <c r="F107" s="43">
        <f t="shared" si="38"/>
        <v>7.7886894683372844E-3</v>
      </c>
      <c r="G107" s="43">
        <f t="shared" si="38"/>
        <v>3.3863867253640368E-4</v>
      </c>
      <c r="H107" s="43">
        <f t="shared" si="38"/>
        <v>2.5397900440230275E-3</v>
      </c>
      <c r="I107" s="43">
        <f t="shared" si="38"/>
        <v>1.4730782255333559E-2</v>
      </c>
      <c r="J107" s="43">
        <f t="shared" si="38"/>
        <v>5.7568574331188626E-3</v>
      </c>
      <c r="K107" s="43">
        <f t="shared" si="38"/>
        <v>1.3545546901456147E-3</v>
      </c>
      <c r="L107" s="43">
        <f t="shared" si="38"/>
        <v>5.9261767693870636E-3</v>
      </c>
      <c r="M107" s="43">
        <f t="shared" si="38"/>
        <v>0.86725364036572972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0.63137755102040816</v>
      </c>
      <c r="D108" s="44">
        <f t="shared" ref="D108:N108" si="39">D106/$O$106</f>
        <v>4.2091836734693876E-2</v>
      </c>
      <c r="E108" s="44">
        <f t="shared" si="39"/>
        <v>3.6989795918367346E-2</v>
      </c>
      <c r="F108" s="44">
        <f t="shared" si="39"/>
        <v>5.8673469387755105E-2</v>
      </c>
      <c r="G108" s="44">
        <f t="shared" si="39"/>
        <v>2.5510204081632651E-3</v>
      </c>
      <c r="H108" s="44">
        <f t="shared" si="39"/>
        <v>1.913265306122449E-2</v>
      </c>
      <c r="I108" s="44">
        <f t="shared" si="39"/>
        <v>0.11096938775510204</v>
      </c>
      <c r="J108" s="44">
        <f t="shared" si="39"/>
        <v>4.336734693877551E-2</v>
      </c>
      <c r="K108" s="44">
        <f t="shared" si="39"/>
        <v>1.020408163265306E-2</v>
      </c>
      <c r="L108" s="44">
        <f t="shared" si="39"/>
        <v>4.4642857142857144E-2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6" zoomScale="60" workbookViewId="0">
      <selection activeCell="G5" sqref="G5:H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tr">
        <f>'26.10 KASESE-PONDWE'!C3:G3</f>
        <v>MCC - C4 - STN137 - KASESE  ROAD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'25.10.19 PONDWE-KASESE-24h'!D5</f>
        <v>25.10.19</v>
      </c>
      <c r="E5" s="3"/>
      <c r="F5" s="41" t="s">
        <v>1</v>
      </c>
      <c r="G5" s="66" t="str">
        <f>'25.10.19 PONDWE-KASESE-24h'!G5:H5</f>
        <v>KABUYIRI</v>
      </c>
      <c r="H5" s="67"/>
      <c r="I5" s="14"/>
      <c r="J5" s="2" t="s">
        <v>5</v>
      </c>
      <c r="K5" s="66" t="s">
        <v>168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">
        <v>164</v>
      </c>
      <c r="E6" s="67"/>
      <c r="F6" s="2" t="s">
        <v>2</v>
      </c>
      <c r="G6" s="66" t="s">
        <v>166</v>
      </c>
      <c r="H6" s="67"/>
      <c r="J6" s="2" t="s">
        <v>21</v>
      </c>
      <c r="K6" s="66" t="str">
        <f>'25.10.19 PONDWE-KASESE-24h'!K6:L6</f>
        <v>GODFREY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</v>
      </c>
      <c r="D10" s="50">
        <v>0</v>
      </c>
      <c r="E10" s="50">
        <v>0</v>
      </c>
      <c r="F10" s="50">
        <v>3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59</v>
      </c>
      <c r="N10" s="50">
        <v>0</v>
      </c>
      <c r="O10" s="15">
        <f t="shared" ref="O10:O73" si="0">SUM(C10:L10,N10)</f>
        <v>5</v>
      </c>
      <c r="P10" s="15">
        <f t="shared" ref="P10:P73" si="1">SUM(C10:N10)</f>
        <v>64</v>
      </c>
      <c r="R10" s="1" t="s">
        <v>6</v>
      </c>
      <c r="S10" s="17">
        <f t="shared" ref="S10:AF10" si="2">SUM(C10:C13)</f>
        <v>16</v>
      </c>
      <c r="T10" s="17">
        <f t="shared" si="2"/>
        <v>2</v>
      </c>
      <c r="U10" s="17">
        <f t="shared" si="2"/>
        <v>2</v>
      </c>
      <c r="V10" s="17">
        <f t="shared" si="2"/>
        <v>15</v>
      </c>
      <c r="W10" s="17">
        <f t="shared" si="2"/>
        <v>0</v>
      </c>
      <c r="X10" s="17">
        <f t="shared" si="2"/>
        <v>0</v>
      </c>
      <c r="Y10" s="17">
        <f t="shared" si="2"/>
        <v>5</v>
      </c>
      <c r="Z10" s="17">
        <f t="shared" si="2"/>
        <v>4</v>
      </c>
      <c r="AA10" s="17">
        <f t="shared" si="2"/>
        <v>0</v>
      </c>
      <c r="AB10" s="17">
        <f t="shared" si="2"/>
        <v>2</v>
      </c>
      <c r="AC10" s="17">
        <f t="shared" si="2"/>
        <v>520</v>
      </c>
      <c r="AD10" s="17">
        <f t="shared" si="2"/>
        <v>0</v>
      </c>
      <c r="AE10" s="31">
        <f t="shared" si="2"/>
        <v>46</v>
      </c>
      <c r="AF10" s="31">
        <f t="shared" si="2"/>
        <v>566</v>
      </c>
    </row>
    <row r="11" spans="2:32" s="6" customFormat="1" ht="23.1" customHeight="1" x14ac:dyDescent="0.25">
      <c r="B11" s="45" t="s">
        <v>38</v>
      </c>
      <c r="C11" s="50">
        <v>3</v>
      </c>
      <c r="D11" s="50">
        <v>0</v>
      </c>
      <c r="E11" s="50">
        <v>0</v>
      </c>
      <c r="F11" s="50">
        <v>5</v>
      </c>
      <c r="G11" s="50">
        <v>0</v>
      </c>
      <c r="H11" s="50">
        <v>0</v>
      </c>
      <c r="I11" s="50">
        <v>1</v>
      </c>
      <c r="J11" s="50">
        <v>1</v>
      </c>
      <c r="K11" s="50">
        <v>0</v>
      </c>
      <c r="L11" s="50">
        <v>2</v>
      </c>
      <c r="M11" s="50">
        <v>168</v>
      </c>
      <c r="N11" s="50">
        <v>0</v>
      </c>
      <c r="O11" s="15">
        <f t="shared" si="0"/>
        <v>12</v>
      </c>
      <c r="P11" s="15">
        <f t="shared" si="1"/>
        <v>180</v>
      </c>
      <c r="R11" s="1" t="s">
        <v>7</v>
      </c>
      <c r="S11" s="17">
        <f t="shared" ref="S11:AF11" si="3">SUM(C14:C17)</f>
        <v>30</v>
      </c>
      <c r="T11" s="17">
        <f t="shared" si="3"/>
        <v>2</v>
      </c>
      <c r="U11" s="17">
        <f t="shared" si="3"/>
        <v>4</v>
      </c>
      <c r="V11" s="17">
        <f t="shared" si="3"/>
        <v>12</v>
      </c>
      <c r="W11" s="17">
        <f t="shared" si="3"/>
        <v>1</v>
      </c>
      <c r="X11" s="17">
        <f t="shared" si="3"/>
        <v>0</v>
      </c>
      <c r="Y11" s="17">
        <f t="shared" si="3"/>
        <v>3</v>
      </c>
      <c r="Z11" s="17">
        <f t="shared" si="3"/>
        <v>7</v>
      </c>
      <c r="AA11" s="17">
        <f t="shared" si="3"/>
        <v>2</v>
      </c>
      <c r="AB11" s="17">
        <f t="shared" si="3"/>
        <v>1</v>
      </c>
      <c r="AC11" s="17">
        <f t="shared" si="3"/>
        <v>495</v>
      </c>
      <c r="AD11" s="17">
        <f t="shared" si="3"/>
        <v>0</v>
      </c>
      <c r="AE11" s="31">
        <f t="shared" si="3"/>
        <v>62</v>
      </c>
      <c r="AF11" s="31">
        <f t="shared" si="3"/>
        <v>557</v>
      </c>
    </row>
    <row r="12" spans="2:32" ht="23.1" customHeight="1" x14ac:dyDescent="0.25">
      <c r="B12" s="45" t="s">
        <v>39</v>
      </c>
      <c r="C12" s="50">
        <v>4</v>
      </c>
      <c r="D12" s="50">
        <v>1</v>
      </c>
      <c r="E12" s="50">
        <v>1</v>
      </c>
      <c r="F12" s="50">
        <v>3</v>
      </c>
      <c r="G12" s="50">
        <v>0</v>
      </c>
      <c r="H12" s="50">
        <v>0</v>
      </c>
      <c r="I12" s="50">
        <v>0</v>
      </c>
      <c r="J12" s="50">
        <v>1</v>
      </c>
      <c r="K12" s="50">
        <v>0</v>
      </c>
      <c r="L12" s="50">
        <v>0</v>
      </c>
      <c r="M12" s="50">
        <v>148</v>
      </c>
      <c r="N12" s="50">
        <v>0</v>
      </c>
      <c r="O12" s="15">
        <f t="shared" si="0"/>
        <v>10</v>
      </c>
      <c r="P12" s="15">
        <f t="shared" si="1"/>
        <v>158</v>
      </c>
      <c r="R12" s="1" t="s">
        <v>8</v>
      </c>
      <c r="S12" s="17">
        <f t="shared" ref="S12:AF12" si="4">SUM(C18:C21)</f>
        <v>24</v>
      </c>
      <c r="T12" s="17">
        <f t="shared" si="4"/>
        <v>0</v>
      </c>
      <c r="U12" s="17">
        <f t="shared" si="4"/>
        <v>2</v>
      </c>
      <c r="V12" s="17">
        <f t="shared" si="4"/>
        <v>12</v>
      </c>
      <c r="W12" s="17">
        <f t="shared" si="4"/>
        <v>0</v>
      </c>
      <c r="X12" s="17">
        <f t="shared" si="4"/>
        <v>1</v>
      </c>
      <c r="Y12" s="17">
        <f t="shared" si="4"/>
        <v>5</v>
      </c>
      <c r="Z12" s="17">
        <f t="shared" si="4"/>
        <v>5</v>
      </c>
      <c r="AA12" s="17">
        <f t="shared" si="4"/>
        <v>0</v>
      </c>
      <c r="AB12" s="17">
        <f t="shared" si="4"/>
        <v>0</v>
      </c>
      <c r="AC12" s="17">
        <f t="shared" si="4"/>
        <v>268</v>
      </c>
      <c r="AD12" s="17">
        <f t="shared" si="4"/>
        <v>0</v>
      </c>
      <c r="AE12" s="31">
        <f t="shared" si="4"/>
        <v>49</v>
      </c>
      <c r="AF12" s="31">
        <f t="shared" si="4"/>
        <v>317</v>
      </c>
    </row>
    <row r="13" spans="2:32" ht="23.1" customHeight="1" x14ac:dyDescent="0.25">
      <c r="B13" s="45" t="s">
        <v>40</v>
      </c>
      <c r="C13" s="50">
        <v>8</v>
      </c>
      <c r="D13" s="50">
        <v>1</v>
      </c>
      <c r="E13" s="50">
        <v>1</v>
      </c>
      <c r="F13" s="50">
        <v>4</v>
      </c>
      <c r="G13" s="50">
        <v>0</v>
      </c>
      <c r="H13" s="50">
        <v>0</v>
      </c>
      <c r="I13" s="50">
        <v>3</v>
      </c>
      <c r="J13" s="50">
        <v>2</v>
      </c>
      <c r="K13" s="50">
        <v>0</v>
      </c>
      <c r="L13" s="50">
        <v>0</v>
      </c>
      <c r="M13" s="50">
        <v>145</v>
      </c>
      <c r="N13" s="50">
        <v>0</v>
      </c>
      <c r="O13" s="15">
        <f t="shared" si="0"/>
        <v>19</v>
      </c>
      <c r="P13" s="15">
        <f t="shared" si="1"/>
        <v>164</v>
      </c>
      <c r="R13" s="1" t="s">
        <v>9</v>
      </c>
      <c r="S13" s="17">
        <f t="shared" ref="S13:AF13" si="5">SUM(C22:C25)</f>
        <v>16</v>
      </c>
      <c r="T13" s="17">
        <f t="shared" si="5"/>
        <v>0</v>
      </c>
      <c r="U13" s="17">
        <f t="shared" si="5"/>
        <v>4</v>
      </c>
      <c r="V13" s="17">
        <f t="shared" si="5"/>
        <v>3</v>
      </c>
      <c r="W13" s="17">
        <f t="shared" si="5"/>
        <v>0</v>
      </c>
      <c r="X13" s="17">
        <f t="shared" si="5"/>
        <v>0</v>
      </c>
      <c r="Y13" s="17">
        <f t="shared" si="5"/>
        <v>2</v>
      </c>
      <c r="Z13" s="17">
        <f t="shared" si="5"/>
        <v>2</v>
      </c>
      <c r="AA13" s="17">
        <f t="shared" si="5"/>
        <v>0</v>
      </c>
      <c r="AB13" s="17">
        <f t="shared" si="5"/>
        <v>0</v>
      </c>
      <c r="AC13" s="17">
        <f t="shared" si="5"/>
        <v>258</v>
      </c>
      <c r="AD13" s="17">
        <f t="shared" si="5"/>
        <v>0</v>
      </c>
      <c r="AE13" s="31">
        <f t="shared" si="5"/>
        <v>27</v>
      </c>
      <c r="AF13" s="31">
        <f t="shared" si="5"/>
        <v>285</v>
      </c>
    </row>
    <row r="14" spans="2:32" ht="23.1" customHeight="1" x14ac:dyDescent="0.25">
      <c r="B14" s="45" t="s">
        <v>41</v>
      </c>
      <c r="C14" s="50">
        <v>8</v>
      </c>
      <c r="D14" s="50">
        <v>2</v>
      </c>
      <c r="E14" s="50">
        <v>1</v>
      </c>
      <c r="F14" s="50">
        <v>2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190</v>
      </c>
      <c r="N14" s="50">
        <v>0</v>
      </c>
      <c r="O14" s="15">
        <f t="shared" si="0"/>
        <v>14</v>
      </c>
      <c r="P14" s="15">
        <f t="shared" si="1"/>
        <v>204</v>
      </c>
      <c r="R14" s="1" t="s">
        <v>10</v>
      </c>
      <c r="S14" s="17">
        <f t="shared" ref="S14:AF14" si="6">SUM(C26:C29)</f>
        <v>17</v>
      </c>
      <c r="T14" s="17">
        <f t="shared" si="6"/>
        <v>4</v>
      </c>
      <c r="U14" s="17">
        <f t="shared" si="6"/>
        <v>1</v>
      </c>
      <c r="V14" s="17">
        <f t="shared" si="6"/>
        <v>4</v>
      </c>
      <c r="W14" s="17">
        <f t="shared" si="6"/>
        <v>1</v>
      </c>
      <c r="X14" s="17">
        <f t="shared" si="6"/>
        <v>1</v>
      </c>
      <c r="Y14" s="17">
        <f t="shared" si="6"/>
        <v>1</v>
      </c>
      <c r="Z14" s="17">
        <f t="shared" si="6"/>
        <v>5</v>
      </c>
      <c r="AA14" s="17">
        <f t="shared" si="6"/>
        <v>3</v>
      </c>
      <c r="AB14" s="17">
        <f t="shared" si="6"/>
        <v>0</v>
      </c>
      <c r="AC14" s="17">
        <f t="shared" si="6"/>
        <v>210</v>
      </c>
      <c r="AD14" s="17">
        <f t="shared" si="6"/>
        <v>0</v>
      </c>
      <c r="AE14" s="31">
        <f t="shared" si="6"/>
        <v>37</v>
      </c>
      <c r="AF14" s="31">
        <f t="shared" si="6"/>
        <v>247</v>
      </c>
    </row>
    <row r="15" spans="2:32" ht="23.1" customHeight="1" x14ac:dyDescent="0.25">
      <c r="B15" s="45" t="s">
        <v>42</v>
      </c>
      <c r="C15" s="50">
        <v>10</v>
      </c>
      <c r="D15" s="50">
        <v>0</v>
      </c>
      <c r="E15" s="50">
        <v>0</v>
      </c>
      <c r="F15" s="50">
        <v>4</v>
      </c>
      <c r="G15" s="50">
        <v>0</v>
      </c>
      <c r="H15" s="50">
        <v>0</v>
      </c>
      <c r="I15" s="50">
        <v>1</v>
      </c>
      <c r="J15" s="50">
        <v>4</v>
      </c>
      <c r="K15" s="50">
        <v>0</v>
      </c>
      <c r="L15" s="50">
        <v>1</v>
      </c>
      <c r="M15" s="50">
        <v>113</v>
      </c>
      <c r="N15" s="50">
        <v>0</v>
      </c>
      <c r="O15" s="15">
        <f t="shared" si="0"/>
        <v>20</v>
      </c>
      <c r="P15" s="15">
        <f t="shared" si="1"/>
        <v>133</v>
      </c>
      <c r="R15" s="1" t="s">
        <v>11</v>
      </c>
      <c r="S15" s="17">
        <f t="shared" ref="S15:AF15" si="7">SUM(C30:C33)</f>
        <v>13</v>
      </c>
      <c r="T15" s="17">
        <f t="shared" si="7"/>
        <v>0</v>
      </c>
      <c r="U15" s="17">
        <f t="shared" si="7"/>
        <v>3</v>
      </c>
      <c r="V15" s="17">
        <f t="shared" si="7"/>
        <v>3</v>
      </c>
      <c r="W15" s="17">
        <f t="shared" si="7"/>
        <v>0</v>
      </c>
      <c r="X15" s="17">
        <f t="shared" si="7"/>
        <v>0</v>
      </c>
      <c r="Y15" s="17">
        <f t="shared" si="7"/>
        <v>4</v>
      </c>
      <c r="Z15" s="17">
        <f t="shared" si="7"/>
        <v>2</v>
      </c>
      <c r="AA15" s="17">
        <f t="shared" si="7"/>
        <v>1</v>
      </c>
      <c r="AB15" s="17">
        <f t="shared" si="7"/>
        <v>1</v>
      </c>
      <c r="AC15" s="17">
        <f t="shared" si="7"/>
        <v>152</v>
      </c>
      <c r="AD15" s="17">
        <f t="shared" si="7"/>
        <v>0</v>
      </c>
      <c r="AE15" s="31">
        <f t="shared" si="7"/>
        <v>27</v>
      </c>
      <c r="AF15" s="31">
        <f t="shared" si="7"/>
        <v>179</v>
      </c>
    </row>
    <row r="16" spans="2:32" ht="23.1" customHeight="1" x14ac:dyDescent="0.25">
      <c r="B16" s="45" t="s">
        <v>43</v>
      </c>
      <c r="C16" s="50">
        <v>3</v>
      </c>
      <c r="D16" s="50">
        <v>0</v>
      </c>
      <c r="E16" s="50">
        <v>1</v>
      </c>
      <c r="F16" s="50">
        <v>1</v>
      </c>
      <c r="G16" s="50">
        <v>1</v>
      </c>
      <c r="H16" s="50">
        <v>0</v>
      </c>
      <c r="I16" s="50">
        <v>1</v>
      </c>
      <c r="J16" s="50">
        <v>2</v>
      </c>
      <c r="K16" s="50">
        <v>0</v>
      </c>
      <c r="L16" s="50">
        <v>0</v>
      </c>
      <c r="M16" s="50">
        <v>134</v>
      </c>
      <c r="N16" s="50">
        <v>0</v>
      </c>
      <c r="O16" s="15">
        <f t="shared" si="0"/>
        <v>9</v>
      </c>
      <c r="P16" s="15">
        <f t="shared" si="1"/>
        <v>143</v>
      </c>
      <c r="R16" s="1" t="s">
        <v>12</v>
      </c>
      <c r="S16" s="17">
        <f t="shared" ref="S16:AF16" si="8">SUM(C34:C37)</f>
        <v>11</v>
      </c>
      <c r="T16" s="17">
        <f t="shared" si="8"/>
        <v>1</v>
      </c>
      <c r="U16" s="17">
        <f t="shared" si="8"/>
        <v>1</v>
      </c>
      <c r="V16" s="17">
        <f t="shared" si="8"/>
        <v>5</v>
      </c>
      <c r="W16" s="17">
        <f t="shared" si="8"/>
        <v>0</v>
      </c>
      <c r="X16" s="17">
        <f t="shared" si="8"/>
        <v>0</v>
      </c>
      <c r="Y16" s="17">
        <f t="shared" si="8"/>
        <v>4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213</v>
      </c>
      <c r="AD16" s="17">
        <f t="shared" si="8"/>
        <v>0</v>
      </c>
      <c r="AE16" s="31">
        <f t="shared" si="8"/>
        <v>24</v>
      </c>
      <c r="AF16" s="31">
        <f t="shared" si="8"/>
        <v>237</v>
      </c>
    </row>
    <row r="17" spans="2:32" ht="23.1" customHeight="1" x14ac:dyDescent="0.25">
      <c r="B17" s="45" t="s">
        <v>44</v>
      </c>
      <c r="C17" s="50">
        <v>9</v>
      </c>
      <c r="D17" s="50">
        <v>0</v>
      </c>
      <c r="E17" s="50">
        <v>2</v>
      </c>
      <c r="F17" s="50">
        <v>5</v>
      </c>
      <c r="G17" s="50">
        <v>0</v>
      </c>
      <c r="H17" s="50">
        <v>0</v>
      </c>
      <c r="I17" s="50">
        <v>0</v>
      </c>
      <c r="J17" s="50">
        <v>1</v>
      </c>
      <c r="K17" s="50">
        <v>2</v>
      </c>
      <c r="L17" s="50">
        <v>0</v>
      </c>
      <c r="M17" s="50">
        <v>58</v>
      </c>
      <c r="N17" s="50">
        <v>0</v>
      </c>
      <c r="O17" s="15">
        <f t="shared" si="0"/>
        <v>19</v>
      </c>
      <c r="P17" s="15">
        <f t="shared" si="1"/>
        <v>77</v>
      </c>
      <c r="R17" s="1" t="s">
        <v>13</v>
      </c>
      <c r="S17" s="17">
        <f t="shared" ref="S17:AF17" si="9">SUM(C38:C41)</f>
        <v>13</v>
      </c>
      <c r="T17" s="17">
        <f t="shared" si="9"/>
        <v>4</v>
      </c>
      <c r="U17" s="17">
        <f t="shared" si="9"/>
        <v>1</v>
      </c>
      <c r="V17" s="17">
        <f t="shared" si="9"/>
        <v>3</v>
      </c>
      <c r="W17" s="17">
        <f t="shared" si="9"/>
        <v>1</v>
      </c>
      <c r="X17" s="17">
        <f t="shared" si="9"/>
        <v>0</v>
      </c>
      <c r="Y17" s="17">
        <f t="shared" si="9"/>
        <v>4</v>
      </c>
      <c r="Z17" s="17">
        <f t="shared" si="9"/>
        <v>2</v>
      </c>
      <c r="AA17" s="17">
        <f t="shared" si="9"/>
        <v>2</v>
      </c>
      <c r="AB17" s="17">
        <f t="shared" si="9"/>
        <v>3</v>
      </c>
      <c r="AC17" s="17">
        <f t="shared" si="9"/>
        <v>216</v>
      </c>
      <c r="AD17" s="17">
        <f t="shared" si="9"/>
        <v>0</v>
      </c>
      <c r="AE17" s="31">
        <f t="shared" si="9"/>
        <v>33</v>
      </c>
      <c r="AF17" s="31">
        <f t="shared" si="9"/>
        <v>249</v>
      </c>
    </row>
    <row r="18" spans="2:32" ht="23.1" customHeight="1" x14ac:dyDescent="0.25">
      <c r="B18" s="45" t="s">
        <v>45</v>
      </c>
      <c r="C18" s="50">
        <v>6</v>
      </c>
      <c r="D18" s="50">
        <v>0</v>
      </c>
      <c r="E18" s="50">
        <v>0</v>
      </c>
      <c r="F18" s="50">
        <v>3</v>
      </c>
      <c r="G18" s="50">
        <v>0</v>
      </c>
      <c r="H18" s="50">
        <v>0</v>
      </c>
      <c r="I18" s="50">
        <v>1</v>
      </c>
      <c r="J18" s="50">
        <v>1</v>
      </c>
      <c r="K18" s="50">
        <v>0</v>
      </c>
      <c r="L18" s="50">
        <v>0</v>
      </c>
      <c r="M18" s="50">
        <v>53</v>
      </c>
      <c r="N18" s="50">
        <v>0</v>
      </c>
      <c r="O18" s="15">
        <f t="shared" si="0"/>
        <v>11</v>
      </c>
      <c r="P18" s="15">
        <f t="shared" si="1"/>
        <v>64</v>
      </c>
      <c r="R18" s="1" t="s">
        <v>14</v>
      </c>
      <c r="S18" s="17">
        <f t="shared" ref="S18:AF18" si="10">SUM(C42:C45)</f>
        <v>17</v>
      </c>
      <c r="T18" s="17">
        <f t="shared" si="10"/>
        <v>5</v>
      </c>
      <c r="U18" s="17">
        <f t="shared" si="10"/>
        <v>3</v>
      </c>
      <c r="V18" s="17">
        <f t="shared" si="10"/>
        <v>7</v>
      </c>
      <c r="W18" s="17">
        <f t="shared" si="10"/>
        <v>0</v>
      </c>
      <c r="X18" s="17">
        <f t="shared" si="10"/>
        <v>0</v>
      </c>
      <c r="Y18" s="17">
        <f t="shared" si="10"/>
        <v>3</v>
      </c>
      <c r="Z18" s="17">
        <f t="shared" si="10"/>
        <v>1</v>
      </c>
      <c r="AA18" s="17">
        <f t="shared" si="10"/>
        <v>1</v>
      </c>
      <c r="AB18" s="17">
        <f t="shared" si="10"/>
        <v>0</v>
      </c>
      <c r="AC18" s="17">
        <f t="shared" si="10"/>
        <v>346</v>
      </c>
      <c r="AD18" s="17">
        <f t="shared" si="10"/>
        <v>0</v>
      </c>
      <c r="AE18" s="31">
        <f t="shared" si="10"/>
        <v>37</v>
      </c>
      <c r="AF18" s="31">
        <f t="shared" si="10"/>
        <v>383</v>
      </c>
    </row>
    <row r="19" spans="2:32" ht="23.1" customHeight="1" x14ac:dyDescent="0.25">
      <c r="B19" s="45" t="s">
        <v>46</v>
      </c>
      <c r="C19" s="50">
        <v>9</v>
      </c>
      <c r="D19" s="50">
        <v>0</v>
      </c>
      <c r="E19" s="50">
        <v>1</v>
      </c>
      <c r="F19" s="50">
        <v>3</v>
      </c>
      <c r="G19" s="50">
        <v>0</v>
      </c>
      <c r="H19" s="50">
        <v>0</v>
      </c>
      <c r="I19" s="50">
        <v>1</v>
      </c>
      <c r="J19" s="50">
        <v>1</v>
      </c>
      <c r="K19" s="50">
        <v>0</v>
      </c>
      <c r="L19" s="50">
        <v>0</v>
      </c>
      <c r="M19" s="50">
        <v>63</v>
      </c>
      <c r="N19" s="50">
        <v>0</v>
      </c>
      <c r="O19" s="15">
        <f t="shared" si="0"/>
        <v>15</v>
      </c>
      <c r="P19" s="15">
        <f t="shared" si="1"/>
        <v>78</v>
      </c>
      <c r="R19" s="1" t="s">
        <v>15</v>
      </c>
      <c r="S19" s="17">
        <f t="shared" ref="S19:AF19" si="11">SUM(C46:C49)</f>
        <v>22</v>
      </c>
      <c r="T19" s="17">
        <f t="shared" si="11"/>
        <v>0</v>
      </c>
      <c r="U19" s="17">
        <f t="shared" si="11"/>
        <v>4</v>
      </c>
      <c r="V19" s="17">
        <f t="shared" si="11"/>
        <v>7</v>
      </c>
      <c r="W19" s="17">
        <f t="shared" si="11"/>
        <v>0</v>
      </c>
      <c r="X19" s="17">
        <f t="shared" si="11"/>
        <v>2</v>
      </c>
      <c r="Y19" s="17">
        <f t="shared" si="11"/>
        <v>2</v>
      </c>
      <c r="Z19" s="17">
        <f t="shared" si="11"/>
        <v>2</v>
      </c>
      <c r="AA19" s="17">
        <f t="shared" si="11"/>
        <v>0</v>
      </c>
      <c r="AB19" s="17">
        <f t="shared" si="11"/>
        <v>1</v>
      </c>
      <c r="AC19" s="17">
        <f t="shared" si="11"/>
        <v>246</v>
      </c>
      <c r="AD19" s="17">
        <f t="shared" si="11"/>
        <v>0</v>
      </c>
      <c r="AE19" s="31">
        <f t="shared" si="11"/>
        <v>40</v>
      </c>
      <c r="AF19" s="31">
        <f t="shared" si="11"/>
        <v>286</v>
      </c>
    </row>
    <row r="20" spans="2:32" ht="23.1" customHeight="1" x14ac:dyDescent="0.25">
      <c r="B20" s="45" t="s">
        <v>47</v>
      </c>
      <c r="C20" s="50">
        <v>4</v>
      </c>
      <c r="D20" s="50">
        <v>0</v>
      </c>
      <c r="E20" s="50">
        <v>1</v>
      </c>
      <c r="F20" s="50">
        <v>4</v>
      </c>
      <c r="G20" s="50">
        <v>0</v>
      </c>
      <c r="H20" s="50">
        <v>1</v>
      </c>
      <c r="I20" s="50">
        <v>1</v>
      </c>
      <c r="J20" s="50">
        <v>2</v>
      </c>
      <c r="K20" s="50">
        <v>0</v>
      </c>
      <c r="L20" s="50">
        <v>0</v>
      </c>
      <c r="M20" s="50">
        <v>58</v>
      </c>
      <c r="N20" s="50">
        <v>0</v>
      </c>
      <c r="O20" s="15">
        <f t="shared" si="0"/>
        <v>13</v>
      </c>
      <c r="P20" s="15">
        <f t="shared" si="1"/>
        <v>71</v>
      </c>
      <c r="R20" s="1" t="s">
        <v>16</v>
      </c>
      <c r="S20" s="17">
        <f t="shared" ref="S20:AF20" si="12">SUM(C50:C53)</f>
        <v>19</v>
      </c>
      <c r="T20" s="17">
        <f t="shared" si="12"/>
        <v>0</v>
      </c>
      <c r="U20" s="17">
        <f t="shared" si="12"/>
        <v>0</v>
      </c>
      <c r="V20" s="17">
        <f t="shared" si="12"/>
        <v>6</v>
      </c>
      <c r="W20" s="17">
        <f t="shared" si="12"/>
        <v>1</v>
      </c>
      <c r="X20" s="17">
        <f t="shared" si="12"/>
        <v>0</v>
      </c>
      <c r="Y20" s="17">
        <f t="shared" si="12"/>
        <v>0</v>
      </c>
      <c r="Z20" s="17">
        <f t="shared" si="12"/>
        <v>1</v>
      </c>
      <c r="AA20" s="17">
        <f t="shared" si="12"/>
        <v>2</v>
      </c>
      <c r="AB20" s="17">
        <f t="shared" si="12"/>
        <v>2</v>
      </c>
      <c r="AC20" s="17">
        <f t="shared" si="12"/>
        <v>167</v>
      </c>
      <c r="AD20" s="17">
        <f t="shared" si="12"/>
        <v>0</v>
      </c>
      <c r="AE20" s="31">
        <f t="shared" si="12"/>
        <v>31</v>
      </c>
      <c r="AF20" s="31">
        <f t="shared" si="12"/>
        <v>198</v>
      </c>
    </row>
    <row r="21" spans="2:32" ht="23.1" customHeight="1" x14ac:dyDescent="0.25">
      <c r="B21" s="45" t="s">
        <v>48</v>
      </c>
      <c r="C21" s="50">
        <v>5</v>
      </c>
      <c r="D21" s="50">
        <v>0</v>
      </c>
      <c r="E21" s="50">
        <v>0</v>
      </c>
      <c r="F21" s="50">
        <v>2</v>
      </c>
      <c r="G21" s="50">
        <v>0</v>
      </c>
      <c r="H21" s="50">
        <v>0</v>
      </c>
      <c r="I21" s="50">
        <v>2</v>
      </c>
      <c r="J21" s="50">
        <v>1</v>
      </c>
      <c r="K21" s="50">
        <v>0</v>
      </c>
      <c r="L21" s="50">
        <v>0</v>
      </c>
      <c r="M21" s="50">
        <v>94</v>
      </c>
      <c r="N21" s="50">
        <v>0</v>
      </c>
      <c r="O21" s="15">
        <f t="shared" si="0"/>
        <v>10</v>
      </c>
      <c r="P21" s="15">
        <f t="shared" si="1"/>
        <v>104</v>
      </c>
      <c r="R21" s="36" t="s">
        <v>20</v>
      </c>
      <c r="S21" s="34">
        <f t="shared" ref="S21:AF21" si="13">SUM(C54:C57)</f>
        <v>15</v>
      </c>
      <c r="T21" s="17">
        <f t="shared" si="13"/>
        <v>1</v>
      </c>
      <c r="U21" s="17">
        <f t="shared" si="13"/>
        <v>0</v>
      </c>
      <c r="V21" s="17">
        <f t="shared" si="13"/>
        <v>6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0</v>
      </c>
      <c r="AA21" s="17">
        <f t="shared" si="13"/>
        <v>1</v>
      </c>
      <c r="AB21" s="17">
        <f t="shared" si="13"/>
        <v>1</v>
      </c>
      <c r="AC21" s="17">
        <f t="shared" si="13"/>
        <v>205</v>
      </c>
      <c r="AD21" s="17">
        <f t="shared" si="13"/>
        <v>0</v>
      </c>
      <c r="AE21" s="31">
        <f t="shared" si="13"/>
        <v>25</v>
      </c>
      <c r="AF21" s="31">
        <f t="shared" si="13"/>
        <v>230</v>
      </c>
    </row>
    <row r="22" spans="2:32" ht="23.1" customHeight="1" x14ac:dyDescent="0.25">
      <c r="B22" s="45" t="s">
        <v>49</v>
      </c>
      <c r="C22" s="50">
        <v>4</v>
      </c>
      <c r="D22" s="50">
        <v>0</v>
      </c>
      <c r="E22" s="50">
        <v>1</v>
      </c>
      <c r="F22" s="50">
        <v>2</v>
      </c>
      <c r="G22" s="50">
        <v>0</v>
      </c>
      <c r="H22" s="50">
        <v>0</v>
      </c>
      <c r="I22" s="50">
        <v>0</v>
      </c>
      <c r="J22" s="50">
        <v>1</v>
      </c>
      <c r="K22" s="50">
        <v>0</v>
      </c>
      <c r="L22" s="50">
        <v>0</v>
      </c>
      <c r="M22" s="50">
        <v>108</v>
      </c>
      <c r="N22" s="50">
        <v>0</v>
      </c>
      <c r="O22" s="15">
        <f t="shared" si="0"/>
        <v>8</v>
      </c>
      <c r="P22" s="15">
        <f t="shared" si="1"/>
        <v>116</v>
      </c>
      <c r="R22" s="36" t="s">
        <v>146</v>
      </c>
      <c r="S22" s="34">
        <f>SUM(C58:C61)</f>
        <v>23</v>
      </c>
      <c r="T22" s="34">
        <f t="shared" ref="T22:AF22" si="14">SUM(D58:D61)</f>
        <v>0</v>
      </c>
      <c r="U22" s="34">
        <f t="shared" si="14"/>
        <v>0</v>
      </c>
      <c r="V22" s="34">
        <f t="shared" si="14"/>
        <v>6</v>
      </c>
      <c r="W22" s="34">
        <f t="shared" si="14"/>
        <v>0</v>
      </c>
      <c r="X22" s="34">
        <f t="shared" si="14"/>
        <v>3</v>
      </c>
      <c r="Y22" s="34">
        <f t="shared" si="14"/>
        <v>3</v>
      </c>
      <c r="Z22" s="34">
        <f t="shared" si="14"/>
        <v>0</v>
      </c>
      <c r="AA22" s="34">
        <f t="shared" si="14"/>
        <v>1</v>
      </c>
      <c r="AB22" s="34">
        <f t="shared" si="14"/>
        <v>2</v>
      </c>
      <c r="AC22" s="34">
        <f t="shared" si="14"/>
        <v>138</v>
      </c>
      <c r="AD22" s="34">
        <f t="shared" si="14"/>
        <v>0</v>
      </c>
      <c r="AE22" s="31">
        <f t="shared" si="14"/>
        <v>38</v>
      </c>
      <c r="AF22" s="31">
        <f t="shared" si="14"/>
        <v>176</v>
      </c>
    </row>
    <row r="23" spans="2:32" ht="23.1" customHeight="1" x14ac:dyDescent="0.25">
      <c r="B23" s="45" t="s">
        <v>50</v>
      </c>
      <c r="C23" s="50">
        <v>6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1</v>
      </c>
      <c r="K23" s="50">
        <v>0</v>
      </c>
      <c r="L23" s="50">
        <v>0</v>
      </c>
      <c r="M23" s="50">
        <v>58</v>
      </c>
      <c r="N23" s="50">
        <v>0</v>
      </c>
      <c r="O23" s="15">
        <f t="shared" si="0"/>
        <v>7</v>
      </c>
      <c r="P23" s="15">
        <f t="shared" si="1"/>
        <v>65</v>
      </c>
      <c r="R23" s="36" t="s">
        <v>147</v>
      </c>
      <c r="S23" s="34">
        <f>SUM(C62:C65)</f>
        <v>12</v>
      </c>
      <c r="T23" s="34">
        <f t="shared" ref="T23:AF23" si="15">SUM(D62:D65)</f>
        <v>0</v>
      </c>
      <c r="U23" s="34">
        <f t="shared" si="15"/>
        <v>2</v>
      </c>
      <c r="V23" s="34">
        <f t="shared" si="15"/>
        <v>1</v>
      </c>
      <c r="W23" s="34">
        <f t="shared" si="15"/>
        <v>0</v>
      </c>
      <c r="X23" s="34">
        <f t="shared" si="15"/>
        <v>0</v>
      </c>
      <c r="Y23" s="34">
        <f t="shared" si="15"/>
        <v>0</v>
      </c>
      <c r="Z23" s="34">
        <f t="shared" si="15"/>
        <v>0</v>
      </c>
      <c r="AA23" s="34">
        <f t="shared" si="15"/>
        <v>0</v>
      </c>
      <c r="AB23" s="34">
        <f t="shared" si="15"/>
        <v>1</v>
      </c>
      <c r="AC23" s="34">
        <f t="shared" si="15"/>
        <v>31</v>
      </c>
      <c r="AD23" s="34">
        <f t="shared" si="15"/>
        <v>0</v>
      </c>
      <c r="AE23" s="31">
        <f t="shared" si="15"/>
        <v>16</v>
      </c>
      <c r="AF23" s="31">
        <f t="shared" si="15"/>
        <v>47</v>
      </c>
    </row>
    <row r="24" spans="2:32" ht="23.1" customHeight="1" x14ac:dyDescent="0.25">
      <c r="B24" s="45" t="s">
        <v>51</v>
      </c>
      <c r="C24" s="50">
        <v>0</v>
      </c>
      <c r="D24" s="50">
        <v>0</v>
      </c>
      <c r="E24" s="50">
        <v>2</v>
      </c>
      <c r="F24" s="50">
        <v>1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53</v>
      </c>
      <c r="N24" s="50">
        <v>0</v>
      </c>
      <c r="O24" s="15">
        <f t="shared" si="0"/>
        <v>3</v>
      </c>
      <c r="P24" s="15">
        <f t="shared" si="1"/>
        <v>56</v>
      </c>
      <c r="R24" s="36" t="s">
        <v>148</v>
      </c>
      <c r="S24" s="34">
        <f>SUM(C66:C69)</f>
        <v>5</v>
      </c>
      <c r="T24" s="34">
        <f t="shared" ref="T24:AF24" si="16">SUM(D66:D69)</f>
        <v>1</v>
      </c>
      <c r="U24" s="34">
        <f t="shared" si="16"/>
        <v>0</v>
      </c>
      <c r="V24" s="34">
        <f t="shared" si="16"/>
        <v>1</v>
      </c>
      <c r="W24" s="34">
        <f t="shared" si="16"/>
        <v>0</v>
      </c>
      <c r="X24" s="34">
        <f t="shared" si="16"/>
        <v>1</v>
      </c>
      <c r="Y24" s="34">
        <f t="shared" si="16"/>
        <v>0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16</v>
      </c>
      <c r="AD24" s="34">
        <f t="shared" si="16"/>
        <v>0</v>
      </c>
      <c r="AE24" s="31">
        <f t="shared" si="16"/>
        <v>8</v>
      </c>
      <c r="AF24" s="31">
        <f t="shared" si="16"/>
        <v>24</v>
      </c>
    </row>
    <row r="25" spans="2:32" ht="23.1" customHeight="1" x14ac:dyDescent="0.25">
      <c r="B25" s="45" t="s">
        <v>52</v>
      </c>
      <c r="C25" s="50">
        <v>6</v>
      </c>
      <c r="D25" s="50">
        <v>0</v>
      </c>
      <c r="E25" s="50">
        <v>1</v>
      </c>
      <c r="F25" s="50">
        <v>0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39</v>
      </c>
      <c r="N25" s="50">
        <v>0</v>
      </c>
      <c r="O25" s="15">
        <f t="shared" si="0"/>
        <v>9</v>
      </c>
      <c r="P25" s="15">
        <f t="shared" si="1"/>
        <v>48</v>
      </c>
      <c r="R25" s="36" t="s">
        <v>149</v>
      </c>
      <c r="S25" s="34">
        <f>SUM(C70:C73)</f>
        <v>3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4</v>
      </c>
      <c r="AD25" s="34">
        <f t="shared" si="17"/>
        <v>0</v>
      </c>
      <c r="AE25" s="31">
        <f t="shared" si="17"/>
        <v>3</v>
      </c>
      <c r="AF25" s="31">
        <f t="shared" si="17"/>
        <v>7</v>
      </c>
    </row>
    <row r="26" spans="2:32" ht="23.1" customHeight="1" x14ac:dyDescent="0.25">
      <c r="B26" s="45" t="s">
        <v>53</v>
      </c>
      <c r="C26" s="50">
        <v>6</v>
      </c>
      <c r="D26" s="50">
        <v>1</v>
      </c>
      <c r="E26" s="50">
        <v>0</v>
      </c>
      <c r="F26" s="50">
        <v>2</v>
      </c>
      <c r="G26" s="50">
        <v>1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40</v>
      </c>
      <c r="N26" s="50">
        <v>0</v>
      </c>
      <c r="O26" s="15">
        <f t="shared" si="0"/>
        <v>10</v>
      </c>
      <c r="P26" s="15">
        <f t="shared" si="1"/>
        <v>50</v>
      </c>
      <c r="R26" s="36" t="s">
        <v>150</v>
      </c>
      <c r="S26" s="34">
        <f>SUM(C74:C77)</f>
        <v>4</v>
      </c>
      <c r="T26" s="34">
        <f t="shared" ref="T26:AF26" si="18">SUM(D74:D77)</f>
        <v>2</v>
      </c>
      <c r="U26" s="34">
        <f t="shared" si="18"/>
        <v>1</v>
      </c>
      <c r="V26" s="34">
        <f t="shared" si="18"/>
        <v>1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6</v>
      </c>
      <c r="AD26" s="34">
        <f t="shared" si="18"/>
        <v>0</v>
      </c>
      <c r="AE26" s="31">
        <f t="shared" si="18"/>
        <v>8</v>
      </c>
      <c r="AF26" s="31">
        <f t="shared" si="18"/>
        <v>14</v>
      </c>
    </row>
    <row r="27" spans="2:32" ht="23.1" customHeight="1" x14ac:dyDescent="0.25">
      <c r="B27" s="45" t="s">
        <v>54</v>
      </c>
      <c r="C27" s="50">
        <v>4</v>
      </c>
      <c r="D27" s="50">
        <v>1</v>
      </c>
      <c r="E27" s="50">
        <v>1</v>
      </c>
      <c r="F27" s="50">
        <v>1</v>
      </c>
      <c r="G27" s="50">
        <v>0</v>
      </c>
      <c r="H27" s="50">
        <v>0</v>
      </c>
      <c r="I27" s="50">
        <v>0</v>
      </c>
      <c r="J27" s="50">
        <v>3</v>
      </c>
      <c r="K27" s="50">
        <v>1</v>
      </c>
      <c r="L27" s="50">
        <v>0</v>
      </c>
      <c r="M27" s="50">
        <v>50</v>
      </c>
      <c r="N27" s="50">
        <v>0</v>
      </c>
      <c r="O27" s="15">
        <f t="shared" si="0"/>
        <v>11</v>
      </c>
      <c r="P27" s="15">
        <f t="shared" si="1"/>
        <v>61</v>
      </c>
      <c r="R27" s="36" t="s">
        <v>151</v>
      </c>
      <c r="S27" s="34">
        <f>SUM(C78:C81)</f>
        <v>1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3</v>
      </c>
      <c r="AD27" s="34">
        <f t="shared" si="19"/>
        <v>0</v>
      </c>
      <c r="AE27" s="31">
        <f t="shared" si="19"/>
        <v>1</v>
      </c>
      <c r="AF27" s="31">
        <f t="shared" si="19"/>
        <v>4</v>
      </c>
    </row>
    <row r="28" spans="2:32" ht="23.1" customHeight="1" x14ac:dyDescent="0.25">
      <c r="B28" s="45" t="s">
        <v>55</v>
      </c>
      <c r="C28" s="50">
        <v>3</v>
      </c>
      <c r="D28" s="50">
        <v>0</v>
      </c>
      <c r="E28" s="50">
        <v>0</v>
      </c>
      <c r="F28" s="50">
        <v>0</v>
      </c>
      <c r="G28" s="50">
        <v>0</v>
      </c>
      <c r="H28" s="50">
        <v>1</v>
      </c>
      <c r="I28" s="50">
        <v>1</v>
      </c>
      <c r="J28" s="50">
        <v>2</v>
      </c>
      <c r="K28" s="50">
        <v>2</v>
      </c>
      <c r="L28" s="50">
        <v>0</v>
      </c>
      <c r="M28" s="50">
        <v>61</v>
      </c>
      <c r="N28" s="50">
        <v>0</v>
      </c>
      <c r="O28" s="15">
        <f t="shared" si="0"/>
        <v>9</v>
      </c>
      <c r="P28" s="15">
        <f t="shared" si="1"/>
        <v>70</v>
      </c>
      <c r="R28" s="36" t="s">
        <v>152</v>
      </c>
      <c r="S28" s="34">
        <f>SUM(C82:C85)</f>
        <v>2</v>
      </c>
      <c r="T28" s="34">
        <f t="shared" ref="T28:AF28" si="20">SUM(D82:D85)</f>
        <v>0</v>
      </c>
      <c r="U28" s="34">
        <f t="shared" si="20"/>
        <v>1</v>
      </c>
      <c r="V28" s="34">
        <f t="shared" si="20"/>
        <v>1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1</v>
      </c>
      <c r="AD28" s="34">
        <f t="shared" si="20"/>
        <v>0</v>
      </c>
      <c r="AE28" s="31">
        <f t="shared" si="20"/>
        <v>4</v>
      </c>
      <c r="AF28" s="31">
        <f t="shared" si="20"/>
        <v>5</v>
      </c>
    </row>
    <row r="29" spans="2:32" ht="23.1" customHeight="1" x14ac:dyDescent="0.25">
      <c r="B29" s="45" t="s">
        <v>56</v>
      </c>
      <c r="C29" s="50">
        <v>4</v>
      </c>
      <c r="D29" s="50">
        <v>2</v>
      </c>
      <c r="E29" s="50">
        <v>0</v>
      </c>
      <c r="F29" s="50">
        <v>1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59</v>
      </c>
      <c r="N29" s="50">
        <v>0</v>
      </c>
      <c r="O29" s="15">
        <f t="shared" si="0"/>
        <v>7</v>
      </c>
      <c r="P29" s="15">
        <f t="shared" si="1"/>
        <v>66</v>
      </c>
      <c r="R29" s="36" t="s">
        <v>153</v>
      </c>
      <c r="S29" s="34">
        <f>SUM(C86:C89)</f>
        <v>1</v>
      </c>
      <c r="T29" s="34">
        <f t="shared" ref="T29:AF29" si="21">SUM(D86:D89)</f>
        <v>0</v>
      </c>
      <c r="U29" s="34">
        <f t="shared" si="21"/>
        <v>1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5</v>
      </c>
      <c r="AD29" s="34">
        <f t="shared" si="21"/>
        <v>0</v>
      </c>
      <c r="AE29" s="31">
        <f t="shared" si="21"/>
        <v>2</v>
      </c>
      <c r="AF29" s="31">
        <f t="shared" si="21"/>
        <v>7</v>
      </c>
    </row>
    <row r="30" spans="2:32" ht="23.1" customHeight="1" x14ac:dyDescent="0.25">
      <c r="B30" s="45" t="s">
        <v>57</v>
      </c>
      <c r="C30" s="50">
        <v>2</v>
      </c>
      <c r="D30" s="50">
        <v>0</v>
      </c>
      <c r="E30" s="50">
        <v>0</v>
      </c>
      <c r="F30" s="50">
        <v>2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42</v>
      </c>
      <c r="N30" s="50">
        <v>0</v>
      </c>
      <c r="O30" s="15">
        <f t="shared" si="0"/>
        <v>4</v>
      </c>
      <c r="P30" s="15">
        <f t="shared" si="1"/>
        <v>46</v>
      </c>
      <c r="R30" s="36" t="s">
        <v>154</v>
      </c>
      <c r="S30" s="34">
        <f>SUM(C90:C93)</f>
        <v>1</v>
      </c>
      <c r="T30" s="34">
        <f t="shared" ref="T30:AF30" si="22">SUM(D90:D93)</f>
        <v>1</v>
      </c>
      <c r="U30" s="34">
        <f t="shared" si="22"/>
        <v>1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1</v>
      </c>
      <c r="AD30" s="34">
        <f t="shared" si="22"/>
        <v>0</v>
      </c>
      <c r="AE30" s="31">
        <f t="shared" si="22"/>
        <v>3</v>
      </c>
      <c r="AF30" s="31">
        <f t="shared" si="22"/>
        <v>4</v>
      </c>
    </row>
    <row r="31" spans="2:32" ht="23.1" customHeight="1" x14ac:dyDescent="0.25">
      <c r="B31" s="46" t="s">
        <v>58</v>
      </c>
      <c r="C31" s="50">
        <v>6</v>
      </c>
      <c r="D31" s="50">
        <v>0</v>
      </c>
      <c r="E31" s="50">
        <v>0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47</v>
      </c>
      <c r="N31" s="50">
        <v>0</v>
      </c>
      <c r="O31" s="15">
        <f t="shared" si="0"/>
        <v>7</v>
      </c>
      <c r="P31" s="15">
        <f t="shared" si="1"/>
        <v>54</v>
      </c>
      <c r="R31" s="36" t="s">
        <v>155</v>
      </c>
      <c r="S31" s="34">
        <f>SUM(C94:C97)</f>
        <v>2</v>
      </c>
      <c r="T31" s="34">
        <f t="shared" ref="T31:AF31" si="23">SUM(D94:D97)</f>
        <v>0</v>
      </c>
      <c r="U31" s="34">
        <f t="shared" si="23"/>
        <v>2</v>
      </c>
      <c r="V31" s="34">
        <f t="shared" si="23"/>
        <v>3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4</v>
      </c>
      <c r="AD31" s="34">
        <f t="shared" si="23"/>
        <v>0</v>
      </c>
      <c r="AE31" s="31">
        <f t="shared" si="23"/>
        <v>8</v>
      </c>
      <c r="AF31" s="31">
        <f t="shared" si="23"/>
        <v>12</v>
      </c>
    </row>
    <row r="32" spans="2:32" ht="23.1" customHeight="1" x14ac:dyDescent="0.25">
      <c r="B32" s="46" t="s">
        <v>59</v>
      </c>
      <c r="C32" s="50">
        <v>2</v>
      </c>
      <c r="D32" s="50">
        <v>0</v>
      </c>
      <c r="E32" s="50">
        <v>2</v>
      </c>
      <c r="F32" s="50">
        <v>0</v>
      </c>
      <c r="G32" s="50">
        <v>0</v>
      </c>
      <c r="H32" s="50">
        <v>0</v>
      </c>
      <c r="I32" s="50">
        <v>1</v>
      </c>
      <c r="J32" s="50">
        <v>2</v>
      </c>
      <c r="K32" s="50">
        <v>1</v>
      </c>
      <c r="L32" s="50">
        <v>0</v>
      </c>
      <c r="M32" s="50">
        <v>38</v>
      </c>
      <c r="N32" s="50">
        <v>0</v>
      </c>
      <c r="O32" s="15">
        <f t="shared" si="0"/>
        <v>8</v>
      </c>
      <c r="P32" s="15">
        <f t="shared" si="1"/>
        <v>46</v>
      </c>
      <c r="R32" s="33" t="s">
        <v>156</v>
      </c>
      <c r="S32" s="34">
        <f>SUM(C98:C101)</f>
        <v>6</v>
      </c>
      <c r="T32" s="34">
        <f t="shared" ref="T32:AF32" si="24">SUM(D98:D101)</f>
        <v>1</v>
      </c>
      <c r="U32" s="34">
        <f t="shared" si="24"/>
        <v>1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1</v>
      </c>
      <c r="Z32" s="34">
        <f t="shared" si="24"/>
        <v>3</v>
      </c>
      <c r="AA32" s="34">
        <f t="shared" si="24"/>
        <v>0</v>
      </c>
      <c r="AB32" s="34">
        <f t="shared" si="24"/>
        <v>0</v>
      </c>
      <c r="AC32" s="34">
        <f t="shared" si="24"/>
        <v>8</v>
      </c>
      <c r="AD32" s="34">
        <f t="shared" si="24"/>
        <v>0</v>
      </c>
      <c r="AE32" s="31">
        <f t="shared" si="24"/>
        <v>12</v>
      </c>
      <c r="AF32" s="31">
        <f t="shared" si="24"/>
        <v>20</v>
      </c>
    </row>
    <row r="33" spans="2:32" ht="23.1" customHeight="1" x14ac:dyDescent="0.25">
      <c r="B33" s="45" t="s">
        <v>60</v>
      </c>
      <c r="C33" s="50">
        <v>3</v>
      </c>
      <c r="D33" s="50">
        <v>0</v>
      </c>
      <c r="E33" s="50">
        <v>1</v>
      </c>
      <c r="F33" s="50">
        <v>0</v>
      </c>
      <c r="G33" s="50">
        <v>0</v>
      </c>
      <c r="H33" s="50">
        <v>0</v>
      </c>
      <c r="I33" s="50">
        <v>3</v>
      </c>
      <c r="J33" s="50">
        <v>0</v>
      </c>
      <c r="K33" s="50">
        <v>0</v>
      </c>
      <c r="L33" s="50">
        <v>1</v>
      </c>
      <c r="M33" s="50">
        <v>25</v>
      </c>
      <c r="N33" s="50">
        <v>0</v>
      </c>
      <c r="O33" s="15">
        <f t="shared" si="0"/>
        <v>8</v>
      </c>
      <c r="P33" s="15">
        <f t="shared" si="1"/>
        <v>33</v>
      </c>
      <c r="R33" s="33" t="s">
        <v>157</v>
      </c>
      <c r="S33" s="34">
        <f>SUM(C102:C105)</f>
        <v>3</v>
      </c>
      <c r="T33" s="34">
        <f t="shared" ref="T33:AF33" si="25">SUM(D102:D105)</f>
        <v>1</v>
      </c>
      <c r="U33" s="34">
        <f t="shared" si="25"/>
        <v>2</v>
      </c>
      <c r="V33" s="34">
        <f t="shared" si="25"/>
        <v>1</v>
      </c>
      <c r="W33" s="34">
        <f t="shared" si="25"/>
        <v>0</v>
      </c>
      <c r="X33" s="34">
        <f t="shared" si="25"/>
        <v>0</v>
      </c>
      <c r="Y33" s="34">
        <f t="shared" si="25"/>
        <v>3</v>
      </c>
      <c r="Z33" s="34">
        <f t="shared" si="25"/>
        <v>1</v>
      </c>
      <c r="AA33" s="34">
        <f t="shared" si="25"/>
        <v>1</v>
      </c>
      <c r="AB33" s="34">
        <f t="shared" si="25"/>
        <v>0</v>
      </c>
      <c r="AC33" s="34">
        <f t="shared" si="25"/>
        <v>19</v>
      </c>
      <c r="AD33" s="34">
        <f t="shared" si="25"/>
        <v>0</v>
      </c>
      <c r="AE33" s="31">
        <f t="shared" si="25"/>
        <v>12</v>
      </c>
      <c r="AF33" s="31">
        <f t="shared" si="25"/>
        <v>31</v>
      </c>
    </row>
    <row r="34" spans="2:32" ht="23.1" customHeight="1" x14ac:dyDescent="0.25">
      <c r="B34" s="46" t="s">
        <v>61</v>
      </c>
      <c r="C34" s="50">
        <v>1</v>
      </c>
      <c r="D34" s="50">
        <v>1</v>
      </c>
      <c r="E34" s="50">
        <v>0</v>
      </c>
      <c r="F34" s="50">
        <v>3</v>
      </c>
      <c r="G34" s="50">
        <v>0</v>
      </c>
      <c r="H34" s="50">
        <v>0</v>
      </c>
      <c r="I34" s="50">
        <v>2</v>
      </c>
      <c r="J34" s="50">
        <v>1</v>
      </c>
      <c r="K34" s="50">
        <v>0</v>
      </c>
      <c r="L34" s="50">
        <v>0</v>
      </c>
      <c r="M34" s="50">
        <v>58</v>
      </c>
      <c r="N34" s="50">
        <v>0</v>
      </c>
      <c r="O34" s="15">
        <f t="shared" si="0"/>
        <v>8</v>
      </c>
      <c r="P34" s="15">
        <f t="shared" si="1"/>
        <v>66</v>
      </c>
      <c r="R34" s="38" t="s">
        <v>90</v>
      </c>
      <c r="S34" s="39">
        <f t="shared" ref="S34:AF34" si="26">MAX(S10:S12)</f>
        <v>30</v>
      </c>
      <c r="T34" s="39">
        <f t="shared" si="26"/>
        <v>2</v>
      </c>
      <c r="U34" s="39">
        <f t="shared" si="26"/>
        <v>4</v>
      </c>
      <c r="V34" s="39">
        <f t="shared" si="26"/>
        <v>15</v>
      </c>
      <c r="W34" s="39">
        <f t="shared" si="26"/>
        <v>1</v>
      </c>
      <c r="X34" s="39">
        <f t="shared" si="26"/>
        <v>1</v>
      </c>
      <c r="Y34" s="39">
        <f t="shared" si="26"/>
        <v>5</v>
      </c>
      <c r="Z34" s="39">
        <f t="shared" si="26"/>
        <v>7</v>
      </c>
      <c r="AA34" s="39">
        <f t="shared" si="26"/>
        <v>2</v>
      </c>
      <c r="AB34" s="39">
        <f t="shared" si="26"/>
        <v>2</v>
      </c>
      <c r="AC34" s="39">
        <f t="shared" si="26"/>
        <v>520</v>
      </c>
      <c r="AD34" s="39">
        <f t="shared" si="26"/>
        <v>0</v>
      </c>
      <c r="AE34" s="40">
        <f t="shared" si="26"/>
        <v>62</v>
      </c>
      <c r="AF34" s="40">
        <f t="shared" si="26"/>
        <v>566</v>
      </c>
    </row>
    <row r="35" spans="2:32" ht="23.1" customHeight="1" x14ac:dyDescent="0.25">
      <c r="B35" s="46" t="s">
        <v>62</v>
      </c>
      <c r="C35" s="50">
        <v>4</v>
      </c>
      <c r="D35" s="50">
        <v>0</v>
      </c>
      <c r="E35" s="50">
        <v>1</v>
      </c>
      <c r="F35" s="50">
        <v>2</v>
      </c>
      <c r="G35" s="50">
        <v>0</v>
      </c>
      <c r="H35" s="50">
        <v>0</v>
      </c>
      <c r="I35" s="50">
        <v>0</v>
      </c>
      <c r="J35" s="50">
        <v>1</v>
      </c>
      <c r="K35" s="50">
        <v>0</v>
      </c>
      <c r="L35" s="50">
        <v>0</v>
      </c>
      <c r="M35" s="50">
        <v>51</v>
      </c>
      <c r="N35" s="50">
        <v>0</v>
      </c>
      <c r="O35" s="15">
        <f t="shared" si="0"/>
        <v>8</v>
      </c>
      <c r="P35" s="15">
        <f t="shared" si="1"/>
        <v>59</v>
      </c>
      <c r="R35" s="38" t="s">
        <v>91</v>
      </c>
      <c r="S35" s="39">
        <f t="shared" ref="S35:AF35" si="27">MAX(S13:S18)</f>
        <v>17</v>
      </c>
      <c r="T35" s="39">
        <f t="shared" si="27"/>
        <v>5</v>
      </c>
      <c r="U35" s="39">
        <f t="shared" si="27"/>
        <v>4</v>
      </c>
      <c r="V35" s="39">
        <f t="shared" si="27"/>
        <v>7</v>
      </c>
      <c r="W35" s="39">
        <f t="shared" si="27"/>
        <v>1</v>
      </c>
      <c r="X35" s="39">
        <f t="shared" si="27"/>
        <v>1</v>
      </c>
      <c r="Y35" s="39">
        <f t="shared" si="27"/>
        <v>4</v>
      </c>
      <c r="Z35" s="39">
        <f t="shared" si="27"/>
        <v>5</v>
      </c>
      <c r="AA35" s="39">
        <f t="shared" si="27"/>
        <v>3</v>
      </c>
      <c r="AB35" s="39">
        <f t="shared" si="27"/>
        <v>3</v>
      </c>
      <c r="AC35" s="39">
        <f t="shared" si="27"/>
        <v>346</v>
      </c>
      <c r="AD35" s="39">
        <f t="shared" si="27"/>
        <v>0</v>
      </c>
      <c r="AE35" s="40">
        <f t="shared" si="27"/>
        <v>37</v>
      </c>
      <c r="AF35" s="40">
        <f t="shared" si="27"/>
        <v>383</v>
      </c>
    </row>
    <row r="36" spans="2:32" ht="23.1" customHeight="1" x14ac:dyDescent="0.25">
      <c r="B36" s="46" t="s">
        <v>63</v>
      </c>
      <c r="C36" s="50">
        <v>3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69</v>
      </c>
      <c r="N36" s="50">
        <v>0</v>
      </c>
      <c r="O36" s="15">
        <f t="shared" si="0"/>
        <v>3</v>
      </c>
      <c r="P36" s="15">
        <f t="shared" si="1"/>
        <v>72</v>
      </c>
      <c r="R36" s="38" t="s">
        <v>92</v>
      </c>
      <c r="S36" s="39">
        <f t="shared" ref="S36:AF36" si="28">MAX(S19:S21)</f>
        <v>22</v>
      </c>
      <c r="T36" s="39">
        <f t="shared" si="28"/>
        <v>1</v>
      </c>
      <c r="U36" s="39">
        <f t="shared" si="28"/>
        <v>4</v>
      </c>
      <c r="V36" s="39">
        <f t="shared" si="28"/>
        <v>7</v>
      </c>
      <c r="W36" s="39">
        <f t="shared" si="28"/>
        <v>1</v>
      </c>
      <c r="X36" s="39">
        <f t="shared" si="28"/>
        <v>2</v>
      </c>
      <c r="Y36" s="39">
        <f t="shared" si="28"/>
        <v>2</v>
      </c>
      <c r="Z36" s="39">
        <f t="shared" si="28"/>
        <v>2</v>
      </c>
      <c r="AA36" s="39">
        <f t="shared" si="28"/>
        <v>2</v>
      </c>
      <c r="AB36" s="39">
        <f t="shared" si="28"/>
        <v>2</v>
      </c>
      <c r="AC36" s="39">
        <f t="shared" si="28"/>
        <v>246</v>
      </c>
      <c r="AD36" s="39">
        <f t="shared" si="28"/>
        <v>0</v>
      </c>
      <c r="AE36" s="40">
        <f t="shared" si="28"/>
        <v>40</v>
      </c>
      <c r="AF36" s="40">
        <f t="shared" si="28"/>
        <v>286</v>
      </c>
    </row>
    <row r="37" spans="2:32" ht="23.1" customHeight="1" x14ac:dyDescent="0.25">
      <c r="B37" s="45" t="s">
        <v>64</v>
      </c>
      <c r="C37" s="50">
        <v>3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35</v>
      </c>
      <c r="N37" s="50">
        <v>0</v>
      </c>
      <c r="O37" s="15">
        <f t="shared" si="0"/>
        <v>5</v>
      </c>
      <c r="P37" s="15">
        <f t="shared" si="1"/>
        <v>40</v>
      </c>
      <c r="R37" s="37" t="s">
        <v>85</v>
      </c>
      <c r="S37" s="35">
        <f t="shared" ref="S37:AF37" si="29">SUM(S10:S12)</f>
        <v>70</v>
      </c>
      <c r="T37" s="16">
        <f t="shared" si="29"/>
        <v>4</v>
      </c>
      <c r="U37" s="16">
        <f t="shared" si="29"/>
        <v>8</v>
      </c>
      <c r="V37" s="16">
        <f t="shared" si="29"/>
        <v>39</v>
      </c>
      <c r="W37" s="16">
        <f t="shared" si="29"/>
        <v>1</v>
      </c>
      <c r="X37" s="16">
        <f t="shared" si="29"/>
        <v>1</v>
      </c>
      <c r="Y37" s="16">
        <f t="shared" si="29"/>
        <v>13</v>
      </c>
      <c r="Z37" s="16">
        <f t="shared" si="29"/>
        <v>16</v>
      </c>
      <c r="AA37" s="16">
        <f t="shared" si="29"/>
        <v>2</v>
      </c>
      <c r="AB37" s="16">
        <f t="shared" si="29"/>
        <v>3</v>
      </c>
      <c r="AC37" s="16">
        <f t="shared" si="29"/>
        <v>1283</v>
      </c>
      <c r="AD37" s="16">
        <f t="shared" si="29"/>
        <v>0</v>
      </c>
      <c r="AE37" s="32">
        <f t="shared" si="29"/>
        <v>157</v>
      </c>
      <c r="AF37" s="32">
        <f t="shared" si="29"/>
        <v>1440</v>
      </c>
    </row>
    <row r="38" spans="2:32" ht="23.1" customHeight="1" x14ac:dyDescent="0.25">
      <c r="B38" s="46" t="s">
        <v>65</v>
      </c>
      <c r="C38" s="50">
        <v>3</v>
      </c>
      <c r="D38" s="50">
        <v>1</v>
      </c>
      <c r="E38" s="50">
        <v>0</v>
      </c>
      <c r="F38" s="50">
        <v>1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1</v>
      </c>
      <c r="M38" s="50">
        <v>35</v>
      </c>
      <c r="N38" s="50">
        <v>0</v>
      </c>
      <c r="O38" s="15">
        <f t="shared" si="0"/>
        <v>7</v>
      </c>
      <c r="P38" s="15">
        <f t="shared" si="1"/>
        <v>42</v>
      </c>
      <c r="R38" s="28" t="s">
        <v>86</v>
      </c>
      <c r="S38" s="16">
        <f t="shared" ref="S38:AF38" si="30">SUM(S13:S18)</f>
        <v>87</v>
      </c>
      <c r="T38" s="16">
        <f t="shared" si="30"/>
        <v>14</v>
      </c>
      <c r="U38" s="16">
        <f t="shared" si="30"/>
        <v>13</v>
      </c>
      <c r="V38" s="16">
        <f t="shared" si="30"/>
        <v>25</v>
      </c>
      <c r="W38" s="16">
        <f t="shared" si="30"/>
        <v>2</v>
      </c>
      <c r="X38" s="16">
        <f t="shared" si="30"/>
        <v>1</v>
      </c>
      <c r="Y38" s="16">
        <f t="shared" si="30"/>
        <v>18</v>
      </c>
      <c r="Z38" s="16">
        <f t="shared" si="30"/>
        <v>14</v>
      </c>
      <c r="AA38" s="16">
        <f t="shared" si="30"/>
        <v>7</v>
      </c>
      <c r="AB38" s="16">
        <f t="shared" si="30"/>
        <v>4</v>
      </c>
      <c r="AC38" s="16">
        <f t="shared" si="30"/>
        <v>1395</v>
      </c>
      <c r="AD38" s="16">
        <f t="shared" si="30"/>
        <v>0</v>
      </c>
      <c r="AE38" s="32">
        <f t="shared" si="30"/>
        <v>185</v>
      </c>
      <c r="AF38" s="32">
        <f t="shared" si="30"/>
        <v>1580</v>
      </c>
    </row>
    <row r="39" spans="2:32" ht="23.1" customHeight="1" x14ac:dyDescent="0.25">
      <c r="B39" s="46" t="s">
        <v>66</v>
      </c>
      <c r="C39" s="50">
        <v>3</v>
      </c>
      <c r="D39" s="50">
        <v>1</v>
      </c>
      <c r="E39" s="50">
        <v>0</v>
      </c>
      <c r="F39" s="50">
        <v>0</v>
      </c>
      <c r="G39" s="50">
        <v>1</v>
      </c>
      <c r="H39" s="50">
        <v>0</v>
      </c>
      <c r="I39" s="50">
        <v>0</v>
      </c>
      <c r="J39" s="50">
        <v>2</v>
      </c>
      <c r="K39" s="50">
        <v>2</v>
      </c>
      <c r="L39" s="50">
        <v>0</v>
      </c>
      <c r="M39" s="50">
        <v>59</v>
      </c>
      <c r="N39" s="50">
        <v>0</v>
      </c>
      <c r="O39" s="15">
        <f t="shared" si="0"/>
        <v>9</v>
      </c>
      <c r="P39" s="15">
        <f t="shared" si="1"/>
        <v>68</v>
      </c>
      <c r="R39" s="29" t="s">
        <v>87</v>
      </c>
      <c r="S39" s="16">
        <f t="shared" ref="S39:AF39" si="31">SUM(S19:S21)</f>
        <v>56</v>
      </c>
      <c r="T39" s="16">
        <f t="shared" si="31"/>
        <v>1</v>
      </c>
      <c r="U39" s="16">
        <f t="shared" si="31"/>
        <v>4</v>
      </c>
      <c r="V39" s="16">
        <f t="shared" si="31"/>
        <v>19</v>
      </c>
      <c r="W39" s="16">
        <f t="shared" si="31"/>
        <v>1</v>
      </c>
      <c r="X39" s="16">
        <f t="shared" si="31"/>
        <v>2</v>
      </c>
      <c r="Y39" s="16">
        <f t="shared" si="31"/>
        <v>3</v>
      </c>
      <c r="Z39" s="16">
        <f t="shared" si="31"/>
        <v>3</v>
      </c>
      <c r="AA39" s="16">
        <f t="shared" si="31"/>
        <v>3</v>
      </c>
      <c r="AB39" s="16">
        <f t="shared" si="31"/>
        <v>4</v>
      </c>
      <c r="AC39" s="16">
        <f t="shared" si="31"/>
        <v>618</v>
      </c>
      <c r="AD39" s="16">
        <f t="shared" si="31"/>
        <v>0</v>
      </c>
      <c r="AE39" s="32">
        <f t="shared" si="31"/>
        <v>96</v>
      </c>
      <c r="AF39" s="32">
        <f t="shared" si="31"/>
        <v>714</v>
      </c>
    </row>
    <row r="40" spans="2:32" ht="23.1" customHeight="1" x14ac:dyDescent="0.25">
      <c r="B40" s="46" t="s">
        <v>67</v>
      </c>
      <c r="C40" s="50">
        <v>4</v>
      </c>
      <c r="D40" s="50">
        <v>1</v>
      </c>
      <c r="E40" s="50">
        <v>1</v>
      </c>
      <c r="F40" s="50">
        <v>0</v>
      </c>
      <c r="G40" s="50">
        <v>0</v>
      </c>
      <c r="H40" s="50">
        <v>0</v>
      </c>
      <c r="I40" s="50">
        <v>3</v>
      </c>
      <c r="J40" s="50">
        <v>0</v>
      </c>
      <c r="K40" s="50">
        <v>0</v>
      </c>
      <c r="L40" s="50">
        <v>2</v>
      </c>
      <c r="M40" s="50">
        <v>58</v>
      </c>
      <c r="N40" s="50">
        <v>0</v>
      </c>
      <c r="O40" s="15">
        <f t="shared" si="0"/>
        <v>11</v>
      </c>
      <c r="P40" s="15">
        <f t="shared" si="1"/>
        <v>69</v>
      </c>
      <c r="R40" s="5" t="s">
        <v>17</v>
      </c>
      <c r="S40" s="16">
        <f t="shared" ref="S40:AF40" si="32">SUM(S10:S21)</f>
        <v>213</v>
      </c>
      <c r="T40" s="16">
        <f t="shared" si="32"/>
        <v>19</v>
      </c>
      <c r="U40" s="16">
        <f t="shared" si="32"/>
        <v>25</v>
      </c>
      <c r="V40" s="16">
        <f t="shared" si="32"/>
        <v>83</v>
      </c>
      <c r="W40" s="16">
        <f t="shared" si="32"/>
        <v>4</v>
      </c>
      <c r="X40" s="16">
        <f t="shared" si="32"/>
        <v>4</v>
      </c>
      <c r="Y40" s="16">
        <f t="shared" si="32"/>
        <v>34</v>
      </c>
      <c r="Z40" s="16">
        <f t="shared" si="32"/>
        <v>33</v>
      </c>
      <c r="AA40" s="16">
        <f t="shared" si="32"/>
        <v>12</v>
      </c>
      <c r="AB40" s="16">
        <f t="shared" si="32"/>
        <v>11</v>
      </c>
      <c r="AC40" s="16">
        <f t="shared" si="32"/>
        <v>3296</v>
      </c>
      <c r="AD40" s="16">
        <f t="shared" si="32"/>
        <v>0</v>
      </c>
      <c r="AE40" s="32">
        <f t="shared" si="32"/>
        <v>438</v>
      </c>
      <c r="AF40" s="32">
        <f t="shared" si="32"/>
        <v>3734</v>
      </c>
    </row>
    <row r="41" spans="2:32" ht="23.1" customHeight="1" x14ac:dyDescent="0.25">
      <c r="B41" s="45" t="s">
        <v>68</v>
      </c>
      <c r="C41" s="50">
        <v>3</v>
      </c>
      <c r="D41" s="50">
        <v>1</v>
      </c>
      <c r="E41" s="50">
        <v>0</v>
      </c>
      <c r="F41" s="50">
        <v>2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64</v>
      </c>
      <c r="N41" s="50">
        <v>0</v>
      </c>
      <c r="O41" s="15">
        <f t="shared" si="0"/>
        <v>6</v>
      </c>
      <c r="P41" s="15">
        <f t="shared" si="1"/>
        <v>70</v>
      </c>
      <c r="R41" s="5" t="s">
        <v>159</v>
      </c>
      <c r="S41" s="16">
        <f>SUM(S10:S33)</f>
        <v>276</v>
      </c>
      <c r="T41" s="16">
        <f t="shared" ref="T41:AF41" si="33">SUM(T10:T33)</f>
        <v>25</v>
      </c>
      <c r="U41" s="16">
        <f t="shared" si="33"/>
        <v>36</v>
      </c>
      <c r="V41" s="16">
        <f t="shared" si="33"/>
        <v>97</v>
      </c>
      <c r="W41" s="16">
        <f t="shared" si="33"/>
        <v>4</v>
      </c>
      <c r="X41" s="16">
        <f t="shared" si="33"/>
        <v>8</v>
      </c>
      <c r="Y41" s="16">
        <f t="shared" si="33"/>
        <v>42</v>
      </c>
      <c r="Z41" s="16">
        <f t="shared" si="33"/>
        <v>37</v>
      </c>
      <c r="AA41" s="16">
        <f t="shared" si="33"/>
        <v>14</v>
      </c>
      <c r="AB41" s="16">
        <f t="shared" si="33"/>
        <v>14</v>
      </c>
      <c r="AC41" s="16">
        <f t="shared" si="33"/>
        <v>3532</v>
      </c>
      <c r="AD41" s="16">
        <f t="shared" si="33"/>
        <v>0</v>
      </c>
      <c r="AE41" s="32">
        <f t="shared" si="33"/>
        <v>553</v>
      </c>
      <c r="AF41" s="32">
        <f t="shared" si="33"/>
        <v>4085</v>
      </c>
    </row>
    <row r="42" spans="2:32" ht="23.1" customHeight="1" x14ac:dyDescent="0.25">
      <c r="B42" s="46" t="s">
        <v>69</v>
      </c>
      <c r="C42" s="50">
        <v>6</v>
      </c>
      <c r="D42" s="50">
        <v>1</v>
      </c>
      <c r="E42" s="50">
        <v>1</v>
      </c>
      <c r="F42" s="50">
        <v>3</v>
      </c>
      <c r="G42" s="50">
        <v>0</v>
      </c>
      <c r="H42" s="50">
        <v>0</v>
      </c>
      <c r="I42" s="50">
        <v>0</v>
      </c>
      <c r="J42" s="50">
        <v>0</v>
      </c>
      <c r="K42" s="50">
        <v>1</v>
      </c>
      <c r="L42" s="50">
        <v>0</v>
      </c>
      <c r="M42" s="50">
        <v>100</v>
      </c>
      <c r="N42" s="50">
        <v>0</v>
      </c>
      <c r="O42" s="15">
        <f t="shared" si="0"/>
        <v>12</v>
      </c>
      <c r="P42" s="15">
        <f t="shared" si="1"/>
        <v>112</v>
      </c>
      <c r="R42" s="5" t="s">
        <v>160</v>
      </c>
      <c r="S42" s="48">
        <f>S41/S40</f>
        <v>1.295774647887324</v>
      </c>
      <c r="T42" s="48">
        <f t="shared" ref="T42:AF42" si="34">T41/T40</f>
        <v>1.3157894736842106</v>
      </c>
      <c r="U42" s="48">
        <f t="shared" si="34"/>
        <v>1.44</v>
      </c>
      <c r="V42" s="48">
        <f t="shared" si="34"/>
        <v>1.1686746987951808</v>
      </c>
      <c r="W42" s="48">
        <f t="shared" si="34"/>
        <v>1</v>
      </c>
      <c r="X42" s="48">
        <f t="shared" si="34"/>
        <v>2</v>
      </c>
      <c r="Y42" s="48">
        <f t="shared" si="34"/>
        <v>1.2352941176470589</v>
      </c>
      <c r="Z42" s="48">
        <f t="shared" si="34"/>
        <v>1.1212121212121211</v>
      </c>
      <c r="AA42" s="48">
        <f t="shared" si="34"/>
        <v>1.1666666666666667</v>
      </c>
      <c r="AB42" s="48">
        <f t="shared" si="34"/>
        <v>1.2727272727272727</v>
      </c>
      <c r="AC42" s="48">
        <f t="shared" si="34"/>
        <v>1.0716019417475728</v>
      </c>
      <c r="AD42" s="48" t="e">
        <f t="shared" si="34"/>
        <v>#DIV/0!</v>
      </c>
      <c r="AE42" s="48">
        <f t="shared" si="34"/>
        <v>1.2625570776255708</v>
      </c>
      <c r="AF42" s="48">
        <f t="shared" si="34"/>
        <v>1.094001071237279</v>
      </c>
    </row>
    <row r="43" spans="2:32" ht="23.1" customHeight="1" x14ac:dyDescent="0.25">
      <c r="B43" s="45" t="s">
        <v>70</v>
      </c>
      <c r="C43" s="50">
        <v>3</v>
      </c>
      <c r="D43" s="50">
        <v>1</v>
      </c>
      <c r="E43" s="50">
        <v>0</v>
      </c>
      <c r="F43" s="50">
        <v>1</v>
      </c>
      <c r="G43" s="50">
        <v>0</v>
      </c>
      <c r="H43" s="50">
        <v>0</v>
      </c>
      <c r="I43" s="50">
        <v>1</v>
      </c>
      <c r="J43" s="50">
        <v>1</v>
      </c>
      <c r="K43" s="50">
        <v>0</v>
      </c>
      <c r="L43" s="50">
        <v>0</v>
      </c>
      <c r="M43" s="50">
        <v>69</v>
      </c>
      <c r="N43" s="50">
        <v>0</v>
      </c>
      <c r="O43" s="15">
        <f t="shared" si="0"/>
        <v>7</v>
      </c>
      <c r="P43" s="15">
        <f t="shared" si="1"/>
        <v>76</v>
      </c>
    </row>
    <row r="44" spans="2:32" ht="23.1" customHeight="1" x14ac:dyDescent="0.25">
      <c r="B44" s="47" t="s">
        <v>71</v>
      </c>
      <c r="C44" s="50">
        <v>6</v>
      </c>
      <c r="D44" s="50">
        <v>2</v>
      </c>
      <c r="E44" s="50">
        <v>0</v>
      </c>
      <c r="F44" s="50">
        <v>3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94</v>
      </c>
      <c r="N44" s="50">
        <v>0</v>
      </c>
      <c r="O44" s="15">
        <f t="shared" si="0"/>
        <v>12</v>
      </c>
      <c r="P44" s="15">
        <f t="shared" si="1"/>
        <v>106</v>
      </c>
    </row>
    <row r="45" spans="2:32" ht="23.1" customHeight="1" x14ac:dyDescent="0.25">
      <c r="B45" s="45" t="s">
        <v>72</v>
      </c>
      <c r="C45" s="50">
        <v>2</v>
      </c>
      <c r="D45" s="50">
        <v>1</v>
      </c>
      <c r="E45" s="50">
        <v>2</v>
      </c>
      <c r="F45" s="50">
        <v>0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83</v>
      </c>
      <c r="N45" s="50">
        <v>0</v>
      </c>
      <c r="O45" s="15">
        <f t="shared" si="0"/>
        <v>6</v>
      </c>
      <c r="P45" s="15">
        <f t="shared" si="1"/>
        <v>89</v>
      </c>
    </row>
    <row r="46" spans="2:32" ht="23.1" customHeight="1" x14ac:dyDescent="0.25">
      <c r="B46" s="46" t="s">
        <v>73</v>
      </c>
      <c r="C46" s="50">
        <v>7</v>
      </c>
      <c r="D46" s="50">
        <v>0</v>
      </c>
      <c r="E46" s="50">
        <v>1</v>
      </c>
      <c r="F46" s="50">
        <v>3</v>
      </c>
      <c r="G46" s="50">
        <v>0</v>
      </c>
      <c r="H46" s="50">
        <v>0</v>
      </c>
      <c r="I46" s="50">
        <v>0</v>
      </c>
      <c r="J46" s="50">
        <v>1</v>
      </c>
      <c r="K46" s="50">
        <v>0</v>
      </c>
      <c r="L46" s="50">
        <v>0</v>
      </c>
      <c r="M46" s="50">
        <v>42</v>
      </c>
      <c r="N46" s="50">
        <v>0</v>
      </c>
      <c r="O46" s="15">
        <f t="shared" si="0"/>
        <v>12</v>
      </c>
      <c r="P46" s="15">
        <f t="shared" si="1"/>
        <v>54</v>
      </c>
      <c r="R46" s="8"/>
      <c r="T46"/>
    </row>
    <row r="47" spans="2:32" ht="23.1" customHeight="1" x14ac:dyDescent="0.25">
      <c r="B47" s="46" t="s">
        <v>74</v>
      </c>
      <c r="C47" s="50">
        <v>5</v>
      </c>
      <c r="D47" s="50">
        <v>0</v>
      </c>
      <c r="E47" s="50">
        <v>1</v>
      </c>
      <c r="F47" s="50">
        <v>2</v>
      </c>
      <c r="G47" s="50">
        <v>0</v>
      </c>
      <c r="H47" s="50">
        <v>1</v>
      </c>
      <c r="I47" s="50">
        <v>0</v>
      </c>
      <c r="J47" s="50">
        <v>1</v>
      </c>
      <c r="K47" s="50">
        <v>0</v>
      </c>
      <c r="L47" s="50">
        <v>1</v>
      </c>
      <c r="M47" s="50">
        <v>98</v>
      </c>
      <c r="N47" s="50">
        <v>0</v>
      </c>
      <c r="O47" s="15">
        <f t="shared" si="0"/>
        <v>11</v>
      </c>
      <c r="P47" s="15">
        <f t="shared" si="1"/>
        <v>109</v>
      </c>
      <c r="R47" s="8"/>
      <c r="T47"/>
    </row>
    <row r="48" spans="2:32" ht="23.1" customHeight="1" x14ac:dyDescent="0.25">
      <c r="B48" s="46" t="s">
        <v>75</v>
      </c>
      <c r="C48" s="50">
        <v>2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32</v>
      </c>
      <c r="N48" s="50">
        <v>0</v>
      </c>
      <c r="O48" s="15">
        <f t="shared" si="0"/>
        <v>3</v>
      </c>
      <c r="P48" s="15">
        <f t="shared" si="1"/>
        <v>35</v>
      </c>
      <c r="R48" s="8"/>
      <c r="T48"/>
    </row>
    <row r="49" spans="2:20" ht="23.1" customHeight="1" x14ac:dyDescent="0.25">
      <c r="B49" s="45" t="s">
        <v>76</v>
      </c>
      <c r="C49" s="50">
        <v>8</v>
      </c>
      <c r="D49" s="50">
        <v>0</v>
      </c>
      <c r="E49" s="50">
        <v>2</v>
      </c>
      <c r="F49" s="50">
        <v>2</v>
      </c>
      <c r="G49" s="50">
        <v>0</v>
      </c>
      <c r="H49" s="50">
        <v>1</v>
      </c>
      <c r="I49" s="50">
        <v>1</v>
      </c>
      <c r="J49" s="50">
        <v>0</v>
      </c>
      <c r="K49" s="50">
        <v>0</v>
      </c>
      <c r="L49" s="50">
        <v>0</v>
      </c>
      <c r="M49" s="50">
        <v>74</v>
      </c>
      <c r="N49" s="50">
        <v>0</v>
      </c>
      <c r="O49" s="15">
        <f t="shared" si="0"/>
        <v>14</v>
      </c>
      <c r="P49" s="15">
        <f t="shared" si="1"/>
        <v>88</v>
      </c>
      <c r="R49" s="8"/>
      <c r="T49"/>
    </row>
    <row r="50" spans="2:20" ht="23.1" customHeight="1" x14ac:dyDescent="0.25">
      <c r="B50" s="46" t="s">
        <v>77</v>
      </c>
      <c r="C50" s="50">
        <v>2</v>
      </c>
      <c r="D50" s="50">
        <v>0</v>
      </c>
      <c r="E50" s="50">
        <v>0</v>
      </c>
      <c r="F50" s="50">
        <v>1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58</v>
      </c>
      <c r="N50" s="50">
        <v>0</v>
      </c>
      <c r="O50" s="15">
        <f t="shared" si="0"/>
        <v>3</v>
      </c>
      <c r="P50" s="15">
        <f t="shared" si="1"/>
        <v>61</v>
      </c>
      <c r="R50" s="8"/>
      <c r="T50"/>
    </row>
    <row r="51" spans="2:20" ht="23.1" customHeight="1" x14ac:dyDescent="0.25">
      <c r="B51" s="46" t="s">
        <v>78</v>
      </c>
      <c r="C51" s="50">
        <v>8</v>
      </c>
      <c r="D51" s="50">
        <v>0</v>
      </c>
      <c r="E51" s="50">
        <v>0</v>
      </c>
      <c r="F51" s="50">
        <v>3</v>
      </c>
      <c r="G51" s="50">
        <v>1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34</v>
      </c>
      <c r="N51" s="50">
        <v>0</v>
      </c>
      <c r="O51" s="15">
        <f t="shared" si="0"/>
        <v>12</v>
      </c>
      <c r="P51" s="15">
        <f t="shared" si="1"/>
        <v>46</v>
      </c>
      <c r="R51" s="8"/>
      <c r="T51"/>
    </row>
    <row r="52" spans="2:20" ht="23.1" customHeight="1" x14ac:dyDescent="0.25">
      <c r="B52" s="46" t="s">
        <v>79</v>
      </c>
      <c r="C52" s="50">
        <v>6</v>
      </c>
      <c r="D52" s="50">
        <v>0</v>
      </c>
      <c r="E52" s="50">
        <v>0</v>
      </c>
      <c r="F52" s="50">
        <v>1</v>
      </c>
      <c r="G52" s="50">
        <v>0</v>
      </c>
      <c r="H52" s="50">
        <v>0</v>
      </c>
      <c r="I52" s="50">
        <v>0</v>
      </c>
      <c r="J52" s="50">
        <v>1</v>
      </c>
      <c r="K52" s="50">
        <v>2</v>
      </c>
      <c r="L52" s="50">
        <v>2</v>
      </c>
      <c r="M52" s="50">
        <v>42</v>
      </c>
      <c r="N52" s="50">
        <v>0</v>
      </c>
      <c r="O52" s="15">
        <f t="shared" si="0"/>
        <v>12</v>
      </c>
      <c r="P52" s="15">
        <f t="shared" si="1"/>
        <v>54</v>
      </c>
      <c r="R52" s="8"/>
      <c r="T52"/>
    </row>
    <row r="53" spans="2:20" ht="23.1" customHeight="1" x14ac:dyDescent="0.25">
      <c r="B53" s="45" t="s">
        <v>80</v>
      </c>
      <c r="C53" s="50">
        <v>3</v>
      </c>
      <c r="D53" s="50">
        <v>0</v>
      </c>
      <c r="E53" s="50">
        <v>0</v>
      </c>
      <c r="F53" s="50">
        <v>1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33</v>
      </c>
      <c r="N53" s="50">
        <v>0</v>
      </c>
      <c r="O53" s="15">
        <f t="shared" si="0"/>
        <v>4</v>
      </c>
      <c r="P53" s="15">
        <f t="shared" si="1"/>
        <v>37</v>
      </c>
      <c r="R53" s="8"/>
      <c r="T53"/>
    </row>
    <row r="54" spans="2:20" ht="23.1" customHeight="1" x14ac:dyDescent="0.25">
      <c r="B54" s="45" t="s">
        <v>81</v>
      </c>
      <c r="C54" s="50">
        <v>3</v>
      </c>
      <c r="D54" s="50">
        <v>0</v>
      </c>
      <c r="E54" s="50">
        <v>0</v>
      </c>
      <c r="F54" s="50">
        <v>2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35</v>
      </c>
      <c r="N54" s="50">
        <v>0</v>
      </c>
      <c r="O54" s="15">
        <f t="shared" si="0"/>
        <v>5</v>
      </c>
      <c r="P54" s="15">
        <f t="shared" si="1"/>
        <v>40</v>
      </c>
      <c r="R54" s="8"/>
      <c r="T54"/>
    </row>
    <row r="55" spans="2:20" ht="23.1" customHeight="1" x14ac:dyDescent="0.25">
      <c r="B55" s="45" t="s">
        <v>82</v>
      </c>
      <c r="C55" s="50">
        <v>5</v>
      </c>
      <c r="D55" s="50">
        <v>1</v>
      </c>
      <c r="E55" s="50">
        <v>0</v>
      </c>
      <c r="F55" s="50">
        <v>0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43</v>
      </c>
      <c r="N55" s="50">
        <v>0</v>
      </c>
      <c r="O55" s="15">
        <f t="shared" si="0"/>
        <v>7</v>
      </c>
      <c r="P55" s="15">
        <f t="shared" si="1"/>
        <v>50</v>
      </c>
      <c r="R55" s="8"/>
      <c r="T55"/>
    </row>
    <row r="56" spans="2:20" ht="23.1" customHeight="1" x14ac:dyDescent="0.25">
      <c r="B56" s="45" t="s">
        <v>83</v>
      </c>
      <c r="C56" s="50">
        <v>4</v>
      </c>
      <c r="D56" s="50">
        <v>0</v>
      </c>
      <c r="E56" s="50">
        <v>0</v>
      </c>
      <c r="F56" s="50">
        <v>1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62</v>
      </c>
      <c r="N56" s="50">
        <v>0</v>
      </c>
      <c r="O56" s="15">
        <f t="shared" si="0"/>
        <v>5</v>
      </c>
      <c r="P56" s="15">
        <f t="shared" si="1"/>
        <v>67</v>
      </c>
      <c r="R56" s="8"/>
      <c r="T56"/>
    </row>
    <row r="57" spans="2:20" ht="23.1" customHeight="1" x14ac:dyDescent="0.25">
      <c r="B57" s="45" t="s">
        <v>84</v>
      </c>
      <c r="C57" s="50">
        <v>3</v>
      </c>
      <c r="D57" s="50">
        <v>0</v>
      </c>
      <c r="E57" s="50">
        <v>0</v>
      </c>
      <c r="F57" s="50">
        <v>3</v>
      </c>
      <c r="G57" s="50">
        <v>0</v>
      </c>
      <c r="H57" s="50">
        <v>0</v>
      </c>
      <c r="I57" s="50">
        <v>0</v>
      </c>
      <c r="J57" s="50">
        <v>0</v>
      </c>
      <c r="K57" s="50">
        <v>1</v>
      </c>
      <c r="L57" s="50">
        <v>1</v>
      </c>
      <c r="M57" s="50">
        <v>65</v>
      </c>
      <c r="N57" s="50">
        <v>0</v>
      </c>
      <c r="O57" s="15">
        <f t="shared" si="0"/>
        <v>8</v>
      </c>
      <c r="P57" s="15">
        <f t="shared" si="1"/>
        <v>73</v>
      </c>
      <c r="R57" s="8"/>
      <c r="T57"/>
    </row>
    <row r="58" spans="2:20" ht="23.1" customHeight="1" x14ac:dyDescent="0.25">
      <c r="B58" s="45" t="s">
        <v>99</v>
      </c>
      <c r="C58" s="50">
        <v>11</v>
      </c>
      <c r="D58" s="50">
        <v>0</v>
      </c>
      <c r="E58" s="50">
        <v>0</v>
      </c>
      <c r="F58" s="50">
        <v>4</v>
      </c>
      <c r="G58" s="50">
        <v>0</v>
      </c>
      <c r="H58" s="50">
        <v>2</v>
      </c>
      <c r="I58" s="50">
        <v>0</v>
      </c>
      <c r="J58" s="50">
        <v>0</v>
      </c>
      <c r="K58" s="50">
        <v>0</v>
      </c>
      <c r="L58" s="50">
        <v>0</v>
      </c>
      <c r="M58" s="50">
        <v>44</v>
      </c>
      <c r="N58" s="50">
        <v>0</v>
      </c>
      <c r="O58" s="15">
        <f t="shared" si="0"/>
        <v>17</v>
      </c>
      <c r="P58" s="15">
        <f t="shared" si="1"/>
        <v>61</v>
      </c>
      <c r="R58" s="8"/>
      <c r="T58"/>
    </row>
    <row r="59" spans="2:20" ht="23.1" customHeight="1" x14ac:dyDescent="0.25">
      <c r="B59" s="45" t="s">
        <v>100</v>
      </c>
      <c r="C59" s="50">
        <v>1</v>
      </c>
      <c r="D59" s="50">
        <v>0</v>
      </c>
      <c r="E59" s="50">
        <v>0</v>
      </c>
      <c r="F59" s="50">
        <v>1</v>
      </c>
      <c r="G59" s="50">
        <v>0</v>
      </c>
      <c r="H59" s="50">
        <v>0</v>
      </c>
      <c r="I59" s="50">
        <v>1</v>
      </c>
      <c r="J59" s="50">
        <v>0</v>
      </c>
      <c r="K59" s="50">
        <v>1</v>
      </c>
      <c r="L59" s="50">
        <v>0</v>
      </c>
      <c r="M59" s="50">
        <v>52</v>
      </c>
      <c r="N59" s="50">
        <v>0</v>
      </c>
      <c r="O59" s="15">
        <f t="shared" si="0"/>
        <v>4</v>
      </c>
      <c r="P59" s="15">
        <f t="shared" si="1"/>
        <v>56</v>
      </c>
      <c r="R59" s="8"/>
      <c r="T59"/>
    </row>
    <row r="60" spans="2:20" ht="23.1" customHeight="1" x14ac:dyDescent="0.25">
      <c r="B60" s="45" t="s">
        <v>101</v>
      </c>
      <c r="C60" s="50">
        <v>7</v>
      </c>
      <c r="D60" s="50">
        <v>0</v>
      </c>
      <c r="E60" s="50">
        <v>0</v>
      </c>
      <c r="F60" s="50">
        <v>0</v>
      </c>
      <c r="G60" s="50">
        <v>0</v>
      </c>
      <c r="H60" s="50">
        <v>1</v>
      </c>
      <c r="I60" s="50">
        <v>0</v>
      </c>
      <c r="J60" s="50">
        <v>0</v>
      </c>
      <c r="K60" s="50">
        <v>0</v>
      </c>
      <c r="L60" s="50">
        <v>0</v>
      </c>
      <c r="M60" s="50">
        <v>28</v>
      </c>
      <c r="N60" s="50">
        <v>0</v>
      </c>
      <c r="O60" s="15">
        <f t="shared" si="0"/>
        <v>8</v>
      </c>
      <c r="P60" s="15">
        <f t="shared" si="1"/>
        <v>36</v>
      </c>
      <c r="R60" s="8"/>
      <c r="T60"/>
    </row>
    <row r="61" spans="2:20" ht="23.1" customHeight="1" x14ac:dyDescent="0.25">
      <c r="B61" s="45" t="s">
        <v>102</v>
      </c>
      <c r="C61" s="50">
        <v>4</v>
      </c>
      <c r="D61" s="50">
        <v>0</v>
      </c>
      <c r="E61" s="50">
        <v>0</v>
      </c>
      <c r="F61" s="50">
        <v>1</v>
      </c>
      <c r="G61" s="50">
        <v>0</v>
      </c>
      <c r="H61" s="50">
        <v>0</v>
      </c>
      <c r="I61" s="50">
        <v>2</v>
      </c>
      <c r="J61" s="50">
        <v>0</v>
      </c>
      <c r="K61" s="50">
        <v>0</v>
      </c>
      <c r="L61" s="50">
        <v>2</v>
      </c>
      <c r="M61" s="50">
        <v>14</v>
      </c>
      <c r="N61" s="50">
        <v>0</v>
      </c>
      <c r="O61" s="15">
        <f t="shared" si="0"/>
        <v>9</v>
      </c>
      <c r="P61" s="15">
        <f t="shared" si="1"/>
        <v>23</v>
      </c>
      <c r="R61" s="8"/>
      <c r="T61"/>
    </row>
    <row r="62" spans="2:20" ht="23.1" customHeight="1" x14ac:dyDescent="0.25">
      <c r="B62" s="45" t="s">
        <v>107</v>
      </c>
      <c r="C62" s="50">
        <v>1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7</v>
      </c>
      <c r="N62" s="50">
        <v>0</v>
      </c>
      <c r="O62" s="15">
        <f t="shared" si="0"/>
        <v>1</v>
      </c>
      <c r="P62" s="15">
        <f t="shared" si="1"/>
        <v>8</v>
      </c>
      <c r="R62" s="8"/>
      <c r="T62"/>
    </row>
    <row r="63" spans="2:20" ht="23.1" customHeight="1" x14ac:dyDescent="0.25">
      <c r="B63" s="45" t="s">
        <v>108</v>
      </c>
      <c r="C63" s="50">
        <v>2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11</v>
      </c>
      <c r="N63" s="50">
        <v>0</v>
      </c>
      <c r="O63" s="15">
        <f t="shared" si="0"/>
        <v>2</v>
      </c>
      <c r="P63" s="15">
        <f t="shared" si="1"/>
        <v>13</v>
      </c>
      <c r="R63" s="8"/>
      <c r="T63"/>
    </row>
    <row r="64" spans="2:20" ht="23.1" customHeight="1" x14ac:dyDescent="0.25">
      <c r="B64" s="45" t="s">
        <v>109</v>
      </c>
      <c r="C64" s="50">
        <v>3</v>
      </c>
      <c r="D64" s="50">
        <v>0</v>
      </c>
      <c r="E64" s="50">
        <v>1</v>
      </c>
      <c r="F64" s="50">
        <v>1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5</v>
      </c>
      <c r="N64" s="50">
        <v>0</v>
      </c>
      <c r="O64" s="15">
        <f t="shared" si="0"/>
        <v>5</v>
      </c>
      <c r="P64" s="15">
        <f t="shared" si="1"/>
        <v>10</v>
      </c>
      <c r="R64" s="8"/>
      <c r="T64"/>
    </row>
    <row r="65" spans="2:20" ht="23.1" customHeight="1" x14ac:dyDescent="0.25">
      <c r="B65" s="45" t="s">
        <v>158</v>
      </c>
      <c r="C65" s="50">
        <v>6</v>
      </c>
      <c r="D65" s="50">
        <v>0</v>
      </c>
      <c r="E65" s="50">
        <v>1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1</v>
      </c>
      <c r="M65" s="50">
        <v>8</v>
      </c>
      <c r="N65" s="50">
        <v>0</v>
      </c>
      <c r="O65" s="15">
        <f t="shared" si="0"/>
        <v>8</v>
      </c>
      <c r="P65" s="15">
        <f t="shared" si="1"/>
        <v>16</v>
      </c>
      <c r="R65" s="8"/>
      <c r="T65"/>
    </row>
    <row r="66" spans="2:20" ht="23.1" customHeight="1" x14ac:dyDescent="0.25">
      <c r="B66" s="45" t="s">
        <v>103</v>
      </c>
      <c r="C66" s="50">
        <v>3</v>
      </c>
      <c r="D66" s="50">
        <v>0</v>
      </c>
      <c r="E66" s="50">
        <v>0</v>
      </c>
      <c r="F66" s="50">
        <v>0</v>
      </c>
      <c r="G66" s="50">
        <v>0</v>
      </c>
      <c r="H66" s="50">
        <v>1</v>
      </c>
      <c r="I66" s="50">
        <v>0</v>
      </c>
      <c r="J66" s="50">
        <v>0</v>
      </c>
      <c r="K66" s="50">
        <v>0</v>
      </c>
      <c r="L66" s="50">
        <v>0</v>
      </c>
      <c r="M66" s="50">
        <v>8</v>
      </c>
      <c r="N66" s="50">
        <v>0</v>
      </c>
      <c r="O66" s="15">
        <f t="shared" si="0"/>
        <v>4</v>
      </c>
      <c r="P66" s="15">
        <f t="shared" si="1"/>
        <v>12</v>
      </c>
      <c r="R66" s="8"/>
      <c r="T66"/>
    </row>
    <row r="67" spans="2:20" ht="23.1" customHeight="1" x14ac:dyDescent="0.25">
      <c r="B67" s="45" t="s">
        <v>104</v>
      </c>
      <c r="C67" s="50">
        <v>1</v>
      </c>
      <c r="D67" s="50">
        <v>1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2</v>
      </c>
      <c r="N67" s="50">
        <v>0</v>
      </c>
      <c r="O67" s="15">
        <f t="shared" si="0"/>
        <v>2</v>
      </c>
      <c r="P67" s="15">
        <f t="shared" si="1"/>
        <v>4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2</v>
      </c>
      <c r="N68" s="50">
        <v>0</v>
      </c>
      <c r="O68" s="15">
        <f t="shared" si="0"/>
        <v>0</v>
      </c>
      <c r="P68" s="15">
        <f t="shared" si="1"/>
        <v>2</v>
      </c>
      <c r="R68" s="8"/>
      <c r="T68"/>
    </row>
    <row r="69" spans="2:20" ht="23.1" customHeight="1" x14ac:dyDescent="0.25">
      <c r="B69" s="45" t="s">
        <v>106</v>
      </c>
      <c r="C69" s="50">
        <v>1</v>
      </c>
      <c r="D69" s="50">
        <v>0</v>
      </c>
      <c r="E69" s="50">
        <v>0</v>
      </c>
      <c r="F69" s="50">
        <v>1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4</v>
      </c>
      <c r="N69" s="50">
        <v>0</v>
      </c>
      <c r="O69" s="15">
        <f t="shared" si="0"/>
        <v>2</v>
      </c>
      <c r="P69" s="15">
        <f t="shared" si="1"/>
        <v>6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1</v>
      </c>
      <c r="N70" s="50">
        <v>0</v>
      </c>
      <c r="O70" s="15">
        <f t="shared" si="0"/>
        <v>0</v>
      </c>
      <c r="P70" s="15">
        <f t="shared" si="1"/>
        <v>1</v>
      </c>
      <c r="R70" s="8"/>
      <c r="T70"/>
    </row>
    <row r="71" spans="2:20" ht="23.1" customHeight="1" x14ac:dyDescent="0.25">
      <c r="B71" s="45" t="s">
        <v>111</v>
      </c>
      <c r="C71" s="50">
        <v>2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1</v>
      </c>
      <c r="N71" s="50">
        <v>0</v>
      </c>
      <c r="O71" s="15">
        <f t="shared" si="0"/>
        <v>2</v>
      </c>
      <c r="P71" s="15">
        <f t="shared" si="1"/>
        <v>3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2</v>
      </c>
      <c r="N72" s="50">
        <v>0</v>
      </c>
      <c r="O72" s="15">
        <f t="shared" si="0"/>
        <v>0</v>
      </c>
      <c r="P72" s="15">
        <f t="shared" si="1"/>
        <v>2</v>
      </c>
      <c r="R72" s="8"/>
      <c r="T72"/>
    </row>
    <row r="73" spans="2:20" ht="23.1" customHeight="1" x14ac:dyDescent="0.25">
      <c r="B73" s="45" t="s">
        <v>113</v>
      </c>
      <c r="C73" s="50">
        <v>1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0</v>
      </c>
      <c r="N73" s="50">
        <v>0</v>
      </c>
      <c r="O73" s="15">
        <f t="shared" si="0"/>
        <v>1</v>
      </c>
      <c r="P73" s="15">
        <f t="shared" si="1"/>
        <v>1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4</v>
      </c>
      <c r="N74" s="50">
        <v>0</v>
      </c>
      <c r="O74" s="15">
        <f t="shared" ref="O74:O105" si="35">SUM(C74:L74,N74)</f>
        <v>0</v>
      </c>
      <c r="P74" s="15">
        <f t="shared" ref="P74:P105" si="36">SUM(C74:N74)</f>
        <v>4</v>
      </c>
      <c r="R74" s="8"/>
      <c r="T74"/>
    </row>
    <row r="75" spans="2:20" ht="23.1" customHeight="1" x14ac:dyDescent="0.25">
      <c r="B75" s="45" t="s">
        <v>115</v>
      </c>
      <c r="C75" s="50">
        <v>2</v>
      </c>
      <c r="D75" s="50">
        <v>2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2</v>
      </c>
      <c r="N75" s="50">
        <v>0</v>
      </c>
      <c r="O75" s="15">
        <f t="shared" si="35"/>
        <v>4</v>
      </c>
      <c r="P75" s="15">
        <f t="shared" si="36"/>
        <v>6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1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0</v>
      </c>
      <c r="N76" s="50">
        <v>0</v>
      </c>
      <c r="O76" s="15">
        <f t="shared" si="35"/>
        <v>1</v>
      </c>
      <c r="P76" s="15">
        <f t="shared" si="36"/>
        <v>1</v>
      </c>
      <c r="R76" s="8"/>
      <c r="T76"/>
    </row>
    <row r="77" spans="2:20" ht="23.1" customHeight="1" x14ac:dyDescent="0.25">
      <c r="B77" s="45" t="s">
        <v>117</v>
      </c>
      <c r="C77" s="50">
        <v>2</v>
      </c>
      <c r="D77" s="50">
        <v>0</v>
      </c>
      <c r="E77" s="50">
        <v>0</v>
      </c>
      <c r="F77" s="50">
        <v>1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15">
        <f t="shared" si="35"/>
        <v>3</v>
      </c>
      <c r="P77" s="15">
        <f t="shared" si="36"/>
        <v>3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1</v>
      </c>
      <c r="N78" s="50">
        <v>0</v>
      </c>
      <c r="O78" s="15">
        <f t="shared" si="35"/>
        <v>0</v>
      </c>
      <c r="P78" s="15">
        <f t="shared" si="36"/>
        <v>1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0</v>
      </c>
      <c r="P79" s="15">
        <f t="shared" si="36"/>
        <v>0</v>
      </c>
      <c r="R79" s="8"/>
      <c r="T79"/>
    </row>
    <row r="80" spans="2:20" ht="23.1" customHeight="1" x14ac:dyDescent="0.25">
      <c r="B80" s="47" t="s">
        <v>120</v>
      </c>
      <c r="C80" s="50">
        <v>1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2</v>
      </c>
      <c r="N80" s="50">
        <v>0</v>
      </c>
      <c r="O80" s="15">
        <f t="shared" si="35"/>
        <v>1</v>
      </c>
      <c r="P80" s="15">
        <f t="shared" si="36"/>
        <v>3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0</v>
      </c>
      <c r="P81" s="15">
        <f t="shared" si="36"/>
        <v>0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1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1</v>
      </c>
      <c r="N82" s="50">
        <v>0</v>
      </c>
      <c r="O82" s="15">
        <f t="shared" si="35"/>
        <v>1</v>
      </c>
      <c r="P82" s="15">
        <f t="shared" si="36"/>
        <v>2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0</v>
      </c>
      <c r="P83" s="15">
        <f t="shared" si="36"/>
        <v>0</v>
      </c>
      <c r="R83" s="8"/>
      <c r="T83"/>
    </row>
    <row r="84" spans="2:20" ht="23.1" customHeight="1" x14ac:dyDescent="0.25">
      <c r="B84" s="47" t="s">
        <v>124</v>
      </c>
      <c r="C84" s="50">
        <v>2</v>
      </c>
      <c r="D84" s="50">
        <v>0</v>
      </c>
      <c r="E84" s="50">
        <v>0</v>
      </c>
      <c r="F84" s="50">
        <v>1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3</v>
      </c>
      <c r="P84" s="15">
        <f t="shared" si="36"/>
        <v>3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46" t="s">
        <v>126</v>
      </c>
      <c r="C86" s="50">
        <v>1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2</v>
      </c>
      <c r="N86" s="50">
        <v>0</v>
      </c>
      <c r="O86" s="15">
        <f t="shared" si="35"/>
        <v>1</v>
      </c>
      <c r="P86" s="15">
        <f t="shared" si="36"/>
        <v>3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1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1</v>
      </c>
      <c r="P88" s="15">
        <f t="shared" si="36"/>
        <v>1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3</v>
      </c>
      <c r="N89" s="50">
        <v>0</v>
      </c>
      <c r="O89" s="15">
        <f t="shared" si="35"/>
        <v>0</v>
      </c>
      <c r="P89" s="15">
        <f t="shared" si="36"/>
        <v>3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0</v>
      </c>
      <c r="P90" s="15">
        <f t="shared" si="36"/>
        <v>0</v>
      </c>
      <c r="R90" s="8"/>
      <c r="T90"/>
    </row>
    <row r="91" spans="2:20" ht="23.1" customHeight="1" x14ac:dyDescent="0.25">
      <c r="B91" s="45" t="s">
        <v>131</v>
      </c>
      <c r="C91" s="50">
        <v>1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1</v>
      </c>
      <c r="P91" s="15">
        <f t="shared" si="36"/>
        <v>1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1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1</v>
      </c>
      <c r="N92" s="50">
        <v>0</v>
      </c>
      <c r="O92" s="15">
        <f t="shared" si="35"/>
        <v>1</v>
      </c>
      <c r="P92" s="15">
        <f t="shared" si="36"/>
        <v>2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1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1</v>
      </c>
      <c r="P93" s="15">
        <f t="shared" si="36"/>
        <v>1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2</v>
      </c>
      <c r="F94" s="50">
        <v>0</v>
      </c>
      <c r="G94" s="50">
        <v>0</v>
      </c>
      <c r="H94" s="50">
        <v>0</v>
      </c>
      <c r="I94" s="50">
        <v>1</v>
      </c>
      <c r="J94" s="50">
        <v>0</v>
      </c>
      <c r="K94" s="50">
        <v>0</v>
      </c>
      <c r="L94" s="50">
        <v>0</v>
      </c>
      <c r="M94" s="50">
        <v>3</v>
      </c>
      <c r="N94" s="50">
        <v>0</v>
      </c>
      <c r="O94" s="15">
        <f t="shared" si="35"/>
        <v>3</v>
      </c>
      <c r="P94" s="15">
        <f t="shared" si="36"/>
        <v>6</v>
      </c>
      <c r="R94" s="8"/>
      <c r="T94"/>
    </row>
    <row r="95" spans="2:20" ht="23.1" customHeight="1" x14ac:dyDescent="0.25">
      <c r="B95" s="45" t="s">
        <v>135</v>
      </c>
      <c r="C95" s="50">
        <v>2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2</v>
      </c>
      <c r="P95" s="15">
        <f t="shared" si="36"/>
        <v>2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1</v>
      </c>
      <c r="N96" s="50">
        <v>0</v>
      </c>
      <c r="O96" s="15">
        <f t="shared" si="35"/>
        <v>0</v>
      </c>
      <c r="P96" s="15">
        <f t="shared" si="36"/>
        <v>1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3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3</v>
      </c>
      <c r="P97" s="15">
        <f t="shared" si="36"/>
        <v>3</v>
      </c>
      <c r="R97" s="8"/>
      <c r="T97"/>
    </row>
    <row r="98" spans="2:20" ht="23.1" customHeight="1" x14ac:dyDescent="0.25">
      <c r="B98" s="46" t="s">
        <v>138</v>
      </c>
      <c r="C98" s="50">
        <v>3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1</v>
      </c>
      <c r="K98" s="50">
        <v>0</v>
      </c>
      <c r="L98" s="50">
        <v>0</v>
      </c>
      <c r="M98" s="50">
        <v>1</v>
      </c>
      <c r="N98" s="50">
        <v>0</v>
      </c>
      <c r="O98" s="15">
        <f t="shared" si="35"/>
        <v>4</v>
      </c>
      <c r="P98" s="15">
        <f t="shared" si="36"/>
        <v>5</v>
      </c>
      <c r="R98" s="8"/>
      <c r="T98"/>
    </row>
    <row r="99" spans="2:20" ht="23.1" customHeight="1" x14ac:dyDescent="0.25">
      <c r="B99" s="45" t="s">
        <v>139</v>
      </c>
      <c r="C99" s="50">
        <v>2</v>
      </c>
      <c r="D99" s="50">
        <v>1</v>
      </c>
      <c r="E99" s="50">
        <v>0</v>
      </c>
      <c r="F99" s="50">
        <v>0</v>
      </c>
      <c r="G99" s="50">
        <v>0</v>
      </c>
      <c r="H99" s="50">
        <v>0</v>
      </c>
      <c r="I99" s="50">
        <v>1</v>
      </c>
      <c r="J99" s="50">
        <v>2</v>
      </c>
      <c r="K99" s="50">
        <v>0</v>
      </c>
      <c r="L99" s="50">
        <v>0</v>
      </c>
      <c r="M99" s="50">
        <v>7</v>
      </c>
      <c r="N99" s="50">
        <v>0</v>
      </c>
      <c r="O99" s="15">
        <f t="shared" si="35"/>
        <v>6</v>
      </c>
      <c r="P99" s="15">
        <f t="shared" si="36"/>
        <v>13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1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1</v>
      </c>
      <c r="P100" s="15">
        <f t="shared" si="36"/>
        <v>1</v>
      </c>
      <c r="R100" s="8"/>
      <c r="T100"/>
    </row>
    <row r="101" spans="2:20" ht="23.1" customHeight="1" x14ac:dyDescent="0.25">
      <c r="B101" s="45" t="s">
        <v>141</v>
      </c>
      <c r="C101" s="50">
        <v>1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0</v>
      </c>
      <c r="N101" s="50">
        <v>0</v>
      </c>
      <c r="O101" s="15">
        <f t="shared" si="35"/>
        <v>1</v>
      </c>
      <c r="P101" s="15">
        <f t="shared" si="36"/>
        <v>1</v>
      </c>
      <c r="R101" s="8"/>
      <c r="T101"/>
    </row>
    <row r="102" spans="2:20" ht="23.1" customHeight="1" x14ac:dyDescent="0.25">
      <c r="B102" s="46" t="s">
        <v>142</v>
      </c>
      <c r="C102" s="50">
        <v>1</v>
      </c>
      <c r="D102" s="50">
        <v>0</v>
      </c>
      <c r="E102" s="50">
        <v>0</v>
      </c>
      <c r="F102" s="50">
        <v>1</v>
      </c>
      <c r="G102" s="50">
        <v>0</v>
      </c>
      <c r="H102" s="50">
        <v>0</v>
      </c>
      <c r="I102" s="50">
        <v>1</v>
      </c>
      <c r="J102" s="50">
        <v>0</v>
      </c>
      <c r="K102" s="50">
        <v>0</v>
      </c>
      <c r="L102" s="50">
        <v>0</v>
      </c>
      <c r="M102" s="50">
        <v>6</v>
      </c>
      <c r="N102" s="50">
        <v>0</v>
      </c>
      <c r="O102" s="15">
        <f t="shared" si="35"/>
        <v>3</v>
      </c>
      <c r="P102" s="15">
        <f t="shared" si="36"/>
        <v>9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1</v>
      </c>
      <c r="E103" s="50">
        <v>0</v>
      </c>
      <c r="F103" s="50">
        <v>0</v>
      </c>
      <c r="G103" s="50">
        <v>0</v>
      </c>
      <c r="H103" s="50">
        <v>0</v>
      </c>
      <c r="I103" s="50">
        <v>2</v>
      </c>
      <c r="J103" s="50">
        <v>1</v>
      </c>
      <c r="K103" s="50">
        <v>0</v>
      </c>
      <c r="L103" s="50">
        <v>0</v>
      </c>
      <c r="M103" s="50">
        <v>2</v>
      </c>
      <c r="N103" s="50">
        <v>0</v>
      </c>
      <c r="O103" s="15">
        <f t="shared" si="35"/>
        <v>4</v>
      </c>
      <c r="P103" s="15">
        <f t="shared" si="36"/>
        <v>6</v>
      </c>
      <c r="R103" s="8"/>
      <c r="T103"/>
    </row>
    <row r="104" spans="2:20" ht="23.1" customHeight="1" x14ac:dyDescent="0.25">
      <c r="B104" s="47" t="s">
        <v>144</v>
      </c>
      <c r="C104" s="50">
        <v>2</v>
      </c>
      <c r="D104" s="50">
        <v>0</v>
      </c>
      <c r="E104" s="50">
        <v>1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9</v>
      </c>
      <c r="N104" s="50">
        <v>0</v>
      </c>
      <c r="O104" s="15">
        <f t="shared" si="35"/>
        <v>3</v>
      </c>
      <c r="P104" s="15">
        <f t="shared" si="36"/>
        <v>12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1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1</v>
      </c>
      <c r="L105" s="50">
        <v>0</v>
      </c>
      <c r="M105" s="50">
        <v>2</v>
      </c>
      <c r="N105" s="50">
        <v>0</v>
      </c>
      <c r="O105" s="15">
        <f t="shared" si="35"/>
        <v>2</v>
      </c>
      <c r="P105" s="15">
        <f t="shared" si="36"/>
        <v>4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276</v>
      </c>
      <c r="D106" s="16">
        <f t="shared" ref="D106:P106" si="37">SUM(D10:D105)</f>
        <v>25</v>
      </c>
      <c r="E106" s="16">
        <f t="shared" si="37"/>
        <v>36</v>
      </c>
      <c r="F106" s="16">
        <f t="shared" si="37"/>
        <v>97</v>
      </c>
      <c r="G106" s="16">
        <f t="shared" si="37"/>
        <v>4</v>
      </c>
      <c r="H106" s="16">
        <f t="shared" si="37"/>
        <v>8</v>
      </c>
      <c r="I106" s="16">
        <f t="shared" si="37"/>
        <v>42</v>
      </c>
      <c r="J106" s="16">
        <f t="shared" si="37"/>
        <v>37</v>
      </c>
      <c r="K106" s="16">
        <f t="shared" si="37"/>
        <v>14</v>
      </c>
      <c r="L106" s="16">
        <f t="shared" si="37"/>
        <v>14</v>
      </c>
      <c r="M106" s="16">
        <f t="shared" si="37"/>
        <v>3532</v>
      </c>
      <c r="N106" s="16">
        <f t="shared" si="37"/>
        <v>0</v>
      </c>
      <c r="O106" s="16">
        <f t="shared" si="37"/>
        <v>553</v>
      </c>
      <c r="P106" s="16">
        <f t="shared" si="37"/>
        <v>4085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6.7564259485924108E-2</v>
      </c>
      <c r="D107" s="43">
        <f t="shared" si="38"/>
        <v>6.1199510403916772E-3</v>
      </c>
      <c r="E107" s="43">
        <f t="shared" si="38"/>
        <v>8.8127294981640153E-3</v>
      </c>
      <c r="F107" s="43">
        <f t="shared" si="38"/>
        <v>2.3745410036719705E-2</v>
      </c>
      <c r="G107" s="43">
        <f t="shared" si="38"/>
        <v>9.7919216646266834E-4</v>
      </c>
      <c r="H107" s="43">
        <f t="shared" si="38"/>
        <v>1.9583843329253367E-3</v>
      </c>
      <c r="I107" s="43">
        <f t="shared" si="38"/>
        <v>1.0281517747858017E-2</v>
      </c>
      <c r="J107" s="43">
        <f t="shared" si="38"/>
        <v>9.057527539779682E-3</v>
      </c>
      <c r="K107" s="43">
        <f t="shared" si="38"/>
        <v>3.4271725826193391E-3</v>
      </c>
      <c r="L107" s="43">
        <f t="shared" si="38"/>
        <v>3.4271725826193391E-3</v>
      </c>
      <c r="M107" s="43">
        <f t="shared" si="38"/>
        <v>0.86462668298653611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0.49909584086799275</v>
      </c>
      <c r="D108" s="44">
        <f t="shared" ref="D108:N108" si="39">D106/$O$106</f>
        <v>4.5207956600361664E-2</v>
      </c>
      <c r="E108" s="44">
        <f t="shared" si="39"/>
        <v>6.50994575045208E-2</v>
      </c>
      <c r="F108" s="44">
        <f t="shared" si="39"/>
        <v>0.17540687160940324</v>
      </c>
      <c r="G108" s="44">
        <f t="shared" si="39"/>
        <v>7.2332730560578659E-3</v>
      </c>
      <c r="H108" s="44">
        <f t="shared" si="39"/>
        <v>1.4466546112115732E-2</v>
      </c>
      <c r="I108" s="44">
        <f t="shared" si="39"/>
        <v>7.5949367088607597E-2</v>
      </c>
      <c r="J108" s="44">
        <f t="shared" si="39"/>
        <v>6.6907775768535266E-2</v>
      </c>
      <c r="K108" s="44">
        <f t="shared" si="39"/>
        <v>2.5316455696202531E-2</v>
      </c>
      <c r="L108" s="44">
        <f t="shared" si="39"/>
        <v>2.5316455696202531E-2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tabSelected="1" view="pageBreakPreview" topLeftCell="M55" zoomScale="60" workbookViewId="0">
      <selection activeCell="X76" sqref="X7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">
        <v>177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8" t="s">
        <v>162</v>
      </c>
      <c r="E5" s="69"/>
      <c r="F5" s="41" t="s">
        <v>1</v>
      </c>
      <c r="G5" s="66" t="s">
        <v>165</v>
      </c>
      <c r="H5" s="67"/>
      <c r="I5" s="14"/>
      <c r="J5" s="2" t="s">
        <v>5</v>
      </c>
      <c r="K5" s="66" t="s">
        <v>175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">
        <v>164</v>
      </c>
      <c r="E6" s="67"/>
      <c r="F6" s="2" t="s">
        <v>2</v>
      </c>
      <c r="G6" s="66" t="s">
        <v>176</v>
      </c>
      <c r="H6" s="67"/>
      <c r="J6" s="2" t="s">
        <v>21</v>
      </c>
      <c r="K6" s="66" t="s">
        <v>168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AVERAGE('26.10 KASESE-PONDWE'!C10,'27.10 KASESE-PONDWE'!C10,'25.10.19 KASESE- PONDWE-24h'!C10)</f>
        <v>0.66666666666666663</v>
      </c>
      <c r="D10" s="49">
        <f>AVERAGE('26.10 KASESE-PONDWE'!D10,'27.10 KASESE-PONDWE'!D10,'25.10.19 KASESE- PONDWE-24h'!D10)</f>
        <v>0</v>
      </c>
      <c r="E10" s="49">
        <f>AVERAGE('26.10 KASESE-PONDWE'!E10,'27.10 KASESE-PONDWE'!E10,'25.10.19 KASESE- PONDWE-24h'!E10)</f>
        <v>0</v>
      </c>
      <c r="F10" s="49">
        <f>AVERAGE('26.10 KASESE-PONDWE'!F10,'27.10 KASESE-PONDWE'!F10,'25.10.19 KASESE- PONDWE-24h'!F10)</f>
        <v>1</v>
      </c>
      <c r="G10" s="49">
        <f>AVERAGE('26.10 KASESE-PONDWE'!G10,'27.10 KASESE-PONDWE'!G10,'25.10.19 KASESE- PONDWE-24h'!G10)</f>
        <v>0</v>
      </c>
      <c r="H10" s="49">
        <f>AVERAGE('26.10 KASESE-PONDWE'!H10,'27.10 KASESE-PONDWE'!H10,'25.10.19 KASESE- PONDWE-24h'!H10)</f>
        <v>0</v>
      </c>
      <c r="I10" s="49">
        <f>AVERAGE('26.10 KASESE-PONDWE'!I10,'27.10 KASESE-PONDWE'!I10,'25.10.19 KASESE- PONDWE-24h'!I10)</f>
        <v>0.66666666666666663</v>
      </c>
      <c r="J10" s="49">
        <f>AVERAGE('26.10 KASESE-PONDWE'!J10,'27.10 KASESE-PONDWE'!J10,'25.10.19 KASESE- PONDWE-24h'!J10)</f>
        <v>0</v>
      </c>
      <c r="K10" s="49">
        <f>AVERAGE('26.10 KASESE-PONDWE'!K10,'27.10 KASESE-PONDWE'!K10,'25.10.19 KASESE- PONDWE-24h'!K10)</f>
        <v>0</v>
      </c>
      <c r="L10" s="49">
        <f>AVERAGE('26.10 KASESE-PONDWE'!L10,'27.10 KASESE-PONDWE'!L10,'25.10.19 KASESE- PONDWE-24h'!L10)</f>
        <v>0</v>
      </c>
      <c r="M10" s="49">
        <f>AVERAGE('26.10 KASESE-PONDWE'!M10,'27.10 KASESE-PONDWE'!M10,'25.10.19 KASESE- PONDWE-24h'!M10)</f>
        <v>22.666666666666668</v>
      </c>
      <c r="N10" s="49">
        <f>AVERAGE('26.10 KASESE-PONDWE'!N10,'27.10 KASESE-PONDWE'!N10,'25.10.19 KASESE- PONDWE-24h'!N10)</f>
        <v>0</v>
      </c>
      <c r="O10" s="15">
        <f t="shared" ref="O10:O73" si="0">SUM(C10:L10,N10)</f>
        <v>2.333333333333333</v>
      </c>
      <c r="P10" s="15">
        <f t="shared" ref="P10:P73" si="1">SUM(C10:N10)</f>
        <v>25</v>
      </c>
      <c r="R10" s="1" t="s">
        <v>6</v>
      </c>
      <c r="S10" s="17">
        <f t="shared" ref="S10:AF10" si="2">SUM(C10:C13)</f>
        <v>7</v>
      </c>
      <c r="T10" s="17">
        <f t="shared" si="2"/>
        <v>0.66666666666666663</v>
      </c>
      <c r="U10" s="17">
        <f t="shared" si="2"/>
        <v>0.66666666666666663</v>
      </c>
      <c r="V10" s="17">
        <f t="shared" si="2"/>
        <v>6</v>
      </c>
      <c r="W10" s="17">
        <f t="shared" si="2"/>
        <v>0</v>
      </c>
      <c r="X10" s="17">
        <f t="shared" si="2"/>
        <v>0.33333333333333331</v>
      </c>
      <c r="Y10" s="17">
        <f t="shared" si="2"/>
        <v>2.333333333333333</v>
      </c>
      <c r="Z10" s="17">
        <f t="shared" si="2"/>
        <v>2.666666666666667</v>
      </c>
      <c r="AA10" s="17">
        <f t="shared" si="2"/>
        <v>0</v>
      </c>
      <c r="AB10" s="17">
        <f t="shared" si="2"/>
        <v>2</v>
      </c>
      <c r="AC10" s="17">
        <f t="shared" si="2"/>
        <v>201.33333333333334</v>
      </c>
      <c r="AD10" s="17">
        <f t="shared" si="2"/>
        <v>0</v>
      </c>
      <c r="AE10" s="31">
        <f t="shared" si="2"/>
        <v>21.666666666666664</v>
      </c>
      <c r="AF10" s="31">
        <f t="shared" si="2"/>
        <v>223</v>
      </c>
    </row>
    <row r="11" spans="2:32" s="6" customFormat="1" ht="23.1" customHeight="1" x14ac:dyDescent="0.25">
      <c r="B11" s="23" t="s">
        <v>38</v>
      </c>
      <c r="C11" s="49">
        <f>AVERAGE('26.10 KASESE-PONDWE'!C11,'27.10 KASESE-PONDWE'!C11,'25.10.19 KASESE- PONDWE-24h'!C11)</f>
        <v>2</v>
      </c>
      <c r="D11" s="49">
        <f>AVERAGE('26.10 KASESE-PONDWE'!D11,'27.10 KASESE-PONDWE'!D11,'25.10.19 KASESE- PONDWE-24h'!D11)</f>
        <v>0</v>
      </c>
      <c r="E11" s="49">
        <f>AVERAGE('26.10 KASESE-PONDWE'!E11,'27.10 KASESE-PONDWE'!E11,'25.10.19 KASESE- PONDWE-24h'!E11)</f>
        <v>0</v>
      </c>
      <c r="F11" s="49">
        <f>AVERAGE('26.10 KASESE-PONDWE'!F11,'27.10 KASESE-PONDWE'!F11,'25.10.19 KASESE- PONDWE-24h'!F11)</f>
        <v>2</v>
      </c>
      <c r="G11" s="49">
        <f>AVERAGE('26.10 KASESE-PONDWE'!G11,'27.10 KASESE-PONDWE'!G11,'25.10.19 KASESE- PONDWE-24h'!G11)</f>
        <v>0</v>
      </c>
      <c r="H11" s="49">
        <f>AVERAGE('26.10 KASESE-PONDWE'!H11,'27.10 KASESE-PONDWE'!H11,'25.10.19 KASESE- PONDWE-24h'!H11)</f>
        <v>0.33333333333333331</v>
      </c>
      <c r="I11" s="49">
        <f>AVERAGE('26.10 KASESE-PONDWE'!I11,'27.10 KASESE-PONDWE'!I11,'25.10.19 KASESE- PONDWE-24h'!I11)</f>
        <v>0.33333333333333331</v>
      </c>
      <c r="J11" s="49">
        <f>AVERAGE('26.10 KASESE-PONDWE'!J11,'27.10 KASESE-PONDWE'!J11,'25.10.19 KASESE- PONDWE-24h'!J11)</f>
        <v>0.66666666666666663</v>
      </c>
      <c r="K11" s="49">
        <f>AVERAGE('26.10 KASESE-PONDWE'!K11,'27.10 KASESE-PONDWE'!K11,'25.10.19 KASESE- PONDWE-24h'!K11)</f>
        <v>0</v>
      </c>
      <c r="L11" s="49">
        <f>AVERAGE('26.10 KASESE-PONDWE'!L11,'27.10 KASESE-PONDWE'!L11,'25.10.19 KASESE- PONDWE-24h'!L11)</f>
        <v>0.66666666666666663</v>
      </c>
      <c r="M11" s="49">
        <f>AVERAGE('26.10 KASESE-PONDWE'!M11,'27.10 KASESE-PONDWE'!M11,'25.10.19 KASESE- PONDWE-24h'!M11)</f>
        <v>60</v>
      </c>
      <c r="N11" s="49">
        <f>AVERAGE('26.10 KASESE-PONDWE'!N11,'27.10 KASESE-PONDWE'!N11,'25.10.19 KASESE- PONDWE-24h'!N11)</f>
        <v>0</v>
      </c>
      <c r="O11" s="15">
        <f t="shared" si="0"/>
        <v>6</v>
      </c>
      <c r="P11" s="15">
        <f t="shared" si="1"/>
        <v>66</v>
      </c>
      <c r="R11" s="1" t="s">
        <v>7</v>
      </c>
      <c r="S11" s="17">
        <f t="shared" ref="S11:AF11" si="3">SUM(C14:C17)</f>
        <v>17.666666666666664</v>
      </c>
      <c r="T11" s="17">
        <f t="shared" si="3"/>
        <v>1.3333333333333333</v>
      </c>
      <c r="U11" s="17">
        <f t="shared" si="3"/>
        <v>1.6666666666666665</v>
      </c>
      <c r="V11" s="17">
        <f t="shared" si="3"/>
        <v>5.3333333333333339</v>
      </c>
      <c r="W11" s="17">
        <f t="shared" si="3"/>
        <v>0.33333333333333331</v>
      </c>
      <c r="X11" s="17">
        <f t="shared" si="3"/>
        <v>1.3333333333333333</v>
      </c>
      <c r="Y11" s="17">
        <f t="shared" si="3"/>
        <v>1.9999999999999998</v>
      </c>
      <c r="Z11" s="17">
        <f t="shared" si="3"/>
        <v>3.9999999999999996</v>
      </c>
      <c r="AA11" s="17">
        <f t="shared" si="3"/>
        <v>1</v>
      </c>
      <c r="AB11" s="17">
        <f t="shared" si="3"/>
        <v>2.333333333333333</v>
      </c>
      <c r="AC11" s="17">
        <f t="shared" si="3"/>
        <v>254.66666666666666</v>
      </c>
      <c r="AD11" s="17">
        <f t="shared" si="3"/>
        <v>0</v>
      </c>
      <c r="AE11" s="31">
        <f t="shared" si="3"/>
        <v>37</v>
      </c>
      <c r="AF11" s="31">
        <f t="shared" si="3"/>
        <v>291.66666666666669</v>
      </c>
    </row>
    <row r="12" spans="2:32" ht="23.1" customHeight="1" x14ac:dyDescent="0.25">
      <c r="B12" s="23" t="s">
        <v>39</v>
      </c>
      <c r="C12" s="49">
        <f>AVERAGE('26.10 KASESE-PONDWE'!C12,'27.10 KASESE-PONDWE'!C12,'25.10.19 KASESE- PONDWE-24h'!C12)</f>
        <v>1.3333333333333333</v>
      </c>
      <c r="D12" s="49">
        <f>AVERAGE('26.10 KASESE-PONDWE'!D12,'27.10 KASESE-PONDWE'!D12,'25.10.19 KASESE- PONDWE-24h'!D12)</f>
        <v>0.33333333333333331</v>
      </c>
      <c r="E12" s="49">
        <f>AVERAGE('26.10 KASESE-PONDWE'!E12,'27.10 KASESE-PONDWE'!E12,'25.10.19 KASESE- PONDWE-24h'!E12)</f>
        <v>0.33333333333333331</v>
      </c>
      <c r="F12" s="49">
        <f>AVERAGE('26.10 KASESE-PONDWE'!F12,'27.10 KASESE-PONDWE'!F12,'25.10.19 KASESE- PONDWE-24h'!F12)</f>
        <v>1</v>
      </c>
      <c r="G12" s="49">
        <f>AVERAGE('26.10 KASESE-PONDWE'!G12,'27.10 KASESE-PONDWE'!G12,'25.10.19 KASESE- PONDWE-24h'!G12)</f>
        <v>0</v>
      </c>
      <c r="H12" s="49">
        <f>AVERAGE('26.10 KASESE-PONDWE'!H12,'27.10 KASESE-PONDWE'!H12,'25.10.19 KASESE- PONDWE-24h'!H12)</f>
        <v>0</v>
      </c>
      <c r="I12" s="49">
        <f>AVERAGE('26.10 KASESE-PONDWE'!I12,'27.10 KASESE-PONDWE'!I12,'25.10.19 KASESE- PONDWE-24h'!I12)</f>
        <v>0</v>
      </c>
      <c r="J12" s="49">
        <f>AVERAGE('26.10 KASESE-PONDWE'!J12,'27.10 KASESE-PONDWE'!J12,'25.10.19 KASESE- PONDWE-24h'!J12)</f>
        <v>0.33333333333333331</v>
      </c>
      <c r="K12" s="49">
        <f>AVERAGE('26.10 KASESE-PONDWE'!K12,'27.10 KASESE-PONDWE'!K12,'25.10.19 KASESE- PONDWE-24h'!K12)</f>
        <v>0</v>
      </c>
      <c r="L12" s="49">
        <f>AVERAGE('26.10 KASESE-PONDWE'!L12,'27.10 KASESE-PONDWE'!L12,'25.10.19 KASESE- PONDWE-24h'!L12)</f>
        <v>0.66666666666666663</v>
      </c>
      <c r="M12" s="49">
        <f>AVERAGE('26.10 KASESE-PONDWE'!M12,'27.10 KASESE-PONDWE'!M12,'25.10.19 KASESE- PONDWE-24h'!M12)</f>
        <v>56.333333333333336</v>
      </c>
      <c r="N12" s="49">
        <f>AVERAGE('26.10 KASESE-PONDWE'!N12,'27.10 KASESE-PONDWE'!N12,'25.10.19 KASESE- PONDWE-24h'!N12)</f>
        <v>0</v>
      </c>
      <c r="O12" s="15">
        <f t="shared" si="0"/>
        <v>4</v>
      </c>
      <c r="P12" s="15">
        <f t="shared" si="1"/>
        <v>60.333333333333336</v>
      </c>
      <c r="R12" s="1" t="s">
        <v>8</v>
      </c>
      <c r="S12" s="17">
        <f t="shared" ref="S12:AF12" si="4">SUM(C18:C21)</f>
        <v>17.666666666666668</v>
      </c>
      <c r="T12" s="17">
        <f t="shared" si="4"/>
        <v>1</v>
      </c>
      <c r="U12" s="17">
        <f t="shared" si="4"/>
        <v>1.6666666666666665</v>
      </c>
      <c r="V12" s="17">
        <f t="shared" si="4"/>
        <v>5</v>
      </c>
      <c r="W12" s="17">
        <f t="shared" si="4"/>
        <v>0</v>
      </c>
      <c r="X12" s="17">
        <f t="shared" si="4"/>
        <v>0.66666666666666663</v>
      </c>
      <c r="Y12" s="17">
        <f t="shared" si="4"/>
        <v>2.333333333333333</v>
      </c>
      <c r="Z12" s="17">
        <f t="shared" si="4"/>
        <v>3.6666666666666665</v>
      </c>
      <c r="AA12" s="17">
        <f t="shared" si="4"/>
        <v>0.33333333333333331</v>
      </c>
      <c r="AB12" s="17">
        <f t="shared" si="4"/>
        <v>1</v>
      </c>
      <c r="AC12" s="17">
        <f t="shared" si="4"/>
        <v>180</v>
      </c>
      <c r="AD12" s="17">
        <f t="shared" si="4"/>
        <v>0</v>
      </c>
      <c r="AE12" s="31">
        <f t="shared" si="4"/>
        <v>33.333333333333336</v>
      </c>
      <c r="AF12" s="31">
        <f t="shared" si="4"/>
        <v>213.33333333333331</v>
      </c>
    </row>
    <row r="13" spans="2:32" ht="23.1" customHeight="1" x14ac:dyDescent="0.25">
      <c r="B13" s="23" t="s">
        <v>40</v>
      </c>
      <c r="C13" s="49">
        <f>AVERAGE('26.10 KASESE-PONDWE'!C13,'27.10 KASESE-PONDWE'!C13,'25.10.19 KASESE- PONDWE-24h'!C13)</f>
        <v>3</v>
      </c>
      <c r="D13" s="49">
        <f>AVERAGE('26.10 KASESE-PONDWE'!D13,'27.10 KASESE-PONDWE'!D13,'25.10.19 KASESE- PONDWE-24h'!D13)</f>
        <v>0.33333333333333331</v>
      </c>
      <c r="E13" s="49">
        <f>AVERAGE('26.10 KASESE-PONDWE'!E13,'27.10 KASESE-PONDWE'!E13,'25.10.19 KASESE- PONDWE-24h'!E13)</f>
        <v>0.33333333333333331</v>
      </c>
      <c r="F13" s="49">
        <f>AVERAGE('26.10 KASESE-PONDWE'!F13,'27.10 KASESE-PONDWE'!F13,'25.10.19 KASESE- PONDWE-24h'!F13)</f>
        <v>2</v>
      </c>
      <c r="G13" s="49">
        <f>AVERAGE('26.10 KASESE-PONDWE'!G13,'27.10 KASESE-PONDWE'!G13,'25.10.19 KASESE- PONDWE-24h'!G13)</f>
        <v>0</v>
      </c>
      <c r="H13" s="49">
        <f>AVERAGE('26.10 KASESE-PONDWE'!H13,'27.10 KASESE-PONDWE'!H13,'25.10.19 KASESE- PONDWE-24h'!H13)</f>
        <v>0</v>
      </c>
      <c r="I13" s="49">
        <f>AVERAGE('26.10 KASESE-PONDWE'!I13,'27.10 KASESE-PONDWE'!I13,'25.10.19 KASESE- PONDWE-24h'!I13)</f>
        <v>1.3333333333333333</v>
      </c>
      <c r="J13" s="49">
        <f>AVERAGE('26.10 KASESE-PONDWE'!J13,'27.10 KASESE-PONDWE'!J13,'25.10.19 KASESE- PONDWE-24h'!J13)</f>
        <v>1.6666666666666667</v>
      </c>
      <c r="K13" s="49">
        <f>AVERAGE('26.10 KASESE-PONDWE'!K13,'27.10 KASESE-PONDWE'!K13,'25.10.19 KASESE- PONDWE-24h'!K13)</f>
        <v>0</v>
      </c>
      <c r="L13" s="49">
        <f>AVERAGE('26.10 KASESE-PONDWE'!L13,'27.10 KASESE-PONDWE'!L13,'25.10.19 KASESE- PONDWE-24h'!L13)</f>
        <v>0.66666666666666663</v>
      </c>
      <c r="M13" s="49">
        <f>AVERAGE('26.10 KASESE-PONDWE'!M13,'27.10 KASESE-PONDWE'!M13,'25.10.19 KASESE- PONDWE-24h'!M13)</f>
        <v>62.333333333333336</v>
      </c>
      <c r="N13" s="49">
        <f>AVERAGE('26.10 KASESE-PONDWE'!N13,'27.10 KASESE-PONDWE'!N13,'25.10.19 KASESE- PONDWE-24h'!N13)</f>
        <v>0</v>
      </c>
      <c r="O13" s="15">
        <f t="shared" si="0"/>
        <v>9.3333333333333321</v>
      </c>
      <c r="P13" s="15">
        <f t="shared" si="1"/>
        <v>71.666666666666671</v>
      </c>
      <c r="R13" s="1" t="s">
        <v>9</v>
      </c>
      <c r="S13" s="17">
        <f t="shared" ref="S13:AF13" si="5">SUM(C22:C25)</f>
        <v>14.666666666666668</v>
      </c>
      <c r="T13" s="17">
        <f t="shared" si="5"/>
        <v>1</v>
      </c>
      <c r="U13" s="17">
        <f t="shared" si="5"/>
        <v>1.9999999999999998</v>
      </c>
      <c r="V13" s="17">
        <f t="shared" si="5"/>
        <v>2</v>
      </c>
      <c r="W13" s="17">
        <f t="shared" si="5"/>
        <v>0</v>
      </c>
      <c r="X13" s="17">
        <f t="shared" si="5"/>
        <v>0.33333333333333331</v>
      </c>
      <c r="Y13" s="17">
        <f t="shared" si="5"/>
        <v>1.3333333333333333</v>
      </c>
      <c r="Z13" s="17">
        <f t="shared" si="5"/>
        <v>2.6666666666666665</v>
      </c>
      <c r="AA13" s="17">
        <f t="shared" si="5"/>
        <v>0.33333333333333331</v>
      </c>
      <c r="AB13" s="17">
        <f t="shared" si="5"/>
        <v>0.66666666666666663</v>
      </c>
      <c r="AC13" s="17">
        <f t="shared" si="5"/>
        <v>143.33333333333331</v>
      </c>
      <c r="AD13" s="17">
        <f t="shared" si="5"/>
        <v>0</v>
      </c>
      <c r="AE13" s="31">
        <f t="shared" si="5"/>
        <v>25</v>
      </c>
      <c r="AF13" s="31">
        <f t="shared" si="5"/>
        <v>168.33333333333331</v>
      </c>
    </row>
    <row r="14" spans="2:32" ht="23.1" customHeight="1" x14ac:dyDescent="0.25">
      <c r="B14" s="23" t="s">
        <v>41</v>
      </c>
      <c r="C14" s="49">
        <f>AVERAGE('26.10 KASESE-PONDWE'!C14,'27.10 KASESE-PONDWE'!C14,'25.10.19 KASESE- PONDWE-24h'!C14)</f>
        <v>4</v>
      </c>
      <c r="D14" s="49">
        <f>AVERAGE('26.10 KASESE-PONDWE'!D14,'27.10 KASESE-PONDWE'!D14,'25.10.19 KASESE- PONDWE-24h'!D14)</f>
        <v>0.66666666666666663</v>
      </c>
      <c r="E14" s="49">
        <f>AVERAGE('26.10 KASESE-PONDWE'!E14,'27.10 KASESE-PONDWE'!E14,'25.10.19 KASESE- PONDWE-24h'!E14)</f>
        <v>0.66666666666666663</v>
      </c>
      <c r="F14" s="49">
        <f>AVERAGE('26.10 KASESE-PONDWE'!F14,'27.10 KASESE-PONDWE'!F14,'25.10.19 KASESE- PONDWE-24h'!F14)</f>
        <v>1</v>
      </c>
      <c r="G14" s="49">
        <f>AVERAGE('26.10 KASESE-PONDWE'!G14,'27.10 KASESE-PONDWE'!G14,'25.10.19 KASESE- PONDWE-24h'!G14)</f>
        <v>0</v>
      </c>
      <c r="H14" s="49">
        <f>AVERAGE('26.10 KASESE-PONDWE'!H14,'27.10 KASESE-PONDWE'!H14,'25.10.19 KASESE- PONDWE-24h'!H14)</f>
        <v>0.66666666666666663</v>
      </c>
      <c r="I14" s="49">
        <f>AVERAGE('26.10 KASESE-PONDWE'!I14,'27.10 KASESE-PONDWE'!I14,'25.10.19 KASESE- PONDWE-24h'!I14)</f>
        <v>1.3333333333333333</v>
      </c>
      <c r="J14" s="49">
        <f>AVERAGE('26.10 KASESE-PONDWE'!J14,'27.10 KASESE-PONDWE'!J14,'25.10.19 KASESE- PONDWE-24h'!J14)</f>
        <v>0.33333333333333331</v>
      </c>
      <c r="K14" s="49">
        <f>AVERAGE('26.10 KASESE-PONDWE'!K14,'27.10 KASESE-PONDWE'!K14,'25.10.19 KASESE- PONDWE-24h'!K14)</f>
        <v>0.33333333333333331</v>
      </c>
      <c r="L14" s="49">
        <f>AVERAGE('26.10 KASESE-PONDWE'!L14,'27.10 KASESE-PONDWE'!L14,'25.10.19 KASESE- PONDWE-24h'!L14)</f>
        <v>0</v>
      </c>
      <c r="M14" s="49">
        <f>AVERAGE('26.10 KASESE-PONDWE'!M14,'27.10 KASESE-PONDWE'!M14,'25.10.19 KASESE- PONDWE-24h'!M14)</f>
        <v>86.333333333333329</v>
      </c>
      <c r="N14" s="49">
        <f>AVERAGE('26.10 KASESE-PONDWE'!N14,'27.10 KASESE-PONDWE'!N14,'25.10.19 KASESE- PONDWE-24h'!N14)</f>
        <v>0</v>
      </c>
      <c r="O14" s="15">
        <f t="shared" si="0"/>
        <v>9.0000000000000018</v>
      </c>
      <c r="P14" s="15">
        <f t="shared" si="1"/>
        <v>95.333333333333329</v>
      </c>
      <c r="R14" s="1" t="s">
        <v>10</v>
      </c>
      <c r="S14" s="17">
        <f t="shared" ref="S14:AF14" si="6">SUM(C26:C29)</f>
        <v>19.333333333333332</v>
      </c>
      <c r="T14" s="17">
        <f t="shared" si="6"/>
        <v>1.3333333333333333</v>
      </c>
      <c r="U14" s="17">
        <f t="shared" si="6"/>
        <v>0.33333333333333331</v>
      </c>
      <c r="V14" s="17">
        <f t="shared" si="6"/>
        <v>3.333333333333333</v>
      </c>
      <c r="W14" s="17">
        <f t="shared" si="6"/>
        <v>0.33333333333333331</v>
      </c>
      <c r="X14" s="17">
        <f t="shared" si="6"/>
        <v>1.3333333333333333</v>
      </c>
      <c r="Y14" s="17">
        <f t="shared" si="6"/>
        <v>0.66666666666666663</v>
      </c>
      <c r="Z14" s="17">
        <f t="shared" si="6"/>
        <v>2</v>
      </c>
      <c r="AA14" s="17">
        <f t="shared" si="6"/>
        <v>1</v>
      </c>
      <c r="AB14" s="17">
        <f t="shared" si="6"/>
        <v>0.66666666666666663</v>
      </c>
      <c r="AC14" s="17">
        <f t="shared" si="6"/>
        <v>168</v>
      </c>
      <c r="AD14" s="17">
        <f t="shared" si="6"/>
        <v>0</v>
      </c>
      <c r="AE14" s="31">
        <f t="shared" si="6"/>
        <v>30.333333333333329</v>
      </c>
      <c r="AF14" s="31">
        <f t="shared" si="6"/>
        <v>198.33333333333334</v>
      </c>
    </row>
    <row r="15" spans="2:32" ht="23.1" customHeight="1" x14ac:dyDescent="0.25">
      <c r="B15" s="23" t="s">
        <v>42</v>
      </c>
      <c r="C15" s="49">
        <f>AVERAGE('26.10 KASESE-PONDWE'!C15,'27.10 KASESE-PONDWE'!C15,'25.10.19 KASESE- PONDWE-24h'!C15)</f>
        <v>5.333333333333333</v>
      </c>
      <c r="D15" s="49">
        <f>AVERAGE('26.10 KASESE-PONDWE'!D15,'27.10 KASESE-PONDWE'!D15,'25.10.19 KASESE- PONDWE-24h'!D15)</f>
        <v>0.33333333333333331</v>
      </c>
      <c r="E15" s="49">
        <f>AVERAGE('26.10 KASESE-PONDWE'!E15,'27.10 KASESE-PONDWE'!E15,'25.10.19 KASESE- PONDWE-24h'!E15)</f>
        <v>0</v>
      </c>
      <c r="F15" s="49">
        <f>AVERAGE('26.10 KASESE-PONDWE'!F15,'27.10 KASESE-PONDWE'!F15,'25.10.19 KASESE- PONDWE-24h'!F15)</f>
        <v>1.6666666666666667</v>
      </c>
      <c r="G15" s="49">
        <f>AVERAGE('26.10 KASESE-PONDWE'!G15,'27.10 KASESE-PONDWE'!G15,'25.10.19 KASESE- PONDWE-24h'!G15)</f>
        <v>0</v>
      </c>
      <c r="H15" s="49">
        <f>AVERAGE('26.10 KASESE-PONDWE'!H15,'27.10 KASESE-PONDWE'!H15,'25.10.19 KASESE- PONDWE-24h'!H15)</f>
        <v>0.33333333333333331</v>
      </c>
      <c r="I15" s="49">
        <f>AVERAGE('26.10 KASESE-PONDWE'!I15,'27.10 KASESE-PONDWE'!I15,'25.10.19 KASESE- PONDWE-24h'!I15)</f>
        <v>0.33333333333333331</v>
      </c>
      <c r="J15" s="49">
        <f>AVERAGE('26.10 KASESE-PONDWE'!J15,'27.10 KASESE-PONDWE'!J15,'25.10.19 KASESE- PONDWE-24h'!J15)</f>
        <v>1.6666666666666667</v>
      </c>
      <c r="K15" s="49">
        <f>AVERAGE('26.10 KASESE-PONDWE'!K15,'27.10 KASESE-PONDWE'!K15,'25.10.19 KASESE- PONDWE-24h'!K15)</f>
        <v>0</v>
      </c>
      <c r="L15" s="49">
        <f>AVERAGE('26.10 KASESE-PONDWE'!L15,'27.10 KASESE-PONDWE'!L15,'25.10.19 KASESE- PONDWE-24h'!L15)</f>
        <v>0.66666666666666663</v>
      </c>
      <c r="M15" s="49">
        <f>AVERAGE('26.10 KASESE-PONDWE'!M15,'27.10 KASESE-PONDWE'!M15,'25.10.19 KASESE- PONDWE-24h'!M15)</f>
        <v>63</v>
      </c>
      <c r="N15" s="49">
        <f>AVERAGE('26.10 KASESE-PONDWE'!N15,'27.10 KASESE-PONDWE'!N15,'25.10.19 KASESE- PONDWE-24h'!N15)</f>
        <v>0</v>
      </c>
      <c r="O15" s="15">
        <f t="shared" si="0"/>
        <v>10.333333333333332</v>
      </c>
      <c r="P15" s="15">
        <f t="shared" si="1"/>
        <v>73.333333333333329</v>
      </c>
      <c r="R15" s="1" t="s">
        <v>11</v>
      </c>
      <c r="S15" s="17">
        <f t="shared" ref="S15:AF15" si="7">SUM(C30:C33)</f>
        <v>13.333333333333334</v>
      </c>
      <c r="T15" s="17">
        <f t="shared" si="7"/>
        <v>0.66666666666666663</v>
      </c>
      <c r="U15" s="17">
        <f t="shared" si="7"/>
        <v>1.6666666666666665</v>
      </c>
      <c r="V15" s="17">
        <f t="shared" si="7"/>
        <v>5.3333333333333339</v>
      </c>
      <c r="W15" s="17">
        <f t="shared" si="7"/>
        <v>0</v>
      </c>
      <c r="X15" s="17">
        <f t="shared" si="7"/>
        <v>0.66666666666666663</v>
      </c>
      <c r="Y15" s="17">
        <f t="shared" si="7"/>
        <v>2.6666666666666665</v>
      </c>
      <c r="Z15" s="17">
        <f t="shared" si="7"/>
        <v>1.6666666666666665</v>
      </c>
      <c r="AA15" s="17">
        <f t="shared" si="7"/>
        <v>1.3333333333333333</v>
      </c>
      <c r="AB15" s="17">
        <f t="shared" si="7"/>
        <v>1.6666666666666665</v>
      </c>
      <c r="AC15" s="17">
        <f t="shared" si="7"/>
        <v>157.33333333333334</v>
      </c>
      <c r="AD15" s="17">
        <f t="shared" si="7"/>
        <v>0</v>
      </c>
      <c r="AE15" s="31">
        <f t="shared" si="7"/>
        <v>29</v>
      </c>
      <c r="AF15" s="31">
        <f t="shared" si="7"/>
        <v>186.33333333333334</v>
      </c>
    </row>
    <row r="16" spans="2:32" ht="23.1" customHeight="1" x14ac:dyDescent="0.25">
      <c r="B16" s="23" t="s">
        <v>43</v>
      </c>
      <c r="C16" s="49">
        <f>AVERAGE('26.10 KASESE-PONDWE'!C16,'27.10 KASESE-PONDWE'!C16,'25.10.19 KASESE- PONDWE-24h'!C16)</f>
        <v>3.6666666666666665</v>
      </c>
      <c r="D16" s="49">
        <f>AVERAGE('26.10 KASESE-PONDWE'!D16,'27.10 KASESE-PONDWE'!D16,'25.10.19 KASESE- PONDWE-24h'!D16)</f>
        <v>0.33333333333333331</v>
      </c>
      <c r="E16" s="49">
        <f>AVERAGE('26.10 KASESE-PONDWE'!E16,'27.10 KASESE-PONDWE'!E16,'25.10.19 KASESE- PONDWE-24h'!E16)</f>
        <v>0.33333333333333331</v>
      </c>
      <c r="F16" s="49">
        <f>AVERAGE('26.10 KASESE-PONDWE'!F16,'27.10 KASESE-PONDWE'!F16,'25.10.19 KASESE- PONDWE-24h'!F16)</f>
        <v>1</v>
      </c>
      <c r="G16" s="49">
        <f>AVERAGE('26.10 KASESE-PONDWE'!G16,'27.10 KASESE-PONDWE'!G16,'25.10.19 KASESE- PONDWE-24h'!G16)</f>
        <v>0.33333333333333331</v>
      </c>
      <c r="H16" s="49">
        <f>AVERAGE('26.10 KASESE-PONDWE'!H16,'27.10 KASESE-PONDWE'!H16,'25.10.19 KASESE- PONDWE-24h'!H16)</f>
        <v>0.33333333333333331</v>
      </c>
      <c r="I16" s="49">
        <f>AVERAGE('26.10 KASESE-PONDWE'!I16,'27.10 KASESE-PONDWE'!I16,'25.10.19 KASESE- PONDWE-24h'!I16)</f>
        <v>0.33333333333333331</v>
      </c>
      <c r="J16" s="49">
        <f>AVERAGE('26.10 KASESE-PONDWE'!J16,'27.10 KASESE-PONDWE'!J16,'25.10.19 KASESE- PONDWE-24h'!J16)</f>
        <v>1.3333333333333333</v>
      </c>
      <c r="K16" s="49">
        <f>AVERAGE('26.10 KASESE-PONDWE'!K16,'27.10 KASESE-PONDWE'!K16,'25.10.19 KASESE- PONDWE-24h'!K16)</f>
        <v>0</v>
      </c>
      <c r="L16" s="49">
        <f>AVERAGE('26.10 KASESE-PONDWE'!L16,'27.10 KASESE-PONDWE'!L16,'25.10.19 KASESE- PONDWE-24h'!L16)</f>
        <v>1</v>
      </c>
      <c r="M16" s="49">
        <f>AVERAGE('26.10 KASESE-PONDWE'!M16,'27.10 KASESE-PONDWE'!M16,'25.10.19 KASESE- PONDWE-24h'!M16)</f>
        <v>65.666666666666671</v>
      </c>
      <c r="N16" s="49">
        <f>AVERAGE('26.10 KASESE-PONDWE'!N16,'27.10 KASESE-PONDWE'!N16,'25.10.19 KASESE- PONDWE-24h'!N16)</f>
        <v>0</v>
      </c>
      <c r="O16" s="15">
        <f t="shared" si="0"/>
        <v>8.6666666666666643</v>
      </c>
      <c r="P16" s="15">
        <f t="shared" si="1"/>
        <v>74.333333333333343</v>
      </c>
      <c r="R16" s="1" t="s">
        <v>12</v>
      </c>
      <c r="S16" s="17">
        <f t="shared" ref="S16:AF16" si="8">SUM(C34:C37)</f>
        <v>11.333333333333332</v>
      </c>
      <c r="T16" s="17">
        <f t="shared" si="8"/>
        <v>1.3333333333333333</v>
      </c>
      <c r="U16" s="17">
        <f t="shared" si="8"/>
        <v>1.6666666666666665</v>
      </c>
      <c r="V16" s="17">
        <f t="shared" si="8"/>
        <v>5.333333333333333</v>
      </c>
      <c r="W16" s="17">
        <f t="shared" si="8"/>
        <v>0</v>
      </c>
      <c r="X16" s="17">
        <f t="shared" si="8"/>
        <v>0.33333333333333331</v>
      </c>
      <c r="Y16" s="17">
        <f t="shared" si="8"/>
        <v>2</v>
      </c>
      <c r="Z16" s="17">
        <f t="shared" si="8"/>
        <v>1.3333333333333333</v>
      </c>
      <c r="AA16" s="17">
        <f t="shared" si="8"/>
        <v>0.33333333333333331</v>
      </c>
      <c r="AB16" s="17">
        <f t="shared" si="8"/>
        <v>2.333333333333333</v>
      </c>
      <c r="AC16" s="17">
        <f t="shared" si="8"/>
        <v>175.33333333333334</v>
      </c>
      <c r="AD16" s="17">
        <f t="shared" si="8"/>
        <v>0</v>
      </c>
      <c r="AE16" s="31">
        <f t="shared" si="8"/>
        <v>26</v>
      </c>
      <c r="AF16" s="31">
        <f t="shared" si="8"/>
        <v>201.33333333333334</v>
      </c>
    </row>
    <row r="17" spans="2:32" ht="23.1" customHeight="1" x14ac:dyDescent="0.25">
      <c r="B17" s="23" t="s">
        <v>44</v>
      </c>
      <c r="C17" s="49">
        <f>AVERAGE('26.10 KASESE-PONDWE'!C17,'27.10 KASESE-PONDWE'!C17,'25.10.19 KASESE- PONDWE-24h'!C17)</f>
        <v>4.666666666666667</v>
      </c>
      <c r="D17" s="49">
        <f>AVERAGE('26.10 KASESE-PONDWE'!D17,'27.10 KASESE-PONDWE'!D17,'25.10.19 KASESE- PONDWE-24h'!D17)</f>
        <v>0</v>
      </c>
      <c r="E17" s="49">
        <f>AVERAGE('26.10 KASESE-PONDWE'!E17,'27.10 KASESE-PONDWE'!E17,'25.10.19 KASESE- PONDWE-24h'!E17)</f>
        <v>0.66666666666666663</v>
      </c>
      <c r="F17" s="49">
        <f>AVERAGE('26.10 KASESE-PONDWE'!F17,'27.10 KASESE-PONDWE'!F17,'25.10.19 KASESE- PONDWE-24h'!F17)</f>
        <v>1.6666666666666667</v>
      </c>
      <c r="G17" s="49">
        <f>AVERAGE('26.10 KASESE-PONDWE'!G17,'27.10 KASESE-PONDWE'!G17,'25.10.19 KASESE- PONDWE-24h'!G17)</f>
        <v>0</v>
      </c>
      <c r="H17" s="49">
        <f>AVERAGE('26.10 KASESE-PONDWE'!H17,'27.10 KASESE-PONDWE'!H17,'25.10.19 KASESE- PONDWE-24h'!H17)</f>
        <v>0</v>
      </c>
      <c r="I17" s="49">
        <f>AVERAGE('26.10 KASESE-PONDWE'!I17,'27.10 KASESE-PONDWE'!I17,'25.10.19 KASESE- PONDWE-24h'!I17)</f>
        <v>0</v>
      </c>
      <c r="J17" s="49">
        <f>AVERAGE('26.10 KASESE-PONDWE'!J17,'27.10 KASESE-PONDWE'!J17,'25.10.19 KASESE- PONDWE-24h'!J17)</f>
        <v>0.66666666666666663</v>
      </c>
      <c r="K17" s="49">
        <f>AVERAGE('26.10 KASESE-PONDWE'!K17,'27.10 KASESE-PONDWE'!K17,'25.10.19 KASESE- PONDWE-24h'!K17)</f>
        <v>0.66666666666666663</v>
      </c>
      <c r="L17" s="49">
        <f>AVERAGE('26.10 KASESE-PONDWE'!L17,'27.10 KASESE-PONDWE'!L17,'25.10.19 KASESE- PONDWE-24h'!L17)</f>
        <v>0.66666666666666663</v>
      </c>
      <c r="M17" s="49">
        <f>AVERAGE('26.10 KASESE-PONDWE'!M17,'27.10 KASESE-PONDWE'!M17,'25.10.19 KASESE- PONDWE-24h'!M17)</f>
        <v>39.666666666666664</v>
      </c>
      <c r="N17" s="49">
        <f>AVERAGE('26.10 KASESE-PONDWE'!N17,'27.10 KASESE-PONDWE'!N17,'25.10.19 KASESE- PONDWE-24h'!N17)</f>
        <v>0</v>
      </c>
      <c r="O17" s="15">
        <f t="shared" si="0"/>
        <v>9</v>
      </c>
      <c r="P17" s="15">
        <f t="shared" si="1"/>
        <v>48.666666666666664</v>
      </c>
      <c r="R17" s="1" t="s">
        <v>13</v>
      </c>
      <c r="S17" s="17">
        <f t="shared" ref="S17:AF17" si="9">SUM(C38:C41)</f>
        <v>9.6666666666666679</v>
      </c>
      <c r="T17" s="17">
        <f t="shared" si="9"/>
        <v>1.3333333333333333</v>
      </c>
      <c r="U17" s="17">
        <f t="shared" si="9"/>
        <v>0.66666666666666663</v>
      </c>
      <c r="V17" s="17">
        <f t="shared" si="9"/>
        <v>4.333333333333333</v>
      </c>
      <c r="W17" s="17">
        <f t="shared" si="9"/>
        <v>0.33333333333333331</v>
      </c>
      <c r="X17" s="17">
        <f t="shared" si="9"/>
        <v>0.33333333333333331</v>
      </c>
      <c r="Y17" s="17">
        <f t="shared" si="9"/>
        <v>1.3333333333333333</v>
      </c>
      <c r="Z17" s="17">
        <f t="shared" si="9"/>
        <v>1.3333333333333333</v>
      </c>
      <c r="AA17" s="17">
        <f t="shared" si="9"/>
        <v>1</v>
      </c>
      <c r="AB17" s="17">
        <f t="shared" si="9"/>
        <v>3.333333333333333</v>
      </c>
      <c r="AC17" s="17">
        <f t="shared" si="9"/>
        <v>172.33333333333331</v>
      </c>
      <c r="AD17" s="17">
        <f t="shared" si="9"/>
        <v>0</v>
      </c>
      <c r="AE17" s="31">
        <f t="shared" si="9"/>
        <v>23.666666666666668</v>
      </c>
      <c r="AF17" s="31">
        <f t="shared" si="9"/>
        <v>196</v>
      </c>
    </row>
    <row r="18" spans="2:32" ht="23.1" customHeight="1" x14ac:dyDescent="0.25">
      <c r="B18" s="23" t="s">
        <v>45</v>
      </c>
      <c r="C18" s="49">
        <f>AVERAGE('26.10 KASESE-PONDWE'!C18,'27.10 KASESE-PONDWE'!C18,'25.10.19 KASESE- PONDWE-24h'!C18)</f>
        <v>4</v>
      </c>
      <c r="D18" s="49">
        <f>AVERAGE('26.10 KASESE-PONDWE'!D18,'27.10 KASESE-PONDWE'!D18,'25.10.19 KASESE- PONDWE-24h'!D18)</f>
        <v>0</v>
      </c>
      <c r="E18" s="49">
        <f>AVERAGE('26.10 KASESE-PONDWE'!E18,'27.10 KASESE-PONDWE'!E18,'25.10.19 KASESE- PONDWE-24h'!E18)</f>
        <v>0.33333333333333331</v>
      </c>
      <c r="F18" s="49">
        <f>AVERAGE('26.10 KASESE-PONDWE'!F18,'27.10 KASESE-PONDWE'!F18,'25.10.19 KASESE- PONDWE-24h'!F18)</f>
        <v>1.6666666666666667</v>
      </c>
      <c r="G18" s="49">
        <f>AVERAGE('26.10 KASESE-PONDWE'!G18,'27.10 KASESE-PONDWE'!G18,'25.10.19 KASESE- PONDWE-24h'!G18)</f>
        <v>0</v>
      </c>
      <c r="H18" s="49">
        <f>AVERAGE('26.10 KASESE-PONDWE'!H18,'27.10 KASESE-PONDWE'!H18,'25.10.19 KASESE- PONDWE-24h'!H18)</f>
        <v>0</v>
      </c>
      <c r="I18" s="49">
        <f>AVERAGE('26.10 KASESE-PONDWE'!I18,'27.10 KASESE-PONDWE'!I18,'25.10.19 KASESE- PONDWE-24h'!I18)</f>
        <v>1</v>
      </c>
      <c r="J18" s="49">
        <f>AVERAGE('26.10 KASESE-PONDWE'!J18,'27.10 KASESE-PONDWE'!J18,'25.10.19 KASESE- PONDWE-24h'!J18)</f>
        <v>1</v>
      </c>
      <c r="K18" s="49">
        <f>AVERAGE('26.10 KASESE-PONDWE'!K18,'27.10 KASESE-PONDWE'!K18,'25.10.19 KASESE- PONDWE-24h'!K18)</f>
        <v>0.33333333333333331</v>
      </c>
      <c r="L18" s="49">
        <f>AVERAGE('26.10 KASESE-PONDWE'!L18,'27.10 KASESE-PONDWE'!L18,'25.10.19 KASESE- PONDWE-24h'!L18)</f>
        <v>0.33333333333333331</v>
      </c>
      <c r="M18" s="49">
        <f>AVERAGE('26.10 KASESE-PONDWE'!M18,'27.10 KASESE-PONDWE'!M18,'25.10.19 KASESE- PONDWE-24h'!M18)</f>
        <v>41</v>
      </c>
      <c r="N18" s="49">
        <f>AVERAGE('26.10 KASESE-PONDWE'!N18,'27.10 KASESE-PONDWE'!N18,'25.10.19 KASESE- PONDWE-24h'!N18)</f>
        <v>0</v>
      </c>
      <c r="O18" s="15">
        <f t="shared" si="0"/>
        <v>8.6666666666666679</v>
      </c>
      <c r="P18" s="15">
        <f t="shared" si="1"/>
        <v>49.666666666666671</v>
      </c>
      <c r="R18" s="1" t="s">
        <v>14</v>
      </c>
      <c r="S18" s="17">
        <f t="shared" ref="S18:AF18" si="10">SUM(C42:C45)</f>
        <v>15</v>
      </c>
      <c r="T18" s="17">
        <f t="shared" si="10"/>
        <v>3</v>
      </c>
      <c r="U18" s="17">
        <f t="shared" si="10"/>
        <v>1.3333333333333333</v>
      </c>
      <c r="V18" s="17">
        <f t="shared" si="10"/>
        <v>6</v>
      </c>
      <c r="W18" s="17">
        <f t="shared" si="10"/>
        <v>0</v>
      </c>
      <c r="X18" s="17">
        <f t="shared" si="10"/>
        <v>0.33333333333333331</v>
      </c>
      <c r="Y18" s="17">
        <f t="shared" si="10"/>
        <v>2.6666666666666665</v>
      </c>
      <c r="Z18" s="17">
        <f t="shared" si="10"/>
        <v>1.3333333333333333</v>
      </c>
      <c r="AA18" s="17">
        <f t="shared" si="10"/>
        <v>0.33333333333333331</v>
      </c>
      <c r="AB18" s="17">
        <f t="shared" si="10"/>
        <v>2.333333333333333</v>
      </c>
      <c r="AC18" s="17">
        <f t="shared" si="10"/>
        <v>225.66666666666666</v>
      </c>
      <c r="AD18" s="17">
        <f t="shared" si="10"/>
        <v>0</v>
      </c>
      <c r="AE18" s="31">
        <f t="shared" si="10"/>
        <v>32.333333333333343</v>
      </c>
      <c r="AF18" s="31">
        <f t="shared" si="10"/>
        <v>258</v>
      </c>
    </row>
    <row r="19" spans="2:32" ht="23.1" customHeight="1" x14ac:dyDescent="0.25">
      <c r="B19" s="23" t="s">
        <v>46</v>
      </c>
      <c r="C19" s="49">
        <f>AVERAGE('26.10 KASESE-PONDWE'!C19,'27.10 KASESE-PONDWE'!C19,'25.10.19 KASESE- PONDWE-24h'!C19)</f>
        <v>5.666666666666667</v>
      </c>
      <c r="D19" s="49">
        <f>AVERAGE('26.10 KASESE-PONDWE'!D19,'27.10 KASESE-PONDWE'!D19,'25.10.19 KASESE- PONDWE-24h'!D19)</f>
        <v>0.33333333333333331</v>
      </c>
      <c r="E19" s="49">
        <f>AVERAGE('26.10 KASESE-PONDWE'!E19,'27.10 KASESE-PONDWE'!E19,'25.10.19 KASESE- PONDWE-24h'!E19)</f>
        <v>0.33333333333333331</v>
      </c>
      <c r="F19" s="49">
        <f>AVERAGE('26.10 KASESE-PONDWE'!F19,'27.10 KASESE-PONDWE'!F19,'25.10.19 KASESE- PONDWE-24h'!F19)</f>
        <v>1.3333333333333333</v>
      </c>
      <c r="G19" s="49">
        <f>AVERAGE('26.10 KASESE-PONDWE'!G19,'27.10 KASESE-PONDWE'!G19,'25.10.19 KASESE- PONDWE-24h'!G19)</f>
        <v>0</v>
      </c>
      <c r="H19" s="49">
        <f>AVERAGE('26.10 KASESE-PONDWE'!H19,'27.10 KASESE-PONDWE'!H19,'25.10.19 KASESE- PONDWE-24h'!H19)</f>
        <v>0</v>
      </c>
      <c r="I19" s="49">
        <f>AVERAGE('26.10 KASESE-PONDWE'!I19,'27.10 KASESE-PONDWE'!I19,'25.10.19 KASESE- PONDWE-24h'!I19)</f>
        <v>0.33333333333333331</v>
      </c>
      <c r="J19" s="49">
        <f>AVERAGE('26.10 KASESE-PONDWE'!J19,'27.10 KASESE-PONDWE'!J19,'25.10.19 KASESE- PONDWE-24h'!J19)</f>
        <v>1</v>
      </c>
      <c r="K19" s="49">
        <f>AVERAGE('26.10 KASESE-PONDWE'!K19,'27.10 KASESE-PONDWE'!K19,'25.10.19 KASESE- PONDWE-24h'!K19)</f>
        <v>0</v>
      </c>
      <c r="L19" s="49">
        <f>AVERAGE('26.10 KASESE-PONDWE'!L19,'27.10 KASESE-PONDWE'!L19,'25.10.19 KASESE- PONDWE-24h'!L19)</f>
        <v>0</v>
      </c>
      <c r="M19" s="49">
        <f>AVERAGE('26.10 KASESE-PONDWE'!M19,'27.10 KASESE-PONDWE'!M19,'25.10.19 KASESE- PONDWE-24h'!M19)</f>
        <v>40.333333333333336</v>
      </c>
      <c r="N19" s="49">
        <f>AVERAGE('26.10 KASESE-PONDWE'!N19,'27.10 KASESE-PONDWE'!N19,'25.10.19 KASESE- PONDWE-24h'!N19)</f>
        <v>0</v>
      </c>
      <c r="O19" s="15">
        <f t="shared" si="0"/>
        <v>9</v>
      </c>
      <c r="P19" s="15">
        <f t="shared" si="1"/>
        <v>49.333333333333336</v>
      </c>
      <c r="R19" s="1" t="s">
        <v>15</v>
      </c>
      <c r="S19" s="17">
        <f t="shared" ref="S19:AF19" si="11">SUM(C46:C49)</f>
        <v>15.999999999999998</v>
      </c>
      <c r="T19" s="17">
        <f t="shared" si="11"/>
        <v>1.3333333333333333</v>
      </c>
      <c r="U19" s="17">
        <f t="shared" si="11"/>
        <v>2</v>
      </c>
      <c r="V19" s="17">
        <f t="shared" si="11"/>
        <v>6.9999999999999991</v>
      </c>
      <c r="W19" s="17">
        <f t="shared" si="11"/>
        <v>0</v>
      </c>
      <c r="X19" s="17">
        <f t="shared" si="11"/>
        <v>1</v>
      </c>
      <c r="Y19" s="17">
        <f t="shared" si="11"/>
        <v>0.66666666666666663</v>
      </c>
      <c r="Z19" s="17">
        <f t="shared" si="11"/>
        <v>1.3333333333333333</v>
      </c>
      <c r="AA19" s="17">
        <f t="shared" si="11"/>
        <v>0.33333333333333331</v>
      </c>
      <c r="AB19" s="17">
        <f t="shared" si="11"/>
        <v>2.333333333333333</v>
      </c>
      <c r="AC19" s="17">
        <f t="shared" si="11"/>
        <v>251.33333333333334</v>
      </c>
      <c r="AD19" s="17">
        <f t="shared" si="11"/>
        <v>0</v>
      </c>
      <c r="AE19" s="31">
        <f t="shared" si="11"/>
        <v>32</v>
      </c>
      <c r="AF19" s="31">
        <f t="shared" si="11"/>
        <v>283.33333333333331</v>
      </c>
    </row>
    <row r="20" spans="2:32" ht="23.1" customHeight="1" x14ac:dyDescent="0.25">
      <c r="B20" s="23" t="s">
        <v>47</v>
      </c>
      <c r="C20" s="49">
        <f>AVERAGE('26.10 KASESE-PONDWE'!C20,'27.10 KASESE-PONDWE'!C20,'25.10.19 KASESE- PONDWE-24h'!C20)</f>
        <v>2.3333333333333335</v>
      </c>
      <c r="D20" s="49">
        <f>AVERAGE('26.10 KASESE-PONDWE'!D20,'27.10 KASESE-PONDWE'!D20,'25.10.19 KASESE- PONDWE-24h'!D20)</f>
        <v>0.66666666666666663</v>
      </c>
      <c r="E20" s="49">
        <f>AVERAGE('26.10 KASESE-PONDWE'!E20,'27.10 KASESE-PONDWE'!E20,'25.10.19 KASESE- PONDWE-24h'!E20)</f>
        <v>0.66666666666666663</v>
      </c>
      <c r="F20" s="49">
        <f>AVERAGE('26.10 KASESE-PONDWE'!F20,'27.10 KASESE-PONDWE'!F20,'25.10.19 KASESE- PONDWE-24h'!F20)</f>
        <v>1.3333333333333333</v>
      </c>
      <c r="G20" s="49">
        <f>AVERAGE('26.10 KASESE-PONDWE'!G20,'27.10 KASESE-PONDWE'!G20,'25.10.19 KASESE- PONDWE-24h'!G20)</f>
        <v>0</v>
      </c>
      <c r="H20" s="49">
        <f>AVERAGE('26.10 KASESE-PONDWE'!H20,'27.10 KASESE-PONDWE'!H20,'25.10.19 KASESE- PONDWE-24h'!H20)</f>
        <v>0.33333333333333331</v>
      </c>
      <c r="I20" s="49">
        <f>AVERAGE('26.10 KASESE-PONDWE'!I20,'27.10 KASESE-PONDWE'!I20,'25.10.19 KASESE- PONDWE-24h'!I20)</f>
        <v>0.33333333333333331</v>
      </c>
      <c r="J20" s="49">
        <f>AVERAGE('26.10 KASESE-PONDWE'!J20,'27.10 KASESE-PONDWE'!J20,'25.10.19 KASESE- PONDWE-24h'!J20)</f>
        <v>0.66666666666666663</v>
      </c>
      <c r="K20" s="49">
        <f>AVERAGE('26.10 KASESE-PONDWE'!K20,'27.10 KASESE-PONDWE'!K20,'25.10.19 KASESE- PONDWE-24h'!K20)</f>
        <v>0</v>
      </c>
      <c r="L20" s="49">
        <f>AVERAGE('26.10 KASESE-PONDWE'!L20,'27.10 KASESE-PONDWE'!L20,'25.10.19 KASESE- PONDWE-24h'!L20)</f>
        <v>0.33333333333333331</v>
      </c>
      <c r="M20" s="49">
        <f>AVERAGE('26.10 KASESE-PONDWE'!M20,'27.10 KASESE-PONDWE'!M20,'25.10.19 KASESE- PONDWE-24h'!M20)</f>
        <v>43</v>
      </c>
      <c r="N20" s="49">
        <f>AVERAGE('26.10 KASESE-PONDWE'!N20,'27.10 KASESE-PONDWE'!N20,'25.10.19 KASESE- PONDWE-24h'!N20)</f>
        <v>0</v>
      </c>
      <c r="O20" s="15">
        <f t="shared" si="0"/>
        <v>6.6666666666666661</v>
      </c>
      <c r="P20" s="15">
        <f t="shared" si="1"/>
        <v>49.666666666666664</v>
      </c>
      <c r="R20" s="1" t="s">
        <v>16</v>
      </c>
      <c r="S20" s="17">
        <f t="shared" ref="S20:AF20" si="12">SUM(C50:C53)</f>
        <v>17.666666666666664</v>
      </c>
      <c r="T20" s="17">
        <f t="shared" si="12"/>
        <v>1.6666666666666665</v>
      </c>
      <c r="U20" s="17">
        <f t="shared" si="12"/>
        <v>0.33333333333333331</v>
      </c>
      <c r="V20" s="17">
        <f t="shared" si="12"/>
        <v>4.6666666666666661</v>
      </c>
      <c r="W20" s="17">
        <f t="shared" si="12"/>
        <v>0.33333333333333331</v>
      </c>
      <c r="X20" s="17">
        <f t="shared" si="12"/>
        <v>1</v>
      </c>
      <c r="Y20" s="17">
        <f t="shared" si="12"/>
        <v>1</v>
      </c>
      <c r="Z20" s="17">
        <f t="shared" si="12"/>
        <v>0.33333333333333331</v>
      </c>
      <c r="AA20" s="17">
        <f t="shared" si="12"/>
        <v>0.66666666666666663</v>
      </c>
      <c r="AB20" s="17">
        <f t="shared" si="12"/>
        <v>1.3333333333333333</v>
      </c>
      <c r="AC20" s="17">
        <f t="shared" si="12"/>
        <v>170</v>
      </c>
      <c r="AD20" s="17">
        <f t="shared" si="12"/>
        <v>0</v>
      </c>
      <c r="AE20" s="31">
        <f t="shared" si="12"/>
        <v>29</v>
      </c>
      <c r="AF20" s="31">
        <f t="shared" si="12"/>
        <v>199</v>
      </c>
    </row>
    <row r="21" spans="2:32" ht="23.1" customHeight="1" x14ac:dyDescent="0.25">
      <c r="B21" s="23" t="s">
        <v>48</v>
      </c>
      <c r="C21" s="49">
        <f>AVERAGE('26.10 KASESE-PONDWE'!C21,'27.10 KASESE-PONDWE'!C21,'25.10.19 KASESE- PONDWE-24h'!C21)</f>
        <v>5.666666666666667</v>
      </c>
      <c r="D21" s="49">
        <f>AVERAGE('26.10 KASESE-PONDWE'!D21,'27.10 KASESE-PONDWE'!D21,'25.10.19 KASESE- PONDWE-24h'!D21)</f>
        <v>0</v>
      </c>
      <c r="E21" s="49">
        <f>AVERAGE('26.10 KASESE-PONDWE'!E21,'27.10 KASESE-PONDWE'!E21,'25.10.19 KASESE- PONDWE-24h'!E21)</f>
        <v>0.33333333333333331</v>
      </c>
      <c r="F21" s="49">
        <f>AVERAGE('26.10 KASESE-PONDWE'!F21,'27.10 KASESE-PONDWE'!F21,'25.10.19 KASESE- PONDWE-24h'!F21)</f>
        <v>0.66666666666666663</v>
      </c>
      <c r="G21" s="49">
        <f>AVERAGE('26.10 KASESE-PONDWE'!G21,'27.10 KASESE-PONDWE'!G21,'25.10.19 KASESE- PONDWE-24h'!G21)</f>
        <v>0</v>
      </c>
      <c r="H21" s="49">
        <f>AVERAGE('26.10 KASESE-PONDWE'!H21,'27.10 KASESE-PONDWE'!H21,'25.10.19 KASESE- PONDWE-24h'!H21)</f>
        <v>0.33333333333333331</v>
      </c>
      <c r="I21" s="49">
        <f>AVERAGE('26.10 KASESE-PONDWE'!I21,'27.10 KASESE-PONDWE'!I21,'25.10.19 KASESE- PONDWE-24h'!I21)</f>
        <v>0.66666666666666663</v>
      </c>
      <c r="J21" s="49">
        <f>AVERAGE('26.10 KASESE-PONDWE'!J21,'27.10 KASESE-PONDWE'!J21,'25.10.19 KASESE- PONDWE-24h'!J21)</f>
        <v>1</v>
      </c>
      <c r="K21" s="49">
        <f>AVERAGE('26.10 KASESE-PONDWE'!K21,'27.10 KASESE-PONDWE'!K21,'25.10.19 KASESE- PONDWE-24h'!K21)</f>
        <v>0</v>
      </c>
      <c r="L21" s="49">
        <f>AVERAGE('26.10 KASESE-PONDWE'!L21,'27.10 KASESE-PONDWE'!L21,'25.10.19 KASESE- PONDWE-24h'!L21)</f>
        <v>0.33333333333333331</v>
      </c>
      <c r="M21" s="49">
        <f>AVERAGE('26.10 KASESE-PONDWE'!M21,'27.10 KASESE-PONDWE'!M21,'25.10.19 KASESE- PONDWE-24h'!M21)</f>
        <v>55.666666666666664</v>
      </c>
      <c r="N21" s="49">
        <f>AVERAGE('26.10 KASESE-PONDWE'!N21,'27.10 KASESE-PONDWE'!N21,'25.10.19 KASESE- PONDWE-24h'!N21)</f>
        <v>0</v>
      </c>
      <c r="O21" s="15">
        <f t="shared" si="0"/>
        <v>9.0000000000000018</v>
      </c>
      <c r="P21" s="15">
        <f t="shared" si="1"/>
        <v>64.666666666666671</v>
      </c>
      <c r="R21" s="36" t="s">
        <v>20</v>
      </c>
      <c r="S21" s="34">
        <f t="shared" ref="S21:AF21" si="13">SUM(C54:C57)</f>
        <v>13.666666666666668</v>
      </c>
      <c r="T21" s="17">
        <f t="shared" si="13"/>
        <v>1.6666666666666665</v>
      </c>
      <c r="U21" s="17">
        <f t="shared" si="13"/>
        <v>0.33333333333333331</v>
      </c>
      <c r="V21" s="17">
        <f t="shared" si="13"/>
        <v>3.6666666666666661</v>
      </c>
      <c r="W21" s="17">
        <f t="shared" si="13"/>
        <v>0</v>
      </c>
      <c r="X21" s="17">
        <f t="shared" si="13"/>
        <v>0.33333333333333331</v>
      </c>
      <c r="Y21" s="17">
        <f t="shared" si="13"/>
        <v>2.333333333333333</v>
      </c>
      <c r="Z21" s="17">
        <f t="shared" si="13"/>
        <v>0</v>
      </c>
      <c r="AA21" s="17">
        <f t="shared" si="13"/>
        <v>0.66666666666666663</v>
      </c>
      <c r="AB21" s="17">
        <f t="shared" si="13"/>
        <v>1.6666666666666665</v>
      </c>
      <c r="AC21" s="17">
        <f t="shared" si="13"/>
        <v>234</v>
      </c>
      <c r="AD21" s="17">
        <f t="shared" si="13"/>
        <v>0</v>
      </c>
      <c r="AE21" s="31">
        <f t="shared" si="13"/>
        <v>24.333333333333332</v>
      </c>
      <c r="AF21" s="31">
        <f t="shared" si="13"/>
        <v>258.33333333333331</v>
      </c>
    </row>
    <row r="22" spans="2:32" ht="23.1" customHeight="1" x14ac:dyDescent="0.25">
      <c r="B22" s="23" t="s">
        <v>49</v>
      </c>
      <c r="C22" s="49">
        <f>AVERAGE('26.10 KASESE-PONDWE'!C22,'27.10 KASESE-PONDWE'!C22,'25.10.19 KASESE- PONDWE-24h'!C22)</f>
        <v>3.3333333333333335</v>
      </c>
      <c r="D22" s="49">
        <f>AVERAGE('26.10 KASESE-PONDWE'!D22,'27.10 KASESE-PONDWE'!D22,'25.10.19 KASESE- PONDWE-24h'!D22)</f>
        <v>0.66666666666666663</v>
      </c>
      <c r="E22" s="49">
        <f>AVERAGE('26.10 KASESE-PONDWE'!E22,'27.10 KASESE-PONDWE'!E22,'25.10.19 KASESE- PONDWE-24h'!E22)</f>
        <v>0.33333333333333331</v>
      </c>
      <c r="F22" s="49">
        <f>AVERAGE('26.10 KASESE-PONDWE'!F22,'27.10 KASESE-PONDWE'!F22,'25.10.19 KASESE- PONDWE-24h'!F22)</f>
        <v>0.66666666666666663</v>
      </c>
      <c r="G22" s="49">
        <f>AVERAGE('26.10 KASESE-PONDWE'!G22,'27.10 KASESE-PONDWE'!G22,'25.10.19 KASESE- PONDWE-24h'!G22)</f>
        <v>0</v>
      </c>
      <c r="H22" s="49">
        <f>AVERAGE('26.10 KASESE-PONDWE'!H22,'27.10 KASESE-PONDWE'!H22,'25.10.19 KASESE- PONDWE-24h'!H22)</f>
        <v>0.33333333333333331</v>
      </c>
      <c r="I22" s="49">
        <f>AVERAGE('26.10 KASESE-PONDWE'!I22,'27.10 KASESE-PONDWE'!I22,'25.10.19 KASESE- PONDWE-24h'!I22)</f>
        <v>0.33333333333333331</v>
      </c>
      <c r="J22" s="49">
        <f>AVERAGE('26.10 KASESE-PONDWE'!J22,'27.10 KASESE-PONDWE'!J22,'25.10.19 KASESE- PONDWE-24h'!J22)</f>
        <v>0.66666666666666663</v>
      </c>
      <c r="K22" s="49">
        <f>AVERAGE('26.10 KASESE-PONDWE'!K22,'27.10 KASESE-PONDWE'!K22,'25.10.19 KASESE- PONDWE-24h'!K22)</f>
        <v>0</v>
      </c>
      <c r="L22" s="49">
        <f>AVERAGE('26.10 KASESE-PONDWE'!L22,'27.10 KASESE-PONDWE'!L22,'25.10.19 KASESE- PONDWE-24h'!L22)</f>
        <v>0</v>
      </c>
      <c r="M22" s="49">
        <f>AVERAGE('26.10 KASESE-PONDWE'!M22,'27.10 KASESE-PONDWE'!M22,'25.10.19 KASESE- PONDWE-24h'!M22)</f>
        <v>42.666666666666664</v>
      </c>
      <c r="N22" s="49">
        <f>AVERAGE('26.10 KASESE-PONDWE'!N22,'27.10 KASESE-PONDWE'!N22,'25.10.19 KASESE- PONDWE-24h'!N22)</f>
        <v>0</v>
      </c>
      <c r="O22" s="15">
        <f t="shared" si="0"/>
        <v>6.333333333333333</v>
      </c>
      <c r="P22" s="15">
        <f t="shared" si="1"/>
        <v>49</v>
      </c>
      <c r="R22" s="1" t="s">
        <v>146</v>
      </c>
      <c r="S22" s="34">
        <f>SUM(C58:C61)</f>
        <v>15</v>
      </c>
      <c r="T22" s="34">
        <f t="shared" ref="T22:AF22" si="14">SUM(D58:D61)</f>
        <v>1</v>
      </c>
      <c r="U22" s="34">
        <f t="shared" si="14"/>
        <v>0</v>
      </c>
      <c r="V22" s="34">
        <f t="shared" si="14"/>
        <v>6</v>
      </c>
      <c r="W22" s="34">
        <f t="shared" si="14"/>
        <v>0</v>
      </c>
      <c r="X22" s="34">
        <f t="shared" si="14"/>
        <v>0</v>
      </c>
      <c r="Y22" s="34">
        <f t="shared" si="14"/>
        <v>1</v>
      </c>
      <c r="Z22" s="34">
        <f t="shared" si="14"/>
        <v>0</v>
      </c>
      <c r="AA22" s="34">
        <f t="shared" si="14"/>
        <v>1</v>
      </c>
      <c r="AB22" s="34">
        <f t="shared" si="14"/>
        <v>1</v>
      </c>
      <c r="AC22" s="34">
        <f t="shared" si="14"/>
        <v>205</v>
      </c>
      <c r="AD22" s="34">
        <f t="shared" si="14"/>
        <v>0</v>
      </c>
      <c r="AE22" s="31">
        <f t="shared" si="14"/>
        <v>25</v>
      </c>
      <c r="AF22" s="31">
        <f t="shared" si="14"/>
        <v>230</v>
      </c>
    </row>
    <row r="23" spans="2:32" ht="23.1" customHeight="1" x14ac:dyDescent="0.25">
      <c r="B23" s="23" t="s">
        <v>50</v>
      </c>
      <c r="C23" s="49">
        <f>AVERAGE('26.10 KASESE-PONDWE'!C23,'27.10 KASESE-PONDWE'!C23,'25.10.19 KASESE- PONDWE-24h'!C23)</f>
        <v>4.666666666666667</v>
      </c>
      <c r="D23" s="49">
        <f>AVERAGE('26.10 KASESE-PONDWE'!D23,'27.10 KASESE-PONDWE'!D23,'25.10.19 KASESE- PONDWE-24h'!D23)</f>
        <v>0</v>
      </c>
      <c r="E23" s="49">
        <f>AVERAGE('26.10 KASESE-PONDWE'!E23,'27.10 KASESE-PONDWE'!E23,'25.10.19 KASESE- PONDWE-24h'!E23)</f>
        <v>0.33333333333333331</v>
      </c>
      <c r="F23" s="49">
        <f>AVERAGE('26.10 KASESE-PONDWE'!F23,'27.10 KASESE-PONDWE'!F23,'25.10.19 KASESE- PONDWE-24h'!F23)</f>
        <v>0.33333333333333331</v>
      </c>
      <c r="G23" s="49">
        <f>AVERAGE('26.10 KASESE-PONDWE'!G23,'27.10 KASESE-PONDWE'!G23,'25.10.19 KASESE- PONDWE-24h'!G23)</f>
        <v>0</v>
      </c>
      <c r="H23" s="49">
        <f>AVERAGE('26.10 KASESE-PONDWE'!H23,'27.10 KASESE-PONDWE'!H23,'25.10.19 KASESE- PONDWE-24h'!H23)</f>
        <v>0</v>
      </c>
      <c r="I23" s="49">
        <f>AVERAGE('26.10 KASESE-PONDWE'!I23,'27.10 KASESE-PONDWE'!I23,'25.10.19 KASESE- PONDWE-24h'!I23)</f>
        <v>0.33333333333333331</v>
      </c>
      <c r="J23" s="49">
        <f>AVERAGE('26.10 KASESE-PONDWE'!J23,'27.10 KASESE-PONDWE'!J23,'25.10.19 KASESE- PONDWE-24h'!J23)</f>
        <v>1</v>
      </c>
      <c r="K23" s="49">
        <f>AVERAGE('26.10 KASESE-PONDWE'!K23,'27.10 KASESE-PONDWE'!K23,'25.10.19 KASESE- PONDWE-24h'!K23)</f>
        <v>0</v>
      </c>
      <c r="L23" s="49">
        <f>AVERAGE('26.10 KASESE-PONDWE'!L23,'27.10 KASESE-PONDWE'!L23,'25.10.19 KASESE- PONDWE-24h'!L23)</f>
        <v>0</v>
      </c>
      <c r="M23" s="49">
        <f>AVERAGE('26.10 KASESE-PONDWE'!M23,'27.10 KASESE-PONDWE'!M23,'25.10.19 KASESE- PONDWE-24h'!M23)</f>
        <v>38.333333333333336</v>
      </c>
      <c r="N23" s="49">
        <f>AVERAGE('26.10 KASESE-PONDWE'!N23,'27.10 KASESE-PONDWE'!N23,'25.10.19 KASESE- PONDWE-24h'!N23)</f>
        <v>0</v>
      </c>
      <c r="O23" s="15">
        <f t="shared" si="0"/>
        <v>6.6666666666666661</v>
      </c>
      <c r="P23" s="15">
        <f t="shared" si="1"/>
        <v>45</v>
      </c>
      <c r="R23" s="1" t="s">
        <v>147</v>
      </c>
      <c r="S23" s="34">
        <f>SUM(C62:C65)</f>
        <v>23</v>
      </c>
      <c r="T23" s="34">
        <f t="shared" ref="T23:AF23" si="15">SUM(D62:D65)</f>
        <v>0</v>
      </c>
      <c r="U23" s="34">
        <f t="shared" si="15"/>
        <v>0</v>
      </c>
      <c r="V23" s="34">
        <f t="shared" si="15"/>
        <v>6</v>
      </c>
      <c r="W23" s="34">
        <f t="shared" si="15"/>
        <v>0</v>
      </c>
      <c r="X23" s="34">
        <f t="shared" si="15"/>
        <v>3</v>
      </c>
      <c r="Y23" s="34">
        <f t="shared" si="15"/>
        <v>3</v>
      </c>
      <c r="Z23" s="34">
        <f t="shared" si="15"/>
        <v>0</v>
      </c>
      <c r="AA23" s="34">
        <f t="shared" si="15"/>
        <v>1</v>
      </c>
      <c r="AB23" s="34">
        <f t="shared" si="15"/>
        <v>2</v>
      </c>
      <c r="AC23" s="34">
        <f t="shared" si="15"/>
        <v>138</v>
      </c>
      <c r="AD23" s="34">
        <f t="shared" si="15"/>
        <v>0</v>
      </c>
      <c r="AE23" s="31">
        <f t="shared" si="15"/>
        <v>38</v>
      </c>
      <c r="AF23" s="31">
        <f t="shared" si="15"/>
        <v>176</v>
      </c>
    </row>
    <row r="24" spans="2:32" ht="23.1" customHeight="1" x14ac:dyDescent="0.25">
      <c r="B24" s="23" t="s">
        <v>51</v>
      </c>
      <c r="C24" s="49">
        <f>AVERAGE('26.10 KASESE-PONDWE'!C24,'27.10 KASESE-PONDWE'!C24,'25.10.19 KASESE- PONDWE-24h'!C24)</f>
        <v>2</v>
      </c>
      <c r="D24" s="49">
        <f>AVERAGE('26.10 KASESE-PONDWE'!D24,'27.10 KASESE-PONDWE'!D24,'25.10.19 KASESE- PONDWE-24h'!D24)</f>
        <v>0.33333333333333331</v>
      </c>
      <c r="E24" s="49">
        <f>AVERAGE('26.10 KASESE-PONDWE'!E24,'27.10 KASESE-PONDWE'!E24,'25.10.19 KASESE- PONDWE-24h'!E24)</f>
        <v>1</v>
      </c>
      <c r="F24" s="49">
        <f>AVERAGE('26.10 KASESE-PONDWE'!F24,'27.10 KASESE-PONDWE'!F24,'25.10.19 KASESE- PONDWE-24h'!F24)</f>
        <v>1</v>
      </c>
      <c r="G24" s="49">
        <f>AVERAGE('26.10 KASESE-PONDWE'!G24,'27.10 KASESE-PONDWE'!G24,'25.10.19 KASESE- PONDWE-24h'!G24)</f>
        <v>0</v>
      </c>
      <c r="H24" s="49">
        <f>AVERAGE('26.10 KASESE-PONDWE'!H24,'27.10 KASESE-PONDWE'!H24,'25.10.19 KASESE- PONDWE-24h'!H24)</f>
        <v>0</v>
      </c>
      <c r="I24" s="49">
        <f>AVERAGE('26.10 KASESE-PONDWE'!I24,'27.10 KASESE-PONDWE'!I24,'25.10.19 KASESE- PONDWE-24h'!I24)</f>
        <v>0</v>
      </c>
      <c r="J24" s="49">
        <f>AVERAGE('26.10 KASESE-PONDWE'!J24,'27.10 KASESE-PONDWE'!J24,'25.10.19 KASESE- PONDWE-24h'!J24)</f>
        <v>0.33333333333333331</v>
      </c>
      <c r="K24" s="49">
        <f>AVERAGE('26.10 KASESE-PONDWE'!K24,'27.10 KASESE-PONDWE'!K24,'25.10.19 KASESE- PONDWE-24h'!K24)</f>
        <v>0</v>
      </c>
      <c r="L24" s="49">
        <f>AVERAGE('26.10 KASESE-PONDWE'!L24,'27.10 KASESE-PONDWE'!L24,'25.10.19 KASESE- PONDWE-24h'!L24)</f>
        <v>0</v>
      </c>
      <c r="M24" s="49">
        <f>AVERAGE('26.10 KASESE-PONDWE'!M24,'27.10 KASESE-PONDWE'!M24,'25.10.19 KASESE- PONDWE-24h'!M24)</f>
        <v>35.666666666666664</v>
      </c>
      <c r="N24" s="49">
        <f>AVERAGE('26.10 KASESE-PONDWE'!N24,'27.10 KASESE-PONDWE'!N24,'25.10.19 KASESE- PONDWE-24h'!N24)</f>
        <v>0</v>
      </c>
      <c r="O24" s="15">
        <f t="shared" si="0"/>
        <v>4.666666666666667</v>
      </c>
      <c r="P24" s="15">
        <f t="shared" si="1"/>
        <v>40.333333333333329</v>
      </c>
      <c r="R24" s="1" t="s">
        <v>148</v>
      </c>
      <c r="S24" s="34">
        <f>SUM(C66:C69)</f>
        <v>12</v>
      </c>
      <c r="T24" s="34">
        <f t="shared" ref="T24:AF24" si="16">SUM(D66:D69)</f>
        <v>0</v>
      </c>
      <c r="U24" s="34">
        <f t="shared" si="16"/>
        <v>2</v>
      </c>
      <c r="V24" s="34">
        <f t="shared" si="16"/>
        <v>1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0</v>
      </c>
      <c r="AA24" s="34">
        <f t="shared" si="16"/>
        <v>0</v>
      </c>
      <c r="AB24" s="34">
        <f t="shared" si="16"/>
        <v>1</v>
      </c>
      <c r="AC24" s="34">
        <f t="shared" si="16"/>
        <v>31</v>
      </c>
      <c r="AD24" s="34">
        <f t="shared" si="16"/>
        <v>0</v>
      </c>
      <c r="AE24" s="31">
        <f t="shared" si="16"/>
        <v>16</v>
      </c>
      <c r="AF24" s="31">
        <f t="shared" si="16"/>
        <v>47</v>
      </c>
    </row>
    <row r="25" spans="2:32" ht="23.1" customHeight="1" x14ac:dyDescent="0.25">
      <c r="B25" s="23" t="s">
        <v>52</v>
      </c>
      <c r="C25" s="49">
        <f>AVERAGE('26.10 KASESE-PONDWE'!C25,'27.10 KASESE-PONDWE'!C25,'25.10.19 KASESE- PONDWE-24h'!C25)</f>
        <v>4.666666666666667</v>
      </c>
      <c r="D25" s="49">
        <f>AVERAGE('26.10 KASESE-PONDWE'!D25,'27.10 KASESE-PONDWE'!D25,'25.10.19 KASESE- PONDWE-24h'!D25)</f>
        <v>0</v>
      </c>
      <c r="E25" s="49">
        <f>AVERAGE('26.10 KASESE-PONDWE'!E25,'27.10 KASESE-PONDWE'!E25,'25.10.19 KASESE- PONDWE-24h'!E25)</f>
        <v>0.33333333333333331</v>
      </c>
      <c r="F25" s="49">
        <f>AVERAGE('26.10 KASESE-PONDWE'!F25,'27.10 KASESE-PONDWE'!F25,'25.10.19 KASESE- PONDWE-24h'!F25)</f>
        <v>0</v>
      </c>
      <c r="G25" s="49">
        <f>AVERAGE('26.10 KASESE-PONDWE'!G25,'27.10 KASESE-PONDWE'!G25,'25.10.19 KASESE- PONDWE-24h'!G25)</f>
        <v>0</v>
      </c>
      <c r="H25" s="49">
        <f>AVERAGE('26.10 KASESE-PONDWE'!H25,'27.10 KASESE-PONDWE'!H25,'25.10.19 KASESE- PONDWE-24h'!H25)</f>
        <v>0</v>
      </c>
      <c r="I25" s="49">
        <f>AVERAGE('26.10 KASESE-PONDWE'!I25,'27.10 KASESE-PONDWE'!I25,'25.10.19 KASESE- PONDWE-24h'!I25)</f>
        <v>0.66666666666666663</v>
      </c>
      <c r="J25" s="49">
        <f>AVERAGE('26.10 KASESE-PONDWE'!J25,'27.10 KASESE-PONDWE'!J25,'25.10.19 KASESE- PONDWE-24h'!J25)</f>
        <v>0.66666666666666663</v>
      </c>
      <c r="K25" s="49">
        <f>AVERAGE('26.10 KASESE-PONDWE'!K25,'27.10 KASESE-PONDWE'!K25,'25.10.19 KASESE- PONDWE-24h'!K25)</f>
        <v>0.33333333333333331</v>
      </c>
      <c r="L25" s="49">
        <f>AVERAGE('26.10 KASESE-PONDWE'!L25,'27.10 KASESE-PONDWE'!L25,'25.10.19 KASESE- PONDWE-24h'!L25)</f>
        <v>0.66666666666666663</v>
      </c>
      <c r="M25" s="49">
        <f>AVERAGE('26.10 KASESE-PONDWE'!M25,'27.10 KASESE-PONDWE'!M25,'25.10.19 KASESE- PONDWE-24h'!M25)</f>
        <v>26.666666666666668</v>
      </c>
      <c r="N25" s="49">
        <f>AVERAGE('26.10 KASESE-PONDWE'!N25,'27.10 KASESE-PONDWE'!N25,'25.10.19 KASESE- PONDWE-24h'!N25)</f>
        <v>0</v>
      </c>
      <c r="O25" s="15">
        <f t="shared" si="0"/>
        <v>7.3333333333333339</v>
      </c>
      <c r="P25" s="15">
        <f t="shared" si="1"/>
        <v>34</v>
      </c>
      <c r="R25" s="1" t="s">
        <v>149</v>
      </c>
      <c r="S25" s="34">
        <f>SUM(C70:C73)</f>
        <v>5</v>
      </c>
      <c r="T25" s="34">
        <f t="shared" ref="T25:AF25" si="17">SUM(D70:D73)</f>
        <v>1</v>
      </c>
      <c r="U25" s="34">
        <f t="shared" si="17"/>
        <v>0</v>
      </c>
      <c r="V25" s="34">
        <f t="shared" si="17"/>
        <v>1</v>
      </c>
      <c r="W25" s="34">
        <f t="shared" si="17"/>
        <v>0</v>
      </c>
      <c r="X25" s="34">
        <f t="shared" si="17"/>
        <v>1</v>
      </c>
      <c r="Y25" s="34">
        <f t="shared" si="17"/>
        <v>0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16</v>
      </c>
      <c r="AD25" s="34">
        <f t="shared" si="17"/>
        <v>0</v>
      </c>
      <c r="AE25" s="31">
        <f t="shared" si="17"/>
        <v>8</v>
      </c>
      <c r="AF25" s="31">
        <f t="shared" si="17"/>
        <v>24</v>
      </c>
    </row>
    <row r="26" spans="2:32" ht="23.1" customHeight="1" x14ac:dyDescent="0.25">
      <c r="B26" s="23" t="s">
        <v>53</v>
      </c>
      <c r="C26" s="49">
        <f>AVERAGE('26.10 KASESE-PONDWE'!C26,'27.10 KASESE-PONDWE'!C26,'25.10.19 KASESE- PONDWE-24h'!C26)</f>
        <v>5.333333333333333</v>
      </c>
      <c r="D26" s="49">
        <f>AVERAGE('26.10 KASESE-PONDWE'!D26,'27.10 KASESE-PONDWE'!D26,'25.10.19 KASESE- PONDWE-24h'!D26)</f>
        <v>0.33333333333333331</v>
      </c>
      <c r="E26" s="49">
        <f>AVERAGE('26.10 KASESE-PONDWE'!E26,'27.10 KASESE-PONDWE'!E26,'25.10.19 KASESE- PONDWE-24h'!E26)</f>
        <v>0</v>
      </c>
      <c r="F26" s="49">
        <f>AVERAGE('26.10 KASESE-PONDWE'!F26,'27.10 KASESE-PONDWE'!F26,'25.10.19 KASESE- PONDWE-24h'!F26)</f>
        <v>1</v>
      </c>
      <c r="G26" s="49">
        <f>AVERAGE('26.10 KASESE-PONDWE'!G26,'27.10 KASESE-PONDWE'!G26,'25.10.19 KASESE- PONDWE-24h'!G26)</f>
        <v>0.33333333333333331</v>
      </c>
      <c r="H26" s="49">
        <f>AVERAGE('26.10 KASESE-PONDWE'!H26,'27.10 KASESE-PONDWE'!H26,'25.10.19 KASESE- PONDWE-24h'!H26)</f>
        <v>0.33333333333333331</v>
      </c>
      <c r="I26" s="49">
        <f>AVERAGE('26.10 KASESE-PONDWE'!I26,'27.10 KASESE-PONDWE'!I26,'25.10.19 KASESE- PONDWE-24h'!I26)</f>
        <v>0</v>
      </c>
      <c r="J26" s="49">
        <f>AVERAGE('26.10 KASESE-PONDWE'!J26,'27.10 KASESE-PONDWE'!J26,'25.10.19 KASESE- PONDWE-24h'!J26)</f>
        <v>0</v>
      </c>
      <c r="K26" s="49">
        <f>AVERAGE('26.10 KASESE-PONDWE'!K26,'27.10 KASESE-PONDWE'!K26,'25.10.19 KASESE- PONDWE-24h'!K26)</f>
        <v>0</v>
      </c>
      <c r="L26" s="49">
        <f>AVERAGE('26.10 KASESE-PONDWE'!L26,'27.10 KASESE-PONDWE'!L26,'25.10.19 KASESE- PONDWE-24h'!L26)</f>
        <v>0</v>
      </c>
      <c r="M26" s="49">
        <f>AVERAGE('26.10 KASESE-PONDWE'!M26,'27.10 KASESE-PONDWE'!M26,'25.10.19 KASESE- PONDWE-24h'!M26)</f>
        <v>32.333333333333336</v>
      </c>
      <c r="N26" s="49">
        <f>AVERAGE('26.10 KASESE-PONDWE'!N26,'27.10 KASESE-PONDWE'!N26,'25.10.19 KASESE- PONDWE-24h'!N26)</f>
        <v>0</v>
      </c>
      <c r="O26" s="15">
        <f t="shared" si="0"/>
        <v>7.3333333333333321</v>
      </c>
      <c r="P26" s="15">
        <f t="shared" si="1"/>
        <v>39.666666666666671</v>
      </c>
      <c r="R26" s="1" t="s">
        <v>150</v>
      </c>
      <c r="S26" s="34">
        <f>SUM(C74:C77)</f>
        <v>3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4</v>
      </c>
      <c r="AD26" s="34">
        <f t="shared" si="18"/>
        <v>0</v>
      </c>
      <c r="AE26" s="31">
        <f t="shared" si="18"/>
        <v>3</v>
      </c>
      <c r="AF26" s="31">
        <f t="shared" si="18"/>
        <v>7</v>
      </c>
    </row>
    <row r="27" spans="2:32" ht="23.1" customHeight="1" x14ac:dyDescent="0.25">
      <c r="B27" s="23" t="s">
        <v>54</v>
      </c>
      <c r="C27" s="49">
        <f>AVERAGE('26.10 KASESE-PONDWE'!C27,'27.10 KASESE-PONDWE'!C27,'25.10.19 KASESE- PONDWE-24h'!C27)</f>
        <v>5.333333333333333</v>
      </c>
      <c r="D27" s="49">
        <f>AVERAGE('26.10 KASESE-PONDWE'!D27,'27.10 KASESE-PONDWE'!D27,'25.10.19 KASESE- PONDWE-24h'!D27)</f>
        <v>0.33333333333333331</v>
      </c>
      <c r="E27" s="49">
        <f>AVERAGE('26.10 KASESE-PONDWE'!E27,'27.10 KASESE-PONDWE'!E27,'25.10.19 KASESE- PONDWE-24h'!E27)</f>
        <v>0.33333333333333331</v>
      </c>
      <c r="F27" s="49">
        <f>AVERAGE('26.10 KASESE-PONDWE'!F27,'27.10 KASESE-PONDWE'!F27,'25.10.19 KASESE- PONDWE-24h'!F27)</f>
        <v>0.66666666666666663</v>
      </c>
      <c r="G27" s="49">
        <f>AVERAGE('26.10 KASESE-PONDWE'!G27,'27.10 KASESE-PONDWE'!G27,'25.10.19 KASESE- PONDWE-24h'!G27)</f>
        <v>0</v>
      </c>
      <c r="H27" s="49">
        <f>AVERAGE('26.10 KASESE-PONDWE'!H27,'27.10 KASESE-PONDWE'!H27,'25.10.19 KASESE- PONDWE-24h'!H27)</f>
        <v>0</v>
      </c>
      <c r="I27" s="49">
        <f>AVERAGE('26.10 KASESE-PONDWE'!I27,'27.10 KASESE-PONDWE'!I27,'25.10.19 KASESE- PONDWE-24h'!I27)</f>
        <v>0</v>
      </c>
      <c r="J27" s="49">
        <f>AVERAGE('26.10 KASESE-PONDWE'!J27,'27.10 KASESE-PONDWE'!J27,'25.10.19 KASESE- PONDWE-24h'!J27)</f>
        <v>1.3333333333333333</v>
      </c>
      <c r="K27" s="49">
        <f>AVERAGE('26.10 KASESE-PONDWE'!K27,'27.10 KASESE-PONDWE'!K27,'25.10.19 KASESE- PONDWE-24h'!K27)</f>
        <v>0.33333333333333331</v>
      </c>
      <c r="L27" s="49">
        <f>AVERAGE('26.10 KASESE-PONDWE'!L27,'27.10 KASESE-PONDWE'!L27,'25.10.19 KASESE- PONDWE-24h'!L27)</f>
        <v>0</v>
      </c>
      <c r="M27" s="49">
        <f>AVERAGE('26.10 KASESE-PONDWE'!M27,'27.10 KASESE-PONDWE'!M27,'25.10.19 KASESE- PONDWE-24h'!M27)</f>
        <v>43.666666666666664</v>
      </c>
      <c r="N27" s="49">
        <f>AVERAGE('26.10 KASESE-PONDWE'!N27,'27.10 KASESE-PONDWE'!N27,'25.10.19 KASESE- PONDWE-24h'!N27)</f>
        <v>0</v>
      </c>
      <c r="O27" s="15">
        <f t="shared" si="0"/>
        <v>8.3333333333333321</v>
      </c>
      <c r="P27" s="15">
        <f t="shared" si="1"/>
        <v>52</v>
      </c>
      <c r="R27" s="1" t="s">
        <v>151</v>
      </c>
      <c r="S27" s="34">
        <f>SUM(C78:C81)</f>
        <v>4</v>
      </c>
      <c r="T27" s="34">
        <f t="shared" ref="T27:AF27" si="19">SUM(D78:D81)</f>
        <v>2</v>
      </c>
      <c r="U27" s="34">
        <f t="shared" si="19"/>
        <v>1</v>
      </c>
      <c r="V27" s="34">
        <f t="shared" si="19"/>
        <v>1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6</v>
      </c>
      <c r="AD27" s="34">
        <f t="shared" si="19"/>
        <v>0</v>
      </c>
      <c r="AE27" s="31">
        <f t="shared" si="19"/>
        <v>8</v>
      </c>
      <c r="AF27" s="31">
        <f t="shared" si="19"/>
        <v>14</v>
      </c>
    </row>
    <row r="28" spans="2:32" ht="23.1" customHeight="1" x14ac:dyDescent="0.25">
      <c r="B28" s="23" t="s">
        <v>55</v>
      </c>
      <c r="C28" s="49">
        <f>AVERAGE('26.10 KASESE-PONDWE'!C28,'27.10 KASESE-PONDWE'!C28,'25.10.19 KASESE- PONDWE-24h'!C28)</f>
        <v>3.6666666666666665</v>
      </c>
      <c r="D28" s="49">
        <f>AVERAGE('26.10 KASESE-PONDWE'!D28,'27.10 KASESE-PONDWE'!D28,'25.10.19 KASESE- PONDWE-24h'!D28)</f>
        <v>0</v>
      </c>
      <c r="E28" s="49">
        <f>AVERAGE('26.10 KASESE-PONDWE'!E28,'27.10 KASESE-PONDWE'!E28,'25.10.19 KASESE- PONDWE-24h'!E28)</f>
        <v>0</v>
      </c>
      <c r="F28" s="49">
        <f>AVERAGE('26.10 KASESE-PONDWE'!F28,'27.10 KASESE-PONDWE'!F28,'25.10.19 KASESE- PONDWE-24h'!F28)</f>
        <v>0</v>
      </c>
      <c r="G28" s="49">
        <f>AVERAGE('26.10 KASESE-PONDWE'!G28,'27.10 KASESE-PONDWE'!G28,'25.10.19 KASESE- PONDWE-24h'!G28)</f>
        <v>0</v>
      </c>
      <c r="H28" s="49">
        <f>AVERAGE('26.10 KASESE-PONDWE'!H28,'27.10 KASESE-PONDWE'!H28,'25.10.19 KASESE- PONDWE-24h'!H28)</f>
        <v>1</v>
      </c>
      <c r="I28" s="49">
        <f>AVERAGE('26.10 KASESE-PONDWE'!I28,'27.10 KASESE-PONDWE'!I28,'25.10.19 KASESE- PONDWE-24h'!I28)</f>
        <v>0.33333333333333331</v>
      </c>
      <c r="J28" s="49">
        <f>AVERAGE('26.10 KASESE-PONDWE'!J28,'27.10 KASESE-PONDWE'!J28,'25.10.19 KASESE- PONDWE-24h'!J28)</f>
        <v>0.66666666666666663</v>
      </c>
      <c r="K28" s="49">
        <f>AVERAGE('26.10 KASESE-PONDWE'!K28,'27.10 KASESE-PONDWE'!K28,'25.10.19 KASESE- PONDWE-24h'!K28)</f>
        <v>0.66666666666666663</v>
      </c>
      <c r="L28" s="49">
        <f>AVERAGE('26.10 KASESE-PONDWE'!L28,'27.10 KASESE-PONDWE'!L28,'25.10.19 KASESE- PONDWE-24h'!L28)</f>
        <v>0.33333333333333331</v>
      </c>
      <c r="M28" s="49">
        <f>AVERAGE('26.10 KASESE-PONDWE'!M28,'27.10 KASESE-PONDWE'!M28,'25.10.19 KASESE- PONDWE-24h'!M28)</f>
        <v>46</v>
      </c>
      <c r="N28" s="49">
        <f>AVERAGE('26.10 KASESE-PONDWE'!N28,'27.10 KASESE-PONDWE'!N28,'25.10.19 KASESE- PONDWE-24h'!N28)</f>
        <v>0</v>
      </c>
      <c r="O28" s="15">
        <f t="shared" si="0"/>
        <v>6.6666666666666661</v>
      </c>
      <c r="P28" s="15">
        <f t="shared" si="1"/>
        <v>52.666666666666664</v>
      </c>
      <c r="R28" s="1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3</v>
      </c>
      <c r="AD28" s="34">
        <f t="shared" si="20"/>
        <v>0</v>
      </c>
      <c r="AE28" s="31">
        <f t="shared" si="20"/>
        <v>1</v>
      </c>
      <c r="AF28" s="31">
        <f t="shared" si="20"/>
        <v>4</v>
      </c>
    </row>
    <row r="29" spans="2:32" ht="23.1" customHeight="1" x14ac:dyDescent="0.25">
      <c r="B29" s="23" t="s">
        <v>56</v>
      </c>
      <c r="C29" s="49">
        <f>AVERAGE('26.10 KASESE-PONDWE'!C29,'27.10 KASESE-PONDWE'!C29,'25.10.19 KASESE- PONDWE-24h'!C29)</f>
        <v>5</v>
      </c>
      <c r="D29" s="49">
        <f>AVERAGE('26.10 KASESE-PONDWE'!D29,'27.10 KASESE-PONDWE'!D29,'25.10.19 KASESE- PONDWE-24h'!D29)</f>
        <v>0.66666666666666663</v>
      </c>
      <c r="E29" s="49">
        <f>AVERAGE('26.10 KASESE-PONDWE'!E29,'27.10 KASESE-PONDWE'!E29,'25.10.19 KASESE- PONDWE-24h'!E29)</f>
        <v>0</v>
      </c>
      <c r="F29" s="49">
        <f>AVERAGE('26.10 KASESE-PONDWE'!F29,'27.10 KASESE-PONDWE'!F29,'25.10.19 KASESE- PONDWE-24h'!F29)</f>
        <v>1.6666666666666667</v>
      </c>
      <c r="G29" s="49">
        <f>AVERAGE('26.10 KASESE-PONDWE'!G29,'27.10 KASESE-PONDWE'!G29,'25.10.19 KASESE- PONDWE-24h'!G29)</f>
        <v>0</v>
      </c>
      <c r="H29" s="49">
        <f>AVERAGE('26.10 KASESE-PONDWE'!H29,'27.10 KASESE-PONDWE'!H29,'25.10.19 KASESE- PONDWE-24h'!H29)</f>
        <v>0</v>
      </c>
      <c r="I29" s="49">
        <f>AVERAGE('26.10 KASESE-PONDWE'!I29,'27.10 KASESE-PONDWE'!I29,'25.10.19 KASESE- PONDWE-24h'!I29)</f>
        <v>0.33333333333333331</v>
      </c>
      <c r="J29" s="49">
        <f>AVERAGE('26.10 KASESE-PONDWE'!J29,'27.10 KASESE-PONDWE'!J29,'25.10.19 KASESE- PONDWE-24h'!J29)</f>
        <v>0</v>
      </c>
      <c r="K29" s="49">
        <f>AVERAGE('26.10 KASESE-PONDWE'!K29,'27.10 KASESE-PONDWE'!K29,'25.10.19 KASESE- PONDWE-24h'!K29)</f>
        <v>0</v>
      </c>
      <c r="L29" s="49">
        <f>AVERAGE('26.10 KASESE-PONDWE'!L29,'27.10 KASESE-PONDWE'!L29,'25.10.19 KASESE- PONDWE-24h'!L29)</f>
        <v>0.33333333333333331</v>
      </c>
      <c r="M29" s="49">
        <f>AVERAGE('26.10 KASESE-PONDWE'!M29,'27.10 KASESE-PONDWE'!M29,'25.10.19 KASESE- PONDWE-24h'!M29)</f>
        <v>46</v>
      </c>
      <c r="N29" s="49">
        <f>AVERAGE('26.10 KASESE-PONDWE'!N29,'27.10 KASESE-PONDWE'!N29,'25.10.19 KASESE- PONDWE-24h'!N29)</f>
        <v>0</v>
      </c>
      <c r="O29" s="15">
        <f t="shared" si="0"/>
        <v>8</v>
      </c>
      <c r="P29" s="15">
        <f t="shared" si="1"/>
        <v>54</v>
      </c>
      <c r="R29" s="1" t="s">
        <v>153</v>
      </c>
      <c r="S29" s="34">
        <f>SUM(C86:C89)</f>
        <v>2</v>
      </c>
      <c r="T29" s="34">
        <f t="shared" ref="T29:AF29" si="21">SUM(D86:D89)</f>
        <v>0</v>
      </c>
      <c r="U29" s="34">
        <f t="shared" si="21"/>
        <v>1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1</v>
      </c>
      <c r="AD29" s="34">
        <f t="shared" si="21"/>
        <v>0</v>
      </c>
      <c r="AE29" s="31">
        <f t="shared" si="21"/>
        <v>4</v>
      </c>
      <c r="AF29" s="31">
        <f t="shared" si="21"/>
        <v>5</v>
      </c>
    </row>
    <row r="30" spans="2:32" ht="23.1" customHeight="1" x14ac:dyDescent="0.25">
      <c r="B30" s="23" t="s">
        <v>57</v>
      </c>
      <c r="C30" s="49">
        <f>AVERAGE('26.10 KASESE-PONDWE'!C30,'27.10 KASESE-PONDWE'!C30,'25.10.19 KASESE- PONDWE-24h'!C30)</f>
        <v>2.3333333333333335</v>
      </c>
      <c r="D30" s="49">
        <f>AVERAGE('26.10 KASESE-PONDWE'!D30,'27.10 KASESE-PONDWE'!D30,'25.10.19 KASESE- PONDWE-24h'!D30)</f>
        <v>0</v>
      </c>
      <c r="E30" s="49">
        <f>AVERAGE('26.10 KASESE-PONDWE'!E30,'27.10 KASESE-PONDWE'!E30,'25.10.19 KASESE- PONDWE-24h'!E30)</f>
        <v>0.66666666666666663</v>
      </c>
      <c r="F30" s="49">
        <f>AVERAGE('26.10 KASESE-PONDWE'!F30,'27.10 KASESE-PONDWE'!F30,'25.10.19 KASESE- PONDWE-24h'!F30)</f>
        <v>1.3333333333333333</v>
      </c>
      <c r="G30" s="49">
        <f>AVERAGE('26.10 KASESE-PONDWE'!G30,'27.10 KASESE-PONDWE'!G30,'25.10.19 KASESE- PONDWE-24h'!G30)</f>
        <v>0</v>
      </c>
      <c r="H30" s="49">
        <f>AVERAGE('26.10 KASESE-PONDWE'!H30,'27.10 KASESE-PONDWE'!H30,'25.10.19 KASESE- PONDWE-24h'!H30)</f>
        <v>0</v>
      </c>
      <c r="I30" s="49">
        <f>AVERAGE('26.10 KASESE-PONDWE'!I30,'27.10 KASESE-PONDWE'!I30,'25.10.19 KASESE- PONDWE-24h'!I30)</f>
        <v>0</v>
      </c>
      <c r="J30" s="49">
        <f>AVERAGE('26.10 KASESE-PONDWE'!J30,'27.10 KASESE-PONDWE'!J30,'25.10.19 KASESE- PONDWE-24h'!J30)</f>
        <v>0</v>
      </c>
      <c r="K30" s="49">
        <f>AVERAGE('26.10 KASESE-PONDWE'!K30,'27.10 KASESE-PONDWE'!K30,'25.10.19 KASESE- PONDWE-24h'!K30)</f>
        <v>0.33333333333333331</v>
      </c>
      <c r="L30" s="49">
        <f>AVERAGE('26.10 KASESE-PONDWE'!L30,'27.10 KASESE-PONDWE'!L30,'25.10.19 KASESE- PONDWE-24h'!L30)</f>
        <v>0</v>
      </c>
      <c r="M30" s="49">
        <f>AVERAGE('26.10 KASESE-PONDWE'!M30,'27.10 KASESE-PONDWE'!M30,'25.10.19 KASESE- PONDWE-24h'!M30)</f>
        <v>44.333333333333336</v>
      </c>
      <c r="N30" s="49">
        <f>AVERAGE('26.10 KASESE-PONDWE'!N30,'27.10 KASESE-PONDWE'!N30,'25.10.19 KASESE- PONDWE-24h'!N30)</f>
        <v>0</v>
      </c>
      <c r="O30" s="15">
        <f t="shared" si="0"/>
        <v>4.6666666666666661</v>
      </c>
      <c r="P30" s="15">
        <f t="shared" si="1"/>
        <v>49</v>
      </c>
      <c r="R30" s="1" t="s">
        <v>154</v>
      </c>
      <c r="S30" s="34">
        <f>SUM(C90:C93)</f>
        <v>1</v>
      </c>
      <c r="T30" s="34">
        <f t="shared" ref="T30:AF30" si="22">SUM(D90:D93)</f>
        <v>0</v>
      </c>
      <c r="U30" s="34">
        <f t="shared" si="22"/>
        <v>1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5</v>
      </c>
      <c r="AD30" s="34">
        <f t="shared" si="22"/>
        <v>0</v>
      </c>
      <c r="AE30" s="31">
        <f t="shared" si="22"/>
        <v>2</v>
      </c>
      <c r="AF30" s="31">
        <f t="shared" si="22"/>
        <v>7</v>
      </c>
    </row>
    <row r="31" spans="2:32" ht="23.1" customHeight="1" x14ac:dyDescent="0.25">
      <c r="B31" s="24" t="s">
        <v>58</v>
      </c>
      <c r="C31" s="49">
        <f>AVERAGE('26.10 KASESE-PONDWE'!C31,'27.10 KASESE-PONDWE'!C31,'25.10.19 KASESE- PONDWE-24h'!C31)</f>
        <v>4</v>
      </c>
      <c r="D31" s="49">
        <f>AVERAGE('26.10 KASESE-PONDWE'!D31,'27.10 KASESE-PONDWE'!D31,'25.10.19 KASESE- PONDWE-24h'!D31)</f>
        <v>0.33333333333333331</v>
      </c>
      <c r="E31" s="49">
        <f>AVERAGE('26.10 KASESE-PONDWE'!E31,'27.10 KASESE-PONDWE'!E31,'25.10.19 KASESE- PONDWE-24h'!E31)</f>
        <v>0</v>
      </c>
      <c r="F31" s="49">
        <f>AVERAGE('26.10 KASESE-PONDWE'!F31,'27.10 KASESE-PONDWE'!F31,'25.10.19 KASESE- PONDWE-24h'!F31)</f>
        <v>1.6666666666666667</v>
      </c>
      <c r="G31" s="49">
        <f>AVERAGE('26.10 KASESE-PONDWE'!G31,'27.10 KASESE-PONDWE'!G31,'25.10.19 KASESE- PONDWE-24h'!G31)</f>
        <v>0</v>
      </c>
      <c r="H31" s="49">
        <f>AVERAGE('26.10 KASESE-PONDWE'!H31,'27.10 KASESE-PONDWE'!H31,'25.10.19 KASESE- PONDWE-24h'!H31)</f>
        <v>0.33333333333333331</v>
      </c>
      <c r="I31" s="49">
        <f>AVERAGE('26.10 KASESE-PONDWE'!I31,'27.10 KASESE-PONDWE'!I31,'25.10.19 KASESE- PONDWE-24h'!I31)</f>
        <v>0.33333333333333331</v>
      </c>
      <c r="J31" s="49">
        <f>AVERAGE('26.10 KASESE-PONDWE'!J31,'27.10 KASESE-PONDWE'!J31,'25.10.19 KASESE- PONDWE-24h'!J31)</f>
        <v>0.66666666666666663</v>
      </c>
      <c r="K31" s="49">
        <f>AVERAGE('26.10 KASESE-PONDWE'!K31,'27.10 KASESE-PONDWE'!K31,'25.10.19 KASESE- PONDWE-24h'!K31)</f>
        <v>0</v>
      </c>
      <c r="L31" s="49">
        <f>AVERAGE('26.10 KASESE-PONDWE'!L31,'27.10 KASESE-PONDWE'!L31,'25.10.19 KASESE- PONDWE-24h'!L31)</f>
        <v>0</v>
      </c>
      <c r="M31" s="49">
        <f>AVERAGE('26.10 KASESE-PONDWE'!M31,'27.10 KASESE-PONDWE'!M31,'25.10.19 KASESE- PONDWE-24h'!M31)</f>
        <v>46</v>
      </c>
      <c r="N31" s="49">
        <f>AVERAGE('26.10 KASESE-PONDWE'!N31,'27.10 KASESE-PONDWE'!N31,'25.10.19 KASESE- PONDWE-24h'!N31)</f>
        <v>0</v>
      </c>
      <c r="O31" s="15">
        <f t="shared" si="0"/>
        <v>7.333333333333333</v>
      </c>
      <c r="P31" s="15">
        <f t="shared" si="1"/>
        <v>53.333333333333336</v>
      </c>
      <c r="R31" s="1" t="s">
        <v>155</v>
      </c>
      <c r="S31" s="34">
        <f>SUM(C94:C97)</f>
        <v>1</v>
      </c>
      <c r="T31" s="34">
        <f t="shared" ref="T31:AF31" si="23">SUM(D94:D97)</f>
        <v>1</v>
      </c>
      <c r="U31" s="34">
        <f t="shared" si="23"/>
        <v>1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1</v>
      </c>
      <c r="AD31" s="34">
        <f t="shared" si="23"/>
        <v>0</v>
      </c>
      <c r="AE31" s="31">
        <f t="shared" si="23"/>
        <v>3</v>
      </c>
      <c r="AF31" s="31">
        <f t="shared" si="23"/>
        <v>4</v>
      </c>
    </row>
    <row r="32" spans="2:32" ht="23.1" customHeight="1" x14ac:dyDescent="0.25">
      <c r="B32" s="24" t="s">
        <v>59</v>
      </c>
      <c r="C32" s="49">
        <f>AVERAGE('26.10 KASESE-PONDWE'!C32,'27.10 KASESE-PONDWE'!C32,'25.10.19 KASESE- PONDWE-24h'!C32)</f>
        <v>4.666666666666667</v>
      </c>
      <c r="D32" s="49">
        <f>AVERAGE('26.10 KASESE-PONDWE'!D32,'27.10 KASESE-PONDWE'!D32,'25.10.19 KASESE- PONDWE-24h'!D32)</f>
        <v>0.33333333333333331</v>
      </c>
      <c r="E32" s="49">
        <f>AVERAGE('26.10 KASESE-PONDWE'!E32,'27.10 KASESE-PONDWE'!E32,'25.10.19 KASESE- PONDWE-24h'!E32)</f>
        <v>0.66666666666666663</v>
      </c>
      <c r="F32" s="49">
        <f>AVERAGE('26.10 KASESE-PONDWE'!F32,'27.10 KASESE-PONDWE'!F32,'25.10.19 KASESE- PONDWE-24h'!F32)</f>
        <v>0.33333333333333331</v>
      </c>
      <c r="G32" s="49">
        <f>AVERAGE('26.10 KASESE-PONDWE'!G32,'27.10 KASESE-PONDWE'!G32,'25.10.19 KASESE- PONDWE-24h'!G32)</f>
        <v>0</v>
      </c>
      <c r="H32" s="49">
        <f>AVERAGE('26.10 KASESE-PONDWE'!H32,'27.10 KASESE-PONDWE'!H32,'25.10.19 KASESE- PONDWE-24h'!H32)</f>
        <v>0.33333333333333331</v>
      </c>
      <c r="I32" s="49">
        <f>AVERAGE('26.10 KASESE-PONDWE'!I32,'27.10 KASESE-PONDWE'!I32,'25.10.19 KASESE- PONDWE-24h'!I32)</f>
        <v>0.33333333333333331</v>
      </c>
      <c r="J32" s="49">
        <f>AVERAGE('26.10 KASESE-PONDWE'!J32,'27.10 KASESE-PONDWE'!J32,'25.10.19 KASESE- PONDWE-24h'!J32)</f>
        <v>1</v>
      </c>
      <c r="K32" s="49">
        <f>AVERAGE('26.10 KASESE-PONDWE'!K32,'27.10 KASESE-PONDWE'!K32,'25.10.19 KASESE- PONDWE-24h'!K32)</f>
        <v>0.66666666666666663</v>
      </c>
      <c r="L32" s="49">
        <f>AVERAGE('26.10 KASESE-PONDWE'!L32,'27.10 KASESE-PONDWE'!L32,'25.10.19 KASESE- PONDWE-24h'!L32)</f>
        <v>0.66666666666666663</v>
      </c>
      <c r="M32" s="49">
        <f>AVERAGE('26.10 KASESE-PONDWE'!M32,'27.10 KASESE-PONDWE'!M32,'25.10.19 KASESE- PONDWE-24h'!M32)</f>
        <v>35</v>
      </c>
      <c r="N32" s="49">
        <f>AVERAGE('26.10 KASESE-PONDWE'!N32,'27.10 KASESE-PONDWE'!N32,'25.10.19 KASESE- PONDWE-24h'!N32)</f>
        <v>0</v>
      </c>
      <c r="O32" s="15">
        <f t="shared" si="0"/>
        <v>8.9999999999999982</v>
      </c>
      <c r="P32" s="15">
        <f t="shared" si="1"/>
        <v>44</v>
      </c>
      <c r="R32" s="1" t="s">
        <v>156</v>
      </c>
      <c r="S32" s="34">
        <f>SUM(C98:C101)</f>
        <v>2</v>
      </c>
      <c r="T32" s="34">
        <f t="shared" ref="T32:AF32" si="24">SUM(D98:D101)</f>
        <v>0</v>
      </c>
      <c r="U32" s="34">
        <f t="shared" si="24"/>
        <v>2</v>
      </c>
      <c r="V32" s="34">
        <f t="shared" si="24"/>
        <v>3</v>
      </c>
      <c r="W32" s="34">
        <f t="shared" si="24"/>
        <v>0</v>
      </c>
      <c r="X32" s="34">
        <f t="shared" si="24"/>
        <v>0</v>
      </c>
      <c r="Y32" s="34">
        <f t="shared" si="24"/>
        <v>1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4</v>
      </c>
      <c r="AD32" s="34">
        <f t="shared" si="24"/>
        <v>0</v>
      </c>
      <c r="AE32" s="31">
        <f t="shared" si="24"/>
        <v>8</v>
      </c>
      <c r="AF32" s="31">
        <f t="shared" si="24"/>
        <v>12</v>
      </c>
    </row>
    <row r="33" spans="2:32" ht="23.1" customHeight="1" x14ac:dyDescent="0.25">
      <c r="B33" s="23" t="s">
        <v>60</v>
      </c>
      <c r="C33" s="49">
        <f>AVERAGE('26.10 KASESE-PONDWE'!C33,'27.10 KASESE-PONDWE'!C33,'25.10.19 KASESE- PONDWE-24h'!C33)</f>
        <v>2.3333333333333335</v>
      </c>
      <c r="D33" s="49">
        <f>AVERAGE('26.10 KASESE-PONDWE'!D33,'27.10 KASESE-PONDWE'!D33,'25.10.19 KASESE- PONDWE-24h'!D33)</f>
        <v>0</v>
      </c>
      <c r="E33" s="49">
        <f>AVERAGE('26.10 KASESE-PONDWE'!E33,'27.10 KASESE-PONDWE'!E33,'25.10.19 KASESE- PONDWE-24h'!E33)</f>
        <v>0.33333333333333331</v>
      </c>
      <c r="F33" s="49">
        <f>AVERAGE('26.10 KASESE-PONDWE'!F33,'27.10 KASESE-PONDWE'!F33,'25.10.19 KASESE- PONDWE-24h'!F33)</f>
        <v>2</v>
      </c>
      <c r="G33" s="49">
        <f>AVERAGE('26.10 KASESE-PONDWE'!G33,'27.10 KASESE-PONDWE'!G33,'25.10.19 KASESE- PONDWE-24h'!G33)</f>
        <v>0</v>
      </c>
      <c r="H33" s="49">
        <f>AVERAGE('26.10 KASESE-PONDWE'!H33,'27.10 KASESE-PONDWE'!H33,'25.10.19 KASESE- PONDWE-24h'!H33)</f>
        <v>0</v>
      </c>
      <c r="I33" s="49">
        <f>AVERAGE('26.10 KASESE-PONDWE'!I33,'27.10 KASESE-PONDWE'!I33,'25.10.19 KASESE- PONDWE-24h'!I33)</f>
        <v>2</v>
      </c>
      <c r="J33" s="49">
        <f>AVERAGE('26.10 KASESE-PONDWE'!J33,'27.10 KASESE-PONDWE'!J33,'25.10.19 KASESE- PONDWE-24h'!J33)</f>
        <v>0</v>
      </c>
      <c r="K33" s="49">
        <f>AVERAGE('26.10 KASESE-PONDWE'!K33,'27.10 KASESE-PONDWE'!K33,'25.10.19 KASESE- PONDWE-24h'!K33)</f>
        <v>0.33333333333333331</v>
      </c>
      <c r="L33" s="49">
        <f>AVERAGE('26.10 KASESE-PONDWE'!L33,'27.10 KASESE-PONDWE'!L33,'25.10.19 KASESE- PONDWE-24h'!L33)</f>
        <v>1</v>
      </c>
      <c r="M33" s="49">
        <f>AVERAGE('26.10 KASESE-PONDWE'!M33,'27.10 KASESE-PONDWE'!M33,'25.10.19 KASESE- PONDWE-24h'!M33)</f>
        <v>32</v>
      </c>
      <c r="N33" s="49">
        <f>AVERAGE('26.10 KASESE-PONDWE'!N33,'27.10 KASESE-PONDWE'!N33,'25.10.19 KASESE- PONDWE-24h'!N33)</f>
        <v>0</v>
      </c>
      <c r="O33" s="15">
        <f t="shared" si="0"/>
        <v>8</v>
      </c>
      <c r="P33" s="15">
        <f t="shared" si="1"/>
        <v>40</v>
      </c>
      <c r="R33" s="1" t="s">
        <v>157</v>
      </c>
      <c r="S33" s="34">
        <f>SUM(C102:C105)</f>
        <v>6</v>
      </c>
      <c r="T33" s="34">
        <f t="shared" ref="T33:AF33" si="25">SUM(D102:D105)</f>
        <v>1</v>
      </c>
      <c r="U33" s="34">
        <f t="shared" si="25"/>
        <v>1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1</v>
      </c>
      <c r="Z33" s="34">
        <f t="shared" si="25"/>
        <v>3</v>
      </c>
      <c r="AA33" s="34">
        <f t="shared" si="25"/>
        <v>0</v>
      </c>
      <c r="AB33" s="34">
        <f t="shared" si="25"/>
        <v>0</v>
      </c>
      <c r="AC33" s="34">
        <f t="shared" si="25"/>
        <v>8</v>
      </c>
      <c r="AD33" s="34">
        <f t="shared" si="25"/>
        <v>0</v>
      </c>
      <c r="AE33" s="31">
        <f t="shared" si="25"/>
        <v>12</v>
      </c>
      <c r="AF33" s="31">
        <f t="shared" si="25"/>
        <v>20</v>
      </c>
    </row>
    <row r="34" spans="2:32" ht="23.1" customHeight="1" x14ac:dyDescent="0.25">
      <c r="B34" s="24" t="s">
        <v>61</v>
      </c>
      <c r="C34" s="49">
        <f>AVERAGE('26.10 KASESE-PONDWE'!C34,'27.10 KASESE-PONDWE'!C34,'25.10.19 KASESE- PONDWE-24h'!C34)</f>
        <v>2.6666666666666665</v>
      </c>
      <c r="D34" s="49">
        <f>AVERAGE('26.10 KASESE-PONDWE'!D34,'27.10 KASESE-PONDWE'!D34,'25.10.19 KASESE- PONDWE-24h'!D34)</f>
        <v>0.66666666666666663</v>
      </c>
      <c r="E34" s="49">
        <f>AVERAGE('26.10 KASESE-PONDWE'!E34,'27.10 KASESE-PONDWE'!E34,'25.10.19 KASESE- PONDWE-24h'!E34)</f>
        <v>0.33333333333333331</v>
      </c>
      <c r="F34" s="49">
        <f>AVERAGE('26.10 KASESE-PONDWE'!F34,'27.10 KASESE-PONDWE'!F34,'25.10.19 KASESE- PONDWE-24h'!F34)</f>
        <v>1.3333333333333333</v>
      </c>
      <c r="G34" s="49">
        <f>AVERAGE('26.10 KASESE-PONDWE'!G34,'27.10 KASESE-PONDWE'!G34,'25.10.19 KASESE- PONDWE-24h'!G34)</f>
        <v>0</v>
      </c>
      <c r="H34" s="49">
        <f>AVERAGE('26.10 KASESE-PONDWE'!H34,'27.10 KASESE-PONDWE'!H34,'25.10.19 KASESE- PONDWE-24h'!H34)</f>
        <v>0</v>
      </c>
      <c r="I34" s="49">
        <f>AVERAGE('26.10 KASESE-PONDWE'!I34,'27.10 KASESE-PONDWE'!I34,'25.10.19 KASESE- PONDWE-24h'!I34)</f>
        <v>0.66666666666666663</v>
      </c>
      <c r="J34" s="49">
        <f>AVERAGE('26.10 KASESE-PONDWE'!J34,'27.10 KASESE-PONDWE'!J34,'25.10.19 KASESE- PONDWE-24h'!J34)</f>
        <v>0.33333333333333331</v>
      </c>
      <c r="K34" s="49">
        <f>AVERAGE('26.10 KASESE-PONDWE'!K34,'27.10 KASESE-PONDWE'!K34,'25.10.19 KASESE- PONDWE-24h'!K34)</f>
        <v>0.33333333333333331</v>
      </c>
      <c r="L34" s="49">
        <f>AVERAGE('26.10 KASESE-PONDWE'!L34,'27.10 KASESE-PONDWE'!L34,'25.10.19 KASESE- PONDWE-24h'!L34)</f>
        <v>0.33333333333333331</v>
      </c>
      <c r="M34" s="49">
        <f>AVERAGE('26.10 KASESE-PONDWE'!M34,'27.10 KASESE-PONDWE'!M34,'25.10.19 KASESE- PONDWE-24h'!M34)</f>
        <v>51.333333333333336</v>
      </c>
      <c r="N34" s="49">
        <f>AVERAGE('26.10 KASESE-PONDWE'!N34,'27.10 KASESE-PONDWE'!N34,'25.10.19 KASESE- PONDWE-24h'!N34)</f>
        <v>0</v>
      </c>
      <c r="O34" s="15">
        <f t="shared" si="0"/>
        <v>6.6666666666666661</v>
      </c>
      <c r="P34" s="15">
        <f t="shared" si="1"/>
        <v>58</v>
      </c>
      <c r="R34" s="51" t="s">
        <v>90</v>
      </c>
      <c r="S34" s="52">
        <f t="shared" ref="S34:AF34" si="26">MAX(S10:S12)</f>
        <v>17.666666666666668</v>
      </c>
      <c r="T34" s="52">
        <f t="shared" si="26"/>
        <v>1.3333333333333333</v>
      </c>
      <c r="U34" s="52">
        <f t="shared" si="26"/>
        <v>1.6666666666666665</v>
      </c>
      <c r="V34" s="52">
        <f t="shared" si="26"/>
        <v>6</v>
      </c>
      <c r="W34" s="52">
        <f t="shared" si="26"/>
        <v>0.33333333333333331</v>
      </c>
      <c r="X34" s="52">
        <f t="shared" si="26"/>
        <v>1.3333333333333333</v>
      </c>
      <c r="Y34" s="52">
        <f t="shared" si="26"/>
        <v>2.333333333333333</v>
      </c>
      <c r="Z34" s="52">
        <f t="shared" si="26"/>
        <v>3.9999999999999996</v>
      </c>
      <c r="AA34" s="52">
        <f t="shared" si="26"/>
        <v>1</v>
      </c>
      <c r="AB34" s="52">
        <f t="shared" si="26"/>
        <v>2.333333333333333</v>
      </c>
      <c r="AC34" s="52">
        <f t="shared" si="26"/>
        <v>254.66666666666666</v>
      </c>
      <c r="AD34" s="52">
        <f t="shared" si="26"/>
        <v>0</v>
      </c>
      <c r="AE34" s="40">
        <f t="shared" si="26"/>
        <v>37</v>
      </c>
      <c r="AF34" s="40">
        <f t="shared" si="26"/>
        <v>291.66666666666669</v>
      </c>
    </row>
    <row r="35" spans="2:32" ht="23.1" customHeight="1" x14ac:dyDescent="0.25">
      <c r="B35" s="24" t="s">
        <v>62</v>
      </c>
      <c r="C35" s="49">
        <f>AVERAGE('26.10 KASESE-PONDWE'!C35,'27.10 KASESE-PONDWE'!C35,'25.10.19 KASESE- PONDWE-24h'!C35)</f>
        <v>3</v>
      </c>
      <c r="D35" s="49">
        <f>AVERAGE('26.10 KASESE-PONDWE'!D35,'27.10 KASESE-PONDWE'!D35,'25.10.19 KASESE- PONDWE-24h'!D35)</f>
        <v>0.66666666666666663</v>
      </c>
      <c r="E35" s="49">
        <f>AVERAGE('26.10 KASESE-PONDWE'!E35,'27.10 KASESE-PONDWE'!E35,'25.10.19 KASESE- PONDWE-24h'!E35)</f>
        <v>0.33333333333333331</v>
      </c>
      <c r="F35" s="49">
        <f>AVERAGE('26.10 KASESE-PONDWE'!F35,'27.10 KASESE-PONDWE'!F35,'25.10.19 KASESE- PONDWE-24h'!F35)</f>
        <v>1.6666666666666667</v>
      </c>
      <c r="G35" s="49">
        <f>AVERAGE('26.10 KASESE-PONDWE'!G35,'27.10 KASESE-PONDWE'!G35,'25.10.19 KASESE- PONDWE-24h'!G35)</f>
        <v>0</v>
      </c>
      <c r="H35" s="49">
        <f>AVERAGE('26.10 KASESE-PONDWE'!H35,'27.10 KASESE-PONDWE'!H35,'25.10.19 KASESE- PONDWE-24h'!H35)</f>
        <v>0</v>
      </c>
      <c r="I35" s="49">
        <f>AVERAGE('26.10 KASESE-PONDWE'!I35,'27.10 KASESE-PONDWE'!I35,'25.10.19 KASESE- PONDWE-24h'!I35)</f>
        <v>0</v>
      </c>
      <c r="J35" s="49">
        <f>AVERAGE('26.10 KASESE-PONDWE'!J35,'27.10 KASESE-PONDWE'!J35,'25.10.19 KASESE- PONDWE-24h'!J35)</f>
        <v>0.33333333333333331</v>
      </c>
      <c r="K35" s="49">
        <f>AVERAGE('26.10 KASESE-PONDWE'!K35,'27.10 KASESE-PONDWE'!K35,'25.10.19 KASESE- PONDWE-24h'!K35)</f>
        <v>0</v>
      </c>
      <c r="L35" s="49">
        <f>AVERAGE('26.10 KASESE-PONDWE'!L35,'27.10 KASESE-PONDWE'!L35,'25.10.19 KASESE- PONDWE-24h'!L35)</f>
        <v>0.33333333333333331</v>
      </c>
      <c r="M35" s="49">
        <f>AVERAGE('26.10 KASESE-PONDWE'!M35,'27.10 KASESE-PONDWE'!M35,'25.10.19 KASESE- PONDWE-24h'!M35)</f>
        <v>39</v>
      </c>
      <c r="N35" s="49">
        <f>AVERAGE('26.10 KASESE-PONDWE'!N35,'27.10 KASESE-PONDWE'!N35,'25.10.19 KASESE- PONDWE-24h'!N35)</f>
        <v>0</v>
      </c>
      <c r="O35" s="15">
        <f t="shared" si="0"/>
        <v>6.333333333333333</v>
      </c>
      <c r="P35" s="15">
        <f t="shared" si="1"/>
        <v>45.333333333333336</v>
      </c>
      <c r="R35" s="51" t="s">
        <v>91</v>
      </c>
      <c r="S35" s="52">
        <f t="shared" ref="S35:AF35" si="27">MAX(S13:S18)</f>
        <v>19.333333333333332</v>
      </c>
      <c r="T35" s="52">
        <f t="shared" si="27"/>
        <v>3</v>
      </c>
      <c r="U35" s="52">
        <f t="shared" si="27"/>
        <v>1.9999999999999998</v>
      </c>
      <c r="V35" s="52">
        <f t="shared" si="27"/>
        <v>6</v>
      </c>
      <c r="W35" s="52">
        <f t="shared" si="27"/>
        <v>0.33333333333333331</v>
      </c>
      <c r="X35" s="52">
        <f t="shared" si="27"/>
        <v>1.3333333333333333</v>
      </c>
      <c r="Y35" s="52">
        <f t="shared" si="27"/>
        <v>2.6666666666666665</v>
      </c>
      <c r="Z35" s="52">
        <f t="shared" si="27"/>
        <v>2.6666666666666665</v>
      </c>
      <c r="AA35" s="52">
        <f t="shared" si="27"/>
        <v>1.3333333333333333</v>
      </c>
      <c r="AB35" s="52">
        <f t="shared" si="27"/>
        <v>3.333333333333333</v>
      </c>
      <c r="AC35" s="52">
        <f t="shared" si="27"/>
        <v>225.66666666666666</v>
      </c>
      <c r="AD35" s="52">
        <f t="shared" si="27"/>
        <v>0</v>
      </c>
      <c r="AE35" s="40">
        <f t="shared" si="27"/>
        <v>32.333333333333343</v>
      </c>
      <c r="AF35" s="40">
        <f t="shared" si="27"/>
        <v>258</v>
      </c>
    </row>
    <row r="36" spans="2:32" ht="23.1" customHeight="1" x14ac:dyDescent="0.25">
      <c r="B36" s="24" t="s">
        <v>63</v>
      </c>
      <c r="C36" s="49">
        <f>AVERAGE('26.10 KASESE-PONDWE'!C36,'27.10 KASESE-PONDWE'!C36,'25.10.19 KASESE- PONDWE-24h'!C36)</f>
        <v>2</v>
      </c>
      <c r="D36" s="49">
        <f>AVERAGE('26.10 KASESE-PONDWE'!D36,'27.10 KASESE-PONDWE'!D36,'25.10.19 KASESE- PONDWE-24h'!D36)</f>
        <v>0</v>
      </c>
      <c r="E36" s="49">
        <f>AVERAGE('26.10 KASESE-PONDWE'!E36,'27.10 KASESE-PONDWE'!E36,'25.10.19 KASESE- PONDWE-24h'!E36)</f>
        <v>0</v>
      </c>
      <c r="F36" s="49">
        <f>AVERAGE('26.10 KASESE-PONDWE'!F36,'27.10 KASESE-PONDWE'!F36,'25.10.19 KASESE- PONDWE-24h'!F36)</f>
        <v>0.66666666666666663</v>
      </c>
      <c r="G36" s="49">
        <f>AVERAGE('26.10 KASESE-PONDWE'!G36,'27.10 KASESE-PONDWE'!G36,'25.10.19 KASESE- PONDWE-24h'!G36)</f>
        <v>0</v>
      </c>
      <c r="H36" s="49">
        <f>AVERAGE('26.10 KASESE-PONDWE'!H36,'27.10 KASESE-PONDWE'!H36,'25.10.19 KASESE- PONDWE-24h'!H36)</f>
        <v>0.33333333333333331</v>
      </c>
      <c r="I36" s="49">
        <f>AVERAGE('26.10 KASESE-PONDWE'!I36,'27.10 KASESE-PONDWE'!I36,'25.10.19 KASESE- PONDWE-24h'!I36)</f>
        <v>0.33333333333333331</v>
      </c>
      <c r="J36" s="49">
        <f>AVERAGE('26.10 KASESE-PONDWE'!J36,'27.10 KASESE-PONDWE'!J36,'25.10.19 KASESE- PONDWE-24h'!J36)</f>
        <v>0.66666666666666663</v>
      </c>
      <c r="K36" s="49">
        <f>AVERAGE('26.10 KASESE-PONDWE'!K36,'27.10 KASESE-PONDWE'!K36,'25.10.19 KASESE- PONDWE-24h'!K36)</f>
        <v>0</v>
      </c>
      <c r="L36" s="49">
        <f>AVERAGE('26.10 KASESE-PONDWE'!L36,'27.10 KASESE-PONDWE'!L36,'25.10.19 KASESE- PONDWE-24h'!L36)</f>
        <v>0.33333333333333331</v>
      </c>
      <c r="M36" s="49">
        <f>AVERAGE('26.10 KASESE-PONDWE'!M36,'27.10 KASESE-PONDWE'!M36,'25.10.19 KASESE- PONDWE-24h'!M36)</f>
        <v>41</v>
      </c>
      <c r="N36" s="49">
        <f>AVERAGE('26.10 KASESE-PONDWE'!N36,'27.10 KASESE-PONDWE'!N36,'25.10.19 KASESE- PONDWE-24h'!N36)</f>
        <v>0</v>
      </c>
      <c r="O36" s="15">
        <f t="shared" si="0"/>
        <v>4.333333333333333</v>
      </c>
      <c r="P36" s="15">
        <f t="shared" si="1"/>
        <v>45.333333333333336</v>
      </c>
      <c r="R36" s="51" t="s">
        <v>92</v>
      </c>
      <c r="S36" s="52">
        <f t="shared" ref="S36:AF36" si="28">MAX(S19:S21)</f>
        <v>17.666666666666664</v>
      </c>
      <c r="T36" s="52">
        <f t="shared" si="28"/>
        <v>1.6666666666666665</v>
      </c>
      <c r="U36" s="52">
        <f t="shared" si="28"/>
        <v>2</v>
      </c>
      <c r="V36" s="52">
        <f t="shared" si="28"/>
        <v>6.9999999999999991</v>
      </c>
      <c r="W36" s="52">
        <f t="shared" si="28"/>
        <v>0.33333333333333331</v>
      </c>
      <c r="X36" s="52">
        <f t="shared" si="28"/>
        <v>1</v>
      </c>
      <c r="Y36" s="52">
        <f t="shared" si="28"/>
        <v>2.333333333333333</v>
      </c>
      <c r="Z36" s="52">
        <f t="shared" si="28"/>
        <v>1.3333333333333333</v>
      </c>
      <c r="AA36" s="52">
        <f t="shared" si="28"/>
        <v>0.66666666666666663</v>
      </c>
      <c r="AB36" s="52">
        <f t="shared" si="28"/>
        <v>2.333333333333333</v>
      </c>
      <c r="AC36" s="52">
        <f t="shared" si="28"/>
        <v>251.33333333333334</v>
      </c>
      <c r="AD36" s="52">
        <f t="shared" si="28"/>
        <v>0</v>
      </c>
      <c r="AE36" s="40">
        <f t="shared" si="28"/>
        <v>32</v>
      </c>
      <c r="AF36" s="40">
        <f t="shared" si="28"/>
        <v>283.33333333333331</v>
      </c>
    </row>
    <row r="37" spans="2:32" ht="23.1" customHeight="1" x14ac:dyDescent="0.25">
      <c r="B37" s="23" t="s">
        <v>64</v>
      </c>
      <c r="C37" s="49">
        <f>AVERAGE('26.10 KASESE-PONDWE'!C37,'27.10 KASESE-PONDWE'!C37,'25.10.19 KASESE- PONDWE-24h'!C37)</f>
        <v>3.6666666666666665</v>
      </c>
      <c r="D37" s="49">
        <f>AVERAGE('26.10 KASESE-PONDWE'!D37,'27.10 KASESE-PONDWE'!D37,'25.10.19 KASESE- PONDWE-24h'!D37)</f>
        <v>0</v>
      </c>
      <c r="E37" s="49">
        <f>AVERAGE('26.10 KASESE-PONDWE'!E37,'27.10 KASESE-PONDWE'!E37,'25.10.19 KASESE- PONDWE-24h'!E37)</f>
        <v>1</v>
      </c>
      <c r="F37" s="49">
        <f>AVERAGE('26.10 KASESE-PONDWE'!F37,'27.10 KASESE-PONDWE'!F37,'25.10.19 KASESE- PONDWE-24h'!F37)</f>
        <v>1.6666666666666667</v>
      </c>
      <c r="G37" s="49">
        <f>AVERAGE('26.10 KASESE-PONDWE'!G37,'27.10 KASESE-PONDWE'!G37,'25.10.19 KASESE- PONDWE-24h'!G37)</f>
        <v>0</v>
      </c>
      <c r="H37" s="49">
        <f>AVERAGE('26.10 KASESE-PONDWE'!H37,'27.10 KASESE-PONDWE'!H37,'25.10.19 KASESE- PONDWE-24h'!H37)</f>
        <v>0</v>
      </c>
      <c r="I37" s="49">
        <f>AVERAGE('26.10 KASESE-PONDWE'!I37,'27.10 KASESE-PONDWE'!I37,'25.10.19 KASESE- PONDWE-24h'!I37)</f>
        <v>1</v>
      </c>
      <c r="J37" s="49">
        <f>AVERAGE('26.10 KASESE-PONDWE'!J37,'27.10 KASESE-PONDWE'!J37,'25.10.19 KASESE- PONDWE-24h'!J37)</f>
        <v>0</v>
      </c>
      <c r="K37" s="49">
        <f>AVERAGE('26.10 KASESE-PONDWE'!K37,'27.10 KASESE-PONDWE'!K37,'25.10.19 KASESE- PONDWE-24h'!K37)</f>
        <v>0</v>
      </c>
      <c r="L37" s="49">
        <f>AVERAGE('26.10 KASESE-PONDWE'!L37,'27.10 KASESE-PONDWE'!L37,'25.10.19 KASESE- PONDWE-24h'!L37)</f>
        <v>1.3333333333333333</v>
      </c>
      <c r="M37" s="49">
        <f>AVERAGE('26.10 KASESE-PONDWE'!M37,'27.10 KASESE-PONDWE'!M37,'25.10.19 KASESE- PONDWE-24h'!M37)</f>
        <v>44</v>
      </c>
      <c r="N37" s="49">
        <f>AVERAGE('26.10 KASESE-PONDWE'!N37,'27.10 KASESE-PONDWE'!N37,'25.10.19 KASESE- PONDWE-24h'!N37)</f>
        <v>0</v>
      </c>
      <c r="O37" s="15">
        <f t="shared" si="0"/>
        <v>8.6666666666666661</v>
      </c>
      <c r="P37" s="15">
        <f t="shared" si="1"/>
        <v>52.666666666666664</v>
      </c>
      <c r="R37" s="37" t="s">
        <v>85</v>
      </c>
      <c r="S37" s="53">
        <f t="shared" ref="S37:AF37" si="29">SUM(S10:S12)</f>
        <v>42.333333333333329</v>
      </c>
      <c r="T37" s="54">
        <f t="shared" si="29"/>
        <v>3</v>
      </c>
      <c r="U37" s="54">
        <f t="shared" si="29"/>
        <v>3.9999999999999996</v>
      </c>
      <c r="V37" s="54">
        <f t="shared" si="29"/>
        <v>16.333333333333336</v>
      </c>
      <c r="W37" s="54">
        <f t="shared" si="29"/>
        <v>0.33333333333333331</v>
      </c>
      <c r="X37" s="54">
        <f t="shared" si="29"/>
        <v>2.333333333333333</v>
      </c>
      <c r="Y37" s="54">
        <f t="shared" si="29"/>
        <v>6.6666666666666661</v>
      </c>
      <c r="Z37" s="54">
        <f t="shared" si="29"/>
        <v>10.333333333333332</v>
      </c>
      <c r="AA37" s="54">
        <f t="shared" si="29"/>
        <v>1.3333333333333333</v>
      </c>
      <c r="AB37" s="54">
        <f t="shared" si="29"/>
        <v>5.333333333333333</v>
      </c>
      <c r="AC37" s="54">
        <f t="shared" si="29"/>
        <v>636</v>
      </c>
      <c r="AD37" s="54">
        <f t="shared" si="29"/>
        <v>0</v>
      </c>
      <c r="AE37" s="55">
        <f t="shared" si="29"/>
        <v>92</v>
      </c>
      <c r="AF37" s="55">
        <f t="shared" si="29"/>
        <v>728</v>
      </c>
    </row>
    <row r="38" spans="2:32" ht="23.1" customHeight="1" x14ac:dyDescent="0.25">
      <c r="B38" s="24" t="s">
        <v>65</v>
      </c>
      <c r="C38" s="49">
        <f>AVERAGE('26.10 KASESE-PONDWE'!C38,'27.10 KASESE-PONDWE'!C38,'25.10.19 KASESE- PONDWE-24h'!C38)</f>
        <v>1</v>
      </c>
      <c r="D38" s="49">
        <f>AVERAGE('26.10 KASESE-PONDWE'!D38,'27.10 KASESE-PONDWE'!D38,'25.10.19 KASESE- PONDWE-24h'!D38)</f>
        <v>0.33333333333333331</v>
      </c>
      <c r="E38" s="49">
        <f>AVERAGE('26.10 KASESE-PONDWE'!E38,'27.10 KASESE-PONDWE'!E38,'25.10.19 KASESE- PONDWE-24h'!E38)</f>
        <v>0.33333333333333331</v>
      </c>
      <c r="F38" s="49">
        <f>AVERAGE('26.10 KASESE-PONDWE'!F38,'27.10 KASESE-PONDWE'!F38,'25.10.19 KASESE- PONDWE-24h'!F38)</f>
        <v>1</v>
      </c>
      <c r="G38" s="49">
        <f>AVERAGE('26.10 KASESE-PONDWE'!G38,'27.10 KASESE-PONDWE'!G38,'25.10.19 KASESE- PONDWE-24h'!G38)</f>
        <v>0</v>
      </c>
      <c r="H38" s="49">
        <f>AVERAGE('26.10 KASESE-PONDWE'!H38,'27.10 KASESE-PONDWE'!H38,'25.10.19 KASESE- PONDWE-24h'!H38)</f>
        <v>0</v>
      </c>
      <c r="I38" s="49">
        <f>AVERAGE('26.10 KASESE-PONDWE'!I38,'27.10 KASESE-PONDWE'!I38,'25.10.19 KASESE- PONDWE-24h'!I38)</f>
        <v>0.33333333333333331</v>
      </c>
      <c r="J38" s="49">
        <f>AVERAGE('26.10 KASESE-PONDWE'!J38,'27.10 KASESE-PONDWE'!J38,'25.10.19 KASESE- PONDWE-24h'!J38)</f>
        <v>0</v>
      </c>
      <c r="K38" s="49">
        <f>AVERAGE('26.10 KASESE-PONDWE'!K38,'27.10 KASESE-PONDWE'!K38,'25.10.19 KASESE- PONDWE-24h'!K38)</f>
        <v>0.33333333333333331</v>
      </c>
      <c r="L38" s="49">
        <f>AVERAGE('26.10 KASESE-PONDWE'!L38,'27.10 KASESE-PONDWE'!L38,'25.10.19 KASESE- PONDWE-24h'!L38)</f>
        <v>0.33333333333333331</v>
      </c>
      <c r="M38" s="49">
        <f>AVERAGE('26.10 KASESE-PONDWE'!M38,'27.10 KASESE-PONDWE'!M38,'25.10.19 KASESE- PONDWE-24h'!M38)</f>
        <v>36.666666666666664</v>
      </c>
      <c r="N38" s="49">
        <f>AVERAGE('26.10 KASESE-PONDWE'!N38,'27.10 KASESE-PONDWE'!N38,'25.10.19 KASESE- PONDWE-24h'!N38)</f>
        <v>0</v>
      </c>
      <c r="O38" s="15">
        <f t="shared" si="0"/>
        <v>3.666666666666667</v>
      </c>
      <c r="P38" s="15">
        <f t="shared" si="1"/>
        <v>40.333333333333329</v>
      </c>
      <c r="R38" s="28" t="s">
        <v>86</v>
      </c>
      <c r="S38" s="54">
        <f t="shared" ref="S38:AF38" si="30">SUM(S13:S18)</f>
        <v>83.333333333333343</v>
      </c>
      <c r="T38" s="54">
        <f t="shared" si="30"/>
        <v>8.6666666666666661</v>
      </c>
      <c r="U38" s="54">
        <f t="shared" si="30"/>
        <v>7.6666666666666661</v>
      </c>
      <c r="V38" s="54">
        <f t="shared" si="30"/>
        <v>26.333333333333332</v>
      </c>
      <c r="W38" s="54">
        <f t="shared" si="30"/>
        <v>0.66666666666666663</v>
      </c>
      <c r="X38" s="54">
        <f t="shared" si="30"/>
        <v>3.3333333333333335</v>
      </c>
      <c r="Y38" s="54">
        <f t="shared" si="30"/>
        <v>10.666666666666666</v>
      </c>
      <c r="Z38" s="54">
        <f t="shared" si="30"/>
        <v>10.333333333333332</v>
      </c>
      <c r="AA38" s="54">
        <f t="shared" si="30"/>
        <v>4.333333333333333</v>
      </c>
      <c r="AB38" s="54">
        <f t="shared" si="30"/>
        <v>11</v>
      </c>
      <c r="AC38" s="54">
        <f t="shared" si="30"/>
        <v>1042</v>
      </c>
      <c r="AD38" s="54">
        <f t="shared" si="30"/>
        <v>0</v>
      </c>
      <c r="AE38" s="55">
        <f t="shared" si="30"/>
        <v>166.33333333333334</v>
      </c>
      <c r="AF38" s="55">
        <f t="shared" si="30"/>
        <v>1208.3333333333335</v>
      </c>
    </row>
    <row r="39" spans="2:32" ht="23.1" customHeight="1" x14ac:dyDescent="0.25">
      <c r="B39" s="24" t="s">
        <v>66</v>
      </c>
      <c r="C39" s="49">
        <f>AVERAGE('26.10 KASESE-PONDWE'!C39,'27.10 KASESE-PONDWE'!C39,'25.10.19 KASESE- PONDWE-24h'!C39)</f>
        <v>2.3333333333333335</v>
      </c>
      <c r="D39" s="49">
        <f>AVERAGE('26.10 KASESE-PONDWE'!D39,'27.10 KASESE-PONDWE'!D39,'25.10.19 KASESE- PONDWE-24h'!D39)</f>
        <v>0.33333333333333331</v>
      </c>
      <c r="E39" s="49">
        <f>AVERAGE('26.10 KASESE-PONDWE'!E39,'27.10 KASESE-PONDWE'!E39,'25.10.19 KASESE- PONDWE-24h'!E39)</f>
        <v>0</v>
      </c>
      <c r="F39" s="49">
        <f>AVERAGE('26.10 KASESE-PONDWE'!F39,'27.10 KASESE-PONDWE'!F39,'25.10.19 KASESE- PONDWE-24h'!F39)</f>
        <v>0.66666666666666663</v>
      </c>
      <c r="G39" s="49">
        <f>AVERAGE('26.10 KASESE-PONDWE'!G39,'27.10 KASESE-PONDWE'!G39,'25.10.19 KASESE- PONDWE-24h'!G39)</f>
        <v>0.33333333333333331</v>
      </c>
      <c r="H39" s="49">
        <f>AVERAGE('26.10 KASESE-PONDWE'!H39,'27.10 KASESE-PONDWE'!H39,'25.10.19 KASESE- PONDWE-24h'!H39)</f>
        <v>0.33333333333333331</v>
      </c>
      <c r="I39" s="49">
        <f>AVERAGE('26.10 KASESE-PONDWE'!I39,'27.10 KASESE-PONDWE'!I39,'25.10.19 KASESE- PONDWE-24h'!I39)</f>
        <v>0</v>
      </c>
      <c r="J39" s="49">
        <f>AVERAGE('26.10 KASESE-PONDWE'!J39,'27.10 KASESE-PONDWE'!J39,'25.10.19 KASESE- PONDWE-24h'!J39)</f>
        <v>1</v>
      </c>
      <c r="K39" s="49">
        <f>AVERAGE('26.10 KASESE-PONDWE'!K39,'27.10 KASESE-PONDWE'!K39,'25.10.19 KASESE- PONDWE-24h'!K39)</f>
        <v>0.66666666666666663</v>
      </c>
      <c r="L39" s="49">
        <f>AVERAGE('26.10 KASESE-PONDWE'!L39,'27.10 KASESE-PONDWE'!L39,'25.10.19 KASESE- PONDWE-24h'!L39)</f>
        <v>1.3333333333333333</v>
      </c>
      <c r="M39" s="49">
        <f>AVERAGE('26.10 KASESE-PONDWE'!M39,'27.10 KASESE-PONDWE'!M39,'25.10.19 KASESE- PONDWE-24h'!M39)</f>
        <v>46.666666666666664</v>
      </c>
      <c r="N39" s="49">
        <f>AVERAGE('26.10 KASESE-PONDWE'!N39,'27.10 KASESE-PONDWE'!N39,'25.10.19 KASESE- PONDWE-24h'!N39)</f>
        <v>0</v>
      </c>
      <c r="O39" s="15">
        <f t="shared" si="0"/>
        <v>7</v>
      </c>
      <c r="P39" s="15">
        <f t="shared" si="1"/>
        <v>53.666666666666664</v>
      </c>
      <c r="R39" s="29" t="s">
        <v>87</v>
      </c>
      <c r="S39" s="54">
        <f t="shared" ref="S39:AF39" si="31">SUM(S19:S21)</f>
        <v>47.333333333333329</v>
      </c>
      <c r="T39" s="54">
        <f t="shared" si="31"/>
        <v>4.6666666666666661</v>
      </c>
      <c r="U39" s="54">
        <f t="shared" si="31"/>
        <v>2.666666666666667</v>
      </c>
      <c r="V39" s="54">
        <f t="shared" si="31"/>
        <v>15.33333333333333</v>
      </c>
      <c r="W39" s="54">
        <f t="shared" si="31"/>
        <v>0.33333333333333331</v>
      </c>
      <c r="X39" s="54">
        <f t="shared" si="31"/>
        <v>2.3333333333333335</v>
      </c>
      <c r="Y39" s="54">
        <f t="shared" si="31"/>
        <v>3.9999999999999996</v>
      </c>
      <c r="Z39" s="54">
        <f t="shared" si="31"/>
        <v>1.6666666666666665</v>
      </c>
      <c r="AA39" s="54">
        <f t="shared" si="31"/>
        <v>1.6666666666666665</v>
      </c>
      <c r="AB39" s="54">
        <f t="shared" si="31"/>
        <v>5.3333333333333321</v>
      </c>
      <c r="AC39" s="54">
        <f t="shared" si="31"/>
        <v>655.33333333333337</v>
      </c>
      <c r="AD39" s="54">
        <f t="shared" si="31"/>
        <v>0</v>
      </c>
      <c r="AE39" s="55">
        <f t="shared" si="31"/>
        <v>85.333333333333329</v>
      </c>
      <c r="AF39" s="55">
        <f t="shared" si="31"/>
        <v>740.66666666666663</v>
      </c>
    </row>
    <row r="40" spans="2:32" ht="23.1" customHeight="1" x14ac:dyDescent="0.25">
      <c r="B40" s="24" t="s">
        <v>67</v>
      </c>
      <c r="C40" s="49">
        <f>AVERAGE('26.10 KASESE-PONDWE'!C40,'27.10 KASESE-PONDWE'!C40,'25.10.19 KASESE- PONDWE-24h'!C40)</f>
        <v>2.3333333333333335</v>
      </c>
      <c r="D40" s="49">
        <f>AVERAGE('26.10 KASESE-PONDWE'!D40,'27.10 KASESE-PONDWE'!D40,'25.10.19 KASESE- PONDWE-24h'!D40)</f>
        <v>0.33333333333333331</v>
      </c>
      <c r="E40" s="49">
        <f>AVERAGE('26.10 KASESE-PONDWE'!E40,'27.10 KASESE-PONDWE'!E40,'25.10.19 KASESE- PONDWE-24h'!E40)</f>
        <v>0.33333333333333331</v>
      </c>
      <c r="F40" s="49">
        <f>AVERAGE('26.10 KASESE-PONDWE'!F40,'27.10 KASESE-PONDWE'!F40,'25.10.19 KASESE- PONDWE-24h'!F40)</f>
        <v>1</v>
      </c>
      <c r="G40" s="49">
        <f>AVERAGE('26.10 KASESE-PONDWE'!G40,'27.10 KASESE-PONDWE'!G40,'25.10.19 KASESE- PONDWE-24h'!G40)</f>
        <v>0</v>
      </c>
      <c r="H40" s="49">
        <f>AVERAGE('26.10 KASESE-PONDWE'!H40,'27.10 KASESE-PONDWE'!H40,'25.10.19 KASESE- PONDWE-24h'!H40)</f>
        <v>0</v>
      </c>
      <c r="I40" s="49">
        <f>AVERAGE('26.10 KASESE-PONDWE'!I40,'27.10 KASESE-PONDWE'!I40,'25.10.19 KASESE- PONDWE-24h'!I40)</f>
        <v>1</v>
      </c>
      <c r="J40" s="49">
        <f>AVERAGE('26.10 KASESE-PONDWE'!J40,'27.10 KASESE-PONDWE'!J40,'25.10.19 KASESE- PONDWE-24h'!J40)</f>
        <v>0</v>
      </c>
      <c r="K40" s="49">
        <f>AVERAGE('26.10 KASESE-PONDWE'!K40,'27.10 KASESE-PONDWE'!K40,'25.10.19 KASESE- PONDWE-24h'!K40)</f>
        <v>0</v>
      </c>
      <c r="L40" s="49">
        <f>AVERAGE('26.10 KASESE-PONDWE'!L40,'27.10 KASESE-PONDWE'!L40,'25.10.19 KASESE- PONDWE-24h'!L40)</f>
        <v>1</v>
      </c>
      <c r="M40" s="49">
        <f>AVERAGE('26.10 KASESE-PONDWE'!M40,'27.10 KASESE-PONDWE'!M40,'25.10.19 KASESE- PONDWE-24h'!M40)</f>
        <v>41.333333333333336</v>
      </c>
      <c r="N40" s="49">
        <f>AVERAGE('26.10 KASESE-PONDWE'!N40,'27.10 KASESE-PONDWE'!N40,'25.10.19 KASESE- PONDWE-24h'!N40)</f>
        <v>0</v>
      </c>
      <c r="O40" s="15">
        <f t="shared" si="0"/>
        <v>6</v>
      </c>
      <c r="P40" s="15">
        <f t="shared" si="1"/>
        <v>47.333333333333336</v>
      </c>
      <c r="R40" s="5" t="s">
        <v>17</v>
      </c>
      <c r="S40" s="54">
        <f t="shared" ref="S40:AF40" si="32">SUM(S10:S21)</f>
        <v>172.99999999999997</v>
      </c>
      <c r="T40" s="54">
        <f t="shared" si="32"/>
        <v>16.333333333333332</v>
      </c>
      <c r="U40" s="54">
        <f t="shared" si="32"/>
        <v>14.333333333333332</v>
      </c>
      <c r="V40" s="54">
        <f t="shared" si="32"/>
        <v>58</v>
      </c>
      <c r="W40" s="54">
        <f t="shared" si="32"/>
        <v>1.3333333333333333</v>
      </c>
      <c r="X40" s="54">
        <f t="shared" si="32"/>
        <v>7.9999999999999991</v>
      </c>
      <c r="Y40" s="54">
        <f t="shared" si="32"/>
        <v>21.333333333333332</v>
      </c>
      <c r="Z40" s="54">
        <f t="shared" si="32"/>
        <v>22.333333333333325</v>
      </c>
      <c r="AA40" s="54">
        <f t="shared" si="32"/>
        <v>7.333333333333333</v>
      </c>
      <c r="AB40" s="54">
        <f t="shared" si="32"/>
        <v>21.666666666666664</v>
      </c>
      <c r="AC40" s="54">
        <f t="shared" si="32"/>
        <v>2333.333333333333</v>
      </c>
      <c r="AD40" s="54">
        <f t="shared" si="32"/>
        <v>0</v>
      </c>
      <c r="AE40" s="55">
        <f t="shared" si="32"/>
        <v>343.66666666666663</v>
      </c>
      <c r="AF40" s="55">
        <f t="shared" si="32"/>
        <v>2677</v>
      </c>
    </row>
    <row r="41" spans="2:32" ht="23.1" customHeight="1" x14ac:dyDescent="0.25">
      <c r="B41" s="23" t="s">
        <v>68</v>
      </c>
      <c r="C41" s="49">
        <f>AVERAGE('26.10 KASESE-PONDWE'!C41,'27.10 KASESE-PONDWE'!C41,'25.10.19 KASESE- PONDWE-24h'!C41)</f>
        <v>4</v>
      </c>
      <c r="D41" s="49">
        <f>AVERAGE('26.10 KASESE-PONDWE'!D41,'27.10 KASESE-PONDWE'!D41,'25.10.19 KASESE- PONDWE-24h'!D41)</f>
        <v>0.33333333333333331</v>
      </c>
      <c r="E41" s="49">
        <f>AVERAGE('26.10 KASESE-PONDWE'!E41,'27.10 KASESE-PONDWE'!E41,'25.10.19 KASESE- PONDWE-24h'!E41)</f>
        <v>0</v>
      </c>
      <c r="F41" s="49">
        <f>AVERAGE('26.10 KASESE-PONDWE'!F41,'27.10 KASESE-PONDWE'!F41,'25.10.19 KASESE- PONDWE-24h'!F41)</f>
        <v>1.6666666666666667</v>
      </c>
      <c r="G41" s="49">
        <f>AVERAGE('26.10 KASESE-PONDWE'!G41,'27.10 KASESE-PONDWE'!G41,'25.10.19 KASESE- PONDWE-24h'!G41)</f>
        <v>0</v>
      </c>
      <c r="H41" s="49">
        <f>AVERAGE('26.10 KASESE-PONDWE'!H41,'27.10 KASESE-PONDWE'!H41,'25.10.19 KASESE- PONDWE-24h'!H41)</f>
        <v>0</v>
      </c>
      <c r="I41" s="49">
        <f>AVERAGE('26.10 KASESE-PONDWE'!I41,'27.10 KASESE-PONDWE'!I41,'25.10.19 KASESE- PONDWE-24h'!I41)</f>
        <v>0</v>
      </c>
      <c r="J41" s="49">
        <f>AVERAGE('26.10 KASESE-PONDWE'!J41,'27.10 KASESE-PONDWE'!J41,'25.10.19 KASESE- PONDWE-24h'!J41)</f>
        <v>0.33333333333333331</v>
      </c>
      <c r="K41" s="49">
        <f>AVERAGE('26.10 KASESE-PONDWE'!K41,'27.10 KASESE-PONDWE'!K41,'25.10.19 KASESE- PONDWE-24h'!K41)</f>
        <v>0</v>
      </c>
      <c r="L41" s="49">
        <f>AVERAGE('26.10 KASESE-PONDWE'!L41,'27.10 KASESE-PONDWE'!L41,'25.10.19 KASESE- PONDWE-24h'!L41)</f>
        <v>0.66666666666666663</v>
      </c>
      <c r="M41" s="49">
        <f>AVERAGE('26.10 KASESE-PONDWE'!M41,'27.10 KASESE-PONDWE'!M41,'25.10.19 KASESE- PONDWE-24h'!M41)</f>
        <v>47.666666666666664</v>
      </c>
      <c r="N41" s="49">
        <f>AVERAGE('26.10 KASESE-PONDWE'!N41,'27.10 KASESE-PONDWE'!N41,'25.10.19 KASESE- PONDWE-24h'!N41)</f>
        <v>0</v>
      </c>
      <c r="O41" s="15">
        <f t="shared" si="0"/>
        <v>7</v>
      </c>
      <c r="P41" s="15">
        <f t="shared" si="1"/>
        <v>54.666666666666664</v>
      </c>
      <c r="R41" s="5" t="s">
        <v>178</v>
      </c>
      <c r="S41" s="54">
        <f>SUM(S10:S33)</f>
        <v>247.99999999999997</v>
      </c>
      <c r="T41" s="54">
        <f t="shared" ref="T41:AD41" si="33">SUM(T10:T33)</f>
        <v>22.333333333333332</v>
      </c>
      <c r="U41" s="54">
        <f t="shared" si="33"/>
        <v>23.333333333333332</v>
      </c>
      <c r="V41" s="54">
        <f t="shared" si="33"/>
        <v>77</v>
      </c>
      <c r="W41" s="54">
        <f t="shared" si="33"/>
        <v>1.3333333333333333</v>
      </c>
      <c r="X41" s="54">
        <f t="shared" si="33"/>
        <v>12</v>
      </c>
      <c r="Y41" s="54">
        <f t="shared" si="33"/>
        <v>27.333333333333332</v>
      </c>
      <c r="Z41" s="54">
        <f t="shared" si="33"/>
        <v>25.333333333333325</v>
      </c>
      <c r="AA41" s="54">
        <f t="shared" si="33"/>
        <v>9.3333333333333321</v>
      </c>
      <c r="AB41" s="54">
        <f t="shared" si="33"/>
        <v>25.666666666666664</v>
      </c>
      <c r="AC41" s="54">
        <f t="shared" si="33"/>
        <v>2755.333333333333</v>
      </c>
      <c r="AD41" s="54">
        <f t="shared" si="33"/>
        <v>0</v>
      </c>
      <c r="AE41" s="55">
        <f>SUM(AE10:AE33)</f>
        <v>471.66666666666663</v>
      </c>
      <c r="AF41" s="55">
        <f>SUM(AF10:AF33)</f>
        <v>3227</v>
      </c>
    </row>
    <row r="42" spans="2:32" ht="23.1" customHeight="1" x14ac:dyDescent="0.25">
      <c r="B42" s="24" t="s">
        <v>69</v>
      </c>
      <c r="C42" s="49">
        <f>AVERAGE('26.10 KASESE-PONDWE'!C42,'27.10 KASESE-PONDWE'!C42,'25.10.19 KASESE- PONDWE-24h'!C42)</f>
        <v>5.666666666666667</v>
      </c>
      <c r="D42" s="49">
        <f>AVERAGE('26.10 KASESE-PONDWE'!D42,'27.10 KASESE-PONDWE'!D42,'25.10.19 KASESE- PONDWE-24h'!D42)</f>
        <v>0.66666666666666663</v>
      </c>
      <c r="E42" s="49">
        <f>AVERAGE('26.10 KASESE-PONDWE'!E42,'27.10 KASESE-PONDWE'!E42,'25.10.19 KASESE- PONDWE-24h'!E42)</f>
        <v>0.33333333333333331</v>
      </c>
      <c r="F42" s="49">
        <f>AVERAGE('26.10 KASESE-PONDWE'!F42,'27.10 KASESE-PONDWE'!F42,'25.10.19 KASESE- PONDWE-24h'!F42)</f>
        <v>1.6666666666666667</v>
      </c>
      <c r="G42" s="49">
        <f>AVERAGE('26.10 KASESE-PONDWE'!G42,'27.10 KASESE-PONDWE'!G42,'25.10.19 KASESE- PONDWE-24h'!G42)</f>
        <v>0</v>
      </c>
      <c r="H42" s="49">
        <f>AVERAGE('26.10 KASESE-PONDWE'!H42,'27.10 KASESE-PONDWE'!H42,'25.10.19 KASESE- PONDWE-24h'!H42)</f>
        <v>0.33333333333333331</v>
      </c>
      <c r="I42" s="49">
        <f>AVERAGE('26.10 KASESE-PONDWE'!I42,'27.10 KASESE-PONDWE'!I42,'25.10.19 KASESE- PONDWE-24h'!I42)</f>
        <v>0.33333333333333331</v>
      </c>
      <c r="J42" s="49">
        <f>AVERAGE('26.10 KASESE-PONDWE'!J42,'27.10 KASESE-PONDWE'!J42,'25.10.19 KASESE- PONDWE-24h'!J42)</f>
        <v>0</v>
      </c>
      <c r="K42" s="49">
        <f>AVERAGE('26.10 KASESE-PONDWE'!K42,'27.10 KASESE-PONDWE'!K42,'25.10.19 KASESE- PONDWE-24h'!K42)</f>
        <v>0.33333333333333331</v>
      </c>
      <c r="L42" s="49">
        <f>AVERAGE('26.10 KASESE-PONDWE'!L42,'27.10 KASESE-PONDWE'!L42,'25.10.19 KASESE- PONDWE-24h'!L42)</f>
        <v>0.33333333333333331</v>
      </c>
      <c r="M42" s="49">
        <f>AVERAGE('26.10 KASESE-PONDWE'!M42,'27.10 KASESE-PONDWE'!M42,'25.10.19 KASESE- PONDWE-24h'!M42)</f>
        <v>56</v>
      </c>
      <c r="N42" s="49">
        <f>AVERAGE('26.10 KASESE-PONDWE'!N42,'27.10 KASESE-PONDWE'!N42,'25.10.19 KASESE- PONDWE-24h'!N42)</f>
        <v>0</v>
      </c>
      <c r="O42" s="15">
        <f t="shared" si="0"/>
        <v>9.6666666666666696</v>
      </c>
      <c r="P42" s="15">
        <f t="shared" si="1"/>
        <v>65.666666666666671</v>
      </c>
      <c r="R42" s="5" t="s">
        <v>160</v>
      </c>
      <c r="S42" s="48">
        <f>S41/S40</f>
        <v>1.4335260115606938</v>
      </c>
      <c r="T42" s="48">
        <f t="shared" ref="T42:AF42" si="34">T41/T40</f>
        <v>1.3673469387755102</v>
      </c>
      <c r="U42" s="48">
        <f t="shared" si="34"/>
        <v>1.6279069767441861</v>
      </c>
      <c r="V42" s="48">
        <f t="shared" si="34"/>
        <v>1.3275862068965518</v>
      </c>
      <c r="W42" s="48">
        <f t="shared" si="34"/>
        <v>1</v>
      </c>
      <c r="X42" s="48">
        <f t="shared" si="34"/>
        <v>1.5000000000000002</v>
      </c>
      <c r="Y42" s="48">
        <f t="shared" si="34"/>
        <v>1.28125</v>
      </c>
      <c r="Z42" s="48">
        <f t="shared" si="34"/>
        <v>1.1343283582089552</v>
      </c>
      <c r="AA42" s="48">
        <f t="shared" si="34"/>
        <v>1.2727272727272727</v>
      </c>
      <c r="AB42" s="48">
        <f t="shared" si="34"/>
        <v>1.1846153846153846</v>
      </c>
      <c r="AC42" s="48">
        <f t="shared" si="34"/>
        <v>1.1808571428571428</v>
      </c>
      <c r="AD42" s="48">
        <v>0</v>
      </c>
      <c r="AE42" s="56">
        <f t="shared" si="34"/>
        <v>1.3724539282250243</v>
      </c>
      <c r="AF42" s="56">
        <f t="shared" si="34"/>
        <v>1.2054538662682106</v>
      </c>
    </row>
    <row r="43" spans="2:32" ht="23.1" customHeight="1" x14ac:dyDescent="0.25">
      <c r="B43" s="23" t="s">
        <v>70</v>
      </c>
      <c r="C43" s="49">
        <f>AVERAGE('26.10 KASESE-PONDWE'!C43,'27.10 KASESE-PONDWE'!C43,'25.10.19 KASESE- PONDWE-24h'!C43)</f>
        <v>2.3333333333333335</v>
      </c>
      <c r="D43" s="49">
        <f>AVERAGE('26.10 KASESE-PONDWE'!D43,'27.10 KASESE-PONDWE'!D43,'25.10.19 KASESE- PONDWE-24h'!D43)</f>
        <v>1</v>
      </c>
      <c r="E43" s="49">
        <f>AVERAGE('26.10 KASESE-PONDWE'!E43,'27.10 KASESE-PONDWE'!E43,'25.10.19 KASESE- PONDWE-24h'!E43)</f>
        <v>0</v>
      </c>
      <c r="F43" s="49">
        <f>AVERAGE('26.10 KASESE-PONDWE'!F43,'27.10 KASESE-PONDWE'!F43,'25.10.19 KASESE- PONDWE-24h'!F43)</f>
        <v>1.3333333333333333</v>
      </c>
      <c r="G43" s="49">
        <f>AVERAGE('26.10 KASESE-PONDWE'!G43,'27.10 KASESE-PONDWE'!G43,'25.10.19 KASESE- PONDWE-24h'!G43)</f>
        <v>0</v>
      </c>
      <c r="H43" s="49">
        <f>AVERAGE('26.10 KASESE-PONDWE'!H43,'27.10 KASESE-PONDWE'!H43,'25.10.19 KASESE- PONDWE-24h'!H43)</f>
        <v>0</v>
      </c>
      <c r="I43" s="49">
        <f>AVERAGE('26.10 KASESE-PONDWE'!I43,'27.10 KASESE-PONDWE'!I43,'25.10.19 KASESE- PONDWE-24h'!I43)</f>
        <v>1</v>
      </c>
      <c r="J43" s="49">
        <f>AVERAGE('26.10 KASESE-PONDWE'!J43,'27.10 KASESE-PONDWE'!J43,'25.10.19 KASESE- PONDWE-24h'!J43)</f>
        <v>0.66666666666666663</v>
      </c>
      <c r="K43" s="49">
        <f>AVERAGE('26.10 KASESE-PONDWE'!K43,'27.10 KASESE-PONDWE'!K43,'25.10.19 KASESE- PONDWE-24h'!K43)</f>
        <v>0</v>
      </c>
      <c r="L43" s="49">
        <f>AVERAGE('26.10 KASESE-PONDWE'!L43,'27.10 KASESE-PONDWE'!L43,'25.10.19 KASESE- PONDWE-24h'!L43)</f>
        <v>1</v>
      </c>
      <c r="M43" s="49">
        <f>AVERAGE('26.10 KASESE-PONDWE'!M43,'27.10 KASESE-PONDWE'!M43,'25.10.19 KASESE- PONDWE-24h'!M43)</f>
        <v>50.666666666666664</v>
      </c>
      <c r="N43" s="49">
        <f>AVERAGE('26.10 KASESE-PONDWE'!N43,'27.10 KASESE-PONDWE'!N43,'25.10.19 KASESE- PONDWE-24h'!N43)</f>
        <v>0</v>
      </c>
      <c r="O43" s="15">
        <f t="shared" si="0"/>
        <v>7.3333333333333339</v>
      </c>
      <c r="P43" s="15">
        <f t="shared" si="1"/>
        <v>58</v>
      </c>
    </row>
    <row r="44" spans="2:32" ht="23.1" customHeight="1" x14ac:dyDescent="0.25">
      <c r="B44" s="25" t="s">
        <v>71</v>
      </c>
      <c r="C44" s="49">
        <f>AVERAGE('26.10 KASESE-PONDWE'!C44,'27.10 KASESE-PONDWE'!C44,'25.10.19 KASESE- PONDWE-24h'!C44)</f>
        <v>3.3333333333333335</v>
      </c>
      <c r="D44" s="49">
        <f>AVERAGE('26.10 KASESE-PONDWE'!D44,'27.10 KASESE-PONDWE'!D44,'25.10.19 KASESE- PONDWE-24h'!D44)</f>
        <v>1</v>
      </c>
      <c r="E44" s="49">
        <f>AVERAGE('26.10 KASESE-PONDWE'!E44,'27.10 KASESE-PONDWE'!E44,'25.10.19 KASESE- PONDWE-24h'!E44)</f>
        <v>0.33333333333333331</v>
      </c>
      <c r="F44" s="49">
        <f>AVERAGE('26.10 KASESE-PONDWE'!F44,'27.10 KASESE-PONDWE'!F44,'25.10.19 KASESE- PONDWE-24h'!F44)</f>
        <v>1.6666666666666667</v>
      </c>
      <c r="G44" s="49">
        <f>AVERAGE('26.10 KASESE-PONDWE'!G44,'27.10 KASESE-PONDWE'!G44,'25.10.19 KASESE- PONDWE-24h'!G44)</f>
        <v>0</v>
      </c>
      <c r="H44" s="49">
        <f>AVERAGE('26.10 KASESE-PONDWE'!H44,'27.10 KASESE-PONDWE'!H44,'25.10.19 KASESE- PONDWE-24h'!H44)</f>
        <v>0</v>
      </c>
      <c r="I44" s="49">
        <f>AVERAGE('26.10 KASESE-PONDWE'!I44,'27.10 KASESE-PONDWE'!I44,'25.10.19 KASESE- PONDWE-24h'!I44)</f>
        <v>0.66666666666666663</v>
      </c>
      <c r="J44" s="49">
        <f>AVERAGE('26.10 KASESE-PONDWE'!J44,'27.10 KASESE-PONDWE'!J44,'25.10.19 KASESE- PONDWE-24h'!J44)</f>
        <v>0.66666666666666663</v>
      </c>
      <c r="K44" s="49">
        <f>AVERAGE('26.10 KASESE-PONDWE'!K44,'27.10 KASESE-PONDWE'!K44,'25.10.19 KASESE- PONDWE-24h'!K44)</f>
        <v>0</v>
      </c>
      <c r="L44" s="49">
        <f>AVERAGE('26.10 KASESE-PONDWE'!L44,'27.10 KASESE-PONDWE'!L44,'25.10.19 KASESE- PONDWE-24h'!L44)</f>
        <v>0.33333333333333331</v>
      </c>
      <c r="M44" s="49">
        <f>AVERAGE('26.10 KASESE-PONDWE'!M44,'27.10 KASESE-PONDWE'!M44,'25.10.19 KASESE- PONDWE-24h'!M44)</f>
        <v>62.666666666666664</v>
      </c>
      <c r="N44" s="49">
        <f>AVERAGE('26.10 KASESE-PONDWE'!N44,'27.10 KASESE-PONDWE'!N44,'25.10.19 KASESE- PONDWE-24h'!N44)</f>
        <v>0</v>
      </c>
      <c r="O44" s="15">
        <f t="shared" si="0"/>
        <v>8.0000000000000018</v>
      </c>
      <c r="P44" s="15">
        <f t="shared" si="1"/>
        <v>70.666666666666671</v>
      </c>
    </row>
    <row r="45" spans="2:32" ht="23.1" customHeight="1" x14ac:dyDescent="0.25">
      <c r="B45" s="23" t="s">
        <v>72</v>
      </c>
      <c r="C45" s="49">
        <f>AVERAGE('26.10 KASESE-PONDWE'!C45,'27.10 KASESE-PONDWE'!C45,'25.10.19 KASESE- PONDWE-24h'!C45)</f>
        <v>3.6666666666666665</v>
      </c>
      <c r="D45" s="49">
        <f>AVERAGE('26.10 KASESE-PONDWE'!D45,'27.10 KASESE-PONDWE'!D45,'25.10.19 KASESE- PONDWE-24h'!D45)</f>
        <v>0.33333333333333331</v>
      </c>
      <c r="E45" s="49">
        <f>AVERAGE('26.10 KASESE-PONDWE'!E45,'27.10 KASESE-PONDWE'!E45,'25.10.19 KASESE- PONDWE-24h'!E45)</f>
        <v>0.66666666666666663</v>
      </c>
      <c r="F45" s="49">
        <f>AVERAGE('26.10 KASESE-PONDWE'!F45,'27.10 KASESE-PONDWE'!F45,'25.10.19 KASESE- PONDWE-24h'!F45)</f>
        <v>1.3333333333333333</v>
      </c>
      <c r="G45" s="49">
        <f>AVERAGE('26.10 KASESE-PONDWE'!G45,'27.10 KASESE-PONDWE'!G45,'25.10.19 KASESE- PONDWE-24h'!G45)</f>
        <v>0</v>
      </c>
      <c r="H45" s="49">
        <f>AVERAGE('26.10 KASESE-PONDWE'!H45,'27.10 KASESE-PONDWE'!H45,'25.10.19 KASESE- PONDWE-24h'!H45)</f>
        <v>0</v>
      </c>
      <c r="I45" s="49">
        <f>AVERAGE('26.10 KASESE-PONDWE'!I45,'27.10 KASESE-PONDWE'!I45,'25.10.19 KASESE- PONDWE-24h'!I45)</f>
        <v>0.66666666666666663</v>
      </c>
      <c r="J45" s="49">
        <f>AVERAGE('26.10 KASESE-PONDWE'!J45,'27.10 KASESE-PONDWE'!J45,'25.10.19 KASESE- PONDWE-24h'!J45)</f>
        <v>0</v>
      </c>
      <c r="K45" s="49">
        <f>AVERAGE('26.10 KASESE-PONDWE'!K45,'27.10 KASESE-PONDWE'!K45,'25.10.19 KASESE- PONDWE-24h'!K45)</f>
        <v>0</v>
      </c>
      <c r="L45" s="49">
        <f>AVERAGE('26.10 KASESE-PONDWE'!L45,'27.10 KASESE-PONDWE'!L45,'25.10.19 KASESE- PONDWE-24h'!L45)</f>
        <v>0.66666666666666663</v>
      </c>
      <c r="M45" s="49">
        <f>AVERAGE('26.10 KASESE-PONDWE'!M45,'27.10 KASESE-PONDWE'!M45,'25.10.19 KASESE- PONDWE-24h'!M45)</f>
        <v>56.333333333333336</v>
      </c>
      <c r="N45" s="49">
        <f>AVERAGE('26.10 KASESE-PONDWE'!N45,'27.10 KASESE-PONDWE'!N45,'25.10.19 KASESE- PONDWE-24h'!N45)</f>
        <v>0</v>
      </c>
      <c r="O45" s="15">
        <f t="shared" si="0"/>
        <v>7.3333333333333339</v>
      </c>
      <c r="P45" s="15">
        <f t="shared" si="1"/>
        <v>63.666666666666671</v>
      </c>
    </row>
    <row r="46" spans="2:32" ht="23.1" customHeight="1" x14ac:dyDescent="0.25">
      <c r="B46" s="24" t="s">
        <v>73</v>
      </c>
      <c r="C46" s="49">
        <f>AVERAGE('26.10 KASESE-PONDWE'!C46,'27.10 KASESE-PONDWE'!C46,'25.10.19 KASESE- PONDWE-24h'!C46)</f>
        <v>4.333333333333333</v>
      </c>
      <c r="D46" s="49">
        <f>AVERAGE('26.10 KASESE-PONDWE'!D46,'27.10 KASESE-PONDWE'!D46,'25.10.19 KASESE- PONDWE-24h'!D46)</f>
        <v>0</v>
      </c>
      <c r="E46" s="49">
        <f>AVERAGE('26.10 KASESE-PONDWE'!E46,'27.10 KASESE-PONDWE'!E46,'25.10.19 KASESE- PONDWE-24h'!E46)</f>
        <v>0.33333333333333331</v>
      </c>
      <c r="F46" s="49">
        <f>AVERAGE('26.10 KASESE-PONDWE'!F46,'27.10 KASESE-PONDWE'!F46,'25.10.19 KASESE- PONDWE-24h'!F46)</f>
        <v>1.6666666666666667</v>
      </c>
      <c r="G46" s="49">
        <f>AVERAGE('26.10 KASESE-PONDWE'!G46,'27.10 KASESE-PONDWE'!G46,'25.10.19 KASESE- PONDWE-24h'!G46)</f>
        <v>0</v>
      </c>
      <c r="H46" s="49">
        <f>AVERAGE('26.10 KASESE-PONDWE'!H46,'27.10 KASESE-PONDWE'!H46,'25.10.19 KASESE- PONDWE-24h'!H46)</f>
        <v>0</v>
      </c>
      <c r="I46" s="49">
        <f>AVERAGE('26.10 KASESE-PONDWE'!I46,'27.10 KASESE-PONDWE'!I46,'25.10.19 KASESE- PONDWE-24h'!I46)</f>
        <v>0</v>
      </c>
      <c r="J46" s="49">
        <f>AVERAGE('26.10 KASESE-PONDWE'!J46,'27.10 KASESE-PONDWE'!J46,'25.10.19 KASESE- PONDWE-24h'!J46)</f>
        <v>0.33333333333333331</v>
      </c>
      <c r="K46" s="49">
        <f>AVERAGE('26.10 KASESE-PONDWE'!K46,'27.10 KASESE-PONDWE'!K46,'25.10.19 KASESE- PONDWE-24h'!K46)</f>
        <v>0</v>
      </c>
      <c r="L46" s="49">
        <f>AVERAGE('26.10 KASESE-PONDWE'!L46,'27.10 KASESE-PONDWE'!L46,'25.10.19 KASESE- PONDWE-24h'!L46)</f>
        <v>0.33333333333333331</v>
      </c>
      <c r="M46" s="49">
        <f>AVERAGE('26.10 KASESE-PONDWE'!M46,'27.10 KASESE-PONDWE'!M46,'25.10.19 KASESE- PONDWE-24h'!M46)</f>
        <v>43.333333333333336</v>
      </c>
      <c r="N46" s="49">
        <f>AVERAGE('26.10 KASESE-PONDWE'!N46,'27.10 KASESE-PONDWE'!N46,'25.10.19 KASESE- PONDWE-24h'!N46)</f>
        <v>0</v>
      </c>
      <c r="O46" s="15">
        <f t="shared" si="0"/>
        <v>6.9999999999999991</v>
      </c>
      <c r="P46" s="15">
        <f t="shared" si="1"/>
        <v>50.333333333333336</v>
      </c>
      <c r="R46" s="8"/>
      <c r="T46"/>
    </row>
    <row r="47" spans="2:32" ht="23.1" customHeight="1" x14ac:dyDescent="0.25">
      <c r="B47" s="24" t="s">
        <v>74</v>
      </c>
      <c r="C47" s="49">
        <f>AVERAGE('26.10 KASESE-PONDWE'!C47,'27.10 KASESE-PONDWE'!C47,'25.10.19 KASESE- PONDWE-24h'!C47)</f>
        <v>4</v>
      </c>
      <c r="D47" s="49">
        <f>AVERAGE('26.10 KASESE-PONDWE'!D47,'27.10 KASESE-PONDWE'!D47,'25.10.19 KASESE- PONDWE-24h'!D47)</f>
        <v>0.66666666666666663</v>
      </c>
      <c r="E47" s="49">
        <f>AVERAGE('26.10 KASESE-PONDWE'!E47,'27.10 KASESE-PONDWE'!E47,'25.10.19 KASESE- PONDWE-24h'!E47)</f>
        <v>1</v>
      </c>
      <c r="F47" s="49">
        <f>AVERAGE('26.10 KASESE-PONDWE'!F47,'27.10 KASESE-PONDWE'!F47,'25.10.19 KASESE- PONDWE-24h'!F47)</f>
        <v>2.6666666666666665</v>
      </c>
      <c r="G47" s="49">
        <f>AVERAGE('26.10 KASESE-PONDWE'!G47,'27.10 KASESE-PONDWE'!G47,'25.10.19 KASESE- PONDWE-24h'!G47)</f>
        <v>0</v>
      </c>
      <c r="H47" s="49">
        <f>AVERAGE('26.10 KASESE-PONDWE'!H47,'27.10 KASESE-PONDWE'!H47,'25.10.19 KASESE- PONDWE-24h'!H47)</f>
        <v>0.33333333333333331</v>
      </c>
      <c r="I47" s="49">
        <f>AVERAGE('26.10 KASESE-PONDWE'!I47,'27.10 KASESE-PONDWE'!I47,'25.10.19 KASESE- PONDWE-24h'!I47)</f>
        <v>0</v>
      </c>
      <c r="J47" s="49">
        <f>AVERAGE('26.10 KASESE-PONDWE'!J47,'27.10 KASESE-PONDWE'!J47,'25.10.19 KASESE- PONDWE-24h'!J47)</f>
        <v>1</v>
      </c>
      <c r="K47" s="49">
        <f>AVERAGE('26.10 KASESE-PONDWE'!K47,'27.10 KASESE-PONDWE'!K47,'25.10.19 KASESE- PONDWE-24h'!K47)</f>
        <v>0.33333333333333331</v>
      </c>
      <c r="L47" s="49">
        <f>AVERAGE('26.10 KASESE-PONDWE'!L47,'27.10 KASESE-PONDWE'!L47,'25.10.19 KASESE- PONDWE-24h'!L47)</f>
        <v>0.66666666666666663</v>
      </c>
      <c r="M47" s="49">
        <f>AVERAGE('26.10 KASESE-PONDWE'!M47,'27.10 KASESE-PONDWE'!M47,'25.10.19 KASESE- PONDWE-24h'!M47)</f>
        <v>88</v>
      </c>
      <c r="N47" s="49">
        <f>AVERAGE('26.10 KASESE-PONDWE'!N47,'27.10 KASESE-PONDWE'!N47,'25.10.19 KASESE- PONDWE-24h'!N47)</f>
        <v>0</v>
      </c>
      <c r="O47" s="15">
        <f t="shared" si="0"/>
        <v>10.666666666666668</v>
      </c>
      <c r="P47" s="15">
        <f t="shared" si="1"/>
        <v>98.666666666666671</v>
      </c>
      <c r="R47" s="8"/>
      <c r="T47"/>
    </row>
    <row r="48" spans="2:32" ht="23.1" customHeight="1" x14ac:dyDescent="0.25">
      <c r="B48" s="24" t="s">
        <v>75</v>
      </c>
      <c r="C48" s="49">
        <f>AVERAGE('26.10 KASESE-PONDWE'!C48,'27.10 KASESE-PONDWE'!C48,'25.10.19 KASESE- PONDWE-24h'!C48)</f>
        <v>2.6666666666666665</v>
      </c>
      <c r="D48" s="49">
        <f>AVERAGE('26.10 KASESE-PONDWE'!D48,'27.10 KASESE-PONDWE'!D48,'25.10.19 KASESE- PONDWE-24h'!D48)</f>
        <v>0.33333333333333331</v>
      </c>
      <c r="E48" s="49">
        <f>AVERAGE('26.10 KASESE-PONDWE'!E48,'27.10 KASESE-PONDWE'!E48,'25.10.19 KASESE- PONDWE-24h'!E48)</f>
        <v>0</v>
      </c>
      <c r="F48" s="49">
        <f>AVERAGE('26.10 KASESE-PONDWE'!F48,'27.10 KASESE-PONDWE'!F48,'25.10.19 KASESE- PONDWE-24h'!F48)</f>
        <v>1.3333333333333333</v>
      </c>
      <c r="G48" s="49">
        <f>AVERAGE('26.10 KASESE-PONDWE'!G48,'27.10 KASESE-PONDWE'!G48,'25.10.19 KASESE- PONDWE-24h'!G48)</f>
        <v>0</v>
      </c>
      <c r="H48" s="49">
        <f>AVERAGE('26.10 KASESE-PONDWE'!H48,'27.10 KASESE-PONDWE'!H48,'25.10.19 KASESE- PONDWE-24h'!H48)</f>
        <v>0</v>
      </c>
      <c r="I48" s="49">
        <f>AVERAGE('26.10 KASESE-PONDWE'!I48,'27.10 KASESE-PONDWE'!I48,'25.10.19 KASESE- PONDWE-24h'!I48)</f>
        <v>0.33333333333333331</v>
      </c>
      <c r="J48" s="49">
        <f>AVERAGE('26.10 KASESE-PONDWE'!J48,'27.10 KASESE-PONDWE'!J48,'25.10.19 KASESE- PONDWE-24h'!J48)</f>
        <v>0</v>
      </c>
      <c r="K48" s="49">
        <f>AVERAGE('26.10 KASESE-PONDWE'!K48,'27.10 KASESE-PONDWE'!K48,'25.10.19 KASESE- PONDWE-24h'!K48)</f>
        <v>0</v>
      </c>
      <c r="L48" s="49">
        <f>AVERAGE('26.10 KASESE-PONDWE'!L48,'27.10 KASESE-PONDWE'!L48,'25.10.19 KASESE- PONDWE-24h'!L48)</f>
        <v>0.33333333333333331</v>
      </c>
      <c r="M48" s="49">
        <f>AVERAGE('26.10 KASESE-PONDWE'!M48,'27.10 KASESE-PONDWE'!M48,'25.10.19 KASESE- PONDWE-24h'!M48)</f>
        <v>67.333333333333329</v>
      </c>
      <c r="N48" s="49">
        <f>AVERAGE('26.10 KASESE-PONDWE'!N48,'27.10 KASESE-PONDWE'!N48,'25.10.19 KASESE- PONDWE-24h'!N48)</f>
        <v>0</v>
      </c>
      <c r="O48" s="15">
        <f t="shared" si="0"/>
        <v>4.9999999999999991</v>
      </c>
      <c r="P48" s="15">
        <f t="shared" si="1"/>
        <v>72.333333333333329</v>
      </c>
      <c r="R48" s="8"/>
      <c r="T48"/>
    </row>
    <row r="49" spans="2:20" ht="23.1" customHeight="1" x14ac:dyDescent="0.25">
      <c r="B49" s="23" t="s">
        <v>76</v>
      </c>
      <c r="C49" s="49">
        <f>AVERAGE('26.10 KASESE-PONDWE'!C49,'27.10 KASESE-PONDWE'!C49,'25.10.19 KASESE- PONDWE-24h'!C49)</f>
        <v>5</v>
      </c>
      <c r="D49" s="49">
        <f>AVERAGE('26.10 KASESE-PONDWE'!D49,'27.10 KASESE-PONDWE'!D49,'25.10.19 KASESE- PONDWE-24h'!D49)</f>
        <v>0.33333333333333331</v>
      </c>
      <c r="E49" s="49">
        <f>AVERAGE('26.10 KASESE-PONDWE'!E49,'27.10 KASESE-PONDWE'!E49,'25.10.19 KASESE- PONDWE-24h'!E49)</f>
        <v>0.66666666666666663</v>
      </c>
      <c r="F49" s="49">
        <f>AVERAGE('26.10 KASESE-PONDWE'!F49,'27.10 KASESE-PONDWE'!F49,'25.10.19 KASESE- PONDWE-24h'!F49)</f>
        <v>1.3333333333333333</v>
      </c>
      <c r="G49" s="49">
        <f>AVERAGE('26.10 KASESE-PONDWE'!G49,'27.10 KASESE-PONDWE'!G49,'25.10.19 KASESE- PONDWE-24h'!G49)</f>
        <v>0</v>
      </c>
      <c r="H49" s="49">
        <f>AVERAGE('26.10 KASESE-PONDWE'!H49,'27.10 KASESE-PONDWE'!H49,'25.10.19 KASESE- PONDWE-24h'!H49)</f>
        <v>0.66666666666666663</v>
      </c>
      <c r="I49" s="49">
        <f>AVERAGE('26.10 KASESE-PONDWE'!I49,'27.10 KASESE-PONDWE'!I49,'25.10.19 KASESE- PONDWE-24h'!I49)</f>
        <v>0.33333333333333331</v>
      </c>
      <c r="J49" s="49">
        <f>AVERAGE('26.10 KASESE-PONDWE'!J49,'27.10 KASESE-PONDWE'!J49,'25.10.19 KASESE- PONDWE-24h'!J49)</f>
        <v>0</v>
      </c>
      <c r="K49" s="49">
        <f>AVERAGE('26.10 KASESE-PONDWE'!K49,'27.10 KASESE-PONDWE'!K49,'25.10.19 KASESE- PONDWE-24h'!K49)</f>
        <v>0</v>
      </c>
      <c r="L49" s="49">
        <f>AVERAGE('26.10 KASESE-PONDWE'!L49,'27.10 KASESE-PONDWE'!L49,'25.10.19 KASESE- PONDWE-24h'!L49)</f>
        <v>1</v>
      </c>
      <c r="M49" s="49">
        <f>AVERAGE('26.10 KASESE-PONDWE'!M49,'27.10 KASESE-PONDWE'!M49,'25.10.19 KASESE- PONDWE-24h'!M49)</f>
        <v>52.666666666666664</v>
      </c>
      <c r="N49" s="49">
        <f>AVERAGE('26.10 KASESE-PONDWE'!N49,'27.10 KASESE-PONDWE'!N49,'25.10.19 KASESE- PONDWE-24h'!N49)</f>
        <v>0</v>
      </c>
      <c r="O49" s="15">
        <f t="shared" si="0"/>
        <v>9.3333333333333339</v>
      </c>
      <c r="P49" s="15">
        <f t="shared" si="1"/>
        <v>62</v>
      </c>
      <c r="R49" s="8"/>
      <c r="T49"/>
    </row>
    <row r="50" spans="2:20" ht="23.1" customHeight="1" x14ac:dyDescent="0.25">
      <c r="B50" s="24" t="s">
        <v>77</v>
      </c>
      <c r="C50" s="49">
        <f>AVERAGE('26.10 KASESE-PONDWE'!C50,'27.10 KASESE-PONDWE'!C50,'25.10.19 KASESE- PONDWE-24h'!C50)</f>
        <v>2</v>
      </c>
      <c r="D50" s="49">
        <f>AVERAGE('26.10 KASESE-PONDWE'!D50,'27.10 KASESE-PONDWE'!D50,'25.10.19 KASESE- PONDWE-24h'!D50)</f>
        <v>0.33333333333333331</v>
      </c>
      <c r="E50" s="49">
        <f>AVERAGE('26.10 KASESE-PONDWE'!E50,'27.10 KASESE-PONDWE'!E50,'25.10.19 KASESE- PONDWE-24h'!E50)</f>
        <v>0</v>
      </c>
      <c r="F50" s="49">
        <f>AVERAGE('26.10 KASESE-PONDWE'!F50,'27.10 KASESE-PONDWE'!F50,'25.10.19 KASESE- PONDWE-24h'!F50)</f>
        <v>0.66666666666666663</v>
      </c>
      <c r="G50" s="49">
        <f>AVERAGE('26.10 KASESE-PONDWE'!G50,'27.10 KASESE-PONDWE'!G50,'25.10.19 KASESE- PONDWE-24h'!G50)</f>
        <v>0</v>
      </c>
      <c r="H50" s="49">
        <f>AVERAGE('26.10 KASESE-PONDWE'!H50,'27.10 KASESE-PONDWE'!H50,'25.10.19 KASESE- PONDWE-24h'!H50)</f>
        <v>0.66666666666666663</v>
      </c>
      <c r="I50" s="49">
        <f>AVERAGE('26.10 KASESE-PONDWE'!I50,'27.10 KASESE-PONDWE'!I50,'25.10.19 KASESE- PONDWE-24h'!I50)</f>
        <v>0</v>
      </c>
      <c r="J50" s="49">
        <f>AVERAGE('26.10 KASESE-PONDWE'!J50,'27.10 KASESE-PONDWE'!J50,'25.10.19 KASESE- PONDWE-24h'!J50)</f>
        <v>0</v>
      </c>
      <c r="K50" s="49">
        <f>AVERAGE('26.10 KASESE-PONDWE'!K50,'27.10 KASESE-PONDWE'!K50,'25.10.19 KASESE- PONDWE-24h'!K50)</f>
        <v>0</v>
      </c>
      <c r="L50" s="49">
        <f>AVERAGE('26.10 KASESE-PONDWE'!L50,'27.10 KASESE-PONDWE'!L50,'25.10.19 KASESE- PONDWE-24h'!L50)</f>
        <v>0</v>
      </c>
      <c r="M50" s="49">
        <f>AVERAGE('26.10 KASESE-PONDWE'!M50,'27.10 KASESE-PONDWE'!M50,'25.10.19 KASESE- PONDWE-24h'!M50)</f>
        <v>47.333333333333336</v>
      </c>
      <c r="N50" s="49">
        <f>AVERAGE('26.10 KASESE-PONDWE'!N50,'27.10 KASESE-PONDWE'!N50,'25.10.19 KASESE- PONDWE-24h'!N50)</f>
        <v>0</v>
      </c>
      <c r="O50" s="15">
        <f t="shared" si="0"/>
        <v>3.6666666666666665</v>
      </c>
      <c r="P50" s="15">
        <f t="shared" si="1"/>
        <v>51</v>
      </c>
      <c r="R50" s="8"/>
      <c r="T50"/>
    </row>
    <row r="51" spans="2:20" ht="23.1" customHeight="1" x14ac:dyDescent="0.25">
      <c r="B51" s="24" t="s">
        <v>78</v>
      </c>
      <c r="C51" s="49">
        <f>AVERAGE('26.10 KASESE-PONDWE'!C51,'27.10 KASESE-PONDWE'!C51,'25.10.19 KASESE- PONDWE-24h'!C51)</f>
        <v>7</v>
      </c>
      <c r="D51" s="49">
        <f>AVERAGE('26.10 KASESE-PONDWE'!D51,'27.10 KASESE-PONDWE'!D51,'25.10.19 KASESE- PONDWE-24h'!D51)</f>
        <v>0.33333333333333331</v>
      </c>
      <c r="E51" s="49">
        <f>AVERAGE('26.10 KASESE-PONDWE'!E51,'27.10 KASESE-PONDWE'!E51,'25.10.19 KASESE- PONDWE-24h'!E51)</f>
        <v>0.33333333333333331</v>
      </c>
      <c r="F51" s="49">
        <f>AVERAGE('26.10 KASESE-PONDWE'!F51,'27.10 KASESE-PONDWE'!F51,'25.10.19 KASESE- PONDWE-24h'!F51)</f>
        <v>2.6666666666666665</v>
      </c>
      <c r="G51" s="49">
        <f>AVERAGE('26.10 KASESE-PONDWE'!G51,'27.10 KASESE-PONDWE'!G51,'25.10.19 KASESE- PONDWE-24h'!G51)</f>
        <v>0.33333333333333331</v>
      </c>
      <c r="H51" s="49">
        <f>AVERAGE('26.10 KASESE-PONDWE'!H51,'27.10 KASESE-PONDWE'!H51,'25.10.19 KASESE- PONDWE-24h'!H51)</f>
        <v>0.33333333333333331</v>
      </c>
      <c r="I51" s="49">
        <f>AVERAGE('26.10 KASESE-PONDWE'!I51,'27.10 KASESE-PONDWE'!I51,'25.10.19 KASESE- PONDWE-24h'!I51)</f>
        <v>0.66666666666666663</v>
      </c>
      <c r="J51" s="49">
        <f>AVERAGE('26.10 KASESE-PONDWE'!J51,'27.10 KASESE-PONDWE'!J51,'25.10.19 KASESE- PONDWE-24h'!J51)</f>
        <v>0</v>
      </c>
      <c r="K51" s="49">
        <f>AVERAGE('26.10 KASESE-PONDWE'!K51,'27.10 KASESE-PONDWE'!K51,'25.10.19 KASESE- PONDWE-24h'!K51)</f>
        <v>0</v>
      </c>
      <c r="L51" s="49">
        <f>AVERAGE('26.10 KASESE-PONDWE'!L51,'27.10 KASESE-PONDWE'!L51,'25.10.19 KASESE- PONDWE-24h'!L51)</f>
        <v>0.33333333333333331</v>
      </c>
      <c r="M51" s="49">
        <f>AVERAGE('26.10 KASESE-PONDWE'!M51,'27.10 KASESE-PONDWE'!M51,'25.10.19 KASESE- PONDWE-24h'!M51)</f>
        <v>40</v>
      </c>
      <c r="N51" s="49">
        <f>AVERAGE('26.10 KASESE-PONDWE'!N51,'27.10 KASESE-PONDWE'!N51,'25.10.19 KASESE- PONDWE-24h'!N51)</f>
        <v>0</v>
      </c>
      <c r="O51" s="15">
        <f t="shared" si="0"/>
        <v>12</v>
      </c>
      <c r="P51" s="15">
        <f t="shared" si="1"/>
        <v>52</v>
      </c>
      <c r="R51" s="8"/>
      <c r="T51"/>
    </row>
    <row r="52" spans="2:20" ht="23.1" customHeight="1" x14ac:dyDescent="0.25">
      <c r="B52" s="24" t="s">
        <v>79</v>
      </c>
      <c r="C52" s="49">
        <f>AVERAGE('26.10 KASESE-PONDWE'!C52,'27.10 KASESE-PONDWE'!C52,'25.10.19 KASESE- PONDWE-24h'!C52)</f>
        <v>5.333333333333333</v>
      </c>
      <c r="D52" s="49">
        <f>AVERAGE('26.10 KASESE-PONDWE'!D52,'27.10 KASESE-PONDWE'!D52,'25.10.19 KASESE- PONDWE-24h'!D52)</f>
        <v>0.33333333333333331</v>
      </c>
      <c r="E52" s="49">
        <f>AVERAGE('26.10 KASESE-PONDWE'!E52,'27.10 KASESE-PONDWE'!E52,'25.10.19 KASESE- PONDWE-24h'!E52)</f>
        <v>0</v>
      </c>
      <c r="F52" s="49">
        <f>AVERAGE('26.10 KASESE-PONDWE'!F52,'27.10 KASESE-PONDWE'!F52,'25.10.19 KASESE- PONDWE-24h'!F52)</f>
        <v>0.33333333333333331</v>
      </c>
      <c r="G52" s="49">
        <f>AVERAGE('26.10 KASESE-PONDWE'!G52,'27.10 KASESE-PONDWE'!G52,'25.10.19 KASESE- PONDWE-24h'!G52)</f>
        <v>0</v>
      </c>
      <c r="H52" s="49">
        <f>AVERAGE('26.10 KASESE-PONDWE'!H52,'27.10 KASESE-PONDWE'!H52,'25.10.19 KASESE- PONDWE-24h'!H52)</f>
        <v>0</v>
      </c>
      <c r="I52" s="49">
        <f>AVERAGE('26.10 KASESE-PONDWE'!I52,'27.10 KASESE-PONDWE'!I52,'25.10.19 KASESE- PONDWE-24h'!I52)</f>
        <v>0.33333333333333331</v>
      </c>
      <c r="J52" s="49">
        <f>AVERAGE('26.10 KASESE-PONDWE'!J52,'27.10 KASESE-PONDWE'!J52,'25.10.19 KASESE- PONDWE-24h'!J52)</f>
        <v>0.33333333333333331</v>
      </c>
      <c r="K52" s="49">
        <f>AVERAGE('26.10 KASESE-PONDWE'!K52,'27.10 KASESE-PONDWE'!K52,'25.10.19 KASESE- PONDWE-24h'!K52)</f>
        <v>0.66666666666666663</v>
      </c>
      <c r="L52" s="49">
        <f>AVERAGE('26.10 KASESE-PONDWE'!L52,'27.10 KASESE-PONDWE'!L52,'25.10.19 KASESE- PONDWE-24h'!L52)</f>
        <v>1</v>
      </c>
      <c r="M52" s="49">
        <f>AVERAGE('26.10 KASESE-PONDWE'!M52,'27.10 KASESE-PONDWE'!M52,'25.10.19 KASESE- PONDWE-24h'!M52)</f>
        <v>45.666666666666664</v>
      </c>
      <c r="N52" s="49">
        <f>AVERAGE('26.10 KASESE-PONDWE'!N52,'27.10 KASESE-PONDWE'!N52,'25.10.19 KASESE- PONDWE-24h'!N52)</f>
        <v>0</v>
      </c>
      <c r="O52" s="15">
        <f t="shared" si="0"/>
        <v>8.3333333333333321</v>
      </c>
      <c r="P52" s="15">
        <f t="shared" si="1"/>
        <v>54</v>
      </c>
      <c r="R52" s="8"/>
      <c r="T52"/>
    </row>
    <row r="53" spans="2:20" ht="23.1" customHeight="1" x14ac:dyDescent="0.25">
      <c r="B53" s="23" t="s">
        <v>80</v>
      </c>
      <c r="C53" s="49">
        <f>AVERAGE('26.10 KASESE-PONDWE'!C53,'27.10 KASESE-PONDWE'!C53,'25.10.19 KASESE- PONDWE-24h'!C53)</f>
        <v>3.3333333333333335</v>
      </c>
      <c r="D53" s="49">
        <f>AVERAGE('26.10 KASESE-PONDWE'!D53,'27.10 KASESE-PONDWE'!D53,'25.10.19 KASESE- PONDWE-24h'!D53)</f>
        <v>0.66666666666666663</v>
      </c>
      <c r="E53" s="49">
        <f>AVERAGE('26.10 KASESE-PONDWE'!E53,'27.10 KASESE-PONDWE'!E53,'25.10.19 KASESE- PONDWE-24h'!E53)</f>
        <v>0</v>
      </c>
      <c r="F53" s="49">
        <f>AVERAGE('26.10 KASESE-PONDWE'!F53,'27.10 KASESE-PONDWE'!F53,'25.10.19 KASESE- PONDWE-24h'!F53)</f>
        <v>1</v>
      </c>
      <c r="G53" s="49">
        <f>AVERAGE('26.10 KASESE-PONDWE'!G53,'27.10 KASESE-PONDWE'!G53,'25.10.19 KASESE- PONDWE-24h'!G53)</f>
        <v>0</v>
      </c>
      <c r="H53" s="49">
        <f>AVERAGE('26.10 KASESE-PONDWE'!H53,'27.10 KASESE-PONDWE'!H53,'25.10.19 KASESE- PONDWE-24h'!H53)</f>
        <v>0</v>
      </c>
      <c r="I53" s="49">
        <f>AVERAGE('26.10 KASESE-PONDWE'!I53,'27.10 KASESE-PONDWE'!I53,'25.10.19 KASESE- PONDWE-24h'!I53)</f>
        <v>0</v>
      </c>
      <c r="J53" s="49">
        <f>AVERAGE('26.10 KASESE-PONDWE'!J53,'27.10 KASESE-PONDWE'!J53,'25.10.19 KASESE- PONDWE-24h'!J53)</f>
        <v>0</v>
      </c>
      <c r="K53" s="49">
        <f>AVERAGE('26.10 KASESE-PONDWE'!K53,'27.10 KASESE-PONDWE'!K53,'25.10.19 KASESE- PONDWE-24h'!K53)</f>
        <v>0</v>
      </c>
      <c r="L53" s="49">
        <f>AVERAGE('26.10 KASESE-PONDWE'!L53,'27.10 KASESE-PONDWE'!L53,'25.10.19 KASESE- PONDWE-24h'!L53)</f>
        <v>0</v>
      </c>
      <c r="M53" s="49">
        <f>AVERAGE('26.10 KASESE-PONDWE'!M53,'27.10 KASESE-PONDWE'!M53,'25.10.19 KASESE- PONDWE-24h'!M53)</f>
        <v>37</v>
      </c>
      <c r="N53" s="49">
        <f>AVERAGE('26.10 KASESE-PONDWE'!N53,'27.10 KASESE-PONDWE'!N53,'25.10.19 KASESE- PONDWE-24h'!N53)</f>
        <v>0</v>
      </c>
      <c r="O53" s="15">
        <f t="shared" si="0"/>
        <v>5</v>
      </c>
      <c r="P53" s="15">
        <f t="shared" si="1"/>
        <v>42</v>
      </c>
      <c r="R53" s="8"/>
      <c r="T53"/>
    </row>
    <row r="54" spans="2:20" ht="23.1" customHeight="1" x14ac:dyDescent="0.25">
      <c r="B54" s="23" t="s">
        <v>81</v>
      </c>
      <c r="C54" s="49">
        <f>AVERAGE('26.10 KASESE-PONDWE'!C54,'27.10 KASESE-PONDWE'!C54,'25.10.19 KASESE- PONDWE-24h'!C54)</f>
        <v>1.6666666666666667</v>
      </c>
      <c r="D54" s="49">
        <f>AVERAGE('26.10 KASESE-PONDWE'!D54,'27.10 KASESE-PONDWE'!D54,'25.10.19 KASESE- PONDWE-24h'!D54)</f>
        <v>0.66666666666666663</v>
      </c>
      <c r="E54" s="49">
        <f>AVERAGE('26.10 KASESE-PONDWE'!E54,'27.10 KASESE-PONDWE'!E54,'25.10.19 KASESE- PONDWE-24h'!E54)</f>
        <v>0</v>
      </c>
      <c r="F54" s="49">
        <f>AVERAGE('26.10 KASESE-PONDWE'!F54,'27.10 KASESE-PONDWE'!F54,'25.10.19 KASESE- PONDWE-24h'!F54)</f>
        <v>1</v>
      </c>
      <c r="G54" s="49">
        <f>AVERAGE('26.10 KASESE-PONDWE'!G54,'27.10 KASESE-PONDWE'!G54,'25.10.19 KASESE- PONDWE-24h'!G54)</f>
        <v>0</v>
      </c>
      <c r="H54" s="49">
        <f>AVERAGE('26.10 KASESE-PONDWE'!H54,'27.10 KASESE-PONDWE'!H54,'25.10.19 KASESE- PONDWE-24h'!H54)</f>
        <v>0.33333333333333331</v>
      </c>
      <c r="I54" s="49">
        <f>AVERAGE('26.10 KASESE-PONDWE'!I54,'27.10 KASESE-PONDWE'!I54,'25.10.19 KASESE- PONDWE-24h'!I54)</f>
        <v>0.33333333333333331</v>
      </c>
      <c r="J54" s="49">
        <f>AVERAGE('26.10 KASESE-PONDWE'!J54,'27.10 KASESE-PONDWE'!J54,'25.10.19 KASESE- PONDWE-24h'!J54)</f>
        <v>0</v>
      </c>
      <c r="K54" s="49">
        <f>AVERAGE('26.10 KASESE-PONDWE'!K54,'27.10 KASESE-PONDWE'!K54,'25.10.19 KASESE- PONDWE-24h'!K54)</f>
        <v>0.33333333333333331</v>
      </c>
      <c r="L54" s="49">
        <f>AVERAGE('26.10 KASESE-PONDWE'!L54,'27.10 KASESE-PONDWE'!L54,'25.10.19 KASESE- PONDWE-24h'!L54)</f>
        <v>0.66666666666666663</v>
      </c>
      <c r="M54" s="49">
        <f>AVERAGE('26.10 KASESE-PONDWE'!M54,'27.10 KASESE-PONDWE'!M54,'25.10.19 KASESE- PONDWE-24h'!M54)</f>
        <v>45</v>
      </c>
      <c r="N54" s="49">
        <f>AVERAGE('26.10 KASESE-PONDWE'!N54,'27.10 KASESE-PONDWE'!N54,'25.10.19 KASESE- PONDWE-24h'!N54)</f>
        <v>0</v>
      </c>
      <c r="O54" s="15">
        <f t="shared" si="0"/>
        <v>5</v>
      </c>
      <c r="P54" s="15">
        <f t="shared" si="1"/>
        <v>50</v>
      </c>
      <c r="R54" s="8"/>
      <c r="T54"/>
    </row>
    <row r="55" spans="2:20" ht="23.1" customHeight="1" x14ac:dyDescent="0.25">
      <c r="B55" s="23" t="s">
        <v>82</v>
      </c>
      <c r="C55" s="49">
        <f>AVERAGE('26.10 KASESE-PONDWE'!C55,'27.10 KASESE-PONDWE'!C55,'25.10.19 KASESE- PONDWE-24h'!C55)</f>
        <v>5.666666666666667</v>
      </c>
      <c r="D55" s="49">
        <f>AVERAGE('26.10 KASESE-PONDWE'!D55,'27.10 KASESE-PONDWE'!D55,'25.10.19 KASESE- PONDWE-24h'!D55)</f>
        <v>0.66666666666666663</v>
      </c>
      <c r="E55" s="49">
        <f>AVERAGE('26.10 KASESE-PONDWE'!E55,'27.10 KASESE-PONDWE'!E55,'25.10.19 KASESE- PONDWE-24h'!E55)</f>
        <v>0</v>
      </c>
      <c r="F55" s="49">
        <f>AVERAGE('26.10 KASESE-PONDWE'!F55,'27.10 KASESE-PONDWE'!F55,'25.10.19 KASESE- PONDWE-24h'!F55)</f>
        <v>0.66666666666666663</v>
      </c>
      <c r="G55" s="49">
        <f>AVERAGE('26.10 KASESE-PONDWE'!G55,'27.10 KASESE-PONDWE'!G55,'25.10.19 KASESE- PONDWE-24h'!G55)</f>
        <v>0</v>
      </c>
      <c r="H55" s="49">
        <f>AVERAGE('26.10 KASESE-PONDWE'!H55,'27.10 KASESE-PONDWE'!H55,'25.10.19 KASESE- PONDWE-24h'!H55)</f>
        <v>0</v>
      </c>
      <c r="I55" s="49">
        <f>AVERAGE('26.10 KASESE-PONDWE'!I55,'27.10 KASESE-PONDWE'!I55,'25.10.19 KASESE- PONDWE-24h'!I55)</f>
        <v>1.3333333333333333</v>
      </c>
      <c r="J55" s="49">
        <f>AVERAGE('26.10 KASESE-PONDWE'!J55,'27.10 KASESE-PONDWE'!J55,'25.10.19 KASESE- PONDWE-24h'!J55)</f>
        <v>0</v>
      </c>
      <c r="K55" s="49">
        <f>AVERAGE('26.10 KASESE-PONDWE'!K55,'27.10 KASESE-PONDWE'!K55,'25.10.19 KASESE- PONDWE-24h'!K55)</f>
        <v>0</v>
      </c>
      <c r="L55" s="49">
        <f>AVERAGE('26.10 KASESE-PONDWE'!L55,'27.10 KASESE-PONDWE'!L55,'25.10.19 KASESE- PONDWE-24h'!L55)</f>
        <v>0.33333333333333331</v>
      </c>
      <c r="M55" s="49">
        <f>AVERAGE('26.10 KASESE-PONDWE'!M55,'27.10 KASESE-PONDWE'!M55,'25.10.19 KASESE- PONDWE-24h'!M55)</f>
        <v>61.666666666666664</v>
      </c>
      <c r="N55" s="49">
        <f>AVERAGE('26.10 KASESE-PONDWE'!N55,'27.10 KASESE-PONDWE'!N55,'25.10.19 KASESE- PONDWE-24h'!N55)</f>
        <v>0</v>
      </c>
      <c r="O55" s="15">
        <f t="shared" si="0"/>
        <v>8.6666666666666679</v>
      </c>
      <c r="P55" s="15">
        <f t="shared" si="1"/>
        <v>70.333333333333329</v>
      </c>
      <c r="R55" s="8"/>
      <c r="T55"/>
    </row>
    <row r="56" spans="2:20" ht="23.1" customHeight="1" x14ac:dyDescent="0.25">
      <c r="B56" s="23" t="s">
        <v>83</v>
      </c>
      <c r="C56" s="49">
        <f>AVERAGE('26.10 KASESE-PONDWE'!C56,'27.10 KASESE-PONDWE'!C56,'25.10.19 KASESE- PONDWE-24h'!C56)</f>
        <v>4</v>
      </c>
      <c r="D56" s="49">
        <f>AVERAGE('26.10 KASESE-PONDWE'!D56,'27.10 KASESE-PONDWE'!D56,'25.10.19 KASESE- PONDWE-24h'!D56)</f>
        <v>0</v>
      </c>
      <c r="E56" s="49">
        <f>AVERAGE('26.10 KASESE-PONDWE'!E56,'27.10 KASESE-PONDWE'!E56,'25.10.19 KASESE- PONDWE-24h'!E56)</f>
        <v>0</v>
      </c>
      <c r="F56" s="49">
        <f>AVERAGE('26.10 KASESE-PONDWE'!F56,'27.10 KASESE-PONDWE'!F56,'25.10.19 KASESE- PONDWE-24h'!F56)</f>
        <v>0.66666666666666663</v>
      </c>
      <c r="G56" s="49">
        <f>AVERAGE('26.10 KASESE-PONDWE'!G56,'27.10 KASESE-PONDWE'!G56,'25.10.19 KASESE- PONDWE-24h'!G56)</f>
        <v>0</v>
      </c>
      <c r="H56" s="49">
        <f>AVERAGE('26.10 KASESE-PONDWE'!H56,'27.10 KASESE-PONDWE'!H56,'25.10.19 KASESE- PONDWE-24h'!H56)</f>
        <v>0</v>
      </c>
      <c r="I56" s="49">
        <f>AVERAGE('26.10 KASESE-PONDWE'!I56,'27.10 KASESE-PONDWE'!I56,'25.10.19 KASESE- PONDWE-24h'!I56)</f>
        <v>0.33333333333333331</v>
      </c>
      <c r="J56" s="49">
        <f>AVERAGE('26.10 KASESE-PONDWE'!J56,'27.10 KASESE-PONDWE'!J56,'25.10.19 KASESE- PONDWE-24h'!J56)</f>
        <v>0</v>
      </c>
      <c r="K56" s="49">
        <f>AVERAGE('26.10 KASESE-PONDWE'!K56,'27.10 KASESE-PONDWE'!K56,'25.10.19 KASESE- PONDWE-24h'!K56)</f>
        <v>0</v>
      </c>
      <c r="L56" s="49">
        <f>AVERAGE('26.10 KASESE-PONDWE'!L56,'27.10 KASESE-PONDWE'!L56,'25.10.19 KASESE- PONDWE-24h'!L56)</f>
        <v>0.33333333333333331</v>
      </c>
      <c r="M56" s="49">
        <f>AVERAGE('26.10 KASESE-PONDWE'!M56,'27.10 KASESE-PONDWE'!M56,'25.10.19 KASESE- PONDWE-24h'!M56)</f>
        <v>70.333333333333329</v>
      </c>
      <c r="N56" s="49">
        <f>AVERAGE('26.10 KASESE-PONDWE'!N56,'27.10 KASESE-PONDWE'!N56,'25.10.19 KASESE- PONDWE-24h'!N56)</f>
        <v>0</v>
      </c>
      <c r="O56" s="15">
        <f t="shared" si="0"/>
        <v>5.333333333333333</v>
      </c>
      <c r="P56" s="15">
        <f t="shared" si="1"/>
        <v>75.666666666666657</v>
      </c>
      <c r="R56" s="8"/>
      <c r="T56"/>
    </row>
    <row r="57" spans="2:20" ht="23.1" customHeight="1" x14ac:dyDescent="0.25">
      <c r="B57" s="23" t="s">
        <v>84</v>
      </c>
      <c r="C57" s="49">
        <f>AVERAGE('26.10 KASESE-PONDWE'!C57,'27.10 KASESE-PONDWE'!C57,'25.10.19 KASESE- PONDWE-24h'!C57)</f>
        <v>2.3333333333333335</v>
      </c>
      <c r="D57" s="49">
        <f>AVERAGE('26.10 KASESE-PONDWE'!D57,'27.10 KASESE-PONDWE'!D57,'25.10.19 KASESE- PONDWE-24h'!D57)</f>
        <v>0.33333333333333331</v>
      </c>
      <c r="E57" s="49">
        <f>AVERAGE('26.10 KASESE-PONDWE'!E57,'27.10 KASESE-PONDWE'!E57,'25.10.19 KASESE- PONDWE-24h'!E57)</f>
        <v>0.33333333333333331</v>
      </c>
      <c r="F57" s="49">
        <f>AVERAGE('26.10 KASESE-PONDWE'!F57,'27.10 KASESE-PONDWE'!F57,'25.10.19 KASESE- PONDWE-24h'!F57)</f>
        <v>1.3333333333333333</v>
      </c>
      <c r="G57" s="49">
        <f>AVERAGE('26.10 KASESE-PONDWE'!G57,'27.10 KASESE-PONDWE'!G57,'25.10.19 KASESE- PONDWE-24h'!G57)</f>
        <v>0</v>
      </c>
      <c r="H57" s="49">
        <f>AVERAGE('26.10 KASESE-PONDWE'!H57,'27.10 KASESE-PONDWE'!H57,'25.10.19 KASESE- PONDWE-24h'!H57)</f>
        <v>0</v>
      </c>
      <c r="I57" s="49">
        <f>AVERAGE('26.10 KASESE-PONDWE'!I57,'27.10 KASESE-PONDWE'!I57,'25.10.19 KASESE- PONDWE-24h'!I57)</f>
        <v>0.33333333333333331</v>
      </c>
      <c r="J57" s="49">
        <f>AVERAGE('26.10 KASESE-PONDWE'!J57,'27.10 KASESE-PONDWE'!J57,'25.10.19 KASESE- PONDWE-24h'!J57)</f>
        <v>0</v>
      </c>
      <c r="K57" s="49">
        <f>AVERAGE('26.10 KASESE-PONDWE'!K57,'27.10 KASESE-PONDWE'!K57,'25.10.19 KASESE- PONDWE-24h'!K57)</f>
        <v>0.33333333333333331</v>
      </c>
      <c r="L57" s="49">
        <f>AVERAGE('26.10 KASESE-PONDWE'!L57,'27.10 KASESE-PONDWE'!L57,'25.10.19 KASESE- PONDWE-24h'!L57)</f>
        <v>0.33333333333333331</v>
      </c>
      <c r="M57" s="49">
        <f>AVERAGE('26.10 KASESE-PONDWE'!M57,'27.10 KASESE-PONDWE'!M57,'25.10.19 KASESE- PONDWE-24h'!M57)</f>
        <v>57</v>
      </c>
      <c r="N57" s="49">
        <f>AVERAGE('26.10 KASESE-PONDWE'!N57,'27.10 KASESE-PONDWE'!N57,'25.10.19 KASESE- PONDWE-24h'!N57)</f>
        <v>0</v>
      </c>
      <c r="O57" s="15">
        <f t="shared" si="0"/>
        <v>5.333333333333333</v>
      </c>
      <c r="P57" s="15">
        <f t="shared" si="1"/>
        <v>62.333333333333336</v>
      </c>
      <c r="R57" s="8"/>
      <c r="T57"/>
    </row>
    <row r="58" spans="2:20" ht="23.1" customHeight="1" x14ac:dyDescent="0.25">
      <c r="B58" s="23" t="s">
        <v>99</v>
      </c>
      <c r="C58" s="49">
        <f>AVERAGE('25.10.19 KASESE- PONDWE-24h'!C54)</f>
        <v>3</v>
      </c>
      <c r="D58" s="49">
        <f>AVERAGE('25.10.19 KASESE- PONDWE-24h'!D54)</f>
        <v>0</v>
      </c>
      <c r="E58" s="49">
        <f>AVERAGE('25.10.19 KASESE- PONDWE-24h'!E54)</f>
        <v>0</v>
      </c>
      <c r="F58" s="49">
        <f>AVERAGE('25.10.19 KASESE- PONDWE-24h'!F54)</f>
        <v>2</v>
      </c>
      <c r="G58" s="49">
        <f>AVERAGE('25.10.19 KASESE- PONDWE-24h'!G54)</f>
        <v>0</v>
      </c>
      <c r="H58" s="49">
        <f>AVERAGE('25.10.19 KASESE- PONDWE-24h'!H54)</f>
        <v>0</v>
      </c>
      <c r="I58" s="49">
        <f>AVERAGE('25.10.19 KASESE- PONDWE-24h'!I54)</f>
        <v>0</v>
      </c>
      <c r="J58" s="49">
        <f>AVERAGE('25.10.19 KASESE- PONDWE-24h'!J54)</f>
        <v>0</v>
      </c>
      <c r="K58" s="49">
        <f>AVERAGE('25.10.19 KASESE- PONDWE-24h'!K54)</f>
        <v>0</v>
      </c>
      <c r="L58" s="49">
        <f>AVERAGE('25.10.19 KASESE- PONDWE-24h'!L54)</f>
        <v>0</v>
      </c>
      <c r="M58" s="49">
        <f>AVERAGE('25.10.19 KASESE- PONDWE-24h'!M54)</f>
        <v>35</v>
      </c>
      <c r="N58" s="49">
        <f>AVERAGE('25.10.19 KASESE- PONDWE-24h'!N54)</f>
        <v>0</v>
      </c>
      <c r="O58" s="15">
        <f t="shared" si="0"/>
        <v>5</v>
      </c>
      <c r="P58" s="15">
        <f t="shared" si="1"/>
        <v>40</v>
      </c>
      <c r="R58" s="8"/>
      <c r="T58"/>
    </row>
    <row r="59" spans="2:20" ht="23.1" customHeight="1" x14ac:dyDescent="0.25">
      <c r="B59" s="23" t="s">
        <v>100</v>
      </c>
      <c r="C59" s="49">
        <f>AVERAGE('25.10.19 KASESE- PONDWE-24h'!C55)</f>
        <v>5</v>
      </c>
      <c r="D59" s="49">
        <f>AVERAGE('25.10.19 KASESE- PONDWE-24h'!D55)</f>
        <v>1</v>
      </c>
      <c r="E59" s="49">
        <f>AVERAGE('25.10.19 KASESE- PONDWE-24h'!E55)</f>
        <v>0</v>
      </c>
      <c r="F59" s="49">
        <f>AVERAGE('25.10.19 KASESE- PONDWE-24h'!F55)</f>
        <v>0</v>
      </c>
      <c r="G59" s="49">
        <f>AVERAGE('25.10.19 KASESE- PONDWE-24h'!G55)</f>
        <v>0</v>
      </c>
      <c r="H59" s="49">
        <f>AVERAGE('25.10.19 KASESE- PONDWE-24h'!H55)</f>
        <v>0</v>
      </c>
      <c r="I59" s="49">
        <f>AVERAGE('25.10.19 KASESE- PONDWE-24h'!I55)</f>
        <v>1</v>
      </c>
      <c r="J59" s="49">
        <f>AVERAGE('25.10.19 KASESE- PONDWE-24h'!J55)</f>
        <v>0</v>
      </c>
      <c r="K59" s="49">
        <f>AVERAGE('25.10.19 KASESE- PONDWE-24h'!K55)</f>
        <v>0</v>
      </c>
      <c r="L59" s="49">
        <f>AVERAGE('25.10.19 KASESE- PONDWE-24h'!L55)</f>
        <v>0</v>
      </c>
      <c r="M59" s="49">
        <f>AVERAGE('25.10.19 KASESE- PONDWE-24h'!M55)</f>
        <v>43</v>
      </c>
      <c r="N59" s="49">
        <f>AVERAGE('25.10.19 KASESE- PONDWE-24h'!N55)</f>
        <v>0</v>
      </c>
      <c r="O59" s="15">
        <f t="shared" si="0"/>
        <v>7</v>
      </c>
      <c r="P59" s="15">
        <f t="shared" si="1"/>
        <v>50</v>
      </c>
      <c r="R59" s="8"/>
      <c r="T59"/>
    </row>
    <row r="60" spans="2:20" ht="23.1" customHeight="1" x14ac:dyDescent="0.25">
      <c r="B60" s="23" t="s">
        <v>101</v>
      </c>
      <c r="C60" s="49">
        <f>AVERAGE('25.10.19 KASESE- PONDWE-24h'!C56)</f>
        <v>4</v>
      </c>
      <c r="D60" s="49">
        <f>AVERAGE('25.10.19 KASESE- PONDWE-24h'!D56)</f>
        <v>0</v>
      </c>
      <c r="E60" s="49">
        <f>AVERAGE('25.10.19 KASESE- PONDWE-24h'!E56)</f>
        <v>0</v>
      </c>
      <c r="F60" s="49">
        <f>AVERAGE('25.10.19 KASESE- PONDWE-24h'!F56)</f>
        <v>1</v>
      </c>
      <c r="G60" s="49">
        <f>AVERAGE('25.10.19 KASESE- PONDWE-24h'!G56)</f>
        <v>0</v>
      </c>
      <c r="H60" s="49">
        <f>AVERAGE('25.10.19 KASESE- PONDWE-24h'!H56)</f>
        <v>0</v>
      </c>
      <c r="I60" s="49">
        <f>AVERAGE('25.10.19 KASESE- PONDWE-24h'!I56)</f>
        <v>0</v>
      </c>
      <c r="J60" s="49">
        <f>AVERAGE('25.10.19 KASESE- PONDWE-24h'!J56)</f>
        <v>0</v>
      </c>
      <c r="K60" s="49">
        <f>AVERAGE('25.10.19 KASESE- PONDWE-24h'!K56)</f>
        <v>0</v>
      </c>
      <c r="L60" s="49">
        <f>AVERAGE('25.10.19 KASESE- PONDWE-24h'!L56)</f>
        <v>0</v>
      </c>
      <c r="M60" s="49">
        <f>AVERAGE('25.10.19 KASESE- PONDWE-24h'!M56)</f>
        <v>62</v>
      </c>
      <c r="N60" s="49">
        <f>AVERAGE('25.10.19 KASESE- PONDWE-24h'!N56)</f>
        <v>0</v>
      </c>
      <c r="O60" s="15">
        <f t="shared" si="0"/>
        <v>5</v>
      </c>
      <c r="P60" s="15">
        <f t="shared" si="1"/>
        <v>67</v>
      </c>
      <c r="R60" s="8"/>
      <c r="T60"/>
    </row>
    <row r="61" spans="2:20" ht="23.1" customHeight="1" x14ac:dyDescent="0.25">
      <c r="B61" s="23" t="s">
        <v>102</v>
      </c>
      <c r="C61" s="49">
        <f>AVERAGE('25.10.19 KASESE- PONDWE-24h'!C57)</f>
        <v>3</v>
      </c>
      <c r="D61" s="49">
        <f>AVERAGE('25.10.19 KASESE- PONDWE-24h'!D57)</f>
        <v>0</v>
      </c>
      <c r="E61" s="49">
        <f>AVERAGE('25.10.19 KASESE- PONDWE-24h'!E57)</f>
        <v>0</v>
      </c>
      <c r="F61" s="49">
        <f>AVERAGE('25.10.19 KASESE- PONDWE-24h'!F57)</f>
        <v>3</v>
      </c>
      <c r="G61" s="49">
        <f>AVERAGE('25.10.19 KASESE- PONDWE-24h'!G57)</f>
        <v>0</v>
      </c>
      <c r="H61" s="49">
        <f>AVERAGE('25.10.19 KASESE- PONDWE-24h'!H57)</f>
        <v>0</v>
      </c>
      <c r="I61" s="49">
        <f>AVERAGE('25.10.19 KASESE- PONDWE-24h'!I57)</f>
        <v>0</v>
      </c>
      <c r="J61" s="49">
        <f>AVERAGE('25.10.19 KASESE- PONDWE-24h'!J57)</f>
        <v>0</v>
      </c>
      <c r="K61" s="49">
        <f>AVERAGE('25.10.19 KASESE- PONDWE-24h'!K57)</f>
        <v>1</v>
      </c>
      <c r="L61" s="49">
        <f>AVERAGE('25.10.19 KASESE- PONDWE-24h'!L57)</f>
        <v>1</v>
      </c>
      <c r="M61" s="49">
        <f>AVERAGE('25.10.19 KASESE- PONDWE-24h'!M57)</f>
        <v>65</v>
      </c>
      <c r="N61" s="49">
        <f>AVERAGE('25.10.19 KASESE- PONDWE-24h'!N57)</f>
        <v>0</v>
      </c>
      <c r="O61" s="15">
        <f t="shared" si="0"/>
        <v>8</v>
      </c>
      <c r="P61" s="15">
        <f t="shared" si="1"/>
        <v>73</v>
      </c>
      <c r="R61" s="8"/>
      <c r="T61"/>
    </row>
    <row r="62" spans="2:20" ht="23.1" customHeight="1" x14ac:dyDescent="0.25">
      <c r="B62" s="23" t="s">
        <v>107</v>
      </c>
      <c r="C62" s="49">
        <f>AVERAGE('25.10.19 KASESE- PONDWE-24h'!C58)</f>
        <v>11</v>
      </c>
      <c r="D62" s="49">
        <f>AVERAGE('25.10.19 KASESE- PONDWE-24h'!D58)</f>
        <v>0</v>
      </c>
      <c r="E62" s="49">
        <f>AVERAGE('25.10.19 KASESE- PONDWE-24h'!E58)</f>
        <v>0</v>
      </c>
      <c r="F62" s="49">
        <f>AVERAGE('25.10.19 KASESE- PONDWE-24h'!F58)</f>
        <v>4</v>
      </c>
      <c r="G62" s="49">
        <f>AVERAGE('25.10.19 KASESE- PONDWE-24h'!G58)</f>
        <v>0</v>
      </c>
      <c r="H62" s="49">
        <f>AVERAGE('25.10.19 KASESE- PONDWE-24h'!H58)</f>
        <v>2</v>
      </c>
      <c r="I62" s="49">
        <f>AVERAGE('25.10.19 KASESE- PONDWE-24h'!I58)</f>
        <v>0</v>
      </c>
      <c r="J62" s="49">
        <f>AVERAGE('25.10.19 KASESE- PONDWE-24h'!J58)</f>
        <v>0</v>
      </c>
      <c r="K62" s="49">
        <f>AVERAGE('25.10.19 KASESE- PONDWE-24h'!K58)</f>
        <v>0</v>
      </c>
      <c r="L62" s="49">
        <f>AVERAGE('25.10.19 KASESE- PONDWE-24h'!L58)</f>
        <v>0</v>
      </c>
      <c r="M62" s="49">
        <f>AVERAGE('25.10.19 KASESE- PONDWE-24h'!M58)</f>
        <v>44</v>
      </c>
      <c r="N62" s="49">
        <f>AVERAGE('25.10.19 KASESE- PONDWE-24h'!N58)</f>
        <v>0</v>
      </c>
      <c r="O62" s="15">
        <f t="shared" si="0"/>
        <v>17</v>
      </c>
      <c r="P62" s="15">
        <f t="shared" si="1"/>
        <v>61</v>
      </c>
      <c r="R62" s="8"/>
      <c r="T62"/>
    </row>
    <row r="63" spans="2:20" ht="23.1" customHeight="1" x14ac:dyDescent="0.25">
      <c r="B63" s="23" t="s">
        <v>108</v>
      </c>
      <c r="C63" s="49">
        <f>AVERAGE('25.10.19 KASESE- PONDWE-24h'!C59)</f>
        <v>1</v>
      </c>
      <c r="D63" s="49">
        <f>AVERAGE('25.10.19 KASESE- PONDWE-24h'!D59)</f>
        <v>0</v>
      </c>
      <c r="E63" s="49">
        <f>AVERAGE('25.10.19 KASESE- PONDWE-24h'!E59)</f>
        <v>0</v>
      </c>
      <c r="F63" s="49">
        <f>AVERAGE('25.10.19 KASESE- PONDWE-24h'!F59)</f>
        <v>1</v>
      </c>
      <c r="G63" s="49">
        <f>AVERAGE('25.10.19 KASESE- PONDWE-24h'!G59)</f>
        <v>0</v>
      </c>
      <c r="H63" s="49">
        <f>AVERAGE('25.10.19 KASESE- PONDWE-24h'!H59)</f>
        <v>0</v>
      </c>
      <c r="I63" s="49">
        <f>AVERAGE('25.10.19 KASESE- PONDWE-24h'!I59)</f>
        <v>1</v>
      </c>
      <c r="J63" s="49">
        <f>AVERAGE('25.10.19 KASESE- PONDWE-24h'!J59)</f>
        <v>0</v>
      </c>
      <c r="K63" s="49">
        <f>AVERAGE('25.10.19 KASESE- PONDWE-24h'!K59)</f>
        <v>1</v>
      </c>
      <c r="L63" s="49">
        <f>AVERAGE('25.10.19 KASESE- PONDWE-24h'!L59)</f>
        <v>0</v>
      </c>
      <c r="M63" s="49">
        <f>AVERAGE('25.10.19 KASESE- PONDWE-24h'!M59)</f>
        <v>52</v>
      </c>
      <c r="N63" s="49">
        <f>AVERAGE('25.10.19 KASESE- PONDWE-24h'!N59)</f>
        <v>0</v>
      </c>
      <c r="O63" s="15">
        <f t="shared" si="0"/>
        <v>4</v>
      </c>
      <c r="P63" s="15">
        <f t="shared" si="1"/>
        <v>56</v>
      </c>
      <c r="R63" s="8"/>
      <c r="T63"/>
    </row>
    <row r="64" spans="2:20" ht="23.1" customHeight="1" x14ac:dyDescent="0.25">
      <c r="B64" s="23" t="s">
        <v>109</v>
      </c>
      <c r="C64" s="49">
        <f>AVERAGE('25.10.19 KASESE- PONDWE-24h'!C60)</f>
        <v>7</v>
      </c>
      <c r="D64" s="49">
        <f>AVERAGE('25.10.19 KASESE- PONDWE-24h'!D60)</f>
        <v>0</v>
      </c>
      <c r="E64" s="49">
        <f>AVERAGE('25.10.19 KASESE- PONDWE-24h'!E60)</f>
        <v>0</v>
      </c>
      <c r="F64" s="49">
        <f>AVERAGE('25.10.19 KASESE- PONDWE-24h'!F60)</f>
        <v>0</v>
      </c>
      <c r="G64" s="49">
        <f>AVERAGE('25.10.19 KASESE- PONDWE-24h'!G60)</f>
        <v>0</v>
      </c>
      <c r="H64" s="49">
        <f>AVERAGE('25.10.19 KASESE- PONDWE-24h'!H60)</f>
        <v>1</v>
      </c>
      <c r="I64" s="49">
        <f>AVERAGE('25.10.19 KASESE- PONDWE-24h'!I60)</f>
        <v>0</v>
      </c>
      <c r="J64" s="49">
        <f>AVERAGE('25.10.19 KASESE- PONDWE-24h'!J60)</f>
        <v>0</v>
      </c>
      <c r="K64" s="49">
        <f>AVERAGE('25.10.19 KASESE- PONDWE-24h'!K60)</f>
        <v>0</v>
      </c>
      <c r="L64" s="49">
        <f>AVERAGE('25.10.19 KASESE- PONDWE-24h'!L60)</f>
        <v>0</v>
      </c>
      <c r="M64" s="49">
        <f>AVERAGE('25.10.19 KASESE- PONDWE-24h'!M60)</f>
        <v>28</v>
      </c>
      <c r="N64" s="49">
        <f>AVERAGE('25.10.19 KASESE- PONDWE-24h'!N60)</f>
        <v>0</v>
      </c>
      <c r="O64" s="15">
        <f t="shared" si="0"/>
        <v>8</v>
      </c>
      <c r="P64" s="15">
        <f t="shared" si="1"/>
        <v>36</v>
      </c>
      <c r="R64" s="8"/>
      <c r="T64"/>
    </row>
    <row r="65" spans="2:20" ht="23.1" customHeight="1" x14ac:dyDescent="0.25">
      <c r="B65" s="23" t="s">
        <v>158</v>
      </c>
      <c r="C65" s="49">
        <f>AVERAGE('25.10.19 KASESE- PONDWE-24h'!C61)</f>
        <v>4</v>
      </c>
      <c r="D65" s="49">
        <f>AVERAGE('25.10.19 KASESE- PONDWE-24h'!D61)</f>
        <v>0</v>
      </c>
      <c r="E65" s="49">
        <f>AVERAGE('25.10.19 KASESE- PONDWE-24h'!E61)</f>
        <v>0</v>
      </c>
      <c r="F65" s="49">
        <f>AVERAGE('25.10.19 KASESE- PONDWE-24h'!F61)</f>
        <v>1</v>
      </c>
      <c r="G65" s="49">
        <f>AVERAGE('25.10.19 KASESE- PONDWE-24h'!G61)</f>
        <v>0</v>
      </c>
      <c r="H65" s="49">
        <f>AVERAGE('25.10.19 KASESE- PONDWE-24h'!H61)</f>
        <v>0</v>
      </c>
      <c r="I65" s="49">
        <f>AVERAGE('25.10.19 KASESE- PONDWE-24h'!I61)</f>
        <v>2</v>
      </c>
      <c r="J65" s="49">
        <f>AVERAGE('25.10.19 KASESE- PONDWE-24h'!J61)</f>
        <v>0</v>
      </c>
      <c r="K65" s="49">
        <f>AVERAGE('25.10.19 KASESE- PONDWE-24h'!K61)</f>
        <v>0</v>
      </c>
      <c r="L65" s="49">
        <f>AVERAGE('25.10.19 KASESE- PONDWE-24h'!L61)</f>
        <v>2</v>
      </c>
      <c r="M65" s="49">
        <f>AVERAGE('25.10.19 KASESE- PONDWE-24h'!M61)</f>
        <v>14</v>
      </c>
      <c r="N65" s="49">
        <f>AVERAGE('25.10.19 KASESE- PONDWE-24h'!N61)</f>
        <v>0</v>
      </c>
      <c r="O65" s="15">
        <f t="shared" si="0"/>
        <v>9</v>
      </c>
      <c r="P65" s="15">
        <f t="shared" si="1"/>
        <v>23</v>
      </c>
      <c r="R65" s="8"/>
      <c r="T65"/>
    </row>
    <row r="66" spans="2:20" ht="23.1" customHeight="1" x14ac:dyDescent="0.25">
      <c r="B66" s="23" t="s">
        <v>103</v>
      </c>
      <c r="C66" s="49">
        <f>AVERAGE('25.10.19 KASESE- PONDWE-24h'!C62)</f>
        <v>1</v>
      </c>
      <c r="D66" s="49">
        <f>AVERAGE('25.10.19 KASESE- PONDWE-24h'!D62)</f>
        <v>0</v>
      </c>
      <c r="E66" s="49">
        <f>AVERAGE('25.10.19 KASESE- PONDWE-24h'!E62)</f>
        <v>0</v>
      </c>
      <c r="F66" s="49">
        <f>AVERAGE('25.10.19 KASESE- PONDWE-24h'!F62)</f>
        <v>0</v>
      </c>
      <c r="G66" s="49">
        <f>AVERAGE('25.10.19 KASESE- PONDWE-24h'!G62)</f>
        <v>0</v>
      </c>
      <c r="H66" s="49">
        <f>AVERAGE('25.10.19 KASESE- PONDWE-24h'!H62)</f>
        <v>0</v>
      </c>
      <c r="I66" s="49">
        <f>AVERAGE('25.10.19 KASESE- PONDWE-24h'!I62)</f>
        <v>0</v>
      </c>
      <c r="J66" s="49">
        <f>AVERAGE('25.10.19 KASESE- PONDWE-24h'!J62)</f>
        <v>0</v>
      </c>
      <c r="K66" s="49">
        <f>AVERAGE('25.10.19 KASESE- PONDWE-24h'!K62)</f>
        <v>0</v>
      </c>
      <c r="L66" s="49">
        <f>AVERAGE('25.10.19 KASESE- PONDWE-24h'!L62)</f>
        <v>0</v>
      </c>
      <c r="M66" s="49">
        <f>AVERAGE('25.10.19 KASESE- PONDWE-24h'!M62)</f>
        <v>7</v>
      </c>
      <c r="N66" s="49">
        <f>AVERAGE('25.10.19 KASESE- PONDWE-24h'!N62)</f>
        <v>0</v>
      </c>
      <c r="O66" s="15">
        <f t="shared" si="0"/>
        <v>1</v>
      </c>
      <c r="P66" s="15">
        <f t="shared" si="1"/>
        <v>8</v>
      </c>
      <c r="R66" s="8"/>
      <c r="T66"/>
    </row>
    <row r="67" spans="2:20" ht="23.1" customHeight="1" x14ac:dyDescent="0.25">
      <c r="B67" s="23" t="s">
        <v>104</v>
      </c>
      <c r="C67" s="49">
        <f>AVERAGE('25.10.19 KASESE- PONDWE-24h'!C63)</f>
        <v>2</v>
      </c>
      <c r="D67" s="49">
        <f>AVERAGE('25.10.19 KASESE- PONDWE-24h'!D63)</f>
        <v>0</v>
      </c>
      <c r="E67" s="49">
        <f>AVERAGE('25.10.19 KASESE- PONDWE-24h'!E63)</f>
        <v>0</v>
      </c>
      <c r="F67" s="49">
        <f>AVERAGE('25.10.19 KASESE- PONDWE-24h'!F63)</f>
        <v>0</v>
      </c>
      <c r="G67" s="49">
        <f>AVERAGE('25.10.19 KASESE- PONDWE-24h'!G63)</f>
        <v>0</v>
      </c>
      <c r="H67" s="49">
        <f>AVERAGE('25.10.19 KASESE- PONDWE-24h'!H63)</f>
        <v>0</v>
      </c>
      <c r="I67" s="49">
        <f>AVERAGE('25.10.19 KASESE- PONDWE-24h'!I63)</f>
        <v>0</v>
      </c>
      <c r="J67" s="49">
        <f>AVERAGE('25.10.19 KASESE- PONDWE-24h'!J63)</f>
        <v>0</v>
      </c>
      <c r="K67" s="49">
        <f>AVERAGE('25.10.19 KASESE- PONDWE-24h'!K63)</f>
        <v>0</v>
      </c>
      <c r="L67" s="49">
        <f>AVERAGE('25.10.19 KASESE- PONDWE-24h'!L63)</f>
        <v>0</v>
      </c>
      <c r="M67" s="49">
        <f>AVERAGE('25.10.19 KASESE- PONDWE-24h'!M63)</f>
        <v>11</v>
      </c>
      <c r="N67" s="49">
        <f>AVERAGE('25.10.19 KASESE- PONDWE-24h'!N63)</f>
        <v>0</v>
      </c>
      <c r="O67" s="15">
        <f t="shared" si="0"/>
        <v>2</v>
      </c>
      <c r="P67" s="15">
        <f t="shared" si="1"/>
        <v>13</v>
      </c>
      <c r="R67" s="8"/>
      <c r="T67"/>
    </row>
    <row r="68" spans="2:20" ht="23.1" customHeight="1" x14ac:dyDescent="0.25">
      <c r="B68" s="23" t="s">
        <v>105</v>
      </c>
      <c r="C68" s="49">
        <f>AVERAGE('25.10.19 KASESE- PONDWE-24h'!C64)</f>
        <v>3</v>
      </c>
      <c r="D68" s="49">
        <f>AVERAGE('25.10.19 KASESE- PONDWE-24h'!D64)</f>
        <v>0</v>
      </c>
      <c r="E68" s="49">
        <f>AVERAGE('25.10.19 KASESE- PONDWE-24h'!E64)</f>
        <v>1</v>
      </c>
      <c r="F68" s="49">
        <f>AVERAGE('25.10.19 KASESE- PONDWE-24h'!F64)</f>
        <v>1</v>
      </c>
      <c r="G68" s="49">
        <f>AVERAGE('25.10.19 KASESE- PONDWE-24h'!G64)</f>
        <v>0</v>
      </c>
      <c r="H68" s="49">
        <f>AVERAGE('25.10.19 KASESE- PONDWE-24h'!H64)</f>
        <v>0</v>
      </c>
      <c r="I68" s="49">
        <f>AVERAGE('25.10.19 KASESE- PONDWE-24h'!I64)</f>
        <v>0</v>
      </c>
      <c r="J68" s="49">
        <f>AVERAGE('25.10.19 KASESE- PONDWE-24h'!J64)</f>
        <v>0</v>
      </c>
      <c r="K68" s="49">
        <f>AVERAGE('25.10.19 KASESE- PONDWE-24h'!K64)</f>
        <v>0</v>
      </c>
      <c r="L68" s="49">
        <f>AVERAGE('25.10.19 KASESE- PONDWE-24h'!L64)</f>
        <v>0</v>
      </c>
      <c r="M68" s="49">
        <f>AVERAGE('25.10.19 KASESE- PONDWE-24h'!M64)</f>
        <v>5</v>
      </c>
      <c r="N68" s="49">
        <f>AVERAGE('25.10.19 KASESE- PONDWE-24h'!N64)</f>
        <v>0</v>
      </c>
      <c r="O68" s="15">
        <f t="shared" si="0"/>
        <v>5</v>
      </c>
      <c r="P68" s="15">
        <f t="shared" si="1"/>
        <v>10</v>
      </c>
      <c r="R68" s="8"/>
      <c r="T68"/>
    </row>
    <row r="69" spans="2:20" ht="23.1" customHeight="1" x14ac:dyDescent="0.25">
      <c r="B69" s="23" t="s">
        <v>106</v>
      </c>
      <c r="C69" s="49">
        <f>AVERAGE('25.10.19 KASESE- PONDWE-24h'!C65)</f>
        <v>6</v>
      </c>
      <c r="D69" s="49">
        <f>AVERAGE('25.10.19 KASESE- PONDWE-24h'!D65)</f>
        <v>0</v>
      </c>
      <c r="E69" s="49">
        <f>AVERAGE('25.10.19 KASESE- PONDWE-24h'!E65)</f>
        <v>1</v>
      </c>
      <c r="F69" s="49">
        <f>AVERAGE('25.10.19 KASESE- PONDWE-24h'!F65)</f>
        <v>0</v>
      </c>
      <c r="G69" s="49">
        <f>AVERAGE('25.10.19 KASESE- PONDWE-24h'!G65)</f>
        <v>0</v>
      </c>
      <c r="H69" s="49">
        <f>AVERAGE('25.10.19 KASESE- PONDWE-24h'!H65)</f>
        <v>0</v>
      </c>
      <c r="I69" s="49">
        <f>AVERAGE('25.10.19 KASESE- PONDWE-24h'!I65)</f>
        <v>0</v>
      </c>
      <c r="J69" s="49">
        <f>AVERAGE('25.10.19 KASESE- PONDWE-24h'!J65)</f>
        <v>0</v>
      </c>
      <c r="K69" s="49">
        <f>AVERAGE('25.10.19 KASESE- PONDWE-24h'!K65)</f>
        <v>0</v>
      </c>
      <c r="L69" s="49">
        <f>AVERAGE('25.10.19 KASESE- PONDWE-24h'!L65)</f>
        <v>1</v>
      </c>
      <c r="M69" s="49">
        <f>AVERAGE('25.10.19 KASESE- PONDWE-24h'!M65)</f>
        <v>8</v>
      </c>
      <c r="N69" s="49">
        <f>AVERAGE('25.10.19 KASESE- PONDWE-24h'!N65)</f>
        <v>0</v>
      </c>
      <c r="O69" s="15">
        <f t="shared" si="0"/>
        <v>8</v>
      </c>
      <c r="P69" s="15">
        <f t="shared" si="1"/>
        <v>16</v>
      </c>
      <c r="R69" s="8"/>
      <c r="T69"/>
    </row>
    <row r="70" spans="2:20" ht="23.1" customHeight="1" x14ac:dyDescent="0.25">
      <c r="B70" s="23" t="s">
        <v>110</v>
      </c>
      <c r="C70" s="49">
        <f>AVERAGE('25.10.19 KASESE- PONDWE-24h'!C66)</f>
        <v>3</v>
      </c>
      <c r="D70" s="49">
        <f>AVERAGE('25.10.19 KASESE- PONDWE-24h'!D66)</f>
        <v>0</v>
      </c>
      <c r="E70" s="49">
        <f>AVERAGE('25.10.19 KASESE- PONDWE-24h'!E66)</f>
        <v>0</v>
      </c>
      <c r="F70" s="49">
        <f>AVERAGE('25.10.19 KASESE- PONDWE-24h'!F66)</f>
        <v>0</v>
      </c>
      <c r="G70" s="49">
        <f>AVERAGE('25.10.19 KASESE- PONDWE-24h'!G66)</f>
        <v>0</v>
      </c>
      <c r="H70" s="49">
        <f>AVERAGE('25.10.19 KASESE- PONDWE-24h'!H66)</f>
        <v>1</v>
      </c>
      <c r="I70" s="49">
        <f>AVERAGE('25.10.19 KASESE- PONDWE-24h'!I66)</f>
        <v>0</v>
      </c>
      <c r="J70" s="49">
        <f>AVERAGE('25.10.19 KASESE- PONDWE-24h'!J66)</f>
        <v>0</v>
      </c>
      <c r="K70" s="49">
        <f>AVERAGE('25.10.19 KASESE- PONDWE-24h'!K66)</f>
        <v>0</v>
      </c>
      <c r="L70" s="49">
        <f>AVERAGE('25.10.19 KASESE- PONDWE-24h'!L66)</f>
        <v>0</v>
      </c>
      <c r="M70" s="49">
        <f>AVERAGE('25.10.19 KASESE- PONDWE-24h'!M66)</f>
        <v>8</v>
      </c>
      <c r="N70" s="49">
        <f>AVERAGE('25.10.19 KASESE- PONDWE-24h'!N66)</f>
        <v>0</v>
      </c>
      <c r="O70" s="15">
        <f t="shared" si="0"/>
        <v>4</v>
      </c>
      <c r="P70" s="15">
        <f t="shared" si="1"/>
        <v>12</v>
      </c>
      <c r="R70" s="8"/>
      <c r="T70"/>
    </row>
    <row r="71" spans="2:20" ht="23.1" customHeight="1" x14ac:dyDescent="0.25">
      <c r="B71" s="23" t="s">
        <v>111</v>
      </c>
      <c r="C71" s="49">
        <f>AVERAGE('25.10.19 KASESE- PONDWE-24h'!C67)</f>
        <v>1</v>
      </c>
      <c r="D71" s="49">
        <f>AVERAGE('25.10.19 KASESE- PONDWE-24h'!D67)</f>
        <v>1</v>
      </c>
      <c r="E71" s="49">
        <f>AVERAGE('25.10.19 KASESE- PONDWE-24h'!E67)</f>
        <v>0</v>
      </c>
      <c r="F71" s="49">
        <f>AVERAGE('25.10.19 KASESE- PONDWE-24h'!F67)</f>
        <v>0</v>
      </c>
      <c r="G71" s="49">
        <f>AVERAGE('25.10.19 KASESE- PONDWE-24h'!G67)</f>
        <v>0</v>
      </c>
      <c r="H71" s="49">
        <f>AVERAGE('25.10.19 KASESE- PONDWE-24h'!H67)</f>
        <v>0</v>
      </c>
      <c r="I71" s="49">
        <f>AVERAGE('25.10.19 KASESE- PONDWE-24h'!I67)</f>
        <v>0</v>
      </c>
      <c r="J71" s="49">
        <f>AVERAGE('25.10.19 KASESE- PONDWE-24h'!J67)</f>
        <v>0</v>
      </c>
      <c r="K71" s="49">
        <f>AVERAGE('25.10.19 KASESE- PONDWE-24h'!K67)</f>
        <v>0</v>
      </c>
      <c r="L71" s="49">
        <f>AVERAGE('25.10.19 KASESE- PONDWE-24h'!L67)</f>
        <v>0</v>
      </c>
      <c r="M71" s="49">
        <f>AVERAGE('25.10.19 KASESE- PONDWE-24h'!M67)</f>
        <v>2</v>
      </c>
      <c r="N71" s="49">
        <f>AVERAGE('25.10.19 KASESE- PONDWE-24h'!N67)</f>
        <v>0</v>
      </c>
      <c r="O71" s="15">
        <f t="shared" si="0"/>
        <v>2</v>
      </c>
      <c r="P71" s="15">
        <f t="shared" si="1"/>
        <v>4</v>
      </c>
      <c r="R71" s="8"/>
      <c r="T71"/>
    </row>
    <row r="72" spans="2:20" ht="23.1" customHeight="1" x14ac:dyDescent="0.25">
      <c r="B72" s="23" t="s">
        <v>112</v>
      </c>
      <c r="C72" s="49">
        <f>AVERAGE('25.10.19 KASESE- PONDWE-24h'!C68)</f>
        <v>0</v>
      </c>
      <c r="D72" s="49">
        <f>AVERAGE('25.10.19 KASESE- PONDWE-24h'!D68)</f>
        <v>0</v>
      </c>
      <c r="E72" s="49">
        <f>AVERAGE('25.10.19 KASESE- PONDWE-24h'!E68)</f>
        <v>0</v>
      </c>
      <c r="F72" s="49">
        <f>AVERAGE('25.10.19 KASESE- PONDWE-24h'!F68)</f>
        <v>0</v>
      </c>
      <c r="G72" s="49">
        <f>AVERAGE('25.10.19 KASESE- PONDWE-24h'!G68)</f>
        <v>0</v>
      </c>
      <c r="H72" s="49">
        <f>AVERAGE('25.10.19 KASESE- PONDWE-24h'!H68)</f>
        <v>0</v>
      </c>
      <c r="I72" s="49">
        <f>AVERAGE('25.10.19 KASESE- PONDWE-24h'!I68)</f>
        <v>0</v>
      </c>
      <c r="J72" s="49">
        <f>AVERAGE('25.10.19 KASESE- PONDWE-24h'!J68)</f>
        <v>0</v>
      </c>
      <c r="K72" s="49">
        <f>AVERAGE('25.10.19 KASESE- PONDWE-24h'!K68)</f>
        <v>0</v>
      </c>
      <c r="L72" s="49">
        <f>AVERAGE('25.10.19 KASESE- PONDWE-24h'!L68)</f>
        <v>0</v>
      </c>
      <c r="M72" s="49">
        <f>AVERAGE('25.10.19 KASESE- PONDWE-24h'!M68)</f>
        <v>2</v>
      </c>
      <c r="N72" s="49">
        <f>AVERAGE('25.10.19 KASESE- PONDWE-24h'!N68)</f>
        <v>0</v>
      </c>
      <c r="O72" s="15">
        <f t="shared" si="0"/>
        <v>0</v>
      </c>
      <c r="P72" s="15">
        <f t="shared" si="1"/>
        <v>2</v>
      </c>
      <c r="R72" s="8"/>
      <c r="T72"/>
    </row>
    <row r="73" spans="2:20" ht="23.1" customHeight="1" x14ac:dyDescent="0.25">
      <c r="B73" s="23" t="s">
        <v>113</v>
      </c>
      <c r="C73" s="49">
        <f>AVERAGE('25.10.19 KASESE- PONDWE-24h'!C69)</f>
        <v>1</v>
      </c>
      <c r="D73" s="49">
        <f>AVERAGE('25.10.19 KASESE- PONDWE-24h'!D69)</f>
        <v>0</v>
      </c>
      <c r="E73" s="49">
        <f>AVERAGE('25.10.19 KASESE- PONDWE-24h'!E69)</f>
        <v>0</v>
      </c>
      <c r="F73" s="49">
        <f>AVERAGE('25.10.19 KASESE- PONDWE-24h'!F69)</f>
        <v>1</v>
      </c>
      <c r="G73" s="49">
        <f>AVERAGE('25.10.19 KASESE- PONDWE-24h'!G69)</f>
        <v>0</v>
      </c>
      <c r="H73" s="49">
        <f>AVERAGE('25.10.19 KASESE- PONDWE-24h'!H69)</f>
        <v>0</v>
      </c>
      <c r="I73" s="49">
        <f>AVERAGE('25.10.19 KASESE- PONDWE-24h'!I69)</f>
        <v>0</v>
      </c>
      <c r="J73" s="49">
        <f>AVERAGE('25.10.19 KASESE- PONDWE-24h'!J69)</f>
        <v>0</v>
      </c>
      <c r="K73" s="49">
        <f>AVERAGE('25.10.19 KASESE- PONDWE-24h'!K69)</f>
        <v>0</v>
      </c>
      <c r="L73" s="49">
        <f>AVERAGE('25.10.19 KASESE- PONDWE-24h'!L69)</f>
        <v>0</v>
      </c>
      <c r="M73" s="49">
        <f>AVERAGE('25.10.19 KASESE- PONDWE-24h'!M69)</f>
        <v>4</v>
      </c>
      <c r="N73" s="49">
        <f>AVERAGE('25.10.19 KASESE- PONDWE-24h'!N69)</f>
        <v>0</v>
      </c>
      <c r="O73" s="15">
        <f t="shared" si="0"/>
        <v>2</v>
      </c>
      <c r="P73" s="15">
        <f t="shared" si="1"/>
        <v>6</v>
      </c>
      <c r="R73" s="8"/>
      <c r="T73"/>
    </row>
    <row r="74" spans="2:20" ht="23.1" customHeight="1" x14ac:dyDescent="0.25">
      <c r="B74" s="23" t="s">
        <v>114</v>
      </c>
      <c r="C74" s="49">
        <f>AVERAGE('25.10.19 KASESE- PONDWE-24h'!C70)</f>
        <v>0</v>
      </c>
      <c r="D74" s="49">
        <f>AVERAGE('25.10.19 KASESE- PONDWE-24h'!D70)</f>
        <v>0</v>
      </c>
      <c r="E74" s="49">
        <f>AVERAGE('25.10.19 KASESE- PONDWE-24h'!E70)</f>
        <v>0</v>
      </c>
      <c r="F74" s="49">
        <f>AVERAGE('25.10.19 KASESE- PONDWE-24h'!F70)</f>
        <v>0</v>
      </c>
      <c r="G74" s="49">
        <f>AVERAGE('25.10.19 KASESE- PONDWE-24h'!G70)</f>
        <v>0</v>
      </c>
      <c r="H74" s="49">
        <f>AVERAGE('25.10.19 KASESE- PONDWE-24h'!H70)</f>
        <v>0</v>
      </c>
      <c r="I74" s="49">
        <f>AVERAGE('25.10.19 KASESE- PONDWE-24h'!I70)</f>
        <v>0</v>
      </c>
      <c r="J74" s="49">
        <f>AVERAGE('25.10.19 KASESE- PONDWE-24h'!J70)</f>
        <v>0</v>
      </c>
      <c r="K74" s="49">
        <f>AVERAGE('25.10.19 KASESE- PONDWE-24h'!K70)</f>
        <v>0</v>
      </c>
      <c r="L74" s="49">
        <f>AVERAGE('25.10.19 KASESE- PONDWE-24h'!L70)</f>
        <v>0</v>
      </c>
      <c r="M74" s="49">
        <f>AVERAGE('25.10.19 KASESE- PONDWE-24h'!M70)</f>
        <v>1</v>
      </c>
      <c r="N74" s="49">
        <f>AVERAGE('25.10.19 KASESE- PONDWE-24h'!N70)</f>
        <v>0</v>
      </c>
      <c r="O74" s="15">
        <f t="shared" ref="O74:O105" si="35">SUM(C74:L74,N74)</f>
        <v>0</v>
      </c>
      <c r="P74" s="15">
        <f t="shared" ref="P74:P105" si="36">SUM(C74:N74)</f>
        <v>1</v>
      </c>
      <c r="R74" s="8"/>
      <c r="T74"/>
    </row>
    <row r="75" spans="2:20" ht="23.1" customHeight="1" x14ac:dyDescent="0.25">
      <c r="B75" s="23" t="s">
        <v>115</v>
      </c>
      <c r="C75" s="49">
        <f>AVERAGE('25.10.19 KASESE- PONDWE-24h'!C71)</f>
        <v>2</v>
      </c>
      <c r="D75" s="49">
        <f>AVERAGE('25.10.19 KASESE- PONDWE-24h'!D71)</f>
        <v>0</v>
      </c>
      <c r="E75" s="49">
        <f>AVERAGE('25.10.19 KASESE- PONDWE-24h'!E71)</f>
        <v>0</v>
      </c>
      <c r="F75" s="49">
        <f>AVERAGE('25.10.19 KASESE- PONDWE-24h'!F71)</f>
        <v>0</v>
      </c>
      <c r="G75" s="49">
        <f>AVERAGE('25.10.19 KASESE- PONDWE-24h'!G71)</f>
        <v>0</v>
      </c>
      <c r="H75" s="49">
        <f>AVERAGE('25.10.19 KASESE- PONDWE-24h'!H71)</f>
        <v>0</v>
      </c>
      <c r="I75" s="49">
        <f>AVERAGE('25.10.19 KASESE- PONDWE-24h'!I71)</f>
        <v>0</v>
      </c>
      <c r="J75" s="49">
        <f>AVERAGE('25.10.19 KASESE- PONDWE-24h'!J71)</f>
        <v>0</v>
      </c>
      <c r="K75" s="49">
        <f>AVERAGE('25.10.19 KASESE- PONDWE-24h'!K71)</f>
        <v>0</v>
      </c>
      <c r="L75" s="49">
        <f>AVERAGE('25.10.19 KASESE- PONDWE-24h'!L71)</f>
        <v>0</v>
      </c>
      <c r="M75" s="49">
        <f>AVERAGE('25.10.19 KASESE- PONDWE-24h'!M71)</f>
        <v>1</v>
      </c>
      <c r="N75" s="49">
        <f>AVERAGE('25.10.19 KASESE- PONDWE-24h'!N71)</f>
        <v>0</v>
      </c>
      <c r="O75" s="15">
        <f t="shared" si="35"/>
        <v>2</v>
      </c>
      <c r="P75" s="15">
        <f t="shared" si="36"/>
        <v>3</v>
      </c>
      <c r="R75" s="8"/>
      <c r="T75"/>
    </row>
    <row r="76" spans="2:20" ht="23.1" customHeight="1" x14ac:dyDescent="0.25">
      <c r="B76" s="23" t="s">
        <v>116</v>
      </c>
      <c r="C76" s="49">
        <f>AVERAGE('25.10.19 KASESE- PONDWE-24h'!C72)</f>
        <v>0</v>
      </c>
      <c r="D76" s="49">
        <f>AVERAGE('25.10.19 KASESE- PONDWE-24h'!D72)</f>
        <v>0</v>
      </c>
      <c r="E76" s="49">
        <f>AVERAGE('25.10.19 KASESE- PONDWE-24h'!E72)</f>
        <v>0</v>
      </c>
      <c r="F76" s="49">
        <f>AVERAGE('25.10.19 KASESE- PONDWE-24h'!F72)</f>
        <v>0</v>
      </c>
      <c r="G76" s="49">
        <f>AVERAGE('25.10.19 KASESE- PONDWE-24h'!G72)</f>
        <v>0</v>
      </c>
      <c r="H76" s="49">
        <f>AVERAGE('25.10.19 KASESE- PONDWE-24h'!H72)</f>
        <v>0</v>
      </c>
      <c r="I76" s="49">
        <f>AVERAGE('25.10.19 KASESE- PONDWE-24h'!I72)</f>
        <v>0</v>
      </c>
      <c r="J76" s="49">
        <f>AVERAGE('25.10.19 KASESE- PONDWE-24h'!J72)</f>
        <v>0</v>
      </c>
      <c r="K76" s="49">
        <f>AVERAGE('25.10.19 KASESE- PONDWE-24h'!K72)</f>
        <v>0</v>
      </c>
      <c r="L76" s="49">
        <f>AVERAGE('25.10.19 KASESE- PONDWE-24h'!L72)</f>
        <v>0</v>
      </c>
      <c r="M76" s="49">
        <f>AVERAGE('25.10.19 KASESE- PONDWE-24h'!M72)</f>
        <v>2</v>
      </c>
      <c r="N76" s="49">
        <f>AVERAGE('25.10.19 KASESE- PONDWE-24h'!N72)</f>
        <v>0</v>
      </c>
      <c r="O76" s="15">
        <f t="shared" si="35"/>
        <v>0</v>
      </c>
      <c r="P76" s="15">
        <f t="shared" si="36"/>
        <v>2</v>
      </c>
      <c r="R76" s="8"/>
      <c r="T76"/>
    </row>
    <row r="77" spans="2:20" ht="23.1" customHeight="1" x14ac:dyDescent="0.25">
      <c r="B77" s="23" t="s">
        <v>117</v>
      </c>
      <c r="C77" s="49">
        <f>AVERAGE('25.10.19 KASESE- PONDWE-24h'!C73)</f>
        <v>1</v>
      </c>
      <c r="D77" s="49">
        <f>AVERAGE('25.10.19 KASESE- PONDWE-24h'!D73)</f>
        <v>0</v>
      </c>
      <c r="E77" s="49">
        <f>AVERAGE('25.10.19 KASESE- PONDWE-24h'!E73)</f>
        <v>0</v>
      </c>
      <c r="F77" s="49">
        <f>AVERAGE('25.10.19 KASESE- PONDWE-24h'!F73)</f>
        <v>0</v>
      </c>
      <c r="G77" s="49">
        <f>AVERAGE('25.10.19 KASESE- PONDWE-24h'!G73)</f>
        <v>0</v>
      </c>
      <c r="H77" s="49">
        <f>AVERAGE('25.10.19 KASESE- PONDWE-24h'!H73)</f>
        <v>0</v>
      </c>
      <c r="I77" s="49">
        <f>AVERAGE('25.10.19 KASESE- PONDWE-24h'!I73)</f>
        <v>0</v>
      </c>
      <c r="J77" s="49">
        <f>AVERAGE('25.10.19 KASESE- PONDWE-24h'!J73)</f>
        <v>0</v>
      </c>
      <c r="K77" s="49">
        <f>AVERAGE('25.10.19 KASESE- PONDWE-24h'!K73)</f>
        <v>0</v>
      </c>
      <c r="L77" s="49">
        <f>AVERAGE('25.10.19 KASESE- PONDWE-24h'!L73)</f>
        <v>0</v>
      </c>
      <c r="M77" s="49">
        <f>AVERAGE('25.10.19 KASESE- PONDWE-24h'!M73)</f>
        <v>0</v>
      </c>
      <c r="N77" s="49">
        <f>AVERAGE('25.10.19 KASESE- PONDWE-24h'!N73)</f>
        <v>0</v>
      </c>
      <c r="O77" s="15">
        <f t="shared" si="35"/>
        <v>1</v>
      </c>
      <c r="P77" s="15">
        <f t="shared" si="36"/>
        <v>1</v>
      </c>
      <c r="R77" s="8"/>
      <c r="T77"/>
    </row>
    <row r="78" spans="2:20" ht="23.1" customHeight="1" x14ac:dyDescent="0.25">
      <c r="B78" s="24" t="s">
        <v>118</v>
      </c>
      <c r="C78" s="49">
        <f>AVERAGE('25.10.19 KASESE- PONDWE-24h'!C74)</f>
        <v>0</v>
      </c>
      <c r="D78" s="49">
        <f>AVERAGE('25.10.19 KASESE- PONDWE-24h'!D74)</f>
        <v>0</v>
      </c>
      <c r="E78" s="49">
        <f>AVERAGE('25.10.19 KASESE- PONDWE-24h'!E74)</f>
        <v>0</v>
      </c>
      <c r="F78" s="49">
        <f>AVERAGE('25.10.19 KASESE- PONDWE-24h'!F74)</f>
        <v>0</v>
      </c>
      <c r="G78" s="49">
        <f>AVERAGE('25.10.19 KASESE- PONDWE-24h'!G74)</f>
        <v>0</v>
      </c>
      <c r="H78" s="49">
        <f>AVERAGE('25.10.19 KASESE- PONDWE-24h'!H74)</f>
        <v>0</v>
      </c>
      <c r="I78" s="49">
        <f>AVERAGE('25.10.19 KASESE- PONDWE-24h'!I74)</f>
        <v>0</v>
      </c>
      <c r="J78" s="49">
        <f>AVERAGE('25.10.19 KASESE- PONDWE-24h'!J74)</f>
        <v>0</v>
      </c>
      <c r="K78" s="49">
        <f>AVERAGE('25.10.19 KASESE- PONDWE-24h'!K74)</f>
        <v>0</v>
      </c>
      <c r="L78" s="49">
        <f>AVERAGE('25.10.19 KASESE- PONDWE-24h'!L74)</f>
        <v>0</v>
      </c>
      <c r="M78" s="49">
        <f>AVERAGE('25.10.19 KASESE- PONDWE-24h'!M74)</f>
        <v>4</v>
      </c>
      <c r="N78" s="49">
        <f>AVERAGE('25.10.19 KASESE- PONDWE-24h'!N74)</f>
        <v>0</v>
      </c>
      <c r="O78" s="15">
        <f t="shared" si="35"/>
        <v>0</v>
      </c>
      <c r="P78" s="15">
        <f t="shared" si="36"/>
        <v>4</v>
      </c>
      <c r="R78" s="8"/>
      <c r="T78"/>
    </row>
    <row r="79" spans="2:20" ht="23.1" customHeight="1" x14ac:dyDescent="0.25">
      <c r="B79" s="23" t="s">
        <v>119</v>
      </c>
      <c r="C79" s="49">
        <f>AVERAGE('25.10.19 KASESE- PONDWE-24h'!C75)</f>
        <v>2</v>
      </c>
      <c r="D79" s="49">
        <f>AVERAGE('25.10.19 KASESE- PONDWE-24h'!D75)</f>
        <v>2</v>
      </c>
      <c r="E79" s="49">
        <f>AVERAGE('25.10.19 KASESE- PONDWE-24h'!E75)</f>
        <v>0</v>
      </c>
      <c r="F79" s="49">
        <f>AVERAGE('25.10.19 KASESE- PONDWE-24h'!F75)</f>
        <v>0</v>
      </c>
      <c r="G79" s="49">
        <f>AVERAGE('25.10.19 KASESE- PONDWE-24h'!G75)</f>
        <v>0</v>
      </c>
      <c r="H79" s="49">
        <f>AVERAGE('25.10.19 KASESE- PONDWE-24h'!H75)</f>
        <v>0</v>
      </c>
      <c r="I79" s="49">
        <f>AVERAGE('25.10.19 KASESE- PONDWE-24h'!I75)</f>
        <v>0</v>
      </c>
      <c r="J79" s="49">
        <f>AVERAGE('25.10.19 KASESE- PONDWE-24h'!J75)</f>
        <v>0</v>
      </c>
      <c r="K79" s="49">
        <f>AVERAGE('25.10.19 KASESE- PONDWE-24h'!K75)</f>
        <v>0</v>
      </c>
      <c r="L79" s="49">
        <f>AVERAGE('25.10.19 KASESE- PONDWE-24h'!L75)</f>
        <v>0</v>
      </c>
      <c r="M79" s="49">
        <f>AVERAGE('25.10.19 KASESE- PONDWE-24h'!M75)</f>
        <v>2</v>
      </c>
      <c r="N79" s="49">
        <f>AVERAGE('25.10.19 KASESE- PONDWE-24h'!N75)</f>
        <v>0</v>
      </c>
      <c r="O79" s="15">
        <f t="shared" si="35"/>
        <v>4</v>
      </c>
      <c r="P79" s="15">
        <f t="shared" si="36"/>
        <v>6</v>
      </c>
      <c r="R79" s="8"/>
      <c r="T79"/>
    </row>
    <row r="80" spans="2:20" ht="23.1" customHeight="1" x14ac:dyDescent="0.25">
      <c r="B80" s="25" t="s">
        <v>120</v>
      </c>
      <c r="C80" s="49">
        <f>AVERAGE('25.10.19 KASESE- PONDWE-24h'!C76)</f>
        <v>0</v>
      </c>
      <c r="D80" s="49">
        <f>AVERAGE('25.10.19 KASESE- PONDWE-24h'!D76)</f>
        <v>0</v>
      </c>
      <c r="E80" s="49">
        <f>AVERAGE('25.10.19 KASESE- PONDWE-24h'!E76)</f>
        <v>1</v>
      </c>
      <c r="F80" s="49">
        <f>AVERAGE('25.10.19 KASESE- PONDWE-24h'!F76)</f>
        <v>0</v>
      </c>
      <c r="G80" s="49">
        <f>AVERAGE('25.10.19 KASESE- PONDWE-24h'!G76)</f>
        <v>0</v>
      </c>
      <c r="H80" s="49">
        <f>AVERAGE('25.10.19 KASESE- PONDWE-24h'!H76)</f>
        <v>0</v>
      </c>
      <c r="I80" s="49">
        <f>AVERAGE('25.10.19 KASESE- PONDWE-24h'!I76)</f>
        <v>0</v>
      </c>
      <c r="J80" s="49">
        <f>AVERAGE('25.10.19 KASESE- PONDWE-24h'!J76)</f>
        <v>0</v>
      </c>
      <c r="K80" s="49">
        <f>AVERAGE('25.10.19 KASESE- PONDWE-24h'!K76)</f>
        <v>0</v>
      </c>
      <c r="L80" s="49">
        <f>AVERAGE('25.10.19 KASESE- PONDWE-24h'!L76)</f>
        <v>0</v>
      </c>
      <c r="M80" s="49">
        <f>AVERAGE('25.10.19 KASESE- PONDWE-24h'!M76)</f>
        <v>0</v>
      </c>
      <c r="N80" s="49">
        <f>AVERAGE('25.10.19 KASESE- PONDWE-24h'!N76)</f>
        <v>0</v>
      </c>
      <c r="O80" s="15">
        <f t="shared" si="35"/>
        <v>1</v>
      </c>
      <c r="P80" s="15">
        <f t="shared" si="36"/>
        <v>1</v>
      </c>
      <c r="R80" s="8"/>
      <c r="T80"/>
    </row>
    <row r="81" spans="2:20" ht="23.1" customHeight="1" x14ac:dyDescent="0.25">
      <c r="B81" s="23" t="s">
        <v>121</v>
      </c>
      <c r="C81" s="49">
        <f>AVERAGE('25.10.19 KASESE- PONDWE-24h'!C77)</f>
        <v>2</v>
      </c>
      <c r="D81" s="49">
        <f>AVERAGE('25.10.19 KASESE- PONDWE-24h'!D77)</f>
        <v>0</v>
      </c>
      <c r="E81" s="49">
        <f>AVERAGE('25.10.19 KASESE- PONDWE-24h'!E77)</f>
        <v>0</v>
      </c>
      <c r="F81" s="49">
        <f>AVERAGE('25.10.19 KASESE- PONDWE-24h'!F77)</f>
        <v>1</v>
      </c>
      <c r="G81" s="49">
        <f>AVERAGE('25.10.19 KASESE- PONDWE-24h'!G77)</f>
        <v>0</v>
      </c>
      <c r="H81" s="49">
        <f>AVERAGE('25.10.19 KASESE- PONDWE-24h'!H77)</f>
        <v>0</v>
      </c>
      <c r="I81" s="49">
        <f>AVERAGE('25.10.19 KASESE- PONDWE-24h'!I77)</f>
        <v>0</v>
      </c>
      <c r="J81" s="49">
        <f>AVERAGE('25.10.19 KASESE- PONDWE-24h'!J77)</f>
        <v>0</v>
      </c>
      <c r="K81" s="49">
        <f>AVERAGE('25.10.19 KASESE- PONDWE-24h'!K77)</f>
        <v>0</v>
      </c>
      <c r="L81" s="49">
        <f>AVERAGE('25.10.19 KASESE- PONDWE-24h'!L77)</f>
        <v>0</v>
      </c>
      <c r="M81" s="49">
        <f>AVERAGE('25.10.19 KASESE- PONDWE-24h'!M77)</f>
        <v>0</v>
      </c>
      <c r="N81" s="49">
        <f>AVERAGE('25.10.19 KASESE- PONDWE-24h'!N77)</f>
        <v>0</v>
      </c>
      <c r="O81" s="15">
        <f t="shared" si="35"/>
        <v>3</v>
      </c>
      <c r="P81" s="15">
        <f t="shared" si="36"/>
        <v>3</v>
      </c>
      <c r="R81" s="8"/>
      <c r="T81"/>
    </row>
    <row r="82" spans="2:20" ht="23.1" customHeight="1" x14ac:dyDescent="0.25">
      <c r="B82" s="24" t="s">
        <v>122</v>
      </c>
      <c r="C82" s="49">
        <f>AVERAGE('25.10.19 KASESE- PONDWE-24h'!C78)</f>
        <v>0</v>
      </c>
      <c r="D82" s="49">
        <f>AVERAGE('25.10.19 KASESE- PONDWE-24h'!D78)</f>
        <v>0</v>
      </c>
      <c r="E82" s="49">
        <f>AVERAGE('25.10.19 KASESE- PONDWE-24h'!E78)</f>
        <v>0</v>
      </c>
      <c r="F82" s="49">
        <f>AVERAGE('25.10.19 KASESE- PONDWE-24h'!F78)</f>
        <v>0</v>
      </c>
      <c r="G82" s="49">
        <f>AVERAGE('25.10.19 KASESE- PONDWE-24h'!G78)</f>
        <v>0</v>
      </c>
      <c r="H82" s="49">
        <f>AVERAGE('25.10.19 KASESE- PONDWE-24h'!H78)</f>
        <v>0</v>
      </c>
      <c r="I82" s="49">
        <f>AVERAGE('25.10.19 KASESE- PONDWE-24h'!I78)</f>
        <v>0</v>
      </c>
      <c r="J82" s="49">
        <f>AVERAGE('25.10.19 KASESE- PONDWE-24h'!J78)</f>
        <v>0</v>
      </c>
      <c r="K82" s="49">
        <f>AVERAGE('25.10.19 KASESE- PONDWE-24h'!K78)</f>
        <v>0</v>
      </c>
      <c r="L82" s="49">
        <f>AVERAGE('25.10.19 KASESE- PONDWE-24h'!L78)</f>
        <v>0</v>
      </c>
      <c r="M82" s="49">
        <f>AVERAGE('25.10.19 KASESE- PONDWE-24h'!M78)</f>
        <v>1</v>
      </c>
      <c r="N82" s="49">
        <f>AVERAGE('25.10.19 KASESE- PONDWE-24h'!N78)</f>
        <v>0</v>
      </c>
      <c r="O82" s="15">
        <f t="shared" si="35"/>
        <v>0</v>
      </c>
      <c r="P82" s="15">
        <f t="shared" si="36"/>
        <v>1</v>
      </c>
      <c r="R82" s="8"/>
      <c r="T82"/>
    </row>
    <row r="83" spans="2:20" ht="23.1" customHeight="1" x14ac:dyDescent="0.25">
      <c r="B83" s="23" t="s">
        <v>123</v>
      </c>
      <c r="C83" s="49">
        <f>AVERAGE('25.10.19 KASESE- PONDWE-24h'!C79)</f>
        <v>0</v>
      </c>
      <c r="D83" s="49">
        <f>AVERAGE('25.10.19 KASESE- PONDWE-24h'!D79)</f>
        <v>0</v>
      </c>
      <c r="E83" s="49">
        <f>AVERAGE('25.10.19 KASESE- PONDWE-24h'!E79)</f>
        <v>0</v>
      </c>
      <c r="F83" s="49">
        <f>AVERAGE('25.10.19 KASESE- PONDWE-24h'!F79)</f>
        <v>0</v>
      </c>
      <c r="G83" s="49">
        <f>AVERAGE('25.10.19 KASESE- PONDWE-24h'!G79)</f>
        <v>0</v>
      </c>
      <c r="H83" s="49">
        <f>AVERAGE('25.10.19 KASESE- PONDWE-24h'!H79)</f>
        <v>0</v>
      </c>
      <c r="I83" s="49">
        <f>AVERAGE('25.10.19 KASESE- PONDWE-24h'!I79)</f>
        <v>0</v>
      </c>
      <c r="J83" s="49">
        <f>AVERAGE('25.10.19 KASESE- PONDWE-24h'!J79)</f>
        <v>0</v>
      </c>
      <c r="K83" s="49">
        <f>AVERAGE('25.10.19 KASESE- PONDWE-24h'!K79)</f>
        <v>0</v>
      </c>
      <c r="L83" s="49">
        <f>AVERAGE('25.10.19 KASESE- PONDWE-24h'!L79)</f>
        <v>0</v>
      </c>
      <c r="M83" s="49">
        <f>AVERAGE('25.10.19 KASESE- PONDWE-24h'!M79)</f>
        <v>0</v>
      </c>
      <c r="N83" s="49">
        <f>AVERAGE('25.10.19 KASESE- PONDWE-24h'!N79)</f>
        <v>0</v>
      </c>
      <c r="O83" s="15">
        <f t="shared" si="35"/>
        <v>0</v>
      </c>
      <c r="P83" s="15">
        <f t="shared" si="36"/>
        <v>0</v>
      </c>
      <c r="R83" s="8"/>
      <c r="T83"/>
    </row>
    <row r="84" spans="2:20" ht="23.1" customHeight="1" x14ac:dyDescent="0.25">
      <c r="B84" s="25" t="s">
        <v>124</v>
      </c>
      <c r="C84" s="49">
        <f>AVERAGE('25.10.19 KASESE- PONDWE-24h'!C80)</f>
        <v>1</v>
      </c>
      <c r="D84" s="49">
        <f>AVERAGE('25.10.19 KASESE- PONDWE-24h'!D80)</f>
        <v>0</v>
      </c>
      <c r="E84" s="49">
        <f>AVERAGE('25.10.19 KASESE- PONDWE-24h'!E80)</f>
        <v>0</v>
      </c>
      <c r="F84" s="49">
        <f>AVERAGE('25.10.19 KASESE- PONDWE-24h'!F80)</f>
        <v>0</v>
      </c>
      <c r="G84" s="49">
        <f>AVERAGE('25.10.19 KASESE- PONDWE-24h'!G80)</f>
        <v>0</v>
      </c>
      <c r="H84" s="49">
        <f>AVERAGE('25.10.19 KASESE- PONDWE-24h'!H80)</f>
        <v>0</v>
      </c>
      <c r="I84" s="49">
        <f>AVERAGE('25.10.19 KASESE- PONDWE-24h'!I80)</f>
        <v>0</v>
      </c>
      <c r="J84" s="49">
        <f>AVERAGE('25.10.19 KASESE- PONDWE-24h'!J80)</f>
        <v>0</v>
      </c>
      <c r="K84" s="49">
        <f>AVERAGE('25.10.19 KASESE- PONDWE-24h'!K80)</f>
        <v>0</v>
      </c>
      <c r="L84" s="49">
        <f>AVERAGE('25.10.19 KASESE- PONDWE-24h'!L80)</f>
        <v>0</v>
      </c>
      <c r="M84" s="49">
        <f>AVERAGE('25.10.19 KASESE- PONDWE-24h'!M80)</f>
        <v>2</v>
      </c>
      <c r="N84" s="49">
        <f>AVERAGE('25.10.19 KASESE- PONDWE-24h'!N80)</f>
        <v>0</v>
      </c>
      <c r="O84" s="15">
        <f t="shared" si="35"/>
        <v>1</v>
      </c>
      <c r="P84" s="15">
        <f t="shared" si="36"/>
        <v>3</v>
      </c>
      <c r="R84" s="8"/>
      <c r="T84"/>
    </row>
    <row r="85" spans="2:20" ht="23.1" customHeight="1" x14ac:dyDescent="0.25">
      <c r="B85" s="23" t="s">
        <v>125</v>
      </c>
      <c r="C85" s="49">
        <f>AVERAGE('25.10.19 KASESE- PONDWE-24h'!C81)</f>
        <v>0</v>
      </c>
      <c r="D85" s="49">
        <f>AVERAGE('25.10.19 KASESE- PONDWE-24h'!D81)</f>
        <v>0</v>
      </c>
      <c r="E85" s="49">
        <f>AVERAGE('25.10.19 KASESE- PONDWE-24h'!E81)</f>
        <v>0</v>
      </c>
      <c r="F85" s="49">
        <f>AVERAGE('25.10.19 KASESE- PONDWE-24h'!F81)</f>
        <v>0</v>
      </c>
      <c r="G85" s="49">
        <f>AVERAGE('25.10.19 KASESE- PONDWE-24h'!G81)</f>
        <v>0</v>
      </c>
      <c r="H85" s="49">
        <f>AVERAGE('25.10.19 KASESE- PONDWE-24h'!H81)</f>
        <v>0</v>
      </c>
      <c r="I85" s="49">
        <f>AVERAGE('25.10.19 KASESE- PONDWE-24h'!I81)</f>
        <v>0</v>
      </c>
      <c r="J85" s="49">
        <f>AVERAGE('25.10.19 KASESE- PONDWE-24h'!J81)</f>
        <v>0</v>
      </c>
      <c r="K85" s="49">
        <f>AVERAGE('25.10.19 KASESE- PONDWE-24h'!K81)</f>
        <v>0</v>
      </c>
      <c r="L85" s="49">
        <f>AVERAGE('25.10.19 KASESE- PONDWE-24h'!L81)</f>
        <v>0</v>
      </c>
      <c r="M85" s="49">
        <f>AVERAGE('25.10.19 KASESE- PONDWE-24h'!M81)</f>
        <v>0</v>
      </c>
      <c r="N85" s="49">
        <f>AVERAGE('25.10.19 KASESE- PONDWE-24h'!N81)</f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24" t="s">
        <v>126</v>
      </c>
      <c r="C86" s="49">
        <f>AVERAGE('25.10.19 KASESE- PONDWE-24h'!C82)</f>
        <v>0</v>
      </c>
      <c r="D86" s="49">
        <f>AVERAGE('25.10.19 KASESE- PONDWE-24h'!D82)</f>
        <v>0</v>
      </c>
      <c r="E86" s="49">
        <f>AVERAGE('25.10.19 KASESE- PONDWE-24h'!E82)</f>
        <v>1</v>
      </c>
      <c r="F86" s="49">
        <f>AVERAGE('25.10.19 KASESE- PONDWE-24h'!F82)</f>
        <v>0</v>
      </c>
      <c r="G86" s="49">
        <f>AVERAGE('25.10.19 KASESE- PONDWE-24h'!G82)</f>
        <v>0</v>
      </c>
      <c r="H86" s="49">
        <f>AVERAGE('25.10.19 KASESE- PONDWE-24h'!H82)</f>
        <v>0</v>
      </c>
      <c r="I86" s="49">
        <f>AVERAGE('25.10.19 KASESE- PONDWE-24h'!I82)</f>
        <v>0</v>
      </c>
      <c r="J86" s="49">
        <f>AVERAGE('25.10.19 KASESE- PONDWE-24h'!J82)</f>
        <v>0</v>
      </c>
      <c r="K86" s="49">
        <f>AVERAGE('25.10.19 KASESE- PONDWE-24h'!K82)</f>
        <v>0</v>
      </c>
      <c r="L86" s="49">
        <f>AVERAGE('25.10.19 KASESE- PONDWE-24h'!L82)</f>
        <v>0</v>
      </c>
      <c r="M86" s="49">
        <f>AVERAGE('25.10.19 KASESE- PONDWE-24h'!M82)</f>
        <v>1</v>
      </c>
      <c r="N86" s="49">
        <f>AVERAGE('25.10.19 KASESE- PONDWE-24h'!N82)</f>
        <v>0</v>
      </c>
      <c r="O86" s="15">
        <f t="shared" si="35"/>
        <v>1</v>
      </c>
      <c r="P86" s="15">
        <f t="shared" si="36"/>
        <v>2</v>
      </c>
      <c r="R86" s="8"/>
      <c r="T86"/>
    </row>
    <row r="87" spans="2:20" ht="23.1" customHeight="1" x14ac:dyDescent="0.25">
      <c r="B87" s="23" t="s">
        <v>127</v>
      </c>
      <c r="C87" s="49">
        <f>AVERAGE('25.10.19 KASESE- PONDWE-24h'!C83)</f>
        <v>0</v>
      </c>
      <c r="D87" s="49">
        <f>AVERAGE('25.10.19 KASESE- PONDWE-24h'!D83)</f>
        <v>0</v>
      </c>
      <c r="E87" s="49">
        <f>AVERAGE('25.10.19 KASESE- PONDWE-24h'!E83)</f>
        <v>0</v>
      </c>
      <c r="F87" s="49">
        <f>AVERAGE('25.10.19 KASESE- PONDWE-24h'!F83)</f>
        <v>0</v>
      </c>
      <c r="G87" s="49">
        <f>AVERAGE('25.10.19 KASESE- PONDWE-24h'!G83)</f>
        <v>0</v>
      </c>
      <c r="H87" s="49">
        <f>AVERAGE('25.10.19 KASESE- PONDWE-24h'!H83)</f>
        <v>0</v>
      </c>
      <c r="I87" s="49">
        <f>AVERAGE('25.10.19 KASESE- PONDWE-24h'!I83)</f>
        <v>0</v>
      </c>
      <c r="J87" s="49">
        <f>AVERAGE('25.10.19 KASESE- PONDWE-24h'!J83)</f>
        <v>0</v>
      </c>
      <c r="K87" s="49">
        <f>AVERAGE('25.10.19 KASESE- PONDWE-24h'!K83)</f>
        <v>0</v>
      </c>
      <c r="L87" s="49">
        <f>AVERAGE('25.10.19 KASESE- PONDWE-24h'!L83)</f>
        <v>0</v>
      </c>
      <c r="M87" s="49">
        <f>AVERAGE('25.10.19 KASESE- PONDWE-24h'!M83)</f>
        <v>0</v>
      </c>
      <c r="N87" s="49">
        <f>AVERAGE('25.10.19 KASESE- PONDWE-24h'!N83)</f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25" t="s">
        <v>128</v>
      </c>
      <c r="C88" s="49">
        <f>AVERAGE('25.10.19 KASESE- PONDWE-24h'!C84)</f>
        <v>2</v>
      </c>
      <c r="D88" s="49">
        <f>AVERAGE('25.10.19 KASESE- PONDWE-24h'!D84)</f>
        <v>0</v>
      </c>
      <c r="E88" s="49">
        <f>AVERAGE('25.10.19 KASESE- PONDWE-24h'!E84)</f>
        <v>0</v>
      </c>
      <c r="F88" s="49">
        <f>AVERAGE('25.10.19 KASESE- PONDWE-24h'!F84)</f>
        <v>1</v>
      </c>
      <c r="G88" s="49">
        <f>AVERAGE('25.10.19 KASESE- PONDWE-24h'!G84)</f>
        <v>0</v>
      </c>
      <c r="H88" s="49">
        <f>AVERAGE('25.10.19 KASESE- PONDWE-24h'!H84)</f>
        <v>0</v>
      </c>
      <c r="I88" s="49">
        <f>AVERAGE('25.10.19 KASESE- PONDWE-24h'!I84)</f>
        <v>0</v>
      </c>
      <c r="J88" s="49">
        <f>AVERAGE('25.10.19 KASESE- PONDWE-24h'!J84)</f>
        <v>0</v>
      </c>
      <c r="K88" s="49">
        <f>AVERAGE('25.10.19 KASESE- PONDWE-24h'!K84)</f>
        <v>0</v>
      </c>
      <c r="L88" s="49">
        <f>AVERAGE('25.10.19 KASESE- PONDWE-24h'!L84)</f>
        <v>0</v>
      </c>
      <c r="M88" s="49">
        <f>AVERAGE('25.10.19 KASESE- PONDWE-24h'!M84)</f>
        <v>0</v>
      </c>
      <c r="N88" s="49">
        <f>AVERAGE('25.10.19 KASESE- PONDWE-24h'!N84)</f>
        <v>0</v>
      </c>
      <c r="O88" s="15">
        <f t="shared" si="35"/>
        <v>3</v>
      </c>
      <c r="P88" s="15">
        <f t="shared" si="36"/>
        <v>3</v>
      </c>
      <c r="R88" s="8"/>
      <c r="T88"/>
    </row>
    <row r="89" spans="2:20" ht="23.1" customHeight="1" x14ac:dyDescent="0.25">
      <c r="B89" s="23" t="s">
        <v>129</v>
      </c>
      <c r="C89" s="49">
        <f>AVERAGE('25.10.19 KASESE- PONDWE-24h'!C85)</f>
        <v>0</v>
      </c>
      <c r="D89" s="49">
        <f>AVERAGE('25.10.19 KASESE- PONDWE-24h'!D85)</f>
        <v>0</v>
      </c>
      <c r="E89" s="49">
        <f>AVERAGE('25.10.19 KASESE- PONDWE-24h'!E85)</f>
        <v>0</v>
      </c>
      <c r="F89" s="49">
        <f>AVERAGE('25.10.19 KASESE- PONDWE-24h'!F85)</f>
        <v>0</v>
      </c>
      <c r="G89" s="49">
        <f>AVERAGE('25.10.19 KASESE- PONDWE-24h'!G85)</f>
        <v>0</v>
      </c>
      <c r="H89" s="49">
        <f>AVERAGE('25.10.19 KASESE- PONDWE-24h'!H85)</f>
        <v>0</v>
      </c>
      <c r="I89" s="49">
        <f>AVERAGE('25.10.19 KASESE- PONDWE-24h'!I85)</f>
        <v>0</v>
      </c>
      <c r="J89" s="49">
        <f>AVERAGE('25.10.19 KASESE- PONDWE-24h'!J85)</f>
        <v>0</v>
      </c>
      <c r="K89" s="49">
        <f>AVERAGE('25.10.19 KASESE- PONDWE-24h'!K85)</f>
        <v>0</v>
      </c>
      <c r="L89" s="49">
        <f>AVERAGE('25.10.19 KASESE- PONDWE-24h'!L85)</f>
        <v>0</v>
      </c>
      <c r="M89" s="49">
        <f>AVERAGE('25.10.19 KASESE- PONDWE-24h'!M85)</f>
        <v>0</v>
      </c>
      <c r="N89" s="49">
        <f>AVERAGE('25.10.19 KASESE- PONDWE-24h'!N85)</f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24" t="s">
        <v>130</v>
      </c>
      <c r="C90" s="49">
        <f>AVERAGE('25.10.19 KASESE- PONDWE-24h'!C86)</f>
        <v>1</v>
      </c>
      <c r="D90" s="49">
        <f>AVERAGE('25.10.19 KASESE- PONDWE-24h'!D86)</f>
        <v>0</v>
      </c>
      <c r="E90" s="49">
        <f>AVERAGE('25.10.19 KASESE- PONDWE-24h'!E86)</f>
        <v>0</v>
      </c>
      <c r="F90" s="49">
        <f>AVERAGE('25.10.19 KASESE- PONDWE-24h'!F86)</f>
        <v>0</v>
      </c>
      <c r="G90" s="49">
        <f>AVERAGE('25.10.19 KASESE- PONDWE-24h'!G86)</f>
        <v>0</v>
      </c>
      <c r="H90" s="49">
        <f>AVERAGE('25.10.19 KASESE- PONDWE-24h'!H86)</f>
        <v>0</v>
      </c>
      <c r="I90" s="49">
        <f>AVERAGE('25.10.19 KASESE- PONDWE-24h'!I86)</f>
        <v>0</v>
      </c>
      <c r="J90" s="49">
        <f>AVERAGE('25.10.19 KASESE- PONDWE-24h'!J86)</f>
        <v>0</v>
      </c>
      <c r="K90" s="49">
        <f>AVERAGE('25.10.19 KASESE- PONDWE-24h'!K86)</f>
        <v>0</v>
      </c>
      <c r="L90" s="49">
        <f>AVERAGE('25.10.19 KASESE- PONDWE-24h'!L86)</f>
        <v>0</v>
      </c>
      <c r="M90" s="49">
        <f>AVERAGE('25.10.19 KASESE- PONDWE-24h'!M86)</f>
        <v>2</v>
      </c>
      <c r="N90" s="49">
        <f>AVERAGE('25.10.19 KASESE- PONDWE-24h'!N86)</f>
        <v>0</v>
      </c>
      <c r="O90" s="15">
        <f t="shared" si="35"/>
        <v>1</v>
      </c>
      <c r="P90" s="15">
        <f t="shared" si="36"/>
        <v>3</v>
      </c>
      <c r="R90" s="8"/>
      <c r="T90"/>
    </row>
    <row r="91" spans="2:20" ht="23.1" customHeight="1" x14ac:dyDescent="0.25">
      <c r="B91" s="23" t="s">
        <v>131</v>
      </c>
      <c r="C91" s="49">
        <f>AVERAGE('25.10.19 KASESE- PONDWE-24h'!C87)</f>
        <v>0</v>
      </c>
      <c r="D91" s="49">
        <f>AVERAGE('25.10.19 KASESE- PONDWE-24h'!D87)</f>
        <v>0</v>
      </c>
      <c r="E91" s="49">
        <f>AVERAGE('25.10.19 KASESE- PONDWE-24h'!E87)</f>
        <v>0</v>
      </c>
      <c r="F91" s="49">
        <f>AVERAGE('25.10.19 KASESE- PONDWE-24h'!F87)</f>
        <v>0</v>
      </c>
      <c r="G91" s="49">
        <f>AVERAGE('25.10.19 KASESE- PONDWE-24h'!G87)</f>
        <v>0</v>
      </c>
      <c r="H91" s="49">
        <f>AVERAGE('25.10.19 KASESE- PONDWE-24h'!H87)</f>
        <v>0</v>
      </c>
      <c r="I91" s="49">
        <f>AVERAGE('25.10.19 KASESE- PONDWE-24h'!I87)</f>
        <v>0</v>
      </c>
      <c r="J91" s="49">
        <f>AVERAGE('25.10.19 KASESE- PONDWE-24h'!J87)</f>
        <v>0</v>
      </c>
      <c r="K91" s="49">
        <f>AVERAGE('25.10.19 KASESE- PONDWE-24h'!K87)</f>
        <v>0</v>
      </c>
      <c r="L91" s="49">
        <f>AVERAGE('25.10.19 KASESE- PONDWE-24h'!L87)</f>
        <v>0</v>
      </c>
      <c r="M91" s="49">
        <f>AVERAGE('25.10.19 KASESE- PONDWE-24h'!M87)</f>
        <v>0</v>
      </c>
      <c r="N91" s="49">
        <f>AVERAGE('25.10.19 KASESE- PONDWE-24h'!N87)</f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25" t="s">
        <v>132</v>
      </c>
      <c r="C92" s="49">
        <f>AVERAGE('25.10.19 KASESE- PONDWE-24h'!C88)</f>
        <v>0</v>
      </c>
      <c r="D92" s="49">
        <f>AVERAGE('25.10.19 KASESE- PONDWE-24h'!D88)</f>
        <v>0</v>
      </c>
      <c r="E92" s="49">
        <f>AVERAGE('25.10.19 KASESE- PONDWE-24h'!E88)</f>
        <v>1</v>
      </c>
      <c r="F92" s="49">
        <f>AVERAGE('25.10.19 KASESE- PONDWE-24h'!F88)</f>
        <v>0</v>
      </c>
      <c r="G92" s="49">
        <f>AVERAGE('25.10.19 KASESE- PONDWE-24h'!G88)</f>
        <v>0</v>
      </c>
      <c r="H92" s="49">
        <f>AVERAGE('25.10.19 KASESE- PONDWE-24h'!H88)</f>
        <v>0</v>
      </c>
      <c r="I92" s="49">
        <f>AVERAGE('25.10.19 KASESE- PONDWE-24h'!I88)</f>
        <v>0</v>
      </c>
      <c r="J92" s="49">
        <f>AVERAGE('25.10.19 KASESE- PONDWE-24h'!J88)</f>
        <v>0</v>
      </c>
      <c r="K92" s="49">
        <f>AVERAGE('25.10.19 KASESE- PONDWE-24h'!K88)</f>
        <v>0</v>
      </c>
      <c r="L92" s="49">
        <f>AVERAGE('25.10.19 KASESE- PONDWE-24h'!L88)</f>
        <v>0</v>
      </c>
      <c r="M92" s="49">
        <f>AVERAGE('25.10.19 KASESE- PONDWE-24h'!M88)</f>
        <v>0</v>
      </c>
      <c r="N92" s="49">
        <f>AVERAGE('25.10.19 KASESE- PONDWE-24h'!N88)</f>
        <v>0</v>
      </c>
      <c r="O92" s="15">
        <f t="shared" si="35"/>
        <v>1</v>
      </c>
      <c r="P92" s="15">
        <f t="shared" si="36"/>
        <v>1</v>
      </c>
      <c r="R92" s="8"/>
      <c r="T92"/>
    </row>
    <row r="93" spans="2:20" ht="23.1" customHeight="1" x14ac:dyDescent="0.25">
      <c r="B93" s="23" t="s">
        <v>133</v>
      </c>
      <c r="C93" s="49">
        <f>AVERAGE('25.10.19 KASESE- PONDWE-24h'!C89)</f>
        <v>0</v>
      </c>
      <c r="D93" s="49">
        <f>AVERAGE('25.10.19 KASESE- PONDWE-24h'!D89)</f>
        <v>0</v>
      </c>
      <c r="E93" s="49">
        <f>AVERAGE('25.10.19 KASESE- PONDWE-24h'!E89)</f>
        <v>0</v>
      </c>
      <c r="F93" s="49">
        <f>AVERAGE('25.10.19 KASESE- PONDWE-24h'!F89)</f>
        <v>0</v>
      </c>
      <c r="G93" s="49">
        <f>AVERAGE('25.10.19 KASESE- PONDWE-24h'!G89)</f>
        <v>0</v>
      </c>
      <c r="H93" s="49">
        <f>AVERAGE('25.10.19 KASESE- PONDWE-24h'!H89)</f>
        <v>0</v>
      </c>
      <c r="I93" s="49">
        <f>AVERAGE('25.10.19 KASESE- PONDWE-24h'!I89)</f>
        <v>0</v>
      </c>
      <c r="J93" s="49">
        <f>AVERAGE('25.10.19 KASESE- PONDWE-24h'!J89)</f>
        <v>0</v>
      </c>
      <c r="K93" s="49">
        <f>AVERAGE('25.10.19 KASESE- PONDWE-24h'!K89)</f>
        <v>0</v>
      </c>
      <c r="L93" s="49">
        <f>AVERAGE('25.10.19 KASESE- PONDWE-24h'!L89)</f>
        <v>0</v>
      </c>
      <c r="M93" s="49">
        <f>AVERAGE('25.10.19 KASESE- PONDWE-24h'!M89)</f>
        <v>3</v>
      </c>
      <c r="N93" s="49">
        <f>AVERAGE('25.10.19 KASESE- PONDWE-24h'!N89)</f>
        <v>0</v>
      </c>
      <c r="O93" s="15">
        <f t="shared" si="35"/>
        <v>0</v>
      </c>
      <c r="P93" s="15">
        <f t="shared" si="36"/>
        <v>3</v>
      </c>
      <c r="R93" s="8"/>
      <c r="T93"/>
    </row>
    <row r="94" spans="2:20" ht="23.1" customHeight="1" x14ac:dyDescent="0.25">
      <c r="B94" s="24" t="s">
        <v>134</v>
      </c>
      <c r="C94" s="49">
        <f>AVERAGE('25.10.19 KASESE- PONDWE-24h'!C90)</f>
        <v>0</v>
      </c>
      <c r="D94" s="49">
        <f>AVERAGE('25.10.19 KASESE- PONDWE-24h'!D90)</f>
        <v>0</v>
      </c>
      <c r="E94" s="49">
        <f>AVERAGE('25.10.19 KASESE- PONDWE-24h'!E90)</f>
        <v>0</v>
      </c>
      <c r="F94" s="49">
        <f>AVERAGE('25.10.19 KASESE- PONDWE-24h'!F90)</f>
        <v>0</v>
      </c>
      <c r="G94" s="49">
        <f>AVERAGE('25.10.19 KASESE- PONDWE-24h'!G90)</f>
        <v>0</v>
      </c>
      <c r="H94" s="49">
        <f>AVERAGE('25.10.19 KASESE- PONDWE-24h'!H90)</f>
        <v>0</v>
      </c>
      <c r="I94" s="49">
        <f>AVERAGE('25.10.19 KASESE- PONDWE-24h'!I90)</f>
        <v>0</v>
      </c>
      <c r="J94" s="49">
        <f>AVERAGE('25.10.19 KASESE- PONDWE-24h'!J90)</f>
        <v>0</v>
      </c>
      <c r="K94" s="49">
        <f>AVERAGE('25.10.19 KASESE- PONDWE-24h'!K90)</f>
        <v>0</v>
      </c>
      <c r="L94" s="49">
        <f>AVERAGE('25.10.19 KASESE- PONDWE-24h'!L90)</f>
        <v>0</v>
      </c>
      <c r="M94" s="49">
        <f>AVERAGE('25.10.19 KASESE- PONDWE-24h'!M90)</f>
        <v>0</v>
      </c>
      <c r="N94" s="49">
        <f>AVERAGE('25.10.19 KASESE- PONDWE-24h'!N90)</f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23" t="s">
        <v>135</v>
      </c>
      <c r="C95" s="49">
        <f>AVERAGE('25.10.19 KASESE- PONDWE-24h'!C91)</f>
        <v>1</v>
      </c>
      <c r="D95" s="49">
        <f>AVERAGE('25.10.19 KASESE- PONDWE-24h'!D91)</f>
        <v>0</v>
      </c>
      <c r="E95" s="49">
        <f>AVERAGE('25.10.19 KASESE- PONDWE-24h'!E91)</f>
        <v>0</v>
      </c>
      <c r="F95" s="49">
        <f>AVERAGE('25.10.19 KASESE- PONDWE-24h'!F91)</f>
        <v>0</v>
      </c>
      <c r="G95" s="49">
        <f>AVERAGE('25.10.19 KASESE- PONDWE-24h'!G91)</f>
        <v>0</v>
      </c>
      <c r="H95" s="49">
        <f>AVERAGE('25.10.19 KASESE- PONDWE-24h'!H91)</f>
        <v>0</v>
      </c>
      <c r="I95" s="49">
        <f>AVERAGE('25.10.19 KASESE- PONDWE-24h'!I91)</f>
        <v>0</v>
      </c>
      <c r="J95" s="49">
        <f>AVERAGE('25.10.19 KASESE- PONDWE-24h'!J91)</f>
        <v>0</v>
      </c>
      <c r="K95" s="49">
        <f>AVERAGE('25.10.19 KASESE- PONDWE-24h'!K91)</f>
        <v>0</v>
      </c>
      <c r="L95" s="49">
        <f>AVERAGE('25.10.19 KASESE- PONDWE-24h'!L91)</f>
        <v>0</v>
      </c>
      <c r="M95" s="49">
        <f>AVERAGE('25.10.19 KASESE- PONDWE-24h'!M91)</f>
        <v>0</v>
      </c>
      <c r="N95" s="49">
        <f>AVERAGE('25.10.19 KASESE- PONDWE-24h'!N91)</f>
        <v>0</v>
      </c>
      <c r="O95" s="15">
        <f t="shared" si="35"/>
        <v>1</v>
      </c>
      <c r="P95" s="15">
        <f t="shared" si="36"/>
        <v>1</v>
      </c>
      <c r="R95" s="8"/>
      <c r="T95"/>
    </row>
    <row r="96" spans="2:20" ht="23.1" customHeight="1" x14ac:dyDescent="0.25">
      <c r="B96" s="25" t="s">
        <v>136</v>
      </c>
      <c r="C96" s="49">
        <f>AVERAGE('25.10.19 KASESE- PONDWE-24h'!C92)</f>
        <v>0</v>
      </c>
      <c r="D96" s="49">
        <f>AVERAGE('25.10.19 KASESE- PONDWE-24h'!D92)</f>
        <v>0</v>
      </c>
      <c r="E96" s="49">
        <f>AVERAGE('25.10.19 KASESE- PONDWE-24h'!E92)</f>
        <v>1</v>
      </c>
      <c r="F96" s="49">
        <f>AVERAGE('25.10.19 KASESE- PONDWE-24h'!F92)</f>
        <v>0</v>
      </c>
      <c r="G96" s="49">
        <f>AVERAGE('25.10.19 KASESE- PONDWE-24h'!G92)</f>
        <v>0</v>
      </c>
      <c r="H96" s="49">
        <f>AVERAGE('25.10.19 KASESE- PONDWE-24h'!H92)</f>
        <v>0</v>
      </c>
      <c r="I96" s="49">
        <f>AVERAGE('25.10.19 KASESE- PONDWE-24h'!I92)</f>
        <v>0</v>
      </c>
      <c r="J96" s="49">
        <f>AVERAGE('25.10.19 KASESE- PONDWE-24h'!J92)</f>
        <v>0</v>
      </c>
      <c r="K96" s="49">
        <f>AVERAGE('25.10.19 KASESE- PONDWE-24h'!K92)</f>
        <v>0</v>
      </c>
      <c r="L96" s="49">
        <f>AVERAGE('25.10.19 KASESE- PONDWE-24h'!L92)</f>
        <v>0</v>
      </c>
      <c r="M96" s="49">
        <f>AVERAGE('25.10.19 KASESE- PONDWE-24h'!M92)</f>
        <v>1</v>
      </c>
      <c r="N96" s="49">
        <f>AVERAGE('25.10.19 KASESE- PONDWE-24h'!N92)</f>
        <v>0</v>
      </c>
      <c r="O96" s="15">
        <f t="shared" si="35"/>
        <v>1</v>
      </c>
      <c r="P96" s="15">
        <f t="shared" si="36"/>
        <v>2</v>
      </c>
      <c r="R96" s="8"/>
      <c r="T96"/>
    </row>
    <row r="97" spans="2:20" ht="23.1" customHeight="1" x14ac:dyDescent="0.25">
      <c r="B97" s="23" t="s">
        <v>137</v>
      </c>
      <c r="C97" s="49">
        <f>AVERAGE('25.10.19 KASESE- PONDWE-24h'!C93)</f>
        <v>0</v>
      </c>
      <c r="D97" s="49">
        <f>AVERAGE('25.10.19 KASESE- PONDWE-24h'!D93)</f>
        <v>1</v>
      </c>
      <c r="E97" s="49">
        <f>AVERAGE('25.10.19 KASESE- PONDWE-24h'!E93)</f>
        <v>0</v>
      </c>
      <c r="F97" s="49">
        <f>AVERAGE('25.10.19 KASESE- PONDWE-24h'!F93)</f>
        <v>0</v>
      </c>
      <c r="G97" s="49">
        <f>AVERAGE('25.10.19 KASESE- PONDWE-24h'!G93)</f>
        <v>0</v>
      </c>
      <c r="H97" s="49">
        <f>AVERAGE('25.10.19 KASESE- PONDWE-24h'!H93)</f>
        <v>0</v>
      </c>
      <c r="I97" s="49">
        <f>AVERAGE('25.10.19 KASESE- PONDWE-24h'!I93)</f>
        <v>0</v>
      </c>
      <c r="J97" s="49">
        <f>AVERAGE('25.10.19 KASESE- PONDWE-24h'!J93)</f>
        <v>0</v>
      </c>
      <c r="K97" s="49">
        <f>AVERAGE('25.10.19 KASESE- PONDWE-24h'!K93)</f>
        <v>0</v>
      </c>
      <c r="L97" s="49">
        <f>AVERAGE('25.10.19 KASESE- PONDWE-24h'!L93)</f>
        <v>0</v>
      </c>
      <c r="M97" s="49">
        <f>AVERAGE('25.10.19 KASESE- PONDWE-24h'!M93)</f>
        <v>0</v>
      </c>
      <c r="N97" s="49">
        <f>AVERAGE('25.10.19 KASESE- PONDWE-24h'!N93)</f>
        <v>0</v>
      </c>
      <c r="O97" s="15">
        <f t="shared" si="35"/>
        <v>1</v>
      </c>
      <c r="P97" s="15">
        <f t="shared" si="36"/>
        <v>1</v>
      </c>
      <c r="R97" s="8"/>
      <c r="T97"/>
    </row>
    <row r="98" spans="2:20" ht="23.1" customHeight="1" x14ac:dyDescent="0.25">
      <c r="B98" s="24" t="s">
        <v>138</v>
      </c>
      <c r="C98" s="49">
        <f>AVERAGE('25.10.19 KASESE- PONDWE-24h'!C94)</f>
        <v>0</v>
      </c>
      <c r="D98" s="49">
        <f>AVERAGE('25.10.19 KASESE- PONDWE-24h'!D94)</f>
        <v>0</v>
      </c>
      <c r="E98" s="49">
        <f>AVERAGE('25.10.19 KASESE- PONDWE-24h'!E94)</f>
        <v>2</v>
      </c>
      <c r="F98" s="49">
        <f>AVERAGE('25.10.19 KASESE- PONDWE-24h'!F94)</f>
        <v>0</v>
      </c>
      <c r="G98" s="49">
        <f>AVERAGE('25.10.19 KASESE- PONDWE-24h'!G94)</f>
        <v>0</v>
      </c>
      <c r="H98" s="49">
        <f>AVERAGE('25.10.19 KASESE- PONDWE-24h'!H94)</f>
        <v>0</v>
      </c>
      <c r="I98" s="49">
        <f>AVERAGE('25.10.19 KASESE- PONDWE-24h'!I94)</f>
        <v>1</v>
      </c>
      <c r="J98" s="49">
        <f>AVERAGE('25.10.19 KASESE- PONDWE-24h'!J94)</f>
        <v>0</v>
      </c>
      <c r="K98" s="49">
        <f>AVERAGE('25.10.19 KASESE- PONDWE-24h'!K94)</f>
        <v>0</v>
      </c>
      <c r="L98" s="49">
        <f>AVERAGE('25.10.19 KASESE- PONDWE-24h'!L94)</f>
        <v>0</v>
      </c>
      <c r="M98" s="49">
        <f>AVERAGE('25.10.19 KASESE- PONDWE-24h'!M94)</f>
        <v>3</v>
      </c>
      <c r="N98" s="49">
        <f>AVERAGE('25.10.19 KASESE- PONDWE-24h'!N94)</f>
        <v>0</v>
      </c>
      <c r="O98" s="15">
        <f t="shared" si="35"/>
        <v>3</v>
      </c>
      <c r="P98" s="15">
        <f t="shared" si="36"/>
        <v>6</v>
      </c>
      <c r="R98" s="8"/>
      <c r="T98"/>
    </row>
    <row r="99" spans="2:20" ht="23.1" customHeight="1" x14ac:dyDescent="0.25">
      <c r="B99" s="23" t="s">
        <v>139</v>
      </c>
      <c r="C99" s="49">
        <f>AVERAGE('25.10.19 KASESE- PONDWE-24h'!C95)</f>
        <v>2</v>
      </c>
      <c r="D99" s="49">
        <f>AVERAGE('25.10.19 KASESE- PONDWE-24h'!D95)</f>
        <v>0</v>
      </c>
      <c r="E99" s="49">
        <f>AVERAGE('25.10.19 KASESE- PONDWE-24h'!E95)</f>
        <v>0</v>
      </c>
      <c r="F99" s="49">
        <f>AVERAGE('25.10.19 KASESE- PONDWE-24h'!F95)</f>
        <v>0</v>
      </c>
      <c r="G99" s="49">
        <f>AVERAGE('25.10.19 KASESE- PONDWE-24h'!G95)</f>
        <v>0</v>
      </c>
      <c r="H99" s="49">
        <f>AVERAGE('25.10.19 KASESE- PONDWE-24h'!H95)</f>
        <v>0</v>
      </c>
      <c r="I99" s="49">
        <f>AVERAGE('25.10.19 KASESE- PONDWE-24h'!I95)</f>
        <v>0</v>
      </c>
      <c r="J99" s="49">
        <f>AVERAGE('25.10.19 KASESE- PONDWE-24h'!J95)</f>
        <v>0</v>
      </c>
      <c r="K99" s="49">
        <f>AVERAGE('25.10.19 KASESE- PONDWE-24h'!K95)</f>
        <v>0</v>
      </c>
      <c r="L99" s="49">
        <f>AVERAGE('25.10.19 KASESE- PONDWE-24h'!L95)</f>
        <v>0</v>
      </c>
      <c r="M99" s="49">
        <f>AVERAGE('25.10.19 KASESE- PONDWE-24h'!M95)</f>
        <v>0</v>
      </c>
      <c r="N99" s="49">
        <f>AVERAGE('25.10.19 KASESE- PONDWE-24h'!N95)</f>
        <v>0</v>
      </c>
      <c r="O99" s="15">
        <f t="shared" si="35"/>
        <v>2</v>
      </c>
      <c r="P99" s="15">
        <f t="shared" si="36"/>
        <v>2</v>
      </c>
      <c r="R99" s="8"/>
      <c r="T99"/>
    </row>
    <row r="100" spans="2:20" ht="23.1" customHeight="1" x14ac:dyDescent="0.25">
      <c r="B100" s="25" t="s">
        <v>140</v>
      </c>
      <c r="C100" s="49">
        <f>AVERAGE('25.10.19 KASESE- PONDWE-24h'!C96)</f>
        <v>0</v>
      </c>
      <c r="D100" s="49">
        <f>AVERAGE('25.10.19 KASESE- PONDWE-24h'!D96)</f>
        <v>0</v>
      </c>
      <c r="E100" s="49">
        <f>AVERAGE('25.10.19 KASESE- PONDWE-24h'!E96)</f>
        <v>0</v>
      </c>
      <c r="F100" s="49">
        <f>AVERAGE('25.10.19 KASESE- PONDWE-24h'!F96)</f>
        <v>0</v>
      </c>
      <c r="G100" s="49">
        <f>AVERAGE('25.10.19 KASESE- PONDWE-24h'!G96)</f>
        <v>0</v>
      </c>
      <c r="H100" s="49">
        <f>AVERAGE('25.10.19 KASESE- PONDWE-24h'!H96)</f>
        <v>0</v>
      </c>
      <c r="I100" s="49">
        <f>AVERAGE('25.10.19 KASESE- PONDWE-24h'!I96)</f>
        <v>0</v>
      </c>
      <c r="J100" s="49">
        <f>AVERAGE('25.10.19 KASESE- PONDWE-24h'!J96)</f>
        <v>0</v>
      </c>
      <c r="K100" s="49">
        <f>AVERAGE('25.10.19 KASESE- PONDWE-24h'!K96)</f>
        <v>0</v>
      </c>
      <c r="L100" s="49">
        <f>AVERAGE('25.10.19 KASESE- PONDWE-24h'!L96)</f>
        <v>0</v>
      </c>
      <c r="M100" s="49">
        <f>AVERAGE('25.10.19 KASESE- PONDWE-24h'!M96)</f>
        <v>1</v>
      </c>
      <c r="N100" s="49">
        <f>AVERAGE('25.10.19 KASESE- PONDWE-24h'!N96)</f>
        <v>0</v>
      </c>
      <c r="O100" s="15">
        <f t="shared" si="35"/>
        <v>0</v>
      </c>
      <c r="P100" s="15">
        <f t="shared" si="36"/>
        <v>1</v>
      </c>
      <c r="R100" s="8"/>
      <c r="T100"/>
    </row>
    <row r="101" spans="2:20" ht="23.1" customHeight="1" x14ac:dyDescent="0.25">
      <c r="B101" s="23" t="s">
        <v>141</v>
      </c>
      <c r="C101" s="49">
        <f>AVERAGE('25.10.19 KASESE- PONDWE-24h'!C97)</f>
        <v>0</v>
      </c>
      <c r="D101" s="49">
        <f>AVERAGE('25.10.19 KASESE- PONDWE-24h'!D97)</f>
        <v>0</v>
      </c>
      <c r="E101" s="49">
        <f>AVERAGE('25.10.19 KASESE- PONDWE-24h'!E97)</f>
        <v>0</v>
      </c>
      <c r="F101" s="49">
        <f>AVERAGE('25.10.19 KASESE- PONDWE-24h'!F97)</f>
        <v>3</v>
      </c>
      <c r="G101" s="49">
        <f>AVERAGE('25.10.19 KASESE- PONDWE-24h'!G97)</f>
        <v>0</v>
      </c>
      <c r="H101" s="49">
        <f>AVERAGE('25.10.19 KASESE- PONDWE-24h'!H97)</f>
        <v>0</v>
      </c>
      <c r="I101" s="49">
        <f>AVERAGE('25.10.19 KASESE- PONDWE-24h'!I97)</f>
        <v>0</v>
      </c>
      <c r="J101" s="49">
        <f>AVERAGE('25.10.19 KASESE- PONDWE-24h'!J97)</f>
        <v>0</v>
      </c>
      <c r="K101" s="49">
        <f>AVERAGE('25.10.19 KASESE- PONDWE-24h'!K97)</f>
        <v>0</v>
      </c>
      <c r="L101" s="49">
        <f>AVERAGE('25.10.19 KASESE- PONDWE-24h'!L97)</f>
        <v>0</v>
      </c>
      <c r="M101" s="49">
        <f>AVERAGE('25.10.19 KASESE- PONDWE-24h'!M97)</f>
        <v>0</v>
      </c>
      <c r="N101" s="49">
        <f>AVERAGE('25.10.19 KASESE- PONDWE-24h'!N97)</f>
        <v>0</v>
      </c>
      <c r="O101" s="15">
        <f t="shared" si="35"/>
        <v>3</v>
      </c>
      <c r="P101" s="15">
        <f t="shared" si="36"/>
        <v>3</v>
      </c>
      <c r="R101" s="8"/>
      <c r="T101"/>
    </row>
    <row r="102" spans="2:20" ht="23.1" customHeight="1" x14ac:dyDescent="0.25">
      <c r="B102" s="24" t="s">
        <v>142</v>
      </c>
      <c r="C102" s="49">
        <f>AVERAGE('25.10.19 KASESE- PONDWE-24h'!C98)</f>
        <v>3</v>
      </c>
      <c r="D102" s="49">
        <f>AVERAGE('25.10.19 KASESE- PONDWE-24h'!D98)</f>
        <v>0</v>
      </c>
      <c r="E102" s="49">
        <f>AVERAGE('25.10.19 KASESE- PONDWE-24h'!E98)</f>
        <v>0</v>
      </c>
      <c r="F102" s="49">
        <f>AVERAGE('25.10.19 KASESE- PONDWE-24h'!F98)</f>
        <v>0</v>
      </c>
      <c r="G102" s="49">
        <f>AVERAGE('25.10.19 KASESE- PONDWE-24h'!G98)</f>
        <v>0</v>
      </c>
      <c r="H102" s="49">
        <f>AVERAGE('25.10.19 KASESE- PONDWE-24h'!H98)</f>
        <v>0</v>
      </c>
      <c r="I102" s="49">
        <f>AVERAGE('25.10.19 KASESE- PONDWE-24h'!I98)</f>
        <v>0</v>
      </c>
      <c r="J102" s="49">
        <f>AVERAGE('25.10.19 KASESE- PONDWE-24h'!J98)</f>
        <v>1</v>
      </c>
      <c r="K102" s="49">
        <f>AVERAGE('25.10.19 KASESE- PONDWE-24h'!K98)</f>
        <v>0</v>
      </c>
      <c r="L102" s="49">
        <f>AVERAGE('25.10.19 KASESE- PONDWE-24h'!L98)</f>
        <v>0</v>
      </c>
      <c r="M102" s="49">
        <f>AVERAGE('25.10.19 KASESE- PONDWE-24h'!M98)</f>
        <v>1</v>
      </c>
      <c r="N102" s="49">
        <f>AVERAGE('25.10.19 KASESE- PONDWE-24h'!N98)</f>
        <v>0</v>
      </c>
      <c r="O102" s="15">
        <f t="shared" si="35"/>
        <v>4</v>
      </c>
      <c r="P102" s="15">
        <f t="shared" si="36"/>
        <v>5</v>
      </c>
      <c r="R102" s="8"/>
      <c r="T102"/>
    </row>
    <row r="103" spans="2:20" ht="23.1" customHeight="1" x14ac:dyDescent="0.25">
      <c r="B103" s="23" t="s">
        <v>143</v>
      </c>
      <c r="C103" s="49">
        <f>AVERAGE('25.10.19 KASESE- PONDWE-24h'!C99)</f>
        <v>2</v>
      </c>
      <c r="D103" s="49">
        <f>AVERAGE('25.10.19 KASESE- PONDWE-24h'!D99)</f>
        <v>1</v>
      </c>
      <c r="E103" s="49">
        <f>AVERAGE('25.10.19 KASESE- PONDWE-24h'!E99)</f>
        <v>0</v>
      </c>
      <c r="F103" s="49">
        <f>AVERAGE('25.10.19 KASESE- PONDWE-24h'!F99)</f>
        <v>0</v>
      </c>
      <c r="G103" s="49">
        <f>AVERAGE('25.10.19 KASESE- PONDWE-24h'!G99)</f>
        <v>0</v>
      </c>
      <c r="H103" s="49">
        <f>AVERAGE('25.10.19 KASESE- PONDWE-24h'!H99)</f>
        <v>0</v>
      </c>
      <c r="I103" s="49">
        <f>AVERAGE('25.10.19 KASESE- PONDWE-24h'!I99)</f>
        <v>1</v>
      </c>
      <c r="J103" s="49">
        <f>AVERAGE('25.10.19 KASESE- PONDWE-24h'!J99)</f>
        <v>2</v>
      </c>
      <c r="K103" s="49">
        <f>AVERAGE('25.10.19 KASESE- PONDWE-24h'!K99)</f>
        <v>0</v>
      </c>
      <c r="L103" s="49">
        <f>AVERAGE('25.10.19 KASESE- PONDWE-24h'!L99)</f>
        <v>0</v>
      </c>
      <c r="M103" s="49">
        <f>AVERAGE('25.10.19 KASESE- PONDWE-24h'!M99)</f>
        <v>7</v>
      </c>
      <c r="N103" s="49">
        <f>AVERAGE('25.10.19 KASESE- PONDWE-24h'!N99)</f>
        <v>0</v>
      </c>
      <c r="O103" s="15">
        <f t="shared" si="35"/>
        <v>6</v>
      </c>
      <c r="P103" s="15">
        <f t="shared" si="36"/>
        <v>13</v>
      </c>
      <c r="R103" s="8"/>
      <c r="T103"/>
    </row>
    <row r="104" spans="2:20" ht="23.1" customHeight="1" x14ac:dyDescent="0.25">
      <c r="B104" s="25" t="s">
        <v>144</v>
      </c>
      <c r="C104" s="49">
        <f>AVERAGE('25.10.19 KASESE- PONDWE-24h'!C100)</f>
        <v>0</v>
      </c>
      <c r="D104" s="49">
        <f>AVERAGE('25.10.19 KASESE- PONDWE-24h'!D100)</f>
        <v>0</v>
      </c>
      <c r="E104" s="49">
        <f>AVERAGE('25.10.19 KASESE- PONDWE-24h'!E100)</f>
        <v>1</v>
      </c>
      <c r="F104" s="49">
        <f>AVERAGE('25.10.19 KASESE- PONDWE-24h'!F100)</f>
        <v>0</v>
      </c>
      <c r="G104" s="49">
        <f>AVERAGE('25.10.19 KASESE- PONDWE-24h'!G100)</f>
        <v>0</v>
      </c>
      <c r="H104" s="49">
        <f>AVERAGE('25.10.19 KASESE- PONDWE-24h'!H100)</f>
        <v>0</v>
      </c>
      <c r="I104" s="49">
        <f>AVERAGE('25.10.19 KASESE- PONDWE-24h'!I100)</f>
        <v>0</v>
      </c>
      <c r="J104" s="49">
        <f>AVERAGE('25.10.19 KASESE- PONDWE-24h'!J100)</f>
        <v>0</v>
      </c>
      <c r="K104" s="49">
        <f>AVERAGE('25.10.19 KASESE- PONDWE-24h'!K100)</f>
        <v>0</v>
      </c>
      <c r="L104" s="49">
        <f>AVERAGE('25.10.19 KASESE- PONDWE-24h'!L100)</f>
        <v>0</v>
      </c>
      <c r="M104" s="49">
        <f>AVERAGE('25.10.19 KASESE- PONDWE-24h'!M100)</f>
        <v>0</v>
      </c>
      <c r="N104" s="49">
        <f>AVERAGE('25.10.19 KASESE- PONDWE-24h'!N100)</f>
        <v>0</v>
      </c>
      <c r="O104" s="15">
        <f t="shared" si="35"/>
        <v>1</v>
      </c>
      <c r="P104" s="15">
        <f t="shared" si="36"/>
        <v>1</v>
      </c>
      <c r="R104" s="8"/>
      <c r="T104"/>
    </row>
    <row r="105" spans="2:20" ht="23.1" customHeight="1" x14ac:dyDescent="0.25">
      <c r="B105" s="23" t="s">
        <v>145</v>
      </c>
      <c r="C105" s="49">
        <f>AVERAGE('25.10.19 KASESE- PONDWE-24h'!C101)</f>
        <v>1</v>
      </c>
      <c r="D105" s="49">
        <f>AVERAGE('25.10.19 KASESE- PONDWE-24h'!D101)</f>
        <v>0</v>
      </c>
      <c r="E105" s="49">
        <f>AVERAGE('25.10.19 KASESE- PONDWE-24h'!E101)</f>
        <v>0</v>
      </c>
      <c r="F105" s="49">
        <f>AVERAGE('25.10.19 KASESE- PONDWE-24h'!F101)</f>
        <v>0</v>
      </c>
      <c r="G105" s="49">
        <f>AVERAGE('25.10.19 KASESE- PONDWE-24h'!G101)</f>
        <v>0</v>
      </c>
      <c r="H105" s="49">
        <f>AVERAGE('25.10.19 KASESE- PONDWE-24h'!H101)</f>
        <v>0</v>
      </c>
      <c r="I105" s="49">
        <f>AVERAGE('25.10.19 KASESE- PONDWE-24h'!I101)</f>
        <v>0</v>
      </c>
      <c r="J105" s="49">
        <f>AVERAGE('25.10.19 KASESE- PONDWE-24h'!J101)</f>
        <v>0</v>
      </c>
      <c r="K105" s="49">
        <f>AVERAGE('25.10.19 KASESE- PONDWE-24h'!K101)</f>
        <v>0</v>
      </c>
      <c r="L105" s="49">
        <f>AVERAGE('25.10.19 KASESE- PONDWE-24h'!L101)</f>
        <v>0</v>
      </c>
      <c r="M105" s="49">
        <f>AVERAGE('25.10.19 KASESE- PONDWE-24h'!M101)</f>
        <v>0</v>
      </c>
      <c r="N105" s="49">
        <f>AVERAGE('25.10.19 KASESE- PONDWE-24h'!N101)</f>
        <v>0</v>
      </c>
      <c r="O105" s="15">
        <f t="shared" si="35"/>
        <v>1</v>
      </c>
      <c r="P105" s="15">
        <f t="shared" si="36"/>
        <v>1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248</v>
      </c>
      <c r="D106" s="16">
        <f t="shared" ref="D106:P106" si="37">SUM(D10:D105)</f>
        <v>22.333333333333332</v>
      </c>
      <c r="E106" s="16">
        <f t="shared" si="37"/>
        <v>23.333333333333336</v>
      </c>
      <c r="F106" s="16">
        <f t="shared" si="37"/>
        <v>77</v>
      </c>
      <c r="G106" s="16">
        <f t="shared" si="37"/>
        <v>1.3333333333333333</v>
      </c>
      <c r="H106" s="16">
        <f t="shared" si="37"/>
        <v>11.999999999999998</v>
      </c>
      <c r="I106" s="16">
        <f t="shared" si="37"/>
        <v>27.333333333333329</v>
      </c>
      <c r="J106" s="16">
        <f t="shared" si="37"/>
        <v>25.333333333333329</v>
      </c>
      <c r="K106" s="16">
        <f t="shared" si="37"/>
        <v>9.3333333333333321</v>
      </c>
      <c r="L106" s="16">
        <f t="shared" si="37"/>
        <v>25.666666666666664</v>
      </c>
      <c r="M106" s="16">
        <f t="shared" si="37"/>
        <v>2755.333333333333</v>
      </c>
      <c r="N106" s="16">
        <f t="shared" si="37"/>
        <v>0</v>
      </c>
      <c r="O106" s="16">
        <f t="shared" si="37"/>
        <v>471.66666666666663</v>
      </c>
      <c r="P106" s="16">
        <f t="shared" si="37"/>
        <v>3227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7.6851564920979235E-2</v>
      </c>
      <c r="D107" s="43">
        <f t="shared" si="38"/>
        <v>6.920772647453775E-3</v>
      </c>
      <c r="E107" s="43">
        <f t="shared" si="38"/>
        <v>7.2306579898770793E-3</v>
      </c>
      <c r="F107" s="43">
        <f t="shared" si="38"/>
        <v>2.3861171366594359E-2</v>
      </c>
      <c r="G107" s="43">
        <f t="shared" si="38"/>
        <v>4.1318045656440447E-4</v>
      </c>
      <c r="H107" s="43">
        <f t="shared" si="38"/>
        <v>3.7186241090796401E-3</v>
      </c>
      <c r="I107" s="43">
        <f t="shared" si="38"/>
        <v>8.4701993595702914E-3</v>
      </c>
      <c r="J107" s="43">
        <f t="shared" si="38"/>
        <v>7.8504286747236845E-3</v>
      </c>
      <c r="K107" s="43">
        <f t="shared" si="38"/>
        <v>2.892263195950831E-3</v>
      </c>
      <c r="L107" s="43">
        <f t="shared" si="38"/>
        <v>7.9537237888647853E-3</v>
      </c>
      <c r="M107" s="43">
        <f t="shared" si="38"/>
        <v>0.85383741349034181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0.52579505300353357</v>
      </c>
      <c r="D108" s="44">
        <f t="shared" ref="D108:N108" si="39">D106/$O$106</f>
        <v>4.7349823321554768E-2</v>
      </c>
      <c r="E108" s="44">
        <f t="shared" si="39"/>
        <v>4.9469964664310966E-2</v>
      </c>
      <c r="F108" s="44">
        <f t="shared" si="39"/>
        <v>0.16325088339222615</v>
      </c>
      <c r="G108" s="44">
        <f t="shared" si="39"/>
        <v>2.8268551236749115E-3</v>
      </c>
      <c r="H108" s="44">
        <f t="shared" si="39"/>
        <v>2.5441696113074203E-2</v>
      </c>
      <c r="I108" s="44">
        <f t="shared" si="39"/>
        <v>5.7950530035335686E-2</v>
      </c>
      <c r="J108" s="44">
        <f t="shared" si="39"/>
        <v>5.3710247349823319E-2</v>
      </c>
      <c r="K108" s="44">
        <f t="shared" si="39"/>
        <v>1.9787985865724382E-2</v>
      </c>
      <c r="L108" s="44">
        <f t="shared" si="39"/>
        <v>5.4416961130742049E-2</v>
      </c>
      <c r="M108" s="44"/>
      <c r="N108" s="44">
        <f t="shared" si="39"/>
        <v>0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2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N55" zoomScale="60" workbookViewId="0">
      <selection activeCell="AD57" sqref="AD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s">
        <v>177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8" t="s">
        <v>162</v>
      </c>
      <c r="E5" s="69"/>
      <c r="F5" s="41" t="s">
        <v>1</v>
      </c>
      <c r="G5" s="66" t="s">
        <v>165</v>
      </c>
      <c r="H5" s="67"/>
      <c r="I5" s="14"/>
      <c r="J5" s="2" t="s">
        <v>5</v>
      </c>
      <c r="K5" s="66" t="s">
        <v>175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66" t="s">
        <v>164</v>
      </c>
      <c r="E6" s="67"/>
      <c r="F6" s="2" t="s">
        <v>2</v>
      </c>
      <c r="G6" s="66" t="s">
        <v>176</v>
      </c>
      <c r="H6" s="67"/>
      <c r="J6" s="2" t="s">
        <v>21</v>
      </c>
      <c r="K6" s="66" t="s">
        <v>168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AVERAGE('26.10.PONDWE-KASESE'!C10,'27.10 PONDWE-KASESE'!C10,'25.10.19 PONDWE-KASESE-24h'!C10)</f>
        <v>2.3333333333333335</v>
      </c>
      <c r="D10" s="49">
        <f>AVERAGE('26.10.PONDWE-KASESE'!D10,'27.10 PONDWE-KASESE'!D10,'25.10.19 PONDWE-KASESE-24h'!D10)</f>
        <v>0</v>
      </c>
      <c r="E10" s="49">
        <f>AVERAGE('26.10.PONDWE-KASESE'!E10,'27.10 PONDWE-KASESE'!E10,'25.10.19 PONDWE-KASESE-24h'!E10)</f>
        <v>0.33333333333333331</v>
      </c>
      <c r="F10" s="49">
        <f>AVERAGE('26.10.PONDWE-KASESE'!F10,'27.10 PONDWE-KASESE'!F10,'25.10.19 PONDWE-KASESE-24h'!F10)</f>
        <v>0</v>
      </c>
      <c r="G10" s="49">
        <f>AVERAGE('26.10.PONDWE-KASESE'!G10,'27.10 PONDWE-KASESE'!G10,'25.10.19 PONDWE-KASESE-24h'!G10)</f>
        <v>0</v>
      </c>
      <c r="H10" s="49">
        <f>AVERAGE('26.10.PONDWE-KASESE'!H10,'27.10 PONDWE-KASESE'!H10,'25.10.19 PONDWE-KASESE-24h'!H10)</f>
        <v>0</v>
      </c>
      <c r="I10" s="49">
        <f>AVERAGE('26.10.PONDWE-KASESE'!I10,'27.10 PONDWE-KASESE'!I10,'25.10.19 PONDWE-KASESE-24h'!I10)</f>
        <v>0</v>
      </c>
      <c r="J10" s="49">
        <f>AVERAGE('26.10.PONDWE-KASESE'!J10,'27.10 PONDWE-KASESE'!J10,'25.10.19 PONDWE-KASESE-24h'!J10)</f>
        <v>0</v>
      </c>
      <c r="K10" s="49">
        <f>AVERAGE('26.10.PONDWE-KASESE'!K10,'27.10 PONDWE-KASESE'!K10,'25.10.19 PONDWE-KASESE-24h'!K10)</f>
        <v>0</v>
      </c>
      <c r="L10" s="49">
        <f>AVERAGE('26.10.PONDWE-KASESE'!L10,'27.10 PONDWE-KASESE'!L10,'25.10.19 PONDWE-KASESE-24h'!L10)</f>
        <v>0</v>
      </c>
      <c r="M10" s="49">
        <f>AVERAGE('26.10.PONDWE-KASESE'!M10,'27.10 PONDWE-KASESE'!M10,'25.10.19 PONDWE-KASESE-24h'!M10)</f>
        <v>26.333333333333332</v>
      </c>
      <c r="N10" s="49">
        <f>AVERAGE('26.10.PONDWE-KASESE'!N10,'27.10 PONDWE-KASESE'!N10,'25.10.19 PONDWE-KASESE-24h'!N10)</f>
        <v>0</v>
      </c>
      <c r="O10" s="15">
        <f t="shared" ref="O10:O73" si="0">SUM(C10:L10,N10)</f>
        <v>2.666666666666667</v>
      </c>
      <c r="P10" s="15">
        <f t="shared" ref="P10:P73" si="1">SUM(C10:N10)</f>
        <v>29</v>
      </c>
      <c r="R10" s="1" t="s">
        <v>6</v>
      </c>
      <c r="S10" s="17">
        <f t="shared" ref="S10:AF10" si="2">SUM(C10:C13)</f>
        <v>9.6666666666666661</v>
      </c>
      <c r="T10" s="17">
        <f t="shared" si="2"/>
        <v>0</v>
      </c>
      <c r="U10" s="17">
        <f t="shared" si="2"/>
        <v>0.33333333333333331</v>
      </c>
      <c r="V10" s="17">
        <f t="shared" si="2"/>
        <v>1</v>
      </c>
      <c r="W10" s="17">
        <f t="shared" si="2"/>
        <v>0</v>
      </c>
      <c r="X10" s="17">
        <f t="shared" si="2"/>
        <v>1.3333333333333333</v>
      </c>
      <c r="Y10" s="17">
        <f t="shared" si="2"/>
        <v>1</v>
      </c>
      <c r="Z10" s="17">
        <f t="shared" si="2"/>
        <v>0.33333333333333331</v>
      </c>
      <c r="AA10" s="17">
        <f t="shared" si="2"/>
        <v>0</v>
      </c>
      <c r="AB10" s="17">
        <f t="shared" si="2"/>
        <v>0</v>
      </c>
      <c r="AC10" s="17">
        <f t="shared" si="2"/>
        <v>203.66666666666663</v>
      </c>
      <c r="AD10" s="17">
        <f t="shared" si="2"/>
        <v>0</v>
      </c>
      <c r="AE10" s="31">
        <f t="shared" si="2"/>
        <v>13.666666666666668</v>
      </c>
      <c r="AF10" s="31">
        <f t="shared" si="2"/>
        <v>217.33333333333334</v>
      </c>
    </row>
    <row r="11" spans="2:32" s="6" customFormat="1" ht="23.1" customHeight="1" x14ac:dyDescent="0.25">
      <c r="B11" s="23" t="s">
        <v>38</v>
      </c>
      <c r="C11" s="49">
        <f>AVERAGE('26.10.PONDWE-KASESE'!C11,'27.10 PONDWE-KASESE'!C11,'25.10.19 PONDWE-KASESE-24h'!C11)</f>
        <v>2.6666666666666665</v>
      </c>
      <c r="D11" s="49">
        <f>AVERAGE('26.10.PONDWE-KASESE'!D11,'27.10 PONDWE-KASESE'!D11,'25.10.19 PONDWE-KASESE-24h'!D11)</f>
        <v>0</v>
      </c>
      <c r="E11" s="49">
        <f>AVERAGE('26.10.PONDWE-KASESE'!E11,'27.10 PONDWE-KASESE'!E11,'25.10.19 PONDWE-KASESE-24h'!E11)</f>
        <v>0</v>
      </c>
      <c r="F11" s="49">
        <f>AVERAGE('26.10.PONDWE-KASESE'!F11,'27.10 PONDWE-KASESE'!F11,'25.10.19 PONDWE-KASESE-24h'!F11)</f>
        <v>0.33333333333333331</v>
      </c>
      <c r="G11" s="49">
        <f>AVERAGE('26.10.PONDWE-KASESE'!G11,'27.10 PONDWE-KASESE'!G11,'25.10.19 PONDWE-KASESE-24h'!G11)</f>
        <v>0</v>
      </c>
      <c r="H11" s="49">
        <f>AVERAGE('26.10.PONDWE-KASESE'!H11,'27.10 PONDWE-KASESE'!H11,'25.10.19 PONDWE-KASESE-24h'!H11)</f>
        <v>0.33333333333333331</v>
      </c>
      <c r="I11" s="49">
        <f>AVERAGE('26.10.PONDWE-KASESE'!I11,'27.10 PONDWE-KASESE'!I11,'25.10.19 PONDWE-KASESE-24h'!I11)</f>
        <v>0.66666666666666663</v>
      </c>
      <c r="J11" s="49">
        <f>AVERAGE('26.10.PONDWE-KASESE'!J11,'27.10 PONDWE-KASESE'!J11,'25.10.19 PONDWE-KASESE-24h'!J11)</f>
        <v>0</v>
      </c>
      <c r="K11" s="49">
        <f>AVERAGE('26.10.PONDWE-KASESE'!K11,'27.10 PONDWE-KASESE'!K11,'25.10.19 PONDWE-KASESE-24h'!K11)</f>
        <v>0</v>
      </c>
      <c r="L11" s="49">
        <f>AVERAGE('26.10.PONDWE-KASESE'!L11,'27.10 PONDWE-KASESE'!L11,'25.10.19 PONDWE-KASESE-24h'!L11)</f>
        <v>0</v>
      </c>
      <c r="M11" s="49">
        <f>AVERAGE('26.10.PONDWE-KASESE'!M11,'27.10 PONDWE-KASESE'!M11,'25.10.19 PONDWE-KASESE-24h'!M11)</f>
        <v>47</v>
      </c>
      <c r="N11" s="49">
        <f>AVERAGE('26.10.PONDWE-KASESE'!N11,'27.10 PONDWE-KASESE'!N11,'25.10.19 PONDWE-KASESE-24h'!N11)</f>
        <v>0</v>
      </c>
      <c r="O11" s="15">
        <f t="shared" si="0"/>
        <v>4</v>
      </c>
      <c r="P11" s="15">
        <f t="shared" si="1"/>
        <v>51</v>
      </c>
      <c r="R11" s="1" t="s">
        <v>7</v>
      </c>
      <c r="S11" s="17">
        <f t="shared" ref="S11:AF11" si="3">SUM(C14:C17)</f>
        <v>13.666666666666668</v>
      </c>
      <c r="T11" s="17">
        <f t="shared" si="3"/>
        <v>0.66666666666666663</v>
      </c>
      <c r="U11" s="17">
        <f t="shared" si="3"/>
        <v>0.33333333333333331</v>
      </c>
      <c r="V11" s="17">
        <f t="shared" si="3"/>
        <v>0.66666666666666663</v>
      </c>
      <c r="W11" s="17">
        <f t="shared" si="3"/>
        <v>0</v>
      </c>
      <c r="X11" s="17">
        <f t="shared" si="3"/>
        <v>1.6666666666666665</v>
      </c>
      <c r="Y11" s="17">
        <f t="shared" si="3"/>
        <v>1.3333333333333333</v>
      </c>
      <c r="Z11" s="17">
        <f t="shared" si="3"/>
        <v>0.66666666666666663</v>
      </c>
      <c r="AA11" s="17">
        <f t="shared" si="3"/>
        <v>0.33333333333333331</v>
      </c>
      <c r="AB11" s="17">
        <f t="shared" si="3"/>
        <v>0.33333333333333331</v>
      </c>
      <c r="AC11" s="17">
        <f t="shared" si="3"/>
        <v>208.33333333333334</v>
      </c>
      <c r="AD11" s="17">
        <f t="shared" si="3"/>
        <v>0</v>
      </c>
      <c r="AE11" s="31">
        <f t="shared" si="3"/>
        <v>19.666666666666664</v>
      </c>
      <c r="AF11" s="31">
        <f t="shared" si="3"/>
        <v>228</v>
      </c>
    </row>
    <row r="12" spans="2:32" ht="23.1" customHeight="1" x14ac:dyDescent="0.25">
      <c r="B12" s="23" t="s">
        <v>39</v>
      </c>
      <c r="C12" s="49">
        <f>AVERAGE('26.10.PONDWE-KASESE'!C12,'27.10 PONDWE-KASESE'!C12,'25.10.19 PONDWE-KASESE-24h'!C12)</f>
        <v>2.6666666666666665</v>
      </c>
      <c r="D12" s="49">
        <f>AVERAGE('26.10.PONDWE-KASESE'!D12,'27.10 PONDWE-KASESE'!D12,'25.10.19 PONDWE-KASESE-24h'!D12)</f>
        <v>0</v>
      </c>
      <c r="E12" s="49">
        <f>AVERAGE('26.10.PONDWE-KASESE'!E12,'27.10 PONDWE-KASESE'!E12,'25.10.19 PONDWE-KASESE-24h'!E12)</f>
        <v>0</v>
      </c>
      <c r="F12" s="49">
        <f>AVERAGE('26.10.PONDWE-KASESE'!F12,'27.10 PONDWE-KASESE'!F12,'25.10.19 PONDWE-KASESE-24h'!F12)</f>
        <v>0</v>
      </c>
      <c r="G12" s="49">
        <f>AVERAGE('26.10.PONDWE-KASESE'!G12,'27.10 PONDWE-KASESE'!G12,'25.10.19 PONDWE-KASESE-24h'!G12)</f>
        <v>0</v>
      </c>
      <c r="H12" s="49">
        <f>AVERAGE('26.10.PONDWE-KASESE'!H12,'27.10 PONDWE-KASESE'!H12,'25.10.19 PONDWE-KASESE-24h'!H12)</f>
        <v>0.66666666666666663</v>
      </c>
      <c r="I12" s="49">
        <f>AVERAGE('26.10.PONDWE-KASESE'!I12,'27.10 PONDWE-KASESE'!I12,'25.10.19 PONDWE-KASESE-24h'!I12)</f>
        <v>0.33333333333333331</v>
      </c>
      <c r="J12" s="49">
        <f>AVERAGE('26.10.PONDWE-KASESE'!J12,'27.10 PONDWE-KASESE'!J12,'25.10.19 PONDWE-KASESE-24h'!J12)</f>
        <v>0</v>
      </c>
      <c r="K12" s="49">
        <f>AVERAGE('26.10.PONDWE-KASESE'!K12,'27.10 PONDWE-KASESE'!K12,'25.10.19 PONDWE-KASESE-24h'!K12)</f>
        <v>0</v>
      </c>
      <c r="L12" s="49">
        <f>AVERAGE('26.10.PONDWE-KASESE'!L12,'27.10 PONDWE-KASESE'!L12,'25.10.19 PONDWE-KASESE-24h'!L12)</f>
        <v>0</v>
      </c>
      <c r="M12" s="49">
        <f>AVERAGE('26.10.PONDWE-KASESE'!M12,'27.10 PONDWE-KASESE'!M12,'25.10.19 PONDWE-KASESE-24h'!M12)</f>
        <v>63</v>
      </c>
      <c r="N12" s="49">
        <f>AVERAGE('26.10.PONDWE-KASESE'!N12,'27.10 PONDWE-KASESE'!N12,'25.10.19 PONDWE-KASESE-24h'!N12)</f>
        <v>0</v>
      </c>
      <c r="O12" s="15">
        <f t="shared" si="0"/>
        <v>3.6666666666666665</v>
      </c>
      <c r="P12" s="15">
        <f t="shared" si="1"/>
        <v>66.666666666666671</v>
      </c>
      <c r="R12" s="1" t="s">
        <v>8</v>
      </c>
      <c r="S12" s="17">
        <f t="shared" ref="S12:AF12" si="4">SUM(C18:C21)</f>
        <v>14.666666666666666</v>
      </c>
      <c r="T12" s="17">
        <f t="shared" si="4"/>
        <v>0.66666666666666663</v>
      </c>
      <c r="U12" s="17">
        <f t="shared" si="4"/>
        <v>1.9999999999999998</v>
      </c>
      <c r="V12" s="17">
        <f t="shared" si="4"/>
        <v>0.33333333333333331</v>
      </c>
      <c r="W12" s="17">
        <f t="shared" si="4"/>
        <v>0.33333333333333331</v>
      </c>
      <c r="X12" s="17">
        <f t="shared" si="4"/>
        <v>0.66666666666666663</v>
      </c>
      <c r="Y12" s="17">
        <f t="shared" si="4"/>
        <v>2.6666666666666665</v>
      </c>
      <c r="Z12" s="17">
        <f t="shared" si="4"/>
        <v>1.6666666666666665</v>
      </c>
      <c r="AA12" s="17">
        <f t="shared" si="4"/>
        <v>0.33333333333333331</v>
      </c>
      <c r="AB12" s="17">
        <f t="shared" si="4"/>
        <v>2.6666666666666665</v>
      </c>
      <c r="AC12" s="17">
        <f t="shared" si="4"/>
        <v>191.33333333333331</v>
      </c>
      <c r="AD12" s="17">
        <f t="shared" si="4"/>
        <v>0</v>
      </c>
      <c r="AE12" s="31">
        <f t="shared" si="4"/>
        <v>26</v>
      </c>
      <c r="AF12" s="31">
        <f t="shared" si="4"/>
        <v>217.33333333333331</v>
      </c>
    </row>
    <row r="13" spans="2:32" ht="23.1" customHeight="1" x14ac:dyDescent="0.25">
      <c r="B13" s="23" t="s">
        <v>40</v>
      </c>
      <c r="C13" s="49">
        <f>AVERAGE('26.10.PONDWE-KASESE'!C13,'27.10 PONDWE-KASESE'!C13,'25.10.19 PONDWE-KASESE-24h'!C13)</f>
        <v>2</v>
      </c>
      <c r="D13" s="49">
        <f>AVERAGE('26.10.PONDWE-KASESE'!D13,'27.10 PONDWE-KASESE'!D13,'25.10.19 PONDWE-KASESE-24h'!D13)</f>
        <v>0</v>
      </c>
      <c r="E13" s="49">
        <f>AVERAGE('26.10.PONDWE-KASESE'!E13,'27.10 PONDWE-KASESE'!E13,'25.10.19 PONDWE-KASESE-24h'!E13)</f>
        <v>0</v>
      </c>
      <c r="F13" s="49">
        <f>AVERAGE('26.10.PONDWE-KASESE'!F13,'27.10 PONDWE-KASESE'!F13,'25.10.19 PONDWE-KASESE-24h'!F13)</f>
        <v>0.66666666666666663</v>
      </c>
      <c r="G13" s="49">
        <f>AVERAGE('26.10.PONDWE-KASESE'!G13,'27.10 PONDWE-KASESE'!G13,'25.10.19 PONDWE-KASESE-24h'!G13)</f>
        <v>0</v>
      </c>
      <c r="H13" s="49">
        <f>AVERAGE('26.10.PONDWE-KASESE'!H13,'27.10 PONDWE-KASESE'!H13,'25.10.19 PONDWE-KASESE-24h'!H13)</f>
        <v>0.33333333333333331</v>
      </c>
      <c r="I13" s="49">
        <f>AVERAGE('26.10.PONDWE-KASESE'!I13,'27.10 PONDWE-KASESE'!I13,'25.10.19 PONDWE-KASESE-24h'!I13)</f>
        <v>0</v>
      </c>
      <c r="J13" s="49">
        <f>AVERAGE('26.10.PONDWE-KASESE'!J13,'27.10 PONDWE-KASESE'!J13,'25.10.19 PONDWE-KASESE-24h'!J13)</f>
        <v>0.33333333333333331</v>
      </c>
      <c r="K13" s="49">
        <f>AVERAGE('26.10.PONDWE-KASESE'!K13,'27.10 PONDWE-KASESE'!K13,'25.10.19 PONDWE-KASESE-24h'!K13)</f>
        <v>0</v>
      </c>
      <c r="L13" s="49">
        <f>AVERAGE('26.10.PONDWE-KASESE'!L13,'27.10 PONDWE-KASESE'!L13,'25.10.19 PONDWE-KASESE-24h'!L13)</f>
        <v>0</v>
      </c>
      <c r="M13" s="49">
        <f>AVERAGE('26.10.PONDWE-KASESE'!M13,'27.10 PONDWE-KASESE'!M13,'25.10.19 PONDWE-KASESE-24h'!M13)</f>
        <v>67.333333333333329</v>
      </c>
      <c r="N13" s="49">
        <f>AVERAGE('26.10.PONDWE-KASESE'!N13,'27.10 PONDWE-KASESE'!N13,'25.10.19 PONDWE-KASESE-24h'!N13)</f>
        <v>0</v>
      </c>
      <c r="O13" s="15">
        <f t="shared" si="0"/>
        <v>3.3333333333333335</v>
      </c>
      <c r="P13" s="15">
        <f t="shared" si="1"/>
        <v>70.666666666666657</v>
      </c>
      <c r="R13" s="1" t="s">
        <v>9</v>
      </c>
      <c r="S13" s="17">
        <f t="shared" ref="S13:AF13" si="5">SUM(C22:C25)</f>
        <v>14.666666666666668</v>
      </c>
      <c r="T13" s="17">
        <f t="shared" si="5"/>
        <v>0.66666666666666663</v>
      </c>
      <c r="U13" s="17">
        <f t="shared" si="5"/>
        <v>1.6666666666666665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4</v>
      </c>
      <c r="Z13" s="17">
        <f t="shared" si="5"/>
        <v>1</v>
      </c>
      <c r="AA13" s="17">
        <f t="shared" si="5"/>
        <v>0</v>
      </c>
      <c r="AB13" s="17">
        <f t="shared" si="5"/>
        <v>2.666666666666667</v>
      </c>
      <c r="AC13" s="17">
        <f t="shared" si="5"/>
        <v>194.33333333333334</v>
      </c>
      <c r="AD13" s="17">
        <f t="shared" si="5"/>
        <v>0</v>
      </c>
      <c r="AE13" s="31">
        <f t="shared" si="5"/>
        <v>24.666666666666664</v>
      </c>
      <c r="AF13" s="31">
        <f t="shared" si="5"/>
        <v>219</v>
      </c>
    </row>
    <row r="14" spans="2:32" ht="23.1" customHeight="1" x14ac:dyDescent="0.25">
      <c r="B14" s="23" t="s">
        <v>41</v>
      </c>
      <c r="C14" s="49">
        <f>AVERAGE('26.10.PONDWE-KASESE'!C14,'27.10 PONDWE-KASESE'!C14,'25.10.19 PONDWE-KASESE-24h'!C14)</f>
        <v>2.3333333333333335</v>
      </c>
      <c r="D14" s="49">
        <f>AVERAGE('26.10.PONDWE-KASESE'!D14,'27.10 PONDWE-KASESE'!D14,'25.10.19 PONDWE-KASESE-24h'!D14)</f>
        <v>0</v>
      </c>
      <c r="E14" s="49">
        <f>AVERAGE('26.10.PONDWE-KASESE'!E14,'27.10 PONDWE-KASESE'!E14,'25.10.19 PONDWE-KASESE-24h'!E14)</f>
        <v>0</v>
      </c>
      <c r="F14" s="49">
        <f>AVERAGE('26.10.PONDWE-KASESE'!F14,'27.10 PONDWE-KASESE'!F14,'25.10.19 PONDWE-KASESE-24h'!F14)</f>
        <v>0</v>
      </c>
      <c r="G14" s="49">
        <f>AVERAGE('26.10.PONDWE-KASESE'!G14,'27.10 PONDWE-KASESE'!G14,'25.10.19 PONDWE-KASESE-24h'!G14)</f>
        <v>0</v>
      </c>
      <c r="H14" s="49">
        <f>AVERAGE('26.10.PONDWE-KASESE'!H14,'27.10 PONDWE-KASESE'!H14,'25.10.19 PONDWE-KASESE-24h'!H14)</f>
        <v>0.66666666666666663</v>
      </c>
      <c r="I14" s="49">
        <f>AVERAGE('26.10.PONDWE-KASESE'!I14,'27.10 PONDWE-KASESE'!I14,'25.10.19 PONDWE-KASESE-24h'!I14)</f>
        <v>0</v>
      </c>
      <c r="J14" s="49">
        <f>AVERAGE('26.10.PONDWE-KASESE'!J14,'27.10 PONDWE-KASESE'!J14,'25.10.19 PONDWE-KASESE-24h'!J14)</f>
        <v>0</v>
      </c>
      <c r="K14" s="49">
        <f>AVERAGE('26.10.PONDWE-KASESE'!K14,'27.10 PONDWE-KASESE'!K14,'25.10.19 PONDWE-KASESE-24h'!K14)</f>
        <v>0</v>
      </c>
      <c r="L14" s="49">
        <f>AVERAGE('26.10.PONDWE-KASESE'!L14,'27.10 PONDWE-KASESE'!L14,'25.10.19 PONDWE-KASESE-24h'!L14)</f>
        <v>0.33333333333333331</v>
      </c>
      <c r="M14" s="49">
        <f>AVERAGE('26.10.PONDWE-KASESE'!M14,'27.10 PONDWE-KASESE'!M14,'25.10.19 PONDWE-KASESE-24h'!M14)</f>
        <v>61</v>
      </c>
      <c r="N14" s="49">
        <f>AVERAGE('26.10.PONDWE-KASESE'!N14,'27.10 PONDWE-KASESE'!N14,'25.10.19 PONDWE-KASESE-24h'!N14)</f>
        <v>0</v>
      </c>
      <c r="O14" s="15">
        <f t="shared" si="0"/>
        <v>3.3333333333333335</v>
      </c>
      <c r="P14" s="15">
        <f t="shared" si="1"/>
        <v>64.333333333333329</v>
      </c>
      <c r="R14" s="1" t="s">
        <v>10</v>
      </c>
      <c r="S14" s="17">
        <f t="shared" ref="S14:AF14" si="6">SUM(C26:C29)</f>
        <v>27.666666666666664</v>
      </c>
      <c r="T14" s="17">
        <f t="shared" si="6"/>
        <v>1</v>
      </c>
      <c r="U14" s="17">
        <f t="shared" si="6"/>
        <v>1.9999999999999998</v>
      </c>
      <c r="V14" s="17">
        <f t="shared" si="6"/>
        <v>0.33333333333333331</v>
      </c>
      <c r="W14" s="17">
        <f t="shared" si="6"/>
        <v>0.33333333333333331</v>
      </c>
      <c r="X14" s="17">
        <f t="shared" si="6"/>
        <v>1</v>
      </c>
      <c r="Y14" s="17">
        <f t="shared" si="6"/>
        <v>5</v>
      </c>
      <c r="Z14" s="17">
        <f t="shared" si="6"/>
        <v>2</v>
      </c>
      <c r="AA14" s="17">
        <f t="shared" si="6"/>
        <v>0.33333333333333331</v>
      </c>
      <c r="AB14" s="17">
        <f t="shared" si="6"/>
        <v>2.6666666666666665</v>
      </c>
      <c r="AC14" s="17">
        <f t="shared" si="6"/>
        <v>283</v>
      </c>
      <c r="AD14" s="17">
        <f t="shared" si="6"/>
        <v>0</v>
      </c>
      <c r="AE14" s="31">
        <f t="shared" si="6"/>
        <v>42.333333333333336</v>
      </c>
      <c r="AF14" s="31">
        <f t="shared" si="6"/>
        <v>325.33333333333337</v>
      </c>
    </row>
    <row r="15" spans="2:32" ht="23.1" customHeight="1" x14ac:dyDescent="0.25">
      <c r="B15" s="23" t="s">
        <v>42</v>
      </c>
      <c r="C15" s="49">
        <f>AVERAGE('26.10.PONDWE-KASESE'!C15,'27.10 PONDWE-KASESE'!C15,'25.10.19 PONDWE-KASESE-24h'!C15)</f>
        <v>3.3333333333333335</v>
      </c>
      <c r="D15" s="49">
        <f>AVERAGE('26.10.PONDWE-KASESE'!D15,'27.10 PONDWE-KASESE'!D15,'25.10.19 PONDWE-KASESE-24h'!D15)</f>
        <v>0</v>
      </c>
      <c r="E15" s="49">
        <f>AVERAGE('26.10.PONDWE-KASESE'!E15,'27.10 PONDWE-KASESE'!E15,'25.10.19 PONDWE-KASESE-24h'!E15)</f>
        <v>0</v>
      </c>
      <c r="F15" s="49">
        <f>AVERAGE('26.10.PONDWE-KASESE'!F15,'27.10 PONDWE-KASESE'!F15,'25.10.19 PONDWE-KASESE-24h'!F15)</f>
        <v>0.33333333333333331</v>
      </c>
      <c r="G15" s="49">
        <f>AVERAGE('26.10.PONDWE-KASESE'!G15,'27.10 PONDWE-KASESE'!G15,'25.10.19 PONDWE-KASESE-24h'!G15)</f>
        <v>0</v>
      </c>
      <c r="H15" s="49">
        <f>AVERAGE('26.10.PONDWE-KASESE'!H15,'27.10 PONDWE-KASESE'!H15,'25.10.19 PONDWE-KASESE-24h'!H15)</f>
        <v>0.33333333333333331</v>
      </c>
      <c r="I15" s="49">
        <f>AVERAGE('26.10.PONDWE-KASESE'!I15,'27.10 PONDWE-KASESE'!I15,'25.10.19 PONDWE-KASESE-24h'!I15)</f>
        <v>1</v>
      </c>
      <c r="J15" s="49">
        <f>AVERAGE('26.10.PONDWE-KASESE'!J15,'27.10 PONDWE-KASESE'!J15,'25.10.19 PONDWE-KASESE-24h'!J15)</f>
        <v>0</v>
      </c>
      <c r="K15" s="49">
        <f>AVERAGE('26.10.PONDWE-KASESE'!K15,'27.10 PONDWE-KASESE'!K15,'25.10.19 PONDWE-KASESE-24h'!K15)</f>
        <v>0</v>
      </c>
      <c r="L15" s="49">
        <f>AVERAGE('26.10.PONDWE-KASESE'!L15,'27.10 PONDWE-KASESE'!L15,'25.10.19 PONDWE-KASESE-24h'!L15)</f>
        <v>0</v>
      </c>
      <c r="M15" s="49">
        <f>AVERAGE('26.10.PONDWE-KASESE'!M15,'27.10 PONDWE-KASESE'!M15,'25.10.19 PONDWE-KASESE-24h'!M15)</f>
        <v>47.666666666666664</v>
      </c>
      <c r="N15" s="49">
        <f>AVERAGE('26.10.PONDWE-KASESE'!N15,'27.10 PONDWE-KASESE'!N15,'25.10.19 PONDWE-KASESE-24h'!N15)</f>
        <v>0</v>
      </c>
      <c r="O15" s="15">
        <f t="shared" si="0"/>
        <v>5</v>
      </c>
      <c r="P15" s="15">
        <f t="shared" si="1"/>
        <v>52.666666666666664</v>
      </c>
      <c r="R15" s="1" t="s">
        <v>11</v>
      </c>
      <c r="S15" s="17">
        <f t="shared" ref="S15:AF15" si="7">SUM(C30:C33)</f>
        <v>23.666666666666664</v>
      </c>
      <c r="T15" s="17">
        <f t="shared" si="7"/>
        <v>1.6666666666666665</v>
      </c>
      <c r="U15" s="17">
        <f t="shared" si="7"/>
        <v>1.9999999999999998</v>
      </c>
      <c r="V15" s="17">
        <f t="shared" si="7"/>
        <v>0.33333333333333331</v>
      </c>
      <c r="W15" s="17">
        <f t="shared" si="7"/>
        <v>0.33333333333333331</v>
      </c>
      <c r="X15" s="17">
        <f t="shared" si="7"/>
        <v>0.66666666666666663</v>
      </c>
      <c r="Y15" s="17">
        <f t="shared" si="7"/>
        <v>3</v>
      </c>
      <c r="Z15" s="17">
        <f t="shared" si="7"/>
        <v>3</v>
      </c>
      <c r="AA15" s="17">
        <f t="shared" si="7"/>
        <v>0.66666666666666663</v>
      </c>
      <c r="AB15" s="17">
        <f t="shared" si="7"/>
        <v>0.33333333333333331</v>
      </c>
      <c r="AC15" s="17">
        <f t="shared" si="7"/>
        <v>226.00000000000003</v>
      </c>
      <c r="AD15" s="17">
        <f t="shared" si="7"/>
        <v>0</v>
      </c>
      <c r="AE15" s="31">
        <f t="shared" si="7"/>
        <v>35.666666666666671</v>
      </c>
      <c r="AF15" s="31">
        <f t="shared" si="7"/>
        <v>261.66666666666669</v>
      </c>
    </row>
    <row r="16" spans="2:32" ht="23.1" customHeight="1" x14ac:dyDescent="0.25">
      <c r="B16" s="23" t="s">
        <v>43</v>
      </c>
      <c r="C16" s="49">
        <f>AVERAGE('26.10.PONDWE-KASESE'!C16,'27.10 PONDWE-KASESE'!C16,'25.10.19 PONDWE-KASESE-24h'!C16)</f>
        <v>4</v>
      </c>
      <c r="D16" s="49">
        <f>AVERAGE('26.10.PONDWE-KASESE'!D16,'27.10 PONDWE-KASESE'!D16,'25.10.19 PONDWE-KASESE-24h'!D16)</f>
        <v>0.33333333333333331</v>
      </c>
      <c r="E16" s="49">
        <f>AVERAGE('26.10.PONDWE-KASESE'!E16,'27.10 PONDWE-KASESE'!E16,'25.10.19 PONDWE-KASESE-24h'!E16)</f>
        <v>0</v>
      </c>
      <c r="F16" s="49">
        <f>AVERAGE('26.10.PONDWE-KASESE'!F16,'27.10 PONDWE-KASESE'!F16,'25.10.19 PONDWE-KASESE-24h'!F16)</f>
        <v>0</v>
      </c>
      <c r="G16" s="49">
        <f>AVERAGE('26.10.PONDWE-KASESE'!G16,'27.10 PONDWE-KASESE'!G16,'25.10.19 PONDWE-KASESE-24h'!G16)</f>
        <v>0</v>
      </c>
      <c r="H16" s="49">
        <f>AVERAGE('26.10.PONDWE-KASESE'!H16,'27.10 PONDWE-KASESE'!H16,'25.10.19 PONDWE-KASESE-24h'!H16)</f>
        <v>0</v>
      </c>
      <c r="I16" s="49">
        <f>AVERAGE('26.10.PONDWE-KASESE'!I16,'27.10 PONDWE-KASESE'!I16,'25.10.19 PONDWE-KASESE-24h'!I16)</f>
        <v>0.33333333333333331</v>
      </c>
      <c r="J16" s="49">
        <f>AVERAGE('26.10.PONDWE-KASESE'!J16,'27.10 PONDWE-KASESE'!J16,'25.10.19 PONDWE-KASESE-24h'!J16)</f>
        <v>0.33333333333333331</v>
      </c>
      <c r="K16" s="49">
        <f>AVERAGE('26.10.PONDWE-KASESE'!K16,'27.10 PONDWE-KASESE'!K16,'25.10.19 PONDWE-KASESE-24h'!K16)</f>
        <v>0</v>
      </c>
      <c r="L16" s="49">
        <f>AVERAGE('26.10.PONDWE-KASESE'!L16,'27.10 PONDWE-KASESE'!L16,'25.10.19 PONDWE-KASESE-24h'!L16)</f>
        <v>0</v>
      </c>
      <c r="M16" s="49">
        <f>AVERAGE('26.10.PONDWE-KASESE'!M16,'27.10 PONDWE-KASESE'!M16,'25.10.19 PONDWE-KASESE-24h'!M16)</f>
        <v>47.333333333333336</v>
      </c>
      <c r="N16" s="49">
        <f>AVERAGE('26.10.PONDWE-KASESE'!N16,'27.10 PONDWE-KASESE'!N16,'25.10.19 PONDWE-KASESE-24h'!N16)</f>
        <v>0</v>
      </c>
      <c r="O16" s="15">
        <f t="shared" si="0"/>
        <v>4.9999999999999991</v>
      </c>
      <c r="P16" s="15">
        <f t="shared" si="1"/>
        <v>52.333333333333336</v>
      </c>
      <c r="R16" s="1" t="s">
        <v>12</v>
      </c>
      <c r="S16" s="17">
        <f t="shared" ref="S16:AF16" si="8">SUM(C34:C37)</f>
        <v>27.333333333333332</v>
      </c>
      <c r="T16" s="17">
        <f t="shared" si="8"/>
        <v>3</v>
      </c>
      <c r="U16" s="17">
        <f t="shared" si="8"/>
        <v>1.6666666666666665</v>
      </c>
      <c r="V16" s="17">
        <f t="shared" si="8"/>
        <v>1</v>
      </c>
      <c r="W16" s="17">
        <f t="shared" si="8"/>
        <v>0</v>
      </c>
      <c r="X16" s="17">
        <f t="shared" si="8"/>
        <v>1</v>
      </c>
      <c r="Y16" s="17">
        <f t="shared" si="8"/>
        <v>3.3333333333333335</v>
      </c>
      <c r="Z16" s="17">
        <f t="shared" si="8"/>
        <v>2.9999999999999996</v>
      </c>
      <c r="AA16" s="17">
        <f t="shared" si="8"/>
        <v>0.33333333333333331</v>
      </c>
      <c r="AB16" s="17">
        <f t="shared" si="8"/>
        <v>2</v>
      </c>
      <c r="AC16" s="17">
        <f t="shared" si="8"/>
        <v>269.66666666666663</v>
      </c>
      <c r="AD16" s="17">
        <f t="shared" si="8"/>
        <v>0</v>
      </c>
      <c r="AE16" s="31">
        <f t="shared" si="8"/>
        <v>42.666666666666671</v>
      </c>
      <c r="AF16" s="31">
        <f t="shared" si="8"/>
        <v>312.33333333333331</v>
      </c>
    </row>
    <row r="17" spans="2:32" ht="23.1" customHeight="1" x14ac:dyDescent="0.25">
      <c r="B17" s="23" t="s">
        <v>44</v>
      </c>
      <c r="C17" s="49">
        <f>AVERAGE('26.10.PONDWE-KASESE'!C17,'27.10 PONDWE-KASESE'!C17,'25.10.19 PONDWE-KASESE-24h'!C17)</f>
        <v>4</v>
      </c>
      <c r="D17" s="49">
        <f>AVERAGE('26.10.PONDWE-KASESE'!D17,'27.10 PONDWE-KASESE'!D17,'25.10.19 PONDWE-KASESE-24h'!D17)</f>
        <v>0.33333333333333331</v>
      </c>
      <c r="E17" s="49">
        <f>AVERAGE('26.10.PONDWE-KASESE'!E17,'27.10 PONDWE-KASESE'!E17,'25.10.19 PONDWE-KASESE-24h'!E17)</f>
        <v>0.33333333333333331</v>
      </c>
      <c r="F17" s="49">
        <f>AVERAGE('26.10.PONDWE-KASESE'!F17,'27.10 PONDWE-KASESE'!F17,'25.10.19 PONDWE-KASESE-24h'!F17)</f>
        <v>0.33333333333333331</v>
      </c>
      <c r="G17" s="49">
        <f>AVERAGE('26.10.PONDWE-KASESE'!G17,'27.10 PONDWE-KASESE'!G17,'25.10.19 PONDWE-KASESE-24h'!G17)</f>
        <v>0</v>
      </c>
      <c r="H17" s="49">
        <f>AVERAGE('26.10.PONDWE-KASESE'!H17,'27.10 PONDWE-KASESE'!H17,'25.10.19 PONDWE-KASESE-24h'!H17)</f>
        <v>0.66666666666666663</v>
      </c>
      <c r="I17" s="49">
        <f>AVERAGE('26.10.PONDWE-KASESE'!I17,'27.10 PONDWE-KASESE'!I17,'25.10.19 PONDWE-KASESE-24h'!I17)</f>
        <v>0</v>
      </c>
      <c r="J17" s="49">
        <f>AVERAGE('26.10.PONDWE-KASESE'!J17,'27.10 PONDWE-KASESE'!J17,'25.10.19 PONDWE-KASESE-24h'!J17)</f>
        <v>0.33333333333333331</v>
      </c>
      <c r="K17" s="49">
        <f>AVERAGE('26.10.PONDWE-KASESE'!K17,'27.10 PONDWE-KASESE'!K17,'25.10.19 PONDWE-KASESE-24h'!K17)</f>
        <v>0.33333333333333331</v>
      </c>
      <c r="L17" s="49">
        <f>AVERAGE('26.10.PONDWE-KASESE'!L17,'27.10 PONDWE-KASESE'!L17,'25.10.19 PONDWE-KASESE-24h'!L17)</f>
        <v>0</v>
      </c>
      <c r="M17" s="49">
        <f>AVERAGE('26.10.PONDWE-KASESE'!M17,'27.10 PONDWE-KASESE'!M17,'25.10.19 PONDWE-KASESE-24h'!M17)</f>
        <v>52.333333333333336</v>
      </c>
      <c r="N17" s="49">
        <f>AVERAGE('26.10.PONDWE-KASESE'!N17,'27.10 PONDWE-KASESE'!N17,'25.10.19 PONDWE-KASESE-24h'!N17)</f>
        <v>0</v>
      </c>
      <c r="O17" s="15">
        <f t="shared" si="0"/>
        <v>6.3333333333333321</v>
      </c>
      <c r="P17" s="15">
        <f t="shared" si="1"/>
        <v>58.666666666666671</v>
      </c>
      <c r="R17" s="1" t="s">
        <v>13</v>
      </c>
      <c r="S17" s="17">
        <f t="shared" ref="S17:AF17" si="9">SUM(C38:C41)</f>
        <v>23.333333333333332</v>
      </c>
      <c r="T17" s="17">
        <f t="shared" si="9"/>
        <v>1.3333333333333333</v>
      </c>
      <c r="U17" s="17">
        <f t="shared" si="9"/>
        <v>1.3333333333333333</v>
      </c>
      <c r="V17" s="17">
        <f t="shared" si="9"/>
        <v>2.333333333333333</v>
      </c>
      <c r="W17" s="17">
        <f t="shared" si="9"/>
        <v>0</v>
      </c>
      <c r="X17" s="17">
        <f t="shared" si="9"/>
        <v>1.3333333333333333</v>
      </c>
      <c r="Y17" s="17">
        <f t="shared" si="9"/>
        <v>3.3333333333333335</v>
      </c>
      <c r="Z17" s="17">
        <f t="shared" si="9"/>
        <v>1.6666666666666665</v>
      </c>
      <c r="AA17" s="17">
        <f t="shared" si="9"/>
        <v>0.33333333333333331</v>
      </c>
      <c r="AB17" s="17">
        <f t="shared" si="9"/>
        <v>3.333333333333333</v>
      </c>
      <c r="AC17" s="17">
        <f t="shared" si="9"/>
        <v>302.33333333333331</v>
      </c>
      <c r="AD17" s="17">
        <f t="shared" si="9"/>
        <v>0</v>
      </c>
      <c r="AE17" s="31">
        <f t="shared" si="9"/>
        <v>38.333333333333336</v>
      </c>
      <c r="AF17" s="31">
        <f t="shared" si="9"/>
        <v>340.66666666666663</v>
      </c>
    </row>
    <row r="18" spans="2:32" ht="23.1" customHeight="1" x14ac:dyDescent="0.25">
      <c r="B18" s="23" t="s">
        <v>45</v>
      </c>
      <c r="C18" s="49">
        <f>AVERAGE('26.10.PONDWE-KASESE'!C18,'27.10 PONDWE-KASESE'!C18,'25.10.19 PONDWE-KASESE-24h'!C18)</f>
        <v>2.6666666666666665</v>
      </c>
      <c r="D18" s="49">
        <f>AVERAGE('26.10.PONDWE-KASESE'!D18,'27.10 PONDWE-KASESE'!D18,'25.10.19 PONDWE-KASESE-24h'!D18)</f>
        <v>0</v>
      </c>
      <c r="E18" s="49">
        <f>AVERAGE('26.10.PONDWE-KASESE'!E18,'27.10 PONDWE-KASESE'!E18,'25.10.19 PONDWE-KASESE-24h'!E18)</f>
        <v>1</v>
      </c>
      <c r="F18" s="49">
        <f>AVERAGE('26.10.PONDWE-KASESE'!F18,'27.10 PONDWE-KASESE'!F18,'25.10.19 PONDWE-KASESE-24h'!F18)</f>
        <v>0</v>
      </c>
      <c r="G18" s="49">
        <f>AVERAGE('26.10.PONDWE-KASESE'!G18,'27.10 PONDWE-KASESE'!G18,'25.10.19 PONDWE-KASESE-24h'!G18)</f>
        <v>0</v>
      </c>
      <c r="H18" s="49">
        <f>AVERAGE('26.10.PONDWE-KASESE'!H18,'27.10 PONDWE-KASESE'!H18,'25.10.19 PONDWE-KASESE-24h'!H18)</f>
        <v>0</v>
      </c>
      <c r="I18" s="49">
        <f>AVERAGE('26.10.PONDWE-KASESE'!I18,'27.10 PONDWE-KASESE'!I18,'25.10.19 PONDWE-KASESE-24h'!I18)</f>
        <v>0.66666666666666663</v>
      </c>
      <c r="J18" s="49">
        <f>AVERAGE('26.10.PONDWE-KASESE'!J18,'27.10 PONDWE-KASESE'!J18,'25.10.19 PONDWE-KASESE-24h'!J18)</f>
        <v>0</v>
      </c>
      <c r="K18" s="49">
        <f>AVERAGE('26.10.PONDWE-KASESE'!K18,'27.10 PONDWE-KASESE'!K18,'25.10.19 PONDWE-KASESE-24h'!K18)</f>
        <v>0</v>
      </c>
      <c r="L18" s="49">
        <f>AVERAGE('26.10.PONDWE-KASESE'!L18,'27.10 PONDWE-KASESE'!L18,'25.10.19 PONDWE-KASESE-24h'!L18)</f>
        <v>0</v>
      </c>
      <c r="M18" s="49">
        <f>AVERAGE('26.10.PONDWE-KASESE'!M18,'27.10 PONDWE-KASESE'!M18,'25.10.19 PONDWE-KASESE-24h'!M18)</f>
        <v>51.666666666666664</v>
      </c>
      <c r="N18" s="49">
        <f>AVERAGE('26.10.PONDWE-KASESE'!N18,'27.10 PONDWE-KASESE'!N18,'25.10.19 PONDWE-KASESE-24h'!N18)</f>
        <v>0</v>
      </c>
      <c r="O18" s="15">
        <f t="shared" si="0"/>
        <v>4.333333333333333</v>
      </c>
      <c r="P18" s="15">
        <f t="shared" si="1"/>
        <v>56</v>
      </c>
      <c r="R18" s="1" t="s">
        <v>14</v>
      </c>
      <c r="S18" s="17">
        <f t="shared" ref="S18:AF18" si="10">SUM(C42:C45)</f>
        <v>24.666666666666668</v>
      </c>
      <c r="T18" s="17">
        <f t="shared" si="10"/>
        <v>1.6666666666666665</v>
      </c>
      <c r="U18" s="17">
        <f t="shared" si="10"/>
        <v>1.3333333333333333</v>
      </c>
      <c r="V18" s="17">
        <f t="shared" si="10"/>
        <v>4</v>
      </c>
      <c r="W18" s="17">
        <f t="shared" si="10"/>
        <v>0</v>
      </c>
      <c r="X18" s="17">
        <f t="shared" si="10"/>
        <v>0.33333333333333331</v>
      </c>
      <c r="Y18" s="17">
        <f t="shared" si="10"/>
        <v>2.9999999999999996</v>
      </c>
      <c r="Z18" s="17">
        <f t="shared" si="10"/>
        <v>2.6666666666666665</v>
      </c>
      <c r="AA18" s="17">
        <f t="shared" si="10"/>
        <v>0.33333333333333331</v>
      </c>
      <c r="AB18" s="17">
        <f t="shared" si="10"/>
        <v>3.333333333333333</v>
      </c>
      <c r="AC18" s="17">
        <f t="shared" si="10"/>
        <v>278</v>
      </c>
      <c r="AD18" s="17">
        <f t="shared" si="10"/>
        <v>0</v>
      </c>
      <c r="AE18" s="31">
        <f t="shared" si="10"/>
        <v>41.333333333333336</v>
      </c>
      <c r="AF18" s="31">
        <f t="shared" si="10"/>
        <v>319.33333333333337</v>
      </c>
    </row>
    <row r="19" spans="2:32" ht="23.1" customHeight="1" x14ac:dyDescent="0.25">
      <c r="B19" s="23" t="s">
        <v>46</v>
      </c>
      <c r="C19" s="49">
        <f>AVERAGE('26.10.PONDWE-KASESE'!C19,'27.10 PONDWE-KASESE'!C19,'25.10.19 PONDWE-KASESE-24h'!C19)</f>
        <v>4.333333333333333</v>
      </c>
      <c r="D19" s="49">
        <f>AVERAGE('26.10.PONDWE-KASESE'!D19,'27.10 PONDWE-KASESE'!D19,'25.10.19 PONDWE-KASESE-24h'!D19)</f>
        <v>0.33333333333333331</v>
      </c>
      <c r="E19" s="49">
        <f>AVERAGE('26.10.PONDWE-KASESE'!E19,'27.10 PONDWE-KASESE'!E19,'25.10.19 PONDWE-KASESE-24h'!E19)</f>
        <v>0.33333333333333331</v>
      </c>
      <c r="F19" s="49">
        <f>AVERAGE('26.10.PONDWE-KASESE'!F19,'27.10 PONDWE-KASESE'!F19,'25.10.19 PONDWE-KASESE-24h'!F19)</f>
        <v>0.33333333333333331</v>
      </c>
      <c r="G19" s="49">
        <f>AVERAGE('26.10.PONDWE-KASESE'!G19,'27.10 PONDWE-KASESE'!G19,'25.10.19 PONDWE-KASESE-24h'!G19)</f>
        <v>0</v>
      </c>
      <c r="H19" s="49">
        <f>AVERAGE('26.10.PONDWE-KASESE'!H19,'27.10 PONDWE-KASESE'!H19,'25.10.19 PONDWE-KASESE-24h'!H19)</f>
        <v>0</v>
      </c>
      <c r="I19" s="49">
        <f>AVERAGE('26.10.PONDWE-KASESE'!I19,'27.10 PONDWE-KASESE'!I19,'25.10.19 PONDWE-KASESE-24h'!I19)</f>
        <v>0.66666666666666663</v>
      </c>
      <c r="J19" s="49">
        <f>AVERAGE('26.10.PONDWE-KASESE'!J19,'27.10 PONDWE-KASESE'!J19,'25.10.19 PONDWE-KASESE-24h'!J19)</f>
        <v>1</v>
      </c>
      <c r="K19" s="49">
        <f>AVERAGE('26.10.PONDWE-KASESE'!K19,'27.10 PONDWE-KASESE'!K19,'25.10.19 PONDWE-KASESE-24h'!K19)</f>
        <v>0</v>
      </c>
      <c r="L19" s="49">
        <f>AVERAGE('26.10.PONDWE-KASESE'!L19,'27.10 PONDWE-KASESE'!L19,'25.10.19 PONDWE-KASESE-24h'!L19)</f>
        <v>0</v>
      </c>
      <c r="M19" s="49">
        <f>AVERAGE('26.10.PONDWE-KASESE'!M19,'27.10 PONDWE-KASESE'!M19,'25.10.19 PONDWE-KASESE-24h'!M19)</f>
        <v>44.666666666666664</v>
      </c>
      <c r="N19" s="49">
        <f>AVERAGE('26.10.PONDWE-KASESE'!N19,'27.10 PONDWE-KASESE'!N19,'25.10.19 PONDWE-KASESE-24h'!N19)</f>
        <v>0</v>
      </c>
      <c r="O19" s="15">
        <f t="shared" si="0"/>
        <v>6.9999999999999991</v>
      </c>
      <c r="P19" s="15">
        <f t="shared" si="1"/>
        <v>51.666666666666664</v>
      </c>
      <c r="R19" s="1" t="s">
        <v>15</v>
      </c>
      <c r="S19" s="17">
        <f t="shared" ref="S19:AF19" si="11">SUM(C46:C49)</f>
        <v>36.333333333333336</v>
      </c>
      <c r="T19" s="17">
        <f t="shared" si="11"/>
        <v>2.333333333333333</v>
      </c>
      <c r="U19" s="17">
        <f t="shared" si="11"/>
        <v>2</v>
      </c>
      <c r="V19" s="17">
        <f t="shared" si="11"/>
        <v>1.6666666666666665</v>
      </c>
      <c r="W19" s="17">
        <f t="shared" si="11"/>
        <v>0</v>
      </c>
      <c r="X19" s="17">
        <f t="shared" si="11"/>
        <v>0.66666666666666663</v>
      </c>
      <c r="Y19" s="17">
        <f t="shared" si="11"/>
        <v>5.666666666666667</v>
      </c>
      <c r="Z19" s="17">
        <f t="shared" si="11"/>
        <v>2.6666666666666665</v>
      </c>
      <c r="AA19" s="17">
        <f t="shared" si="11"/>
        <v>0.33333333333333331</v>
      </c>
      <c r="AB19" s="17">
        <f t="shared" si="11"/>
        <v>4.3333333333333339</v>
      </c>
      <c r="AC19" s="17">
        <f t="shared" si="11"/>
        <v>285</v>
      </c>
      <c r="AD19" s="17">
        <f t="shared" si="11"/>
        <v>0</v>
      </c>
      <c r="AE19" s="31">
        <f t="shared" si="11"/>
        <v>56.000000000000007</v>
      </c>
      <c r="AF19" s="31">
        <f t="shared" si="11"/>
        <v>341</v>
      </c>
    </row>
    <row r="20" spans="2:32" ht="23.1" customHeight="1" x14ac:dyDescent="0.25">
      <c r="B20" s="23" t="s">
        <v>47</v>
      </c>
      <c r="C20" s="49">
        <f>AVERAGE('26.10.PONDWE-KASESE'!C20,'27.10 PONDWE-KASESE'!C20,'25.10.19 PONDWE-KASESE-24h'!C20)</f>
        <v>4.333333333333333</v>
      </c>
      <c r="D20" s="49">
        <f>AVERAGE('26.10.PONDWE-KASESE'!D20,'27.10 PONDWE-KASESE'!D20,'25.10.19 PONDWE-KASESE-24h'!D20)</f>
        <v>0</v>
      </c>
      <c r="E20" s="49">
        <f>AVERAGE('26.10.PONDWE-KASESE'!E20,'27.10 PONDWE-KASESE'!E20,'25.10.19 PONDWE-KASESE-24h'!E20)</f>
        <v>0.33333333333333331</v>
      </c>
      <c r="F20" s="49">
        <f>AVERAGE('26.10.PONDWE-KASESE'!F20,'27.10 PONDWE-KASESE'!F20,'25.10.19 PONDWE-KASESE-24h'!F20)</f>
        <v>0</v>
      </c>
      <c r="G20" s="49">
        <f>AVERAGE('26.10.PONDWE-KASESE'!G20,'27.10 PONDWE-KASESE'!G20,'25.10.19 PONDWE-KASESE-24h'!G20)</f>
        <v>0</v>
      </c>
      <c r="H20" s="49">
        <f>AVERAGE('26.10.PONDWE-KASESE'!H20,'27.10 PONDWE-KASESE'!H20,'25.10.19 PONDWE-KASESE-24h'!H20)</f>
        <v>0</v>
      </c>
      <c r="I20" s="49">
        <f>AVERAGE('26.10.PONDWE-KASESE'!I20,'27.10 PONDWE-KASESE'!I20,'25.10.19 PONDWE-KASESE-24h'!I20)</f>
        <v>0.66666666666666663</v>
      </c>
      <c r="J20" s="49">
        <f>AVERAGE('26.10.PONDWE-KASESE'!J20,'27.10 PONDWE-KASESE'!J20,'25.10.19 PONDWE-KASESE-24h'!J20)</f>
        <v>0</v>
      </c>
      <c r="K20" s="49">
        <f>AVERAGE('26.10.PONDWE-KASESE'!K20,'27.10 PONDWE-KASESE'!K20,'25.10.19 PONDWE-KASESE-24h'!K20)</f>
        <v>0.33333333333333331</v>
      </c>
      <c r="L20" s="49">
        <f>AVERAGE('26.10.PONDWE-KASESE'!L20,'27.10 PONDWE-KASESE'!L20,'25.10.19 PONDWE-KASESE-24h'!L20)</f>
        <v>2</v>
      </c>
      <c r="M20" s="49">
        <f>AVERAGE('26.10.PONDWE-KASESE'!M20,'27.10 PONDWE-KASESE'!M20,'25.10.19 PONDWE-KASESE-24h'!M20)</f>
        <v>48.333333333333336</v>
      </c>
      <c r="N20" s="49">
        <f>AVERAGE('26.10.PONDWE-KASESE'!N20,'27.10 PONDWE-KASESE'!N20,'25.10.19 PONDWE-KASESE-24h'!N20)</f>
        <v>0</v>
      </c>
      <c r="O20" s="15">
        <f t="shared" si="0"/>
        <v>7.6666666666666661</v>
      </c>
      <c r="P20" s="15">
        <f t="shared" si="1"/>
        <v>56</v>
      </c>
      <c r="R20" s="1" t="s">
        <v>16</v>
      </c>
      <c r="S20" s="17">
        <f t="shared" ref="S20:AF20" si="12">SUM(C50:C53)</f>
        <v>30</v>
      </c>
      <c r="T20" s="17">
        <f t="shared" si="12"/>
        <v>2.333333333333333</v>
      </c>
      <c r="U20" s="17">
        <f t="shared" si="12"/>
        <v>1</v>
      </c>
      <c r="V20" s="17">
        <f t="shared" si="12"/>
        <v>2.9999999999999996</v>
      </c>
      <c r="W20" s="17">
        <f t="shared" si="12"/>
        <v>0</v>
      </c>
      <c r="X20" s="17">
        <f t="shared" si="12"/>
        <v>0</v>
      </c>
      <c r="Y20" s="17">
        <f t="shared" si="12"/>
        <v>3.666666666666667</v>
      </c>
      <c r="Z20" s="17">
        <f t="shared" si="12"/>
        <v>1</v>
      </c>
      <c r="AA20" s="17">
        <f t="shared" si="12"/>
        <v>0.33333333333333331</v>
      </c>
      <c r="AB20" s="17">
        <f t="shared" si="12"/>
        <v>3.6666666666666665</v>
      </c>
      <c r="AC20" s="17">
        <f t="shared" si="12"/>
        <v>258.33333333333331</v>
      </c>
      <c r="AD20" s="17">
        <f t="shared" si="12"/>
        <v>0</v>
      </c>
      <c r="AE20" s="31">
        <f t="shared" si="12"/>
        <v>45</v>
      </c>
      <c r="AF20" s="31">
        <f t="shared" si="12"/>
        <v>303.33333333333337</v>
      </c>
    </row>
    <row r="21" spans="2:32" ht="23.1" customHeight="1" x14ac:dyDescent="0.25">
      <c r="B21" s="23" t="s">
        <v>48</v>
      </c>
      <c r="C21" s="49">
        <f>AVERAGE('26.10.PONDWE-KASESE'!C21,'27.10 PONDWE-KASESE'!C21,'25.10.19 PONDWE-KASESE-24h'!C21)</f>
        <v>3.3333333333333335</v>
      </c>
      <c r="D21" s="49">
        <f>AVERAGE('26.10.PONDWE-KASESE'!D21,'27.10 PONDWE-KASESE'!D21,'25.10.19 PONDWE-KASESE-24h'!D21)</f>
        <v>0.33333333333333331</v>
      </c>
      <c r="E21" s="49">
        <f>AVERAGE('26.10.PONDWE-KASESE'!E21,'27.10 PONDWE-KASESE'!E21,'25.10.19 PONDWE-KASESE-24h'!E21)</f>
        <v>0.33333333333333331</v>
      </c>
      <c r="F21" s="49">
        <f>AVERAGE('26.10.PONDWE-KASESE'!F21,'27.10 PONDWE-KASESE'!F21,'25.10.19 PONDWE-KASESE-24h'!F21)</f>
        <v>0</v>
      </c>
      <c r="G21" s="49">
        <f>AVERAGE('26.10.PONDWE-KASESE'!G21,'27.10 PONDWE-KASESE'!G21,'25.10.19 PONDWE-KASESE-24h'!G21)</f>
        <v>0.33333333333333331</v>
      </c>
      <c r="H21" s="49">
        <f>AVERAGE('26.10.PONDWE-KASESE'!H21,'27.10 PONDWE-KASESE'!H21,'25.10.19 PONDWE-KASESE-24h'!H21)</f>
        <v>0.66666666666666663</v>
      </c>
      <c r="I21" s="49">
        <f>AVERAGE('26.10.PONDWE-KASESE'!I21,'27.10 PONDWE-KASESE'!I21,'25.10.19 PONDWE-KASESE-24h'!I21)</f>
        <v>0.66666666666666663</v>
      </c>
      <c r="J21" s="49">
        <f>AVERAGE('26.10.PONDWE-KASESE'!J21,'27.10 PONDWE-KASESE'!J21,'25.10.19 PONDWE-KASESE-24h'!J21)</f>
        <v>0.66666666666666663</v>
      </c>
      <c r="K21" s="49">
        <f>AVERAGE('26.10.PONDWE-KASESE'!K21,'27.10 PONDWE-KASESE'!K21,'25.10.19 PONDWE-KASESE-24h'!K21)</f>
        <v>0</v>
      </c>
      <c r="L21" s="49">
        <f>AVERAGE('26.10.PONDWE-KASESE'!L21,'27.10 PONDWE-KASESE'!L21,'25.10.19 PONDWE-KASESE-24h'!L21)</f>
        <v>0.66666666666666663</v>
      </c>
      <c r="M21" s="49">
        <f>AVERAGE('26.10.PONDWE-KASESE'!M21,'27.10 PONDWE-KASESE'!M21,'25.10.19 PONDWE-KASESE-24h'!M21)</f>
        <v>46.666666666666664</v>
      </c>
      <c r="N21" s="49">
        <f>AVERAGE('26.10.PONDWE-KASESE'!N21,'27.10 PONDWE-KASESE'!N21,'25.10.19 PONDWE-KASESE-24h'!N21)</f>
        <v>0</v>
      </c>
      <c r="O21" s="15">
        <f t="shared" si="0"/>
        <v>7.0000000000000009</v>
      </c>
      <c r="P21" s="15">
        <f t="shared" si="1"/>
        <v>53.666666666666664</v>
      </c>
      <c r="R21" s="36" t="s">
        <v>20</v>
      </c>
      <c r="S21" s="34">
        <f t="shared" ref="S21:AF21" si="13">SUM(C54:C57)</f>
        <v>30.666666666666664</v>
      </c>
      <c r="T21" s="17">
        <f t="shared" si="13"/>
        <v>0.66666666666666663</v>
      </c>
      <c r="U21" s="17">
        <f t="shared" si="13"/>
        <v>0.66666666666666663</v>
      </c>
      <c r="V21" s="17">
        <f t="shared" si="13"/>
        <v>3</v>
      </c>
      <c r="W21" s="17">
        <f t="shared" si="13"/>
        <v>0</v>
      </c>
      <c r="X21" s="17">
        <f t="shared" si="13"/>
        <v>0.33333333333333331</v>
      </c>
      <c r="Y21" s="17">
        <f t="shared" si="13"/>
        <v>3.333333333333333</v>
      </c>
      <c r="Z21" s="17">
        <f t="shared" si="13"/>
        <v>3.333333333333333</v>
      </c>
      <c r="AA21" s="17">
        <f t="shared" si="13"/>
        <v>0.33333333333333331</v>
      </c>
      <c r="AB21" s="17">
        <f t="shared" si="13"/>
        <v>2.333333333333333</v>
      </c>
      <c r="AC21" s="17">
        <f t="shared" si="13"/>
        <v>349</v>
      </c>
      <c r="AD21" s="17">
        <f t="shared" si="13"/>
        <v>0</v>
      </c>
      <c r="AE21" s="31">
        <f t="shared" si="13"/>
        <v>44.666666666666664</v>
      </c>
      <c r="AF21" s="31">
        <f t="shared" si="13"/>
        <v>393.66666666666663</v>
      </c>
    </row>
    <row r="22" spans="2:32" ht="23.1" customHeight="1" x14ac:dyDescent="0.25">
      <c r="B22" s="23" t="s">
        <v>49</v>
      </c>
      <c r="C22" s="49">
        <f>AVERAGE('26.10.PONDWE-KASESE'!C22,'27.10 PONDWE-KASESE'!C22,'25.10.19 PONDWE-KASESE-24h'!C22)</f>
        <v>3.6666666666666665</v>
      </c>
      <c r="D22" s="49">
        <f>AVERAGE('26.10.PONDWE-KASESE'!D22,'27.10 PONDWE-KASESE'!D22,'25.10.19 PONDWE-KASESE-24h'!D22)</f>
        <v>0</v>
      </c>
      <c r="E22" s="49">
        <f>AVERAGE('26.10.PONDWE-KASESE'!E22,'27.10 PONDWE-KASESE'!E22,'25.10.19 PONDWE-KASESE-24h'!E22)</f>
        <v>0.66666666666666663</v>
      </c>
      <c r="F22" s="49">
        <f>AVERAGE('26.10.PONDWE-KASESE'!F22,'27.10 PONDWE-KASESE'!F22,'25.10.19 PONDWE-KASESE-24h'!F22)</f>
        <v>0</v>
      </c>
      <c r="G22" s="49">
        <f>AVERAGE('26.10.PONDWE-KASESE'!G22,'27.10 PONDWE-KASESE'!G22,'25.10.19 PONDWE-KASESE-24h'!G22)</f>
        <v>0</v>
      </c>
      <c r="H22" s="49">
        <f>AVERAGE('26.10.PONDWE-KASESE'!H22,'27.10 PONDWE-KASESE'!H22,'25.10.19 PONDWE-KASESE-24h'!H22)</f>
        <v>0</v>
      </c>
      <c r="I22" s="49">
        <f>AVERAGE('26.10.PONDWE-KASESE'!I22,'27.10 PONDWE-KASESE'!I22,'25.10.19 PONDWE-KASESE-24h'!I22)</f>
        <v>0</v>
      </c>
      <c r="J22" s="49">
        <f>AVERAGE('26.10.PONDWE-KASESE'!J22,'27.10 PONDWE-KASESE'!J22,'25.10.19 PONDWE-KASESE-24h'!J22)</f>
        <v>0</v>
      </c>
      <c r="K22" s="49">
        <f>AVERAGE('26.10.PONDWE-KASESE'!K22,'27.10 PONDWE-KASESE'!K22,'25.10.19 PONDWE-KASESE-24h'!K22)</f>
        <v>0</v>
      </c>
      <c r="L22" s="49">
        <f>AVERAGE('26.10.PONDWE-KASESE'!L22,'27.10 PONDWE-KASESE'!L22,'25.10.19 PONDWE-KASESE-24h'!L22)</f>
        <v>0</v>
      </c>
      <c r="M22" s="49">
        <f>AVERAGE('26.10.PONDWE-KASESE'!M22,'27.10 PONDWE-KASESE'!M22,'25.10.19 PONDWE-KASESE-24h'!M22)</f>
        <v>43.333333333333336</v>
      </c>
      <c r="N22" s="49">
        <f>AVERAGE('26.10.PONDWE-KASESE'!N22,'27.10 PONDWE-KASESE'!N22,'25.10.19 PONDWE-KASESE-24h'!N22)</f>
        <v>0</v>
      </c>
      <c r="O22" s="15">
        <f t="shared" si="0"/>
        <v>4.333333333333333</v>
      </c>
      <c r="P22" s="15">
        <f t="shared" si="1"/>
        <v>47.666666666666671</v>
      </c>
      <c r="R22" s="1" t="s">
        <v>146</v>
      </c>
      <c r="S22" s="34">
        <f>SUM(C58:C61)</f>
        <v>36</v>
      </c>
      <c r="T22" s="34">
        <f t="shared" ref="T22:AF22" si="14">SUM(D58:D61)</f>
        <v>3</v>
      </c>
      <c r="U22" s="34">
        <f t="shared" si="14"/>
        <v>1</v>
      </c>
      <c r="V22" s="34">
        <f t="shared" si="14"/>
        <v>5</v>
      </c>
      <c r="W22" s="34">
        <f t="shared" si="14"/>
        <v>1</v>
      </c>
      <c r="X22" s="34">
        <f t="shared" si="14"/>
        <v>3</v>
      </c>
      <c r="Y22" s="34">
        <f t="shared" si="14"/>
        <v>5</v>
      </c>
      <c r="Z22" s="34">
        <f t="shared" si="14"/>
        <v>4</v>
      </c>
      <c r="AA22" s="34">
        <f t="shared" si="14"/>
        <v>0</v>
      </c>
      <c r="AB22" s="34">
        <f t="shared" si="14"/>
        <v>3</v>
      </c>
      <c r="AC22" s="34">
        <f t="shared" si="14"/>
        <v>361</v>
      </c>
      <c r="AD22" s="34">
        <f t="shared" si="14"/>
        <v>0</v>
      </c>
      <c r="AE22" s="31">
        <f t="shared" si="14"/>
        <v>61</v>
      </c>
      <c r="AF22" s="31">
        <f t="shared" si="14"/>
        <v>422</v>
      </c>
    </row>
    <row r="23" spans="2:32" ht="23.1" customHeight="1" x14ac:dyDescent="0.25">
      <c r="B23" s="23" t="s">
        <v>50</v>
      </c>
      <c r="C23" s="49">
        <f>AVERAGE('26.10.PONDWE-KASESE'!C23,'27.10 PONDWE-KASESE'!C23,'25.10.19 PONDWE-KASESE-24h'!C23)</f>
        <v>4.333333333333333</v>
      </c>
      <c r="D23" s="49">
        <f>AVERAGE('26.10.PONDWE-KASESE'!D23,'27.10 PONDWE-KASESE'!D23,'25.10.19 PONDWE-KASESE-24h'!D23)</f>
        <v>0</v>
      </c>
      <c r="E23" s="49">
        <f>AVERAGE('26.10.PONDWE-KASESE'!E23,'27.10 PONDWE-KASESE'!E23,'25.10.19 PONDWE-KASESE-24h'!E23)</f>
        <v>0.33333333333333331</v>
      </c>
      <c r="F23" s="49">
        <f>AVERAGE('26.10.PONDWE-KASESE'!F23,'27.10 PONDWE-KASESE'!F23,'25.10.19 PONDWE-KASESE-24h'!F23)</f>
        <v>0</v>
      </c>
      <c r="G23" s="49">
        <f>AVERAGE('26.10.PONDWE-KASESE'!G23,'27.10 PONDWE-KASESE'!G23,'25.10.19 PONDWE-KASESE-24h'!G23)</f>
        <v>0</v>
      </c>
      <c r="H23" s="49">
        <f>AVERAGE('26.10.PONDWE-KASESE'!H23,'27.10 PONDWE-KASESE'!H23,'25.10.19 PONDWE-KASESE-24h'!H23)</f>
        <v>0</v>
      </c>
      <c r="I23" s="49">
        <f>AVERAGE('26.10.PONDWE-KASESE'!I23,'27.10 PONDWE-KASESE'!I23,'25.10.19 PONDWE-KASESE-24h'!I23)</f>
        <v>1</v>
      </c>
      <c r="J23" s="49">
        <f>AVERAGE('26.10.PONDWE-KASESE'!J23,'27.10 PONDWE-KASESE'!J23,'25.10.19 PONDWE-KASESE-24h'!J23)</f>
        <v>0.66666666666666663</v>
      </c>
      <c r="K23" s="49">
        <f>AVERAGE('26.10.PONDWE-KASESE'!K23,'27.10 PONDWE-KASESE'!K23,'25.10.19 PONDWE-KASESE-24h'!K23)</f>
        <v>0</v>
      </c>
      <c r="L23" s="49">
        <f>AVERAGE('26.10.PONDWE-KASESE'!L23,'27.10 PONDWE-KASESE'!L23,'25.10.19 PONDWE-KASESE-24h'!L23)</f>
        <v>0</v>
      </c>
      <c r="M23" s="49">
        <f>AVERAGE('26.10.PONDWE-KASESE'!M23,'27.10 PONDWE-KASESE'!M23,'25.10.19 PONDWE-KASESE-24h'!M23)</f>
        <v>47</v>
      </c>
      <c r="N23" s="49">
        <f>AVERAGE('26.10.PONDWE-KASESE'!N23,'27.10 PONDWE-KASESE'!N23,'25.10.19 PONDWE-KASESE-24h'!N23)</f>
        <v>0</v>
      </c>
      <c r="O23" s="15">
        <f t="shared" si="0"/>
        <v>6.333333333333333</v>
      </c>
      <c r="P23" s="15">
        <f t="shared" si="1"/>
        <v>53.333333333333336</v>
      </c>
      <c r="R23" s="1" t="s">
        <v>147</v>
      </c>
      <c r="S23" s="34">
        <f>SUM(C62:C65)</f>
        <v>22</v>
      </c>
      <c r="T23" s="34">
        <f t="shared" ref="T23:AF23" si="15">SUM(D62:D65)</f>
        <v>1</v>
      </c>
      <c r="U23" s="34">
        <f t="shared" si="15"/>
        <v>0</v>
      </c>
      <c r="V23" s="34">
        <f t="shared" si="15"/>
        <v>0</v>
      </c>
      <c r="W23" s="34">
        <f t="shared" si="15"/>
        <v>0</v>
      </c>
      <c r="X23" s="34">
        <f t="shared" si="15"/>
        <v>3</v>
      </c>
      <c r="Y23" s="34">
        <f t="shared" si="15"/>
        <v>1</v>
      </c>
      <c r="Z23" s="34">
        <f t="shared" si="15"/>
        <v>4</v>
      </c>
      <c r="AA23" s="34">
        <f t="shared" si="15"/>
        <v>0</v>
      </c>
      <c r="AB23" s="34">
        <f t="shared" si="15"/>
        <v>0</v>
      </c>
      <c r="AC23" s="34">
        <f t="shared" si="15"/>
        <v>156</v>
      </c>
      <c r="AD23" s="34">
        <f t="shared" si="15"/>
        <v>0</v>
      </c>
      <c r="AE23" s="31">
        <f t="shared" si="15"/>
        <v>31</v>
      </c>
      <c r="AF23" s="31">
        <f t="shared" si="15"/>
        <v>187</v>
      </c>
    </row>
    <row r="24" spans="2:32" ht="23.1" customHeight="1" x14ac:dyDescent="0.25">
      <c r="B24" s="23" t="s">
        <v>51</v>
      </c>
      <c r="C24" s="49">
        <f>AVERAGE('26.10.PONDWE-KASESE'!C24,'27.10 PONDWE-KASESE'!C24,'25.10.19 PONDWE-KASESE-24h'!C24)</f>
        <v>3.3333333333333335</v>
      </c>
      <c r="D24" s="49">
        <f>AVERAGE('26.10.PONDWE-KASESE'!D24,'27.10 PONDWE-KASESE'!D24,'25.10.19 PONDWE-KASESE-24h'!D24)</f>
        <v>0.66666666666666663</v>
      </c>
      <c r="E24" s="49">
        <f>AVERAGE('26.10.PONDWE-KASESE'!E24,'27.10 PONDWE-KASESE'!E24,'25.10.19 PONDWE-KASESE-24h'!E24)</f>
        <v>0</v>
      </c>
      <c r="F24" s="49">
        <f>AVERAGE('26.10.PONDWE-KASESE'!F24,'27.10 PONDWE-KASESE'!F24,'25.10.19 PONDWE-KASESE-24h'!F24)</f>
        <v>0</v>
      </c>
      <c r="G24" s="49">
        <f>AVERAGE('26.10.PONDWE-KASESE'!G24,'27.10 PONDWE-KASESE'!G24,'25.10.19 PONDWE-KASESE-24h'!G24)</f>
        <v>0</v>
      </c>
      <c r="H24" s="49">
        <f>AVERAGE('26.10.PONDWE-KASESE'!H24,'27.10 PONDWE-KASESE'!H24,'25.10.19 PONDWE-KASESE-24h'!H24)</f>
        <v>0</v>
      </c>
      <c r="I24" s="49">
        <f>AVERAGE('26.10.PONDWE-KASESE'!I24,'27.10 PONDWE-KASESE'!I24,'25.10.19 PONDWE-KASESE-24h'!I24)</f>
        <v>1.6666666666666667</v>
      </c>
      <c r="J24" s="49">
        <f>AVERAGE('26.10.PONDWE-KASESE'!J24,'27.10 PONDWE-KASESE'!J24,'25.10.19 PONDWE-KASESE-24h'!J24)</f>
        <v>0.33333333333333331</v>
      </c>
      <c r="K24" s="49">
        <f>AVERAGE('26.10.PONDWE-KASESE'!K24,'27.10 PONDWE-KASESE'!K24,'25.10.19 PONDWE-KASESE-24h'!K24)</f>
        <v>0</v>
      </c>
      <c r="L24" s="49">
        <f>AVERAGE('26.10.PONDWE-KASESE'!L24,'27.10 PONDWE-KASESE'!L24,'25.10.19 PONDWE-KASESE-24h'!L24)</f>
        <v>1</v>
      </c>
      <c r="M24" s="49">
        <f>AVERAGE('26.10.PONDWE-KASESE'!M24,'27.10 PONDWE-KASESE'!M24,'25.10.19 PONDWE-KASESE-24h'!M24)</f>
        <v>53.333333333333336</v>
      </c>
      <c r="N24" s="49">
        <f>AVERAGE('26.10.PONDWE-KASESE'!N24,'27.10 PONDWE-KASESE'!N24,'25.10.19 PONDWE-KASESE-24h'!N24)</f>
        <v>0</v>
      </c>
      <c r="O24" s="15">
        <f t="shared" si="0"/>
        <v>7</v>
      </c>
      <c r="P24" s="15">
        <f t="shared" si="1"/>
        <v>60.333333333333336</v>
      </c>
      <c r="R24" s="1" t="s">
        <v>148</v>
      </c>
      <c r="S24" s="34">
        <f>SUM(C66:C69)</f>
        <v>12</v>
      </c>
      <c r="T24" s="34">
        <f t="shared" ref="T24:AF24" si="16">SUM(D66:D69)</f>
        <v>0</v>
      </c>
      <c r="U24" s="34">
        <f t="shared" si="16"/>
        <v>0</v>
      </c>
      <c r="V24" s="34">
        <f t="shared" si="16"/>
        <v>0</v>
      </c>
      <c r="W24" s="34">
        <f t="shared" si="16"/>
        <v>0</v>
      </c>
      <c r="X24" s="34">
        <f t="shared" si="16"/>
        <v>1</v>
      </c>
      <c r="Y24" s="34">
        <f t="shared" si="16"/>
        <v>1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46</v>
      </c>
      <c r="AD24" s="34">
        <f t="shared" si="16"/>
        <v>0</v>
      </c>
      <c r="AE24" s="31">
        <f t="shared" si="16"/>
        <v>14</v>
      </c>
      <c r="AF24" s="31">
        <f t="shared" si="16"/>
        <v>60</v>
      </c>
    </row>
    <row r="25" spans="2:32" ht="23.1" customHeight="1" x14ac:dyDescent="0.25">
      <c r="B25" s="23" t="s">
        <v>52</v>
      </c>
      <c r="C25" s="49">
        <f>AVERAGE('26.10.PONDWE-KASESE'!C25,'27.10 PONDWE-KASESE'!C25,'25.10.19 PONDWE-KASESE-24h'!C25)</f>
        <v>3.3333333333333335</v>
      </c>
      <c r="D25" s="49">
        <f>AVERAGE('26.10.PONDWE-KASESE'!D25,'27.10 PONDWE-KASESE'!D25,'25.10.19 PONDWE-KASESE-24h'!D25)</f>
        <v>0</v>
      </c>
      <c r="E25" s="49">
        <f>AVERAGE('26.10.PONDWE-KASESE'!E25,'27.10 PONDWE-KASESE'!E25,'25.10.19 PONDWE-KASESE-24h'!E25)</f>
        <v>0.66666666666666663</v>
      </c>
      <c r="F25" s="49">
        <f>AVERAGE('26.10.PONDWE-KASESE'!F25,'27.10 PONDWE-KASESE'!F25,'25.10.19 PONDWE-KASESE-24h'!F25)</f>
        <v>0</v>
      </c>
      <c r="G25" s="49">
        <f>AVERAGE('26.10.PONDWE-KASESE'!G25,'27.10 PONDWE-KASESE'!G25,'25.10.19 PONDWE-KASESE-24h'!G25)</f>
        <v>0</v>
      </c>
      <c r="H25" s="49">
        <f>AVERAGE('26.10.PONDWE-KASESE'!H25,'27.10 PONDWE-KASESE'!H25,'25.10.19 PONDWE-KASESE-24h'!H25)</f>
        <v>0</v>
      </c>
      <c r="I25" s="49">
        <f>AVERAGE('26.10.PONDWE-KASESE'!I25,'27.10 PONDWE-KASESE'!I25,'25.10.19 PONDWE-KASESE-24h'!I25)</f>
        <v>1.3333333333333333</v>
      </c>
      <c r="J25" s="49">
        <f>AVERAGE('26.10.PONDWE-KASESE'!J25,'27.10 PONDWE-KASESE'!J25,'25.10.19 PONDWE-KASESE-24h'!J25)</f>
        <v>0</v>
      </c>
      <c r="K25" s="49">
        <f>AVERAGE('26.10.PONDWE-KASESE'!K25,'27.10 PONDWE-KASESE'!K25,'25.10.19 PONDWE-KASESE-24h'!K25)</f>
        <v>0</v>
      </c>
      <c r="L25" s="49">
        <f>AVERAGE('26.10.PONDWE-KASESE'!L25,'27.10 PONDWE-KASESE'!L25,'25.10.19 PONDWE-KASESE-24h'!L25)</f>
        <v>1.6666666666666667</v>
      </c>
      <c r="M25" s="49">
        <f>AVERAGE('26.10.PONDWE-KASESE'!M25,'27.10 PONDWE-KASESE'!M25,'25.10.19 PONDWE-KASESE-24h'!M25)</f>
        <v>50.666666666666664</v>
      </c>
      <c r="N25" s="49">
        <f>AVERAGE('26.10.PONDWE-KASESE'!N25,'27.10 PONDWE-KASESE'!N25,'25.10.19 PONDWE-KASESE-24h'!N25)</f>
        <v>0</v>
      </c>
      <c r="O25" s="15">
        <f t="shared" si="0"/>
        <v>7</v>
      </c>
      <c r="P25" s="15">
        <f t="shared" si="1"/>
        <v>57.666666666666664</v>
      </c>
      <c r="R25" s="1" t="s">
        <v>149</v>
      </c>
      <c r="S25" s="34">
        <f>SUM(C70:C73)</f>
        <v>11</v>
      </c>
      <c r="T25" s="34">
        <f t="shared" ref="T25:AF25" si="17">SUM(D70:D73)</f>
        <v>0</v>
      </c>
      <c r="U25" s="34">
        <f t="shared" si="17"/>
        <v>1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34</v>
      </c>
      <c r="AD25" s="34">
        <f t="shared" si="17"/>
        <v>0</v>
      </c>
      <c r="AE25" s="31">
        <f t="shared" si="17"/>
        <v>12</v>
      </c>
      <c r="AF25" s="31">
        <f t="shared" si="17"/>
        <v>46</v>
      </c>
    </row>
    <row r="26" spans="2:32" ht="23.1" customHeight="1" x14ac:dyDescent="0.25">
      <c r="B26" s="23" t="s">
        <v>53</v>
      </c>
      <c r="C26" s="49">
        <f>AVERAGE('26.10.PONDWE-KASESE'!C26,'27.10 PONDWE-KASESE'!C26,'25.10.19 PONDWE-KASESE-24h'!C26)</f>
        <v>5</v>
      </c>
      <c r="D26" s="49">
        <f>AVERAGE('26.10.PONDWE-KASESE'!D26,'27.10 PONDWE-KASESE'!D26,'25.10.19 PONDWE-KASESE-24h'!D26)</f>
        <v>0.66666666666666663</v>
      </c>
      <c r="E26" s="49">
        <f>AVERAGE('26.10.PONDWE-KASESE'!E26,'27.10 PONDWE-KASESE'!E26,'25.10.19 PONDWE-KASESE-24h'!E26)</f>
        <v>0.33333333333333331</v>
      </c>
      <c r="F26" s="49">
        <f>AVERAGE('26.10.PONDWE-KASESE'!F26,'27.10 PONDWE-KASESE'!F26,'25.10.19 PONDWE-KASESE-24h'!F26)</f>
        <v>0</v>
      </c>
      <c r="G26" s="49">
        <f>AVERAGE('26.10.PONDWE-KASESE'!G26,'27.10 PONDWE-KASESE'!G26,'25.10.19 PONDWE-KASESE-24h'!G26)</f>
        <v>0.33333333333333331</v>
      </c>
      <c r="H26" s="49">
        <f>AVERAGE('26.10.PONDWE-KASESE'!H26,'27.10 PONDWE-KASESE'!H26,'25.10.19 PONDWE-KASESE-24h'!H26)</f>
        <v>0</v>
      </c>
      <c r="I26" s="49">
        <f>AVERAGE('26.10.PONDWE-KASESE'!I26,'27.10 PONDWE-KASESE'!I26,'25.10.19 PONDWE-KASESE-24h'!I26)</f>
        <v>1.6666666666666667</v>
      </c>
      <c r="J26" s="49">
        <f>AVERAGE('26.10.PONDWE-KASESE'!J26,'27.10 PONDWE-KASESE'!J26,'25.10.19 PONDWE-KASESE-24h'!J26)</f>
        <v>1.6666666666666667</v>
      </c>
      <c r="K26" s="49">
        <f>AVERAGE('26.10.PONDWE-KASESE'!K26,'27.10 PONDWE-KASESE'!K26,'25.10.19 PONDWE-KASESE-24h'!K26)</f>
        <v>0.33333333333333331</v>
      </c>
      <c r="L26" s="49">
        <f>AVERAGE('26.10.PONDWE-KASESE'!L26,'27.10 PONDWE-KASESE'!L26,'25.10.19 PONDWE-KASESE-24h'!L26)</f>
        <v>0.66666666666666663</v>
      </c>
      <c r="M26" s="49">
        <f>AVERAGE('26.10.PONDWE-KASESE'!M26,'27.10 PONDWE-KASESE'!M26,'25.10.19 PONDWE-KASESE-24h'!M26)</f>
        <v>69</v>
      </c>
      <c r="N26" s="49">
        <f>AVERAGE('26.10.PONDWE-KASESE'!N26,'27.10 PONDWE-KASESE'!N26,'25.10.19 PONDWE-KASESE-24h'!N26)</f>
        <v>0</v>
      </c>
      <c r="O26" s="15">
        <f t="shared" si="0"/>
        <v>10.666666666666666</v>
      </c>
      <c r="P26" s="15">
        <f t="shared" si="1"/>
        <v>79.666666666666671</v>
      </c>
      <c r="R26" s="1" t="s">
        <v>150</v>
      </c>
      <c r="S26" s="34">
        <f>SUM(C74:C77)</f>
        <v>0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16</v>
      </c>
      <c r="AD26" s="34">
        <f t="shared" si="18"/>
        <v>0</v>
      </c>
      <c r="AE26" s="31">
        <f t="shared" si="18"/>
        <v>0</v>
      </c>
      <c r="AF26" s="31">
        <f t="shared" si="18"/>
        <v>16</v>
      </c>
    </row>
    <row r="27" spans="2:32" ht="23.1" customHeight="1" x14ac:dyDescent="0.25">
      <c r="B27" s="23" t="s">
        <v>54</v>
      </c>
      <c r="C27" s="49">
        <f>AVERAGE('26.10.PONDWE-KASESE'!C27,'27.10 PONDWE-KASESE'!C27,'25.10.19 PONDWE-KASESE-24h'!C27)</f>
        <v>5.333333333333333</v>
      </c>
      <c r="D27" s="49">
        <f>AVERAGE('26.10.PONDWE-KASESE'!D27,'27.10 PONDWE-KASESE'!D27,'25.10.19 PONDWE-KASESE-24h'!D27)</f>
        <v>0.33333333333333331</v>
      </c>
      <c r="E27" s="49">
        <f>AVERAGE('26.10.PONDWE-KASESE'!E27,'27.10 PONDWE-KASESE'!E27,'25.10.19 PONDWE-KASESE-24h'!E27)</f>
        <v>0</v>
      </c>
      <c r="F27" s="49">
        <f>AVERAGE('26.10.PONDWE-KASESE'!F27,'27.10 PONDWE-KASESE'!F27,'25.10.19 PONDWE-KASESE-24h'!F27)</f>
        <v>0.33333333333333331</v>
      </c>
      <c r="G27" s="49">
        <f>AVERAGE('26.10.PONDWE-KASESE'!G27,'27.10 PONDWE-KASESE'!G27,'25.10.19 PONDWE-KASESE-24h'!G27)</f>
        <v>0</v>
      </c>
      <c r="H27" s="49">
        <f>AVERAGE('26.10.PONDWE-KASESE'!H27,'27.10 PONDWE-KASESE'!H27,'25.10.19 PONDWE-KASESE-24h'!H27)</f>
        <v>0.33333333333333331</v>
      </c>
      <c r="I27" s="49">
        <f>AVERAGE('26.10.PONDWE-KASESE'!I27,'27.10 PONDWE-KASESE'!I27,'25.10.19 PONDWE-KASESE-24h'!I27)</f>
        <v>1.3333333333333333</v>
      </c>
      <c r="J27" s="49">
        <f>AVERAGE('26.10.PONDWE-KASESE'!J27,'27.10 PONDWE-KASESE'!J27,'25.10.19 PONDWE-KASESE-24h'!J27)</f>
        <v>0</v>
      </c>
      <c r="K27" s="49">
        <f>AVERAGE('26.10.PONDWE-KASESE'!K27,'27.10 PONDWE-KASESE'!K27,'25.10.19 PONDWE-KASESE-24h'!K27)</f>
        <v>0</v>
      </c>
      <c r="L27" s="49">
        <f>AVERAGE('26.10.PONDWE-KASESE'!L27,'27.10 PONDWE-KASESE'!L27,'25.10.19 PONDWE-KASESE-24h'!L27)</f>
        <v>0.66666666666666663</v>
      </c>
      <c r="M27" s="49">
        <f>AVERAGE('26.10.PONDWE-KASESE'!M27,'27.10 PONDWE-KASESE'!M27,'25.10.19 PONDWE-KASESE-24h'!M27)</f>
        <v>92</v>
      </c>
      <c r="N27" s="49">
        <f>AVERAGE('26.10.PONDWE-KASESE'!N27,'27.10 PONDWE-KASESE'!N27,'25.10.19 PONDWE-KASESE-24h'!N27)</f>
        <v>0</v>
      </c>
      <c r="O27" s="15">
        <f t="shared" si="0"/>
        <v>8.3333333333333321</v>
      </c>
      <c r="P27" s="15">
        <f t="shared" si="1"/>
        <v>100.33333333333333</v>
      </c>
      <c r="R27" s="1" t="s">
        <v>151</v>
      </c>
      <c r="S27" s="34">
        <f>SUM(C78:C81)</f>
        <v>1</v>
      </c>
      <c r="T27" s="34">
        <f t="shared" ref="T27:AF27" si="19">SUM(D78:D81)</f>
        <v>1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14</v>
      </c>
      <c r="AD27" s="34">
        <f t="shared" si="19"/>
        <v>0</v>
      </c>
      <c r="AE27" s="31">
        <f t="shared" si="19"/>
        <v>2</v>
      </c>
      <c r="AF27" s="31">
        <f t="shared" si="19"/>
        <v>16</v>
      </c>
    </row>
    <row r="28" spans="2:32" ht="23.1" customHeight="1" x14ac:dyDescent="0.25">
      <c r="B28" s="23" t="s">
        <v>55</v>
      </c>
      <c r="C28" s="49">
        <f>AVERAGE('26.10.PONDWE-KASESE'!C28,'27.10 PONDWE-KASESE'!C28,'25.10.19 PONDWE-KASESE-24h'!C28)</f>
        <v>10.333333333333334</v>
      </c>
      <c r="D28" s="49">
        <f>AVERAGE('26.10.PONDWE-KASESE'!D28,'27.10 PONDWE-KASESE'!D28,'25.10.19 PONDWE-KASESE-24h'!D28)</f>
        <v>0</v>
      </c>
      <c r="E28" s="49">
        <f>AVERAGE('26.10.PONDWE-KASESE'!E28,'27.10 PONDWE-KASESE'!E28,'25.10.19 PONDWE-KASESE-24h'!E28)</f>
        <v>1.3333333333333333</v>
      </c>
      <c r="F28" s="49">
        <f>AVERAGE('26.10.PONDWE-KASESE'!F28,'27.10 PONDWE-KASESE'!F28,'25.10.19 PONDWE-KASESE-24h'!F28)</f>
        <v>0</v>
      </c>
      <c r="G28" s="49">
        <f>AVERAGE('26.10.PONDWE-KASESE'!G28,'27.10 PONDWE-KASESE'!G28,'25.10.19 PONDWE-KASESE-24h'!G28)</f>
        <v>0</v>
      </c>
      <c r="H28" s="49">
        <f>AVERAGE('26.10.PONDWE-KASESE'!H28,'27.10 PONDWE-KASESE'!H28,'25.10.19 PONDWE-KASESE-24h'!H28)</f>
        <v>0.66666666666666663</v>
      </c>
      <c r="I28" s="49">
        <f>AVERAGE('26.10.PONDWE-KASESE'!I28,'27.10 PONDWE-KASESE'!I28,'25.10.19 PONDWE-KASESE-24h'!I28)</f>
        <v>0.66666666666666663</v>
      </c>
      <c r="J28" s="49">
        <f>AVERAGE('26.10.PONDWE-KASESE'!J28,'27.10 PONDWE-KASESE'!J28,'25.10.19 PONDWE-KASESE-24h'!J28)</f>
        <v>0.33333333333333331</v>
      </c>
      <c r="K28" s="49">
        <f>AVERAGE('26.10.PONDWE-KASESE'!K28,'27.10 PONDWE-KASESE'!K28,'25.10.19 PONDWE-KASESE-24h'!K28)</f>
        <v>0</v>
      </c>
      <c r="L28" s="49">
        <f>AVERAGE('26.10.PONDWE-KASESE'!L28,'27.10 PONDWE-KASESE'!L28,'25.10.19 PONDWE-KASESE-24h'!L28)</f>
        <v>1.3333333333333333</v>
      </c>
      <c r="M28" s="49">
        <f>AVERAGE('26.10.PONDWE-KASESE'!M28,'27.10 PONDWE-KASESE'!M28,'25.10.19 PONDWE-KASESE-24h'!M28)</f>
        <v>75</v>
      </c>
      <c r="N28" s="49">
        <f>AVERAGE('26.10.PONDWE-KASESE'!N28,'27.10 PONDWE-KASESE'!N28,'25.10.19 PONDWE-KASESE-24h'!N28)</f>
        <v>0</v>
      </c>
      <c r="O28" s="15">
        <f t="shared" si="0"/>
        <v>14.666666666666668</v>
      </c>
      <c r="P28" s="15">
        <f t="shared" si="1"/>
        <v>89.666666666666671</v>
      </c>
      <c r="R28" s="1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7</v>
      </c>
      <c r="AD28" s="34">
        <f t="shared" si="20"/>
        <v>0</v>
      </c>
      <c r="AE28" s="31">
        <f t="shared" si="20"/>
        <v>1</v>
      </c>
      <c r="AF28" s="31">
        <f t="shared" si="20"/>
        <v>8</v>
      </c>
    </row>
    <row r="29" spans="2:32" ht="23.1" customHeight="1" x14ac:dyDescent="0.25">
      <c r="B29" s="23" t="s">
        <v>56</v>
      </c>
      <c r="C29" s="49">
        <f>AVERAGE('26.10.PONDWE-KASESE'!C29,'27.10 PONDWE-KASESE'!C29,'25.10.19 PONDWE-KASESE-24h'!C29)</f>
        <v>7</v>
      </c>
      <c r="D29" s="49">
        <f>AVERAGE('26.10.PONDWE-KASESE'!D29,'27.10 PONDWE-KASESE'!D29,'25.10.19 PONDWE-KASESE-24h'!D29)</f>
        <v>0</v>
      </c>
      <c r="E29" s="49">
        <f>AVERAGE('26.10.PONDWE-KASESE'!E29,'27.10 PONDWE-KASESE'!E29,'25.10.19 PONDWE-KASESE-24h'!E29)</f>
        <v>0.33333333333333331</v>
      </c>
      <c r="F29" s="49">
        <f>AVERAGE('26.10.PONDWE-KASESE'!F29,'27.10 PONDWE-KASESE'!F29,'25.10.19 PONDWE-KASESE-24h'!F29)</f>
        <v>0</v>
      </c>
      <c r="G29" s="49">
        <f>AVERAGE('26.10.PONDWE-KASESE'!G29,'27.10 PONDWE-KASESE'!G29,'25.10.19 PONDWE-KASESE-24h'!G29)</f>
        <v>0</v>
      </c>
      <c r="H29" s="49">
        <f>AVERAGE('26.10.PONDWE-KASESE'!H29,'27.10 PONDWE-KASESE'!H29,'25.10.19 PONDWE-KASESE-24h'!H29)</f>
        <v>0</v>
      </c>
      <c r="I29" s="49">
        <f>AVERAGE('26.10.PONDWE-KASESE'!I29,'27.10 PONDWE-KASESE'!I29,'25.10.19 PONDWE-KASESE-24h'!I29)</f>
        <v>1.3333333333333333</v>
      </c>
      <c r="J29" s="49">
        <f>AVERAGE('26.10.PONDWE-KASESE'!J29,'27.10 PONDWE-KASESE'!J29,'25.10.19 PONDWE-KASESE-24h'!J29)</f>
        <v>0</v>
      </c>
      <c r="K29" s="49">
        <f>AVERAGE('26.10.PONDWE-KASESE'!K29,'27.10 PONDWE-KASESE'!K29,'25.10.19 PONDWE-KASESE-24h'!K29)</f>
        <v>0</v>
      </c>
      <c r="L29" s="49">
        <f>AVERAGE('26.10.PONDWE-KASESE'!L29,'27.10 PONDWE-KASESE'!L29,'25.10.19 PONDWE-KASESE-24h'!L29)</f>
        <v>0</v>
      </c>
      <c r="M29" s="49">
        <f>AVERAGE('26.10.PONDWE-KASESE'!M29,'27.10 PONDWE-KASESE'!M29,'25.10.19 PONDWE-KASESE-24h'!M29)</f>
        <v>47</v>
      </c>
      <c r="N29" s="49">
        <f>AVERAGE('26.10.PONDWE-KASESE'!N29,'27.10 PONDWE-KASESE'!N29,'25.10.19 PONDWE-KASESE-24h'!N29)</f>
        <v>0</v>
      </c>
      <c r="O29" s="15">
        <f t="shared" si="0"/>
        <v>8.6666666666666661</v>
      </c>
      <c r="P29" s="15">
        <f t="shared" si="1"/>
        <v>55.666666666666664</v>
      </c>
      <c r="R29" s="1" t="s">
        <v>153</v>
      </c>
      <c r="S29" s="34">
        <f>SUM(C86:C89)</f>
        <v>2</v>
      </c>
      <c r="T29" s="34">
        <f t="shared" ref="T29:AF29" si="21">SUM(D86:D89)</f>
        <v>1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7</v>
      </c>
      <c r="AD29" s="34">
        <f t="shared" si="21"/>
        <v>0</v>
      </c>
      <c r="AE29" s="31">
        <f t="shared" si="21"/>
        <v>3</v>
      </c>
      <c r="AF29" s="31">
        <f t="shared" si="21"/>
        <v>10</v>
      </c>
    </row>
    <row r="30" spans="2:32" ht="23.1" customHeight="1" x14ac:dyDescent="0.25">
      <c r="B30" s="23" t="s">
        <v>57</v>
      </c>
      <c r="C30" s="49">
        <f>AVERAGE('26.10.PONDWE-KASESE'!C30,'27.10 PONDWE-KASESE'!C30,'25.10.19 PONDWE-KASESE-24h'!C30)</f>
        <v>6.333333333333333</v>
      </c>
      <c r="D30" s="49">
        <f>AVERAGE('26.10.PONDWE-KASESE'!D30,'27.10 PONDWE-KASESE'!D30,'25.10.19 PONDWE-KASESE-24h'!D30)</f>
        <v>0</v>
      </c>
      <c r="E30" s="49">
        <f>AVERAGE('26.10.PONDWE-KASESE'!E30,'27.10 PONDWE-KASESE'!E30,'25.10.19 PONDWE-KASESE-24h'!E30)</f>
        <v>0</v>
      </c>
      <c r="F30" s="49">
        <f>AVERAGE('26.10.PONDWE-KASESE'!F30,'27.10 PONDWE-KASESE'!F30,'25.10.19 PONDWE-KASESE-24h'!F30)</f>
        <v>0.33333333333333331</v>
      </c>
      <c r="G30" s="49">
        <f>AVERAGE('26.10.PONDWE-KASESE'!G30,'27.10 PONDWE-KASESE'!G30,'25.10.19 PONDWE-KASESE-24h'!G30)</f>
        <v>0.33333333333333331</v>
      </c>
      <c r="H30" s="49">
        <f>AVERAGE('26.10.PONDWE-KASESE'!H30,'27.10 PONDWE-KASESE'!H30,'25.10.19 PONDWE-KASESE-24h'!H30)</f>
        <v>0</v>
      </c>
      <c r="I30" s="49">
        <f>AVERAGE('26.10.PONDWE-KASESE'!I30,'27.10 PONDWE-KASESE'!I30,'25.10.19 PONDWE-KASESE-24h'!I30)</f>
        <v>1</v>
      </c>
      <c r="J30" s="49">
        <f>AVERAGE('26.10.PONDWE-KASESE'!J30,'27.10 PONDWE-KASESE'!J30,'25.10.19 PONDWE-KASESE-24h'!J30)</f>
        <v>0.66666666666666663</v>
      </c>
      <c r="K30" s="49">
        <f>AVERAGE('26.10.PONDWE-KASESE'!K30,'27.10 PONDWE-KASESE'!K30,'25.10.19 PONDWE-KASESE-24h'!K30)</f>
        <v>0</v>
      </c>
      <c r="L30" s="49">
        <f>AVERAGE('26.10.PONDWE-KASESE'!L30,'27.10 PONDWE-KASESE'!L30,'25.10.19 PONDWE-KASESE-24h'!L30)</f>
        <v>0</v>
      </c>
      <c r="M30" s="49">
        <f>AVERAGE('26.10.PONDWE-KASESE'!M30,'27.10 PONDWE-KASESE'!M30,'25.10.19 PONDWE-KASESE-24h'!M30)</f>
        <v>48.666666666666664</v>
      </c>
      <c r="N30" s="49">
        <f>AVERAGE('26.10.PONDWE-KASESE'!N30,'27.10 PONDWE-KASESE'!N30,'25.10.19 PONDWE-KASESE-24h'!N30)</f>
        <v>0</v>
      </c>
      <c r="O30" s="15">
        <f t="shared" si="0"/>
        <v>8.6666666666666661</v>
      </c>
      <c r="P30" s="15">
        <f t="shared" si="1"/>
        <v>57.333333333333329</v>
      </c>
      <c r="R30" s="1" t="s">
        <v>154</v>
      </c>
      <c r="S30" s="34">
        <f>SUM(C90:C93)</f>
        <v>1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34</v>
      </c>
      <c r="AD30" s="34">
        <f t="shared" si="22"/>
        <v>0</v>
      </c>
      <c r="AE30" s="31">
        <f t="shared" si="22"/>
        <v>1</v>
      </c>
      <c r="AF30" s="31">
        <f t="shared" si="22"/>
        <v>35</v>
      </c>
    </row>
    <row r="31" spans="2:32" ht="23.1" customHeight="1" x14ac:dyDescent="0.25">
      <c r="B31" s="24" t="s">
        <v>58</v>
      </c>
      <c r="C31" s="49">
        <f>AVERAGE('26.10.PONDWE-KASESE'!C31,'27.10 PONDWE-KASESE'!C31,'25.10.19 PONDWE-KASESE-24h'!C31)</f>
        <v>4</v>
      </c>
      <c r="D31" s="49">
        <f>AVERAGE('26.10.PONDWE-KASESE'!D31,'27.10 PONDWE-KASESE'!D31,'25.10.19 PONDWE-KASESE-24h'!D31)</f>
        <v>0.66666666666666663</v>
      </c>
      <c r="E31" s="49">
        <f>AVERAGE('26.10.PONDWE-KASESE'!E31,'27.10 PONDWE-KASESE'!E31,'25.10.19 PONDWE-KASESE-24h'!E31)</f>
        <v>1</v>
      </c>
      <c r="F31" s="49">
        <f>AVERAGE('26.10.PONDWE-KASESE'!F31,'27.10 PONDWE-KASESE'!F31,'25.10.19 PONDWE-KASESE-24h'!F31)</f>
        <v>0</v>
      </c>
      <c r="G31" s="49">
        <f>AVERAGE('26.10.PONDWE-KASESE'!G31,'27.10 PONDWE-KASESE'!G31,'25.10.19 PONDWE-KASESE-24h'!G31)</f>
        <v>0</v>
      </c>
      <c r="H31" s="49">
        <f>AVERAGE('26.10.PONDWE-KASESE'!H31,'27.10 PONDWE-KASESE'!H31,'25.10.19 PONDWE-KASESE-24h'!H31)</f>
        <v>0.66666666666666663</v>
      </c>
      <c r="I31" s="49">
        <f>AVERAGE('26.10.PONDWE-KASESE'!I31,'27.10 PONDWE-KASESE'!I31,'25.10.19 PONDWE-KASESE-24h'!I31)</f>
        <v>1</v>
      </c>
      <c r="J31" s="49">
        <f>AVERAGE('26.10.PONDWE-KASESE'!J31,'27.10 PONDWE-KASESE'!J31,'25.10.19 PONDWE-KASESE-24h'!J31)</f>
        <v>1</v>
      </c>
      <c r="K31" s="49">
        <f>AVERAGE('26.10.PONDWE-KASESE'!K31,'27.10 PONDWE-KASESE'!K31,'25.10.19 PONDWE-KASESE-24h'!K31)</f>
        <v>0</v>
      </c>
      <c r="L31" s="49">
        <f>AVERAGE('26.10.PONDWE-KASESE'!L31,'27.10 PONDWE-KASESE'!L31,'25.10.19 PONDWE-KASESE-24h'!L31)</f>
        <v>0.33333333333333331</v>
      </c>
      <c r="M31" s="49">
        <f>AVERAGE('26.10.PONDWE-KASESE'!M31,'27.10 PONDWE-KASESE'!M31,'25.10.19 PONDWE-KASESE-24h'!M31)</f>
        <v>64.666666666666671</v>
      </c>
      <c r="N31" s="49">
        <f>AVERAGE('26.10.PONDWE-KASESE'!N31,'27.10 PONDWE-KASESE'!N31,'25.10.19 PONDWE-KASESE-24h'!N31)</f>
        <v>0</v>
      </c>
      <c r="O31" s="15">
        <f t="shared" si="0"/>
        <v>8.6666666666666679</v>
      </c>
      <c r="P31" s="15">
        <f t="shared" si="1"/>
        <v>73.333333333333343</v>
      </c>
      <c r="R31" s="1" t="s">
        <v>155</v>
      </c>
      <c r="S31" s="34">
        <f>SUM(C94:C97)</f>
        <v>1</v>
      </c>
      <c r="T31" s="34">
        <f t="shared" ref="T31:AF31" si="23">SUM(D94:D97)</f>
        <v>0</v>
      </c>
      <c r="U31" s="34">
        <f t="shared" si="23"/>
        <v>1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8</v>
      </c>
      <c r="AD31" s="34">
        <f t="shared" si="23"/>
        <v>0</v>
      </c>
      <c r="AE31" s="31">
        <f t="shared" si="23"/>
        <v>2</v>
      </c>
      <c r="AF31" s="31">
        <f t="shared" si="23"/>
        <v>10</v>
      </c>
    </row>
    <row r="32" spans="2:32" ht="23.1" customHeight="1" x14ac:dyDescent="0.25">
      <c r="B32" s="24" t="s">
        <v>59</v>
      </c>
      <c r="C32" s="49">
        <f>AVERAGE('26.10.PONDWE-KASESE'!C32,'27.10 PONDWE-KASESE'!C32,'25.10.19 PONDWE-KASESE-24h'!C32)</f>
        <v>7</v>
      </c>
      <c r="D32" s="49">
        <f>AVERAGE('26.10.PONDWE-KASESE'!D32,'27.10 PONDWE-KASESE'!D32,'25.10.19 PONDWE-KASESE-24h'!D32)</f>
        <v>0.33333333333333331</v>
      </c>
      <c r="E32" s="49">
        <f>AVERAGE('26.10.PONDWE-KASESE'!E32,'27.10 PONDWE-KASESE'!E32,'25.10.19 PONDWE-KASESE-24h'!E32)</f>
        <v>0.66666666666666663</v>
      </c>
      <c r="F32" s="49">
        <f>AVERAGE('26.10.PONDWE-KASESE'!F32,'27.10 PONDWE-KASESE'!F32,'25.10.19 PONDWE-KASESE-24h'!F32)</f>
        <v>0</v>
      </c>
      <c r="G32" s="49">
        <f>AVERAGE('26.10.PONDWE-KASESE'!G32,'27.10 PONDWE-KASESE'!G32,'25.10.19 PONDWE-KASESE-24h'!G32)</f>
        <v>0</v>
      </c>
      <c r="H32" s="49">
        <f>AVERAGE('26.10.PONDWE-KASESE'!H32,'27.10 PONDWE-KASESE'!H32,'25.10.19 PONDWE-KASESE-24h'!H32)</f>
        <v>0</v>
      </c>
      <c r="I32" s="49">
        <f>AVERAGE('26.10.PONDWE-KASESE'!I32,'27.10 PONDWE-KASESE'!I32,'25.10.19 PONDWE-KASESE-24h'!I32)</f>
        <v>1</v>
      </c>
      <c r="J32" s="49">
        <f>AVERAGE('26.10.PONDWE-KASESE'!J32,'27.10 PONDWE-KASESE'!J32,'25.10.19 PONDWE-KASESE-24h'!J32)</f>
        <v>1</v>
      </c>
      <c r="K32" s="49">
        <f>AVERAGE('26.10.PONDWE-KASESE'!K32,'27.10 PONDWE-KASESE'!K32,'25.10.19 PONDWE-KASESE-24h'!K32)</f>
        <v>0</v>
      </c>
      <c r="L32" s="49">
        <f>AVERAGE('26.10.PONDWE-KASESE'!L32,'27.10 PONDWE-KASESE'!L32,'25.10.19 PONDWE-KASESE-24h'!L32)</f>
        <v>0</v>
      </c>
      <c r="M32" s="49">
        <f>AVERAGE('26.10.PONDWE-KASESE'!M32,'27.10 PONDWE-KASESE'!M32,'25.10.19 PONDWE-KASESE-24h'!M32)</f>
        <v>57.333333333333336</v>
      </c>
      <c r="N32" s="49">
        <f>AVERAGE('26.10.PONDWE-KASESE'!N32,'27.10 PONDWE-KASESE'!N32,'25.10.19 PONDWE-KASESE-24h'!N32)</f>
        <v>0</v>
      </c>
      <c r="O32" s="15">
        <f t="shared" si="0"/>
        <v>10</v>
      </c>
      <c r="P32" s="15">
        <f t="shared" si="1"/>
        <v>67.333333333333343</v>
      </c>
      <c r="R32" s="1" t="s">
        <v>156</v>
      </c>
      <c r="S32" s="34">
        <f>SUM(C98:C101)</f>
        <v>9</v>
      </c>
      <c r="T32" s="34">
        <f t="shared" ref="T32:AF32" si="24">SUM(D98:D101)</f>
        <v>0</v>
      </c>
      <c r="U32" s="34">
        <f t="shared" si="24"/>
        <v>1</v>
      </c>
      <c r="V32" s="34">
        <f t="shared" si="24"/>
        <v>1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23</v>
      </c>
      <c r="AD32" s="34">
        <f t="shared" si="24"/>
        <v>0</v>
      </c>
      <c r="AE32" s="31">
        <f t="shared" si="24"/>
        <v>11</v>
      </c>
      <c r="AF32" s="31">
        <f t="shared" si="24"/>
        <v>34</v>
      </c>
    </row>
    <row r="33" spans="2:32" ht="23.1" customHeight="1" x14ac:dyDescent="0.25">
      <c r="B33" s="23" t="s">
        <v>60</v>
      </c>
      <c r="C33" s="49">
        <f>AVERAGE('26.10.PONDWE-KASESE'!C33,'27.10 PONDWE-KASESE'!C33,'25.10.19 PONDWE-KASESE-24h'!C33)</f>
        <v>6.333333333333333</v>
      </c>
      <c r="D33" s="49">
        <f>AVERAGE('26.10.PONDWE-KASESE'!D33,'27.10 PONDWE-KASESE'!D33,'25.10.19 PONDWE-KASESE-24h'!D33)</f>
        <v>0.66666666666666663</v>
      </c>
      <c r="E33" s="49">
        <f>AVERAGE('26.10.PONDWE-KASESE'!E33,'27.10 PONDWE-KASESE'!E33,'25.10.19 PONDWE-KASESE-24h'!E33)</f>
        <v>0.33333333333333331</v>
      </c>
      <c r="F33" s="49">
        <f>AVERAGE('26.10.PONDWE-KASESE'!F33,'27.10 PONDWE-KASESE'!F33,'25.10.19 PONDWE-KASESE-24h'!F33)</f>
        <v>0</v>
      </c>
      <c r="G33" s="49">
        <f>AVERAGE('26.10.PONDWE-KASESE'!G33,'27.10 PONDWE-KASESE'!G33,'25.10.19 PONDWE-KASESE-24h'!G33)</f>
        <v>0</v>
      </c>
      <c r="H33" s="49">
        <f>AVERAGE('26.10.PONDWE-KASESE'!H33,'27.10 PONDWE-KASESE'!H33,'25.10.19 PONDWE-KASESE-24h'!H33)</f>
        <v>0</v>
      </c>
      <c r="I33" s="49">
        <f>AVERAGE('26.10.PONDWE-KASESE'!I33,'27.10 PONDWE-KASESE'!I33,'25.10.19 PONDWE-KASESE-24h'!I33)</f>
        <v>0</v>
      </c>
      <c r="J33" s="49">
        <f>AVERAGE('26.10.PONDWE-KASESE'!J33,'27.10 PONDWE-KASESE'!J33,'25.10.19 PONDWE-KASESE-24h'!J33)</f>
        <v>0.33333333333333331</v>
      </c>
      <c r="K33" s="49">
        <f>AVERAGE('26.10.PONDWE-KASESE'!K33,'27.10 PONDWE-KASESE'!K33,'25.10.19 PONDWE-KASESE-24h'!K33)</f>
        <v>0.66666666666666663</v>
      </c>
      <c r="L33" s="49">
        <f>AVERAGE('26.10.PONDWE-KASESE'!L33,'27.10 PONDWE-KASESE'!L33,'25.10.19 PONDWE-KASESE-24h'!L33)</f>
        <v>0</v>
      </c>
      <c r="M33" s="49">
        <f>AVERAGE('26.10.PONDWE-KASESE'!M33,'27.10 PONDWE-KASESE'!M33,'25.10.19 PONDWE-KASESE-24h'!M33)</f>
        <v>55.333333333333336</v>
      </c>
      <c r="N33" s="49">
        <f>AVERAGE('26.10.PONDWE-KASESE'!N33,'27.10 PONDWE-KASESE'!N33,'25.10.19 PONDWE-KASESE-24h'!N33)</f>
        <v>0</v>
      </c>
      <c r="O33" s="15">
        <f t="shared" si="0"/>
        <v>8.3333333333333321</v>
      </c>
      <c r="P33" s="15">
        <f t="shared" si="1"/>
        <v>63.666666666666671</v>
      </c>
      <c r="R33" s="1" t="s">
        <v>157</v>
      </c>
      <c r="S33" s="34">
        <f>SUM(C102:C105)</f>
        <v>7</v>
      </c>
      <c r="T33" s="34">
        <f t="shared" ref="T33:AF33" si="25">SUM(D102:D105)</f>
        <v>1</v>
      </c>
      <c r="U33" s="34">
        <f t="shared" si="25"/>
        <v>0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2</v>
      </c>
      <c r="Z33" s="34">
        <f t="shared" si="25"/>
        <v>0</v>
      </c>
      <c r="AA33" s="34">
        <f t="shared" si="25"/>
        <v>3</v>
      </c>
      <c r="AB33" s="34">
        <f t="shared" si="25"/>
        <v>1</v>
      </c>
      <c r="AC33" s="34">
        <f t="shared" si="25"/>
        <v>16</v>
      </c>
      <c r="AD33" s="34">
        <f t="shared" si="25"/>
        <v>0</v>
      </c>
      <c r="AE33" s="31">
        <f t="shared" si="25"/>
        <v>14</v>
      </c>
      <c r="AF33" s="31">
        <f t="shared" si="25"/>
        <v>30</v>
      </c>
    </row>
    <row r="34" spans="2:32" ht="23.1" customHeight="1" x14ac:dyDescent="0.25">
      <c r="B34" s="24" t="s">
        <v>61</v>
      </c>
      <c r="C34" s="49">
        <f>AVERAGE('26.10.PONDWE-KASESE'!C34,'27.10 PONDWE-KASESE'!C34,'25.10.19 PONDWE-KASESE-24h'!C34)</f>
        <v>5.333333333333333</v>
      </c>
      <c r="D34" s="49">
        <f>AVERAGE('26.10.PONDWE-KASESE'!D34,'27.10 PONDWE-KASESE'!D34,'25.10.19 PONDWE-KASESE-24h'!D34)</f>
        <v>1</v>
      </c>
      <c r="E34" s="49">
        <f>AVERAGE('26.10.PONDWE-KASESE'!E34,'27.10 PONDWE-KASESE'!E34,'25.10.19 PONDWE-KASESE-24h'!E34)</f>
        <v>0.66666666666666663</v>
      </c>
      <c r="F34" s="49">
        <f>AVERAGE('26.10.PONDWE-KASESE'!F34,'27.10 PONDWE-KASESE'!F34,'25.10.19 PONDWE-KASESE-24h'!F34)</f>
        <v>0</v>
      </c>
      <c r="G34" s="49">
        <f>AVERAGE('26.10.PONDWE-KASESE'!G34,'27.10 PONDWE-KASESE'!G34,'25.10.19 PONDWE-KASESE-24h'!G34)</f>
        <v>0</v>
      </c>
      <c r="H34" s="49">
        <f>AVERAGE('26.10.PONDWE-KASESE'!H34,'27.10 PONDWE-KASESE'!H34,'25.10.19 PONDWE-KASESE-24h'!H34)</f>
        <v>1</v>
      </c>
      <c r="I34" s="49">
        <f>AVERAGE('26.10.PONDWE-KASESE'!I34,'27.10 PONDWE-KASESE'!I34,'25.10.19 PONDWE-KASESE-24h'!I34)</f>
        <v>1.6666666666666667</v>
      </c>
      <c r="J34" s="49">
        <f>AVERAGE('26.10.PONDWE-KASESE'!J34,'27.10 PONDWE-KASESE'!J34,'25.10.19 PONDWE-KASESE-24h'!J34)</f>
        <v>0.66666666666666663</v>
      </c>
      <c r="K34" s="49">
        <f>AVERAGE('26.10.PONDWE-KASESE'!K34,'27.10 PONDWE-KASESE'!K34,'25.10.19 PONDWE-KASESE-24h'!K34)</f>
        <v>0</v>
      </c>
      <c r="L34" s="49">
        <f>AVERAGE('26.10.PONDWE-KASESE'!L34,'27.10 PONDWE-KASESE'!L34,'25.10.19 PONDWE-KASESE-24h'!L34)</f>
        <v>0.66666666666666663</v>
      </c>
      <c r="M34" s="49">
        <f>AVERAGE('26.10.PONDWE-KASESE'!M34,'27.10 PONDWE-KASESE'!M34,'25.10.19 PONDWE-KASESE-24h'!M34)</f>
        <v>56.333333333333336</v>
      </c>
      <c r="N34" s="49">
        <f>AVERAGE('26.10.PONDWE-KASESE'!N34,'27.10 PONDWE-KASESE'!N34,'25.10.19 PONDWE-KASESE-24h'!N34)</f>
        <v>0</v>
      </c>
      <c r="O34" s="15">
        <f t="shared" si="0"/>
        <v>10.999999999999998</v>
      </c>
      <c r="P34" s="15">
        <f t="shared" si="1"/>
        <v>67.333333333333329</v>
      </c>
      <c r="R34" s="51" t="s">
        <v>90</v>
      </c>
      <c r="S34" s="52">
        <f t="shared" ref="S34:AF34" si="26">MAX(S10:S12)</f>
        <v>14.666666666666666</v>
      </c>
      <c r="T34" s="52">
        <f t="shared" si="26"/>
        <v>0.66666666666666663</v>
      </c>
      <c r="U34" s="52">
        <f t="shared" si="26"/>
        <v>1.9999999999999998</v>
      </c>
      <c r="V34" s="52">
        <f t="shared" si="26"/>
        <v>1</v>
      </c>
      <c r="W34" s="52">
        <f t="shared" si="26"/>
        <v>0.33333333333333331</v>
      </c>
      <c r="X34" s="52">
        <f t="shared" si="26"/>
        <v>1.6666666666666665</v>
      </c>
      <c r="Y34" s="52">
        <f t="shared" si="26"/>
        <v>2.6666666666666665</v>
      </c>
      <c r="Z34" s="52">
        <f t="shared" si="26"/>
        <v>1.6666666666666665</v>
      </c>
      <c r="AA34" s="52">
        <f t="shared" si="26"/>
        <v>0.33333333333333331</v>
      </c>
      <c r="AB34" s="52">
        <f t="shared" si="26"/>
        <v>2.6666666666666665</v>
      </c>
      <c r="AC34" s="52">
        <f t="shared" si="26"/>
        <v>208.33333333333334</v>
      </c>
      <c r="AD34" s="52">
        <f t="shared" si="26"/>
        <v>0</v>
      </c>
      <c r="AE34" s="40">
        <f t="shared" si="26"/>
        <v>26</v>
      </c>
      <c r="AF34" s="40">
        <f t="shared" si="26"/>
        <v>228</v>
      </c>
    </row>
    <row r="35" spans="2:32" ht="23.1" customHeight="1" x14ac:dyDescent="0.25">
      <c r="B35" s="24" t="s">
        <v>62</v>
      </c>
      <c r="C35" s="49">
        <f>AVERAGE('26.10.PONDWE-KASESE'!C35,'27.10 PONDWE-KASESE'!C35,'25.10.19 PONDWE-KASESE-24h'!C35)</f>
        <v>7.666666666666667</v>
      </c>
      <c r="D35" s="49">
        <f>AVERAGE('26.10.PONDWE-KASESE'!D35,'27.10 PONDWE-KASESE'!D35,'25.10.19 PONDWE-KASESE-24h'!D35)</f>
        <v>1</v>
      </c>
      <c r="E35" s="49">
        <f>AVERAGE('26.10.PONDWE-KASESE'!E35,'27.10 PONDWE-KASESE'!E35,'25.10.19 PONDWE-KASESE-24h'!E35)</f>
        <v>0.33333333333333331</v>
      </c>
      <c r="F35" s="49">
        <f>AVERAGE('26.10.PONDWE-KASESE'!F35,'27.10 PONDWE-KASESE'!F35,'25.10.19 PONDWE-KASESE-24h'!F35)</f>
        <v>0</v>
      </c>
      <c r="G35" s="49">
        <f>AVERAGE('26.10.PONDWE-KASESE'!G35,'27.10 PONDWE-KASESE'!G35,'25.10.19 PONDWE-KASESE-24h'!G35)</f>
        <v>0</v>
      </c>
      <c r="H35" s="49">
        <f>AVERAGE('26.10.PONDWE-KASESE'!H35,'27.10 PONDWE-KASESE'!H35,'25.10.19 PONDWE-KASESE-24h'!H35)</f>
        <v>0</v>
      </c>
      <c r="I35" s="49">
        <f>AVERAGE('26.10.PONDWE-KASESE'!I35,'27.10 PONDWE-KASESE'!I35,'25.10.19 PONDWE-KASESE-24h'!I35)</f>
        <v>0.66666666666666663</v>
      </c>
      <c r="J35" s="49">
        <f>AVERAGE('26.10.PONDWE-KASESE'!J35,'27.10 PONDWE-KASESE'!J35,'25.10.19 PONDWE-KASESE-24h'!J35)</f>
        <v>0.33333333333333331</v>
      </c>
      <c r="K35" s="49">
        <f>AVERAGE('26.10.PONDWE-KASESE'!K35,'27.10 PONDWE-KASESE'!K35,'25.10.19 PONDWE-KASESE-24h'!K35)</f>
        <v>0.33333333333333331</v>
      </c>
      <c r="L35" s="49">
        <f>AVERAGE('26.10.PONDWE-KASESE'!L35,'27.10 PONDWE-KASESE'!L35,'25.10.19 PONDWE-KASESE-24h'!L35)</f>
        <v>0</v>
      </c>
      <c r="M35" s="49">
        <f>AVERAGE('26.10.PONDWE-KASESE'!M35,'27.10 PONDWE-KASESE'!M35,'25.10.19 PONDWE-KASESE-24h'!M35)</f>
        <v>72.666666666666671</v>
      </c>
      <c r="N35" s="49">
        <f>AVERAGE('26.10.PONDWE-KASESE'!N35,'27.10 PONDWE-KASESE'!N35,'25.10.19 PONDWE-KASESE-24h'!N35)</f>
        <v>0</v>
      </c>
      <c r="O35" s="15">
        <f t="shared" si="0"/>
        <v>10.333333333333336</v>
      </c>
      <c r="P35" s="15">
        <f t="shared" si="1"/>
        <v>83</v>
      </c>
      <c r="R35" s="51" t="s">
        <v>91</v>
      </c>
      <c r="S35" s="52">
        <f t="shared" ref="S35:AF35" si="27">MAX(S13:S18)</f>
        <v>27.666666666666664</v>
      </c>
      <c r="T35" s="52">
        <f t="shared" si="27"/>
        <v>3</v>
      </c>
      <c r="U35" s="52">
        <f t="shared" si="27"/>
        <v>1.9999999999999998</v>
      </c>
      <c r="V35" s="52">
        <f t="shared" si="27"/>
        <v>4</v>
      </c>
      <c r="W35" s="52">
        <f t="shared" si="27"/>
        <v>0.33333333333333331</v>
      </c>
      <c r="X35" s="52">
        <f t="shared" si="27"/>
        <v>1.3333333333333333</v>
      </c>
      <c r="Y35" s="52">
        <f t="shared" si="27"/>
        <v>5</v>
      </c>
      <c r="Z35" s="52">
        <f t="shared" si="27"/>
        <v>3</v>
      </c>
      <c r="AA35" s="52">
        <f t="shared" si="27"/>
        <v>0.66666666666666663</v>
      </c>
      <c r="AB35" s="52">
        <f t="shared" si="27"/>
        <v>3.333333333333333</v>
      </c>
      <c r="AC35" s="52">
        <f t="shared" si="27"/>
        <v>302.33333333333331</v>
      </c>
      <c r="AD35" s="52">
        <f t="shared" si="27"/>
        <v>0</v>
      </c>
      <c r="AE35" s="40">
        <f t="shared" si="27"/>
        <v>42.666666666666671</v>
      </c>
      <c r="AF35" s="40">
        <f t="shared" si="27"/>
        <v>340.66666666666663</v>
      </c>
    </row>
    <row r="36" spans="2:32" ht="23.1" customHeight="1" x14ac:dyDescent="0.25">
      <c r="B36" s="24" t="s">
        <v>63</v>
      </c>
      <c r="C36" s="49">
        <f>AVERAGE('26.10.PONDWE-KASESE'!C36,'27.10 PONDWE-KASESE'!C36,'25.10.19 PONDWE-KASESE-24h'!C36)</f>
        <v>7.333333333333333</v>
      </c>
      <c r="D36" s="49">
        <f>AVERAGE('26.10.PONDWE-KASESE'!D36,'27.10 PONDWE-KASESE'!D36,'25.10.19 PONDWE-KASESE-24h'!D36)</f>
        <v>0.66666666666666663</v>
      </c>
      <c r="E36" s="49">
        <f>AVERAGE('26.10.PONDWE-KASESE'!E36,'27.10 PONDWE-KASESE'!E36,'25.10.19 PONDWE-KASESE-24h'!E36)</f>
        <v>0.33333333333333331</v>
      </c>
      <c r="F36" s="49">
        <f>AVERAGE('26.10.PONDWE-KASESE'!F36,'27.10 PONDWE-KASESE'!F36,'25.10.19 PONDWE-KASESE-24h'!F36)</f>
        <v>0.66666666666666663</v>
      </c>
      <c r="G36" s="49">
        <f>AVERAGE('26.10.PONDWE-KASESE'!G36,'27.10 PONDWE-KASESE'!G36,'25.10.19 PONDWE-KASESE-24h'!G36)</f>
        <v>0</v>
      </c>
      <c r="H36" s="49">
        <f>AVERAGE('26.10.PONDWE-KASESE'!H36,'27.10 PONDWE-KASESE'!H36,'25.10.19 PONDWE-KASESE-24h'!H36)</f>
        <v>0</v>
      </c>
      <c r="I36" s="49">
        <f>AVERAGE('26.10.PONDWE-KASESE'!I36,'27.10 PONDWE-KASESE'!I36,'25.10.19 PONDWE-KASESE-24h'!I36)</f>
        <v>0.66666666666666663</v>
      </c>
      <c r="J36" s="49">
        <f>AVERAGE('26.10.PONDWE-KASESE'!J36,'27.10 PONDWE-KASESE'!J36,'25.10.19 PONDWE-KASESE-24h'!J36)</f>
        <v>1.3333333333333333</v>
      </c>
      <c r="K36" s="49">
        <f>AVERAGE('26.10.PONDWE-KASESE'!K36,'27.10 PONDWE-KASESE'!K36,'25.10.19 PONDWE-KASESE-24h'!K36)</f>
        <v>0</v>
      </c>
      <c r="L36" s="49">
        <f>AVERAGE('26.10.PONDWE-KASESE'!L36,'27.10 PONDWE-KASESE'!L36,'25.10.19 PONDWE-KASESE-24h'!L36)</f>
        <v>1.3333333333333333</v>
      </c>
      <c r="M36" s="49">
        <f>AVERAGE('26.10.PONDWE-KASESE'!M36,'27.10 PONDWE-KASESE'!M36,'25.10.19 PONDWE-KASESE-24h'!M36)</f>
        <v>76.333333333333329</v>
      </c>
      <c r="N36" s="49">
        <f>AVERAGE('26.10.PONDWE-KASESE'!N36,'27.10 PONDWE-KASESE'!N36,'25.10.19 PONDWE-KASESE-24h'!N36)</f>
        <v>0</v>
      </c>
      <c r="O36" s="15">
        <f t="shared" si="0"/>
        <v>12.333333333333334</v>
      </c>
      <c r="P36" s="15">
        <f t="shared" si="1"/>
        <v>88.666666666666657</v>
      </c>
      <c r="R36" s="51" t="s">
        <v>92</v>
      </c>
      <c r="S36" s="52">
        <f t="shared" ref="S36:AF36" si="28">MAX(S19:S21)</f>
        <v>36.333333333333336</v>
      </c>
      <c r="T36" s="52">
        <f t="shared" si="28"/>
        <v>2.333333333333333</v>
      </c>
      <c r="U36" s="52">
        <f t="shared" si="28"/>
        <v>2</v>
      </c>
      <c r="V36" s="52">
        <f t="shared" si="28"/>
        <v>3</v>
      </c>
      <c r="W36" s="52">
        <f t="shared" si="28"/>
        <v>0</v>
      </c>
      <c r="X36" s="52">
        <f t="shared" si="28"/>
        <v>0.66666666666666663</v>
      </c>
      <c r="Y36" s="52">
        <f t="shared" si="28"/>
        <v>5.666666666666667</v>
      </c>
      <c r="Z36" s="52">
        <f t="shared" si="28"/>
        <v>3.333333333333333</v>
      </c>
      <c r="AA36" s="52">
        <f t="shared" si="28"/>
        <v>0.33333333333333331</v>
      </c>
      <c r="AB36" s="52">
        <f t="shared" si="28"/>
        <v>4.3333333333333339</v>
      </c>
      <c r="AC36" s="52">
        <f t="shared" si="28"/>
        <v>349</v>
      </c>
      <c r="AD36" s="52">
        <f t="shared" si="28"/>
        <v>0</v>
      </c>
      <c r="AE36" s="40">
        <f t="shared" si="28"/>
        <v>56.000000000000007</v>
      </c>
      <c r="AF36" s="40">
        <f t="shared" si="28"/>
        <v>393.66666666666663</v>
      </c>
    </row>
    <row r="37" spans="2:32" ht="23.1" customHeight="1" x14ac:dyDescent="0.25">
      <c r="B37" s="23" t="s">
        <v>64</v>
      </c>
      <c r="C37" s="49">
        <f>AVERAGE('26.10.PONDWE-KASESE'!C37,'27.10 PONDWE-KASESE'!C37,'25.10.19 PONDWE-KASESE-24h'!C37)</f>
        <v>7</v>
      </c>
      <c r="D37" s="49">
        <f>AVERAGE('26.10.PONDWE-KASESE'!D37,'27.10 PONDWE-KASESE'!D37,'25.10.19 PONDWE-KASESE-24h'!D37)</f>
        <v>0.33333333333333331</v>
      </c>
      <c r="E37" s="49">
        <f>AVERAGE('26.10.PONDWE-KASESE'!E37,'27.10 PONDWE-KASESE'!E37,'25.10.19 PONDWE-KASESE-24h'!E37)</f>
        <v>0.33333333333333331</v>
      </c>
      <c r="F37" s="49">
        <f>AVERAGE('26.10.PONDWE-KASESE'!F37,'27.10 PONDWE-KASESE'!F37,'25.10.19 PONDWE-KASESE-24h'!F37)</f>
        <v>0.33333333333333331</v>
      </c>
      <c r="G37" s="49">
        <f>AVERAGE('26.10.PONDWE-KASESE'!G37,'27.10 PONDWE-KASESE'!G37,'25.10.19 PONDWE-KASESE-24h'!G37)</f>
        <v>0</v>
      </c>
      <c r="H37" s="49">
        <f>AVERAGE('26.10.PONDWE-KASESE'!H37,'27.10 PONDWE-KASESE'!H37,'25.10.19 PONDWE-KASESE-24h'!H37)</f>
        <v>0</v>
      </c>
      <c r="I37" s="49">
        <f>AVERAGE('26.10.PONDWE-KASESE'!I37,'27.10 PONDWE-KASESE'!I37,'25.10.19 PONDWE-KASESE-24h'!I37)</f>
        <v>0.33333333333333331</v>
      </c>
      <c r="J37" s="49">
        <f>AVERAGE('26.10.PONDWE-KASESE'!J37,'27.10 PONDWE-KASESE'!J37,'25.10.19 PONDWE-KASESE-24h'!J37)</f>
        <v>0.66666666666666663</v>
      </c>
      <c r="K37" s="49">
        <f>AVERAGE('26.10.PONDWE-KASESE'!K37,'27.10 PONDWE-KASESE'!K37,'25.10.19 PONDWE-KASESE-24h'!K37)</f>
        <v>0</v>
      </c>
      <c r="L37" s="49">
        <f>AVERAGE('26.10.PONDWE-KASESE'!L37,'27.10 PONDWE-KASESE'!L37,'25.10.19 PONDWE-KASESE-24h'!L37)</f>
        <v>0</v>
      </c>
      <c r="M37" s="49">
        <f>AVERAGE('26.10.PONDWE-KASESE'!M37,'27.10 PONDWE-KASESE'!M37,'25.10.19 PONDWE-KASESE-24h'!M37)</f>
        <v>64.333333333333329</v>
      </c>
      <c r="N37" s="49">
        <f>AVERAGE('26.10.PONDWE-KASESE'!N37,'27.10 PONDWE-KASESE'!N37,'25.10.19 PONDWE-KASESE-24h'!N37)</f>
        <v>0</v>
      </c>
      <c r="O37" s="15">
        <f t="shared" si="0"/>
        <v>8.9999999999999982</v>
      </c>
      <c r="P37" s="15">
        <f t="shared" si="1"/>
        <v>73.333333333333329</v>
      </c>
      <c r="R37" s="37" t="s">
        <v>85</v>
      </c>
      <c r="S37" s="53">
        <f t="shared" ref="S37:AF37" si="29">SUM(S10:S12)</f>
        <v>38</v>
      </c>
      <c r="T37" s="54">
        <f t="shared" si="29"/>
        <v>1.3333333333333333</v>
      </c>
      <c r="U37" s="54">
        <f t="shared" si="29"/>
        <v>2.6666666666666665</v>
      </c>
      <c r="V37" s="54">
        <f t="shared" si="29"/>
        <v>1.9999999999999998</v>
      </c>
      <c r="W37" s="54">
        <f t="shared" si="29"/>
        <v>0.33333333333333331</v>
      </c>
      <c r="X37" s="54">
        <f t="shared" si="29"/>
        <v>3.6666666666666665</v>
      </c>
      <c r="Y37" s="54">
        <f t="shared" si="29"/>
        <v>5</v>
      </c>
      <c r="Z37" s="54">
        <f t="shared" si="29"/>
        <v>2.6666666666666665</v>
      </c>
      <c r="AA37" s="54">
        <f t="shared" si="29"/>
        <v>0.66666666666666663</v>
      </c>
      <c r="AB37" s="54">
        <f t="shared" si="29"/>
        <v>3</v>
      </c>
      <c r="AC37" s="54">
        <f t="shared" si="29"/>
        <v>603.33333333333326</v>
      </c>
      <c r="AD37" s="54">
        <f t="shared" si="29"/>
        <v>0</v>
      </c>
      <c r="AE37" s="55">
        <f t="shared" si="29"/>
        <v>59.333333333333329</v>
      </c>
      <c r="AF37" s="55">
        <f t="shared" si="29"/>
        <v>662.66666666666674</v>
      </c>
    </row>
    <row r="38" spans="2:32" ht="23.1" customHeight="1" x14ac:dyDescent="0.25">
      <c r="B38" s="24" t="s">
        <v>65</v>
      </c>
      <c r="C38" s="49">
        <f>AVERAGE('26.10.PONDWE-KASESE'!C38,'27.10 PONDWE-KASESE'!C38,'25.10.19 PONDWE-KASESE-24h'!C38)</f>
        <v>5.333333333333333</v>
      </c>
      <c r="D38" s="49">
        <f>AVERAGE('26.10.PONDWE-KASESE'!D38,'27.10 PONDWE-KASESE'!D38,'25.10.19 PONDWE-KASESE-24h'!D38)</f>
        <v>0.66666666666666663</v>
      </c>
      <c r="E38" s="49">
        <f>AVERAGE('26.10.PONDWE-KASESE'!E38,'27.10 PONDWE-KASESE'!E38,'25.10.19 PONDWE-KASESE-24h'!E38)</f>
        <v>0.33333333333333331</v>
      </c>
      <c r="F38" s="49">
        <f>AVERAGE('26.10.PONDWE-KASESE'!F38,'27.10 PONDWE-KASESE'!F38,'25.10.19 PONDWE-KASESE-24h'!F38)</f>
        <v>0.66666666666666663</v>
      </c>
      <c r="G38" s="49">
        <f>AVERAGE('26.10.PONDWE-KASESE'!G38,'27.10 PONDWE-KASESE'!G38,'25.10.19 PONDWE-KASESE-24h'!G38)</f>
        <v>0</v>
      </c>
      <c r="H38" s="49">
        <f>AVERAGE('26.10.PONDWE-KASESE'!H38,'27.10 PONDWE-KASESE'!H38,'25.10.19 PONDWE-KASESE-24h'!H38)</f>
        <v>0</v>
      </c>
      <c r="I38" s="49">
        <f>AVERAGE('26.10.PONDWE-KASESE'!I38,'27.10 PONDWE-KASESE'!I38,'25.10.19 PONDWE-KASESE-24h'!I38)</f>
        <v>1</v>
      </c>
      <c r="J38" s="49">
        <f>AVERAGE('26.10.PONDWE-KASESE'!J38,'27.10 PONDWE-KASESE'!J38,'25.10.19 PONDWE-KASESE-24h'!J38)</f>
        <v>0.33333333333333331</v>
      </c>
      <c r="K38" s="49">
        <f>AVERAGE('26.10.PONDWE-KASESE'!K38,'27.10 PONDWE-KASESE'!K38,'25.10.19 PONDWE-KASESE-24h'!K38)</f>
        <v>0</v>
      </c>
      <c r="L38" s="49">
        <f>AVERAGE('26.10.PONDWE-KASESE'!L38,'27.10 PONDWE-KASESE'!L38,'25.10.19 PONDWE-KASESE-24h'!L38)</f>
        <v>0</v>
      </c>
      <c r="M38" s="49">
        <f>AVERAGE('26.10.PONDWE-KASESE'!M38,'27.10 PONDWE-KASESE'!M38,'25.10.19 PONDWE-KASESE-24h'!M38)</f>
        <v>57</v>
      </c>
      <c r="N38" s="49">
        <f>AVERAGE('26.10.PONDWE-KASESE'!N38,'27.10 PONDWE-KASESE'!N38,'25.10.19 PONDWE-KASESE-24h'!N38)</f>
        <v>0</v>
      </c>
      <c r="O38" s="15">
        <f t="shared" si="0"/>
        <v>8.3333333333333339</v>
      </c>
      <c r="P38" s="15">
        <f t="shared" si="1"/>
        <v>65.333333333333329</v>
      </c>
      <c r="R38" s="28" t="s">
        <v>86</v>
      </c>
      <c r="S38" s="54">
        <f t="shared" ref="S38:AF38" si="30">SUM(S13:S18)</f>
        <v>141.33333333333331</v>
      </c>
      <c r="T38" s="54">
        <f t="shared" si="30"/>
        <v>9.3333333333333321</v>
      </c>
      <c r="U38" s="54">
        <f t="shared" si="30"/>
        <v>10</v>
      </c>
      <c r="V38" s="54">
        <f t="shared" si="30"/>
        <v>8</v>
      </c>
      <c r="W38" s="54">
        <f t="shared" si="30"/>
        <v>0.66666666666666663</v>
      </c>
      <c r="X38" s="54">
        <f t="shared" si="30"/>
        <v>4.333333333333333</v>
      </c>
      <c r="Y38" s="54">
        <f t="shared" si="30"/>
        <v>21.666666666666668</v>
      </c>
      <c r="Z38" s="54">
        <f t="shared" si="30"/>
        <v>13.333333333333332</v>
      </c>
      <c r="AA38" s="54">
        <f t="shared" si="30"/>
        <v>1.9999999999999998</v>
      </c>
      <c r="AB38" s="54">
        <f t="shared" si="30"/>
        <v>14.333333333333332</v>
      </c>
      <c r="AC38" s="54">
        <f t="shared" si="30"/>
        <v>1553.3333333333333</v>
      </c>
      <c r="AD38" s="54">
        <f t="shared" si="30"/>
        <v>0</v>
      </c>
      <c r="AE38" s="55">
        <f t="shared" si="30"/>
        <v>225.00000000000003</v>
      </c>
      <c r="AF38" s="55">
        <f t="shared" si="30"/>
        <v>1778.3333333333335</v>
      </c>
    </row>
    <row r="39" spans="2:32" ht="23.1" customHeight="1" x14ac:dyDescent="0.25">
      <c r="B39" s="24" t="s">
        <v>66</v>
      </c>
      <c r="C39" s="49">
        <f>AVERAGE('26.10.PONDWE-KASESE'!C39,'27.10 PONDWE-KASESE'!C39,'25.10.19 PONDWE-KASESE-24h'!C39)</f>
        <v>6.666666666666667</v>
      </c>
      <c r="D39" s="49">
        <f>AVERAGE('26.10.PONDWE-KASESE'!D39,'27.10 PONDWE-KASESE'!D39,'25.10.19 PONDWE-KASESE-24h'!D39)</f>
        <v>0.33333333333333331</v>
      </c>
      <c r="E39" s="49">
        <f>AVERAGE('26.10.PONDWE-KASESE'!E39,'27.10 PONDWE-KASESE'!E39,'25.10.19 PONDWE-KASESE-24h'!E39)</f>
        <v>0.33333333333333331</v>
      </c>
      <c r="F39" s="49">
        <f>AVERAGE('26.10.PONDWE-KASESE'!F39,'27.10 PONDWE-KASESE'!F39,'25.10.19 PONDWE-KASESE-24h'!F39)</f>
        <v>0.66666666666666663</v>
      </c>
      <c r="G39" s="49">
        <f>AVERAGE('26.10.PONDWE-KASESE'!G39,'27.10 PONDWE-KASESE'!G39,'25.10.19 PONDWE-KASESE-24h'!G39)</f>
        <v>0</v>
      </c>
      <c r="H39" s="49">
        <f>AVERAGE('26.10.PONDWE-KASESE'!H39,'27.10 PONDWE-KASESE'!H39,'25.10.19 PONDWE-KASESE-24h'!H39)</f>
        <v>0.66666666666666663</v>
      </c>
      <c r="I39" s="49">
        <f>AVERAGE('26.10.PONDWE-KASESE'!I39,'27.10 PONDWE-KASESE'!I39,'25.10.19 PONDWE-KASESE-24h'!I39)</f>
        <v>1</v>
      </c>
      <c r="J39" s="49">
        <f>AVERAGE('26.10.PONDWE-KASESE'!J39,'27.10 PONDWE-KASESE'!J39,'25.10.19 PONDWE-KASESE-24h'!J39)</f>
        <v>0.66666666666666663</v>
      </c>
      <c r="K39" s="49">
        <f>AVERAGE('26.10.PONDWE-KASESE'!K39,'27.10 PONDWE-KASESE'!K39,'25.10.19 PONDWE-KASESE-24h'!K39)</f>
        <v>0</v>
      </c>
      <c r="L39" s="49">
        <f>AVERAGE('26.10.PONDWE-KASESE'!L39,'27.10 PONDWE-KASESE'!L39,'25.10.19 PONDWE-KASESE-24h'!L39)</f>
        <v>0.33333333333333331</v>
      </c>
      <c r="M39" s="49">
        <f>AVERAGE('26.10.PONDWE-KASESE'!M39,'27.10 PONDWE-KASESE'!M39,'25.10.19 PONDWE-KASESE-24h'!M39)</f>
        <v>91</v>
      </c>
      <c r="N39" s="49">
        <f>AVERAGE('26.10.PONDWE-KASESE'!N39,'27.10 PONDWE-KASESE'!N39,'25.10.19 PONDWE-KASESE-24h'!N39)</f>
        <v>0</v>
      </c>
      <c r="O39" s="15">
        <f t="shared" si="0"/>
        <v>10.666666666666666</v>
      </c>
      <c r="P39" s="15">
        <f t="shared" si="1"/>
        <v>101.66666666666667</v>
      </c>
      <c r="R39" s="29" t="s">
        <v>87</v>
      </c>
      <c r="S39" s="54">
        <f t="shared" ref="S39:AF39" si="31">SUM(S19:S21)</f>
        <v>97</v>
      </c>
      <c r="T39" s="54">
        <f t="shared" si="31"/>
        <v>5.333333333333333</v>
      </c>
      <c r="U39" s="54">
        <f t="shared" si="31"/>
        <v>3.6666666666666665</v>
      </c>
      <c r="V39" s="54">
        <f t="shared" si="31"/>
        <v>7.6666666666666661</v>
      </c>
      <c r="W39" s="54">
        <f t="shared" si="31"/>
        <v>0</v>
      </c>
      <c r="X39" s="54">
        <f t="shared" si="31"/>
        <v>1</v>
      </c>
      <c r="Y39" s="54">
        <f t="shared" si="31"/>
        <v>12.666666666666668</v>
      </c>
      <c r="Z39" s="54">
        <f t="shared" si="31"/>
        <v>7</v>
      </c>
      <c r="AA39" s="54">
        <f t="shared" si="31"/>
        <v>1</v>
      </c>
      <c r="AB39" s="54">
        <f t="shared" si="31"/>
        <v>10.333333333333332</v>
      </c>
      <c r="AC39" s="54">
        <f t="shared" si="31"/>
        <v>892.33333333333326</v>
      </c>
      <c r="AD39" s="54">
        <f t="shared" si="31"/>
        <v>0</v>
      </c>
      <c r="AE39" s="55">
        <f t="shared" si="31"/>
        <v>145.66666666666666</v>
      </c>
      <c r="AF39" s="55">
        <f t="shared" si="31"/>
        <v>1038</v>
      </c>
    </row>
    <row r="40" spans="2:32" ht="23.1" customHeight="1" x14ac:dyDescent="0.25">
      <c r="B40" s="24" t="s">
        <v>67</v>
      </c>
      <c r="C40" s="49">
        <f>AVERAGE('26.10.PONDWE-KASESE'!C40,'27.10 PONDWE-KASESE'!C40,'25.10.19 PONDWE-KASESE-24h'!C40)</f>
        <v>6</v>
      </c>
      <c r="D40" s="49">
        <f>AVERAGE('26.10.PONDWE-KASESE'!D40,'27.10 PONDWE-KASESE'!D40,'25.10.19 PONDWE-KASESE-24h'!D40)</f>
        <v>0</v>
      </c>
      <c r="E40" s="49">
        <f>AVERAGE('26.10.PONDWE-KASESE'!E40,'27.10 PONDWE-KASESE'!E40,'25.10.19 PONDWE-KASESE-24h'!E40)</f>
        <v>0</v>
      </c>
      <c r="F40" s="49">
        <f>AVERAGE('26.10.PONDWE-KASESE'!F40,'27.10 PONDWE-KASESE'!F40,'25.10.19 PONDWE-KASESE-24h'!F40)</f>
        <v>0.33333333333333331</v>
      </c>
      <c r="G40" s="49">
        <f>AVERAGE('26.10.PONDWE-KASESE'!G40,'27.10 PONDWE-KASESE'!G40,'25.10.19 PONDWE-KASESE-24h'!G40)</f>
        <v>0</v>
      </c>
      <c r="H40" s="49">
        <f>AVERAGE('26.10.PONDWE-KASESE'!H40,'27.10 PONDWE-KASESE'!H40,'25.10.19 PONDWE-KASESE-24h'!H40)</f>
        <v>0</v>
      </c>
      <c r="I40" s="49">
        <f>AVERAGE('26.10.PONDWE-KASESE'!I40,'27.10 PONDWE-KASESE'!I40,'25.10.19 PONDWE-KASESE-24h'!I40)</f>
        <v>1</v>
      </c>
      <c r="J40" s="49">
        <f>AVERAGE('26.10.PONDWE-KASESE'!J40,'27.10 PONDWE-KASESE'!J40,'25.10.19 PONDWE-KASESE-24h'!J40)</f>
        <v>0.66666666666666663</v>
      </c>
      <c r="K40" s="49">
        <f>AVERAGE('26.10.PONDWE-KASESE'!K40,'27.10 PONDWE-KASESE'!K40,'25.10.19 PONDWE-KASESE-24h'!K40)</f>
        <v>0.33333333333333331</v>
      </c>
      <c r="L40" s="49">
        <f>AVERAGE('26.10.PONDWE-KASESE'!L40,'27.10 PONDWE-KASESE'!L40,'25.10.19 PONDWE-KASESE-24h'!L40)</f>
        <v>1.6666666666666667</v>
      </c>
      <c r="M40" s="49">
        <f>AVERAGE('26.10.PONDWE-KASESE'!M40,'27.10 PONDWE-KASESE'!M40,'25.10.19 PONDWE-KASESE-24h'!M40)</f>
        <v>71</v>
      </c>
      <c r="N40" s="49">
        <f>AVERAGE('26.10.PONDWE-KASESE'!N40,'27.10 PONDWE-KASESE'!N40,'25.10.19 PONDWE-KASESE-24h'!N40)</f>
        <v>0</v>
      </c>
      <c r="O40" s="15">
        <f t="shared" si="0"/>
        <v>10</v>
      </c>
      <c r="P40" s="15">
        <f t="shared" si="1"/>
        <v>81</v>
      </c>
      <c r="R40" s="5" t="s">
        <v>17</v>
      </c>
      <c r="S40" s="54">
        <f t="shared" ref="S40:AF40" si="32">SUM(S10:S21)</f>
        <v>276.33333333333337</v>
      </c>
      <c r="T40" s="54">
        <f t="shared" si="32"/>
        <v>15.999999999999998</v>
      </c>
      <c r="U40" s="54">
        <f t="shared" si="32"/>
        <v>16.333333333333332</v>
      </c>
      <c r="V40" s="54">
        <f t="shared" si="32"/>
        <v>17.666666666666664</v>
      </c>
      <c r="W40" s="54">
        <f t="shared" si="32"/>
        <v>1</v>
      </c>
      <c r="X40" s="54">
        <f t="shared" si="32"/>
        <v>9</v>
      </c>
      <c r="Y40" s="54">
        <f t="shared" si="32"/>
        <v>39.333333333333329</v>
      </c>
      <c r="Z40" s="54">
        <f t="shared" si="32"/>
        <v>22.999999999999996</v>
      </c>
      <c r="AA40" s="54">
        <f t="shared" si="32"/>
        <v>3.666666666666667</v>
      </c>
      <c r="AB40" s="54">
        <f t="shared" si="32"/>
        <v>27.666666666666664</v>
      </c>
      <c r="AC40" s="54">
        <f t="shared" si="32"/>
        <v>3048.9999999999995</v>
      </c>
      <c r="AD40" s="54">
        <f t="shared" si="32"/>
        <v>0</v>
      </c>
      <c r="AE40" s="55">
        <f t="shared" si="32"/>
        <v>430.00000000000006</v>
      </c>
      <c r="AF40" s="55">
        <f t="shared" si="32"/>
        <v>3479</v>
      </c>
    </row>
    <row r="41" spans="2:32" ht="23.1" customHeight="1" x14ac:dyDescent="0.25">
      <c r="B41" s="23" t="s">
        <v>68</v>
      </c>
      <c r="C41" s="49">
        <f>AVERAGE('26.10.PONDWE-KASESE'!C41,'27.10 PONDWE-KASESE'!C41,'25.10.19 PONDWE-KASESE-24h'!C41)</f>
        <v>5.333333333333333</v>
      </c>
      <c r="D41" s="49">
        <f>AVERAGE('26.10.PONDWE-KASESE'!D41,'27.10 PONDWE-KASESE'!D41,'25.10.19 PONDWE-KASESE-24h'!D41)</f>
        <v>0.33333333333333331</v>
      </c>
      <c r="E41" s="49">
        <f>AVERAGE('26.10.PONDWE-KASESE'!E41,'27.10 PONDWE-KASESE'!E41,'25.10.19 PONDWE-KASESE-24h'!E41)</f>
        <v>0.66666666666666663</v>
      </c>
      <c r="F41" s="49">
        <f>AVERAGE('26.10.PONDWE-KASESE'!F41,'27.10 PONDWE-KASESE'!F41,'25.10.19 PONDWE-KASESE-24h'!F41)</f>
        <v>0.66666666666666663</v>
      </c>
      <c r="G41" s="49">
        <f>AVERAGE('26.10.PONDWE-KASESE'!G41,'27.10 PONDWE-KASESE'!G41,'25.10.19 PONDWE-KASESE-24h'!G41)</f>
        <v>0</v>
      </c>
      <c r="H41" s="49">
        <f>AVERAGE('26.10.PONDWE-KASESE'!H41,'27.10 PONDWE-KASESE'!H41,'25.10.19 PONDWE-KASESE-24h'!H41)</f>
        <v>0.66666666666666663</v>
      </c>
      <c r="I41" s="49">
        <f>AVERAGE('26.10.PONDWE-KASESE'!I41,'27.10 PONDWE-KASESE'!I41,'25.10.19 PONDWE-KASESE-24h'!I41)</f>
        <v>0.33333333333333331</v>
      </c>
      <c r="J41" s="49">
        <f>AVERAGE('26.10.PONDWE-KASESE'!J41,'27.10 PONDWE-KASESE'!J41,'25.10.19 PONDWE-KASESE-24h'!J41)</f>
        <v>0</v>
      </c>
      <c r="K41" s="49">
        <f>AVERAGE('26.10.PONDWE-KASESE'!K41,'27.10 PONDWE-KASESE'!K41,'25.10.19 PONDWE-KASESE-24h'!K41)</f>
        <v>0</v>
      </c>
      <c r="L41" s="49">
        <f>AVERAGE('26.10.PONDWE-KASESE'!L41,'27.10 PONDWE-KASESE'!L41,'25.10.19 PONDWE-KASESE-24h'!L41)</f>
        <v>1.3333333333333333</v>
      </c>
      <c r="M41" s="49">
        <f>AVERAGE('26.10.PONDWE-KASESE'!M41,'27.10 PONDWE-KASESE'!M41,'25.10.19 PONDWE-KASESE-24h'!M41)</f>
        <v>83.333333333333329</v>
      </c>
      <c r="N41" s="49">
        <f>AVERAGE('26.10.PONDWE-KASESE'!N41,'27.10 PONDWE-KASESE'!N41,'25.10.19 PONDWE-KASESE-24h'!N41)</f>
        <v>0</v>
      </c>
      <c r="O41" s="15">
        <f t="shared" si="0"/>
        <v>9.3333333333333339</v>
      </c>
      <c r="P41" s="15">
        <f t="shared" si="1"/>
        <v>92.666666666666657</v>
      </c>
      <c r="R41" s="5" t="s">
        <v>178</v>
      </c>
      <c r="S41" s="54">
        <f>SUM(S10:S33)</f>
        <v>379.33333333333337</v>
      </c>
      <c r="T41" s="54">
        <f t="shared" ref="T41:AD41" si="33">SUM(T10:T33)</f>
        <v>23</v>
      </c>
      <c r="U41" s="54">
        <f t="shared" si="33"/>
        <v>20.333333333333332</v>
      </c>
      <c r="V41" s="54">
        <f t="shared" si="33"/>
        <v>23.666666666666664</v>
      </c>
      <c r="W41" s="54">
        <f t="shared" si="33"/>
        <v>2</v>
      </c>
      <c r="X41" s="54">
        <f t="shared" si="33"/>
        <v>16</v>
      </c>
      <c r="Y41" s="54">
        <f t="shared" si="33"/>
        <v>48.333333333333329</v>
      </c>
      <c r="Z41" s="54">
        <f t="shared" si="33"/>
        <v>30.999999999999996</v>
      </c>
      <c r="AA41" s="54">
        <f t="shared" si="33"/>
        <v>6.666666666666667</v>
      </c>
      <c r="AB41" s="54">
        <f t="shared" si="33"/>
        <v>31.666666666666664</v>
      </c>
      <c r="AC41" s="54">
        <f t="shared" si="33"/>
        <v>3770.9999999999995</v>
      </c>
      <c r="AD41" s="54">
        <f t="shared" si="33"/>
        <v>0</v>
      </c>
      <c r="AE41" s="55">
        <f>SUM(AE10:AE33)</f>
        <v>582</v>
      </c>
      <c r="AF41" s="55">
        <f>SUM(AF10:AF33)</f>
        <v>4353</v>
      </c>
    </row>
    <row r="42" spans="2:32" ht="23.1" customHeight="1" x14ac:dyDescent="0.25">
      <c r="B42" s="24" t="s">
        <v>69</v>
      </c>
      <c r="C42" s="49">
        <f>AVERAGE('26.10.PONDWE-KASESE'!C42,'27.10 PONDWE-KASESE'!C42,'25.10.19 PONDWE-KASESE-24h'!C42)</f>
        <v>8.3333333333333339</v>
      </c>
      <c r="D42" s="49">
        <f>AVERAGE('26.10.PONDWE-KASESE'!D42,'27.10 PONDWE-KASESE'!D42,'25.10.19 PONDWE-KASESE-24h'!D42)</f>
        <v>0.66666666666666663</v>
      </c>
      <c r="E42" s="49">
        <f>AVERAGE('26.10.PONDWE-KASESE'!E42,'27.10 PONDWE-KASESE'!E42,'25.10.19 PONDWE-KASESE-24h'!E42)</f>
        <v>0.33333333333333331</v>
      </c>
      <c r="F42" s="49">
        <f>AVERAGE('26.10.PONDWE-KASESE'!F42,'27.10 PONDWE-KASESE'!F42,'25.10.19 PONDWE-KASESE-24h'!F42)</f>
        <v>2.6666666666666665</v>
      </c>
      <c r="G42" s="49">
        <f>AVERAGE('26.10.PONDWE-KASESE'!G42,'27.10 PONDWE-KASESE'!G42,'25.10.19 PONDWE-KASESE-24h'!G42)</f>
        <v>0</v>
      </c>
      <c r="H42" s="49">
        <f>AVERAGE('26.10.PONDWE-KASESE'!H42,'27.10 PONDWE-KASESE'!H42,'25.10.19 PONDWE-KASESE-24h'!H42)</f>
        <v>0.33333333333333331</v>
      </c>
      <c r="I42" s="49">
        <f>AVERAGE('26.10.PONDWE-KASESE'!I42,'27.10 PONDWE-KASESE'!I42,'25.10.19 PONDWE-KASESE-24h'!I42)</f>
        <v>1.3333333333333333</v>
      </c>
      <c r="J42" s="49">
        <f>AVERAGE('26.10.PONDWE-KASESE'!J42,'27.10 PONDWE-KASESE'!J42,'25.10.19 PONDWE-KASESE-24h'!J42)</f>
        <v>0</v>
      </c>
      <c r="K42" s="49">
        <f>AVERAGE('26.10.PONDWE-KASESE'!K42,'27.10 PONDWE-KASESE'!K42,'25.10.19 PONDWE-KASESE-24h'!K42)</f>
        <v>0</v>
      </c>
      <c r="L42" s="49">
        <f>AVERAGE('26.10.PONDWE-KASESE'!L42,'27.10 PONDWE-KASESE'!L42,'25.10.19 PONDWE-KASESE-24h'!L42)</f>
        <v>1</v>
      </c>
      <c r="M42" s="49">
        <f>AVERAGE('26.10.PONDWE-KASESE'!M42,'27.10 PONDWE-KASESE'!M42,'25.10.19 PONDWE-KASESE-24h'!M42)</f>
        <v>76.666666666666671</v>
      </c>
      <c r="N42" s="49">
        <f>AVERAGE('26.10.PONDWE-KASESE'!N42,'27.10 PONDWE-KASESE'!N42,'25.10.19 PONDWE-KASESE-24h'!N42)</f>
        <v>0</v>
      </c>
      <c r="O42" s="15">
        <f t="shared" si="0"/>
        <v>14.666666666666668</v>
      </c>
      <c r="P42" s="15">
        <f t="shared" si="1"/>
        <v>91.333333333333343</v>
      </c>
      <c r="R42" s="5" t="s">
        <v>160</v>
      </c>
      <c r="S42" s="48">
        <f>S41/S40</f>
        <v>1.3727382388419782</v>
      </c>
      <c r="T42" s="48">
        <f t="shared" ref="T42:AF42" si="34">T41/T40</f>
        <v>1.4375000000000002</v>
      </c>
      <c r="U42" s="48">
        <f t="shared" si="34"/>
        <v>1.2448979591836735</v>
      </c>
      <c r="V42" s="48">
        <f t="shared" si="34"/>
        <v>1.3396226415094341</v>
      </c>
      <c r="W42" s="48">
        <f t="shared" si="34"/>
        <v>2</v>
      </c>
      <c r="X42" s="48">
        <f t="shared" si="34"/>
        <v>1.7777777777777777</v>
      </c>
      <c r="Y42" s="48">
        <f t="shared" si="34"/>
        <v>1.228813559322034</v>
      </c>
      <c r="Z42" s="48">
        <f t="shared" si="34"/>
        <v>1.3478260869565217</v>
      </c>
      <c r="AA42" s="48">
        <f t="shared" si="34"/>
        <v>1.8181818181818181</v>
      </c>
      <c r="AB42" s="48">
        <f t="shared" si="34"/>
        <v>1.1445783132530121</v>
      </c>
      <c r="AC42" s="48">
        <f t="shared" si="34"/>
        <v>1.2367989504755659</v>
      </c>
      <c r="AD42" s="48">
        <v>0</v>
      </c>
      <c r="AE42" s="56">
        <f t="shared" si="34"/>
        <v>1.3534883720930231</v>
      </c>
      <c r="AF42" s="56">
        <f t="shared" si="34"/>
        <v>1.2512216154067262</v>
      </c>
    </row>
    <row r="43" spans="2:32" ht="23.1" customHeight="1" x14ac:dyDescent="0.25">
      <c r="B43" s="23" t="s">
        <v>70</v>
      </c>
      <c r="C43" s="49">
        <f>AVERAGE('26.10.PONDWE-KASESE'!C43,'27.10 PONDWE-KASESE'!C43,'25.10.19 PONDWE-KASESE-24h'!C43)</f>
        <v>6.333333333333333</v>
      </c>
      <c r="D43" s="49">
        <f>AVERAGE('26.10.PONDWE-KASESE'!D43,'27.10 PONDWE-KASESE'!D43,'25.10.19 PONDWE-KASESE-24h'!D43)</f>
        <v>0.33333333333333331</v>
      </c>
      <c r="E43" s="49">
        <f>AVERAGE('26.10.PONDWE-KASESE'!E43,'27.10 PONDWE-KASESE'!E43,'25.10.19 PONDWE-KASESE-24h'!E43)</f>
        <v>0</v>
      </c>
      <c r="F43" s="49">
        <f>AVERAGE('26.10.PONDWE-KASESE'!F43,'27.10 PONDWE-KASESE'!F43,'25.10.19 PONDWE-KASESE-24h'!F43)</f>
        <v>0.33333333333333331</v>
      </c>
      <c r="G43" s="49">
        <f>AVERAGE('26.10.PONDWE-KASESE'!G43,'27.10 PONDWE-KASESE'!G43,'25.10.19 PONDWE-KASESE-24h'!G43)</f>
        <v>0</v>
      </c>
      <c r="H43" s="49">
        <f>AVERAGE('26.10.PONDWE-KASESE'!H43,'27.10 PONDWE-KASESE'!H43,'25.10.19 PONDWE-KASESE-24h'!H43)</f>
        <v>0</v>
      </c>
      <c r="I43" s="49">
        <f>AVERAGE('26.10.PONDWE-KASESE'!I43,'27.10 PONDWE-KASESE'!I43,'25.10.19 PONDWE-KASESE-24h'!I43)</f>
        <v>0</v>
      </c>
      <c r="J43" s="49">
        <f>AVERAGE('26.10.PONDWE-KASESE'!J43,'27.10 PONDWE-KASESE'!J43,'25.10.19 PONDWE-KASESE-24h'!J43)</f>
        <v>0.66666666666666663</v>
      </c>
      <c r="K43" s="49">
        <f>AVERAGE('26.10.PONDWE-KASESE'!K43,'27.10 PONDWE-KASESE'!K43,'25.10.19 PONDWE-KASESE-24h'!K43)</f>
        <v>0</v>
      </c>
      <c r="L43" s="49">
        <f>AVERAGE('26.10.PONDWE-KASESE'!L43,'27.10 PONDWE-KASESE'!L43,'25.10.19 PONDWE-KASESE-24h'!L43)</f>
        <v>0.33333333333333331</v>
      </c>
      <c r="M43" s="49">
        <f>AVERAGE('26.10.PONDWE-KASESE'!M43,'27.10 PONDWE-KASESE'!M43,'25.10.19 PONDWE-KASESE-24h'!M43)</f>
        <v>55.333333333333336</v>
      </c>
      <c r="N43" s="49">
        <f>AVERAGE('26.10.PONDWE-KASESE'!N43,'27.10 PONDWE-KASESE'!N43,'25.10.19 PONDWE-KASESE-24h'!N43)</f>
        <v>0</v>
      </c>
      <c r="O43" s="15">
        <f t="shared" si="0"/>
        <v>7.9999999999999991</v>
      </c>
      <c r="P43" s="15">
        <f t="shared" si="1"/>
        <v>63.333333333333336</v>
      </c>
    </row>
    <row r="44" spans="2:32" ht="23.1" customHeight="1" x14ac:dyDescent="0.25">
      <c r="B44" s="25" t="s">
        <v>71</v>
      </c>
      <c r="C44" s="49">
        <f>AVERAGE('26.10.PONDWE-KASESE'!C44,'27.10 PONDWE-KASESE'!C44,'25.10.19 PONDWE-KASESE-24h'!C44)</f>
        <v>4</v>
      </c>
      <c r="D44" s="49">
        <f>AVERAGE('26.10.PONDWE-KASESE'!D44,'27.10 PONDWE-KASESE'!D44,'25.10.19 PONDWE-KASESE-24h'!D44)</f>
        <v>0.33333333333333331</v>
      </c>
      <c r="E44" s="49">
        <f>AVERAGE('26.10.PONDWE-KASESE'!E44,'27.10 PONDWE-KASESE'!E44,'25.10.19 PONDWE-KASESE-24h'!E44)</f>
        <v>0.33333333333333331</v>
      </c>
      <c r="F44" s="49">
        <f>AVERAGE('26.10.PONDWE-KASESE'!F44,'27.10 PONDWE-KASESE'!F44,'25.10.19 PONDWE-KASESE-24h'!F44)</f>
        <v>0.33333333333333331</v>
      </c>
      <c r="G44" s="49">
        <f>AVERAGE('26.10.PONDWE-KASESE'!G44,'27.10 PONDWE-KASESE'!G44,'25.10.19 PONDWE-KASESE-24h'!G44)</f>
        <v>0</v>
      </c>
      <c r="H44" s="49">
        <f>AVERAGE('26.10.PONDWE-KASESE'!H44,'27.10 PONDWE-KASESE'!H44,'25.10.19 PONDWE-KASESE-24h'!H44)</f>
        <v>0</v>
      </c>
      <c r="I44" s="49">
        <f>AVERAGE('26.10.PONDWE-KASESE'!I44,'27.10 PONDWE-KASESE'!I44,'25.10.19 PONDWE-KASESE-24h'!I44)</f>
        <v>1</v>
      </c>
      <c r="J44" s="49">
        <f>AVERAGE('26.10.PONDWE-KASESE'!J44,'27.10 PONDWE-KASESE'!J44,'25.10.19 PONDWE-KASESE-24h'!J44)</f>
        <v>0.66666666666666663</v>
      </c>
      <c r="K44" s="49">
        <f>AVERAGE('26.10.PONDWE-KASESE'!K44,'27.10 PONDWE-KASESE'!K44,'25.10.19 PONDWE-KASESE-24h'!K44)</f>
        <v>0</v>
      </c>
      <c r="L44" s="49">
        <f>AVERAGE('26.10.PONDWE-KASESE'!L44,'27.10 PONDWE-KASESE'!L44,'25.10.19 PONDWE-KASESE-24h'!L44)</f>
        <v>1.3333333333333333</v>
      </c>
      <c r="M44" s="49">
        <f>AVERAGE('26.10.PONDWE-KASESE'!M44,'27.10 PONDWE-KASESE'!M44,'25.10.19 PONDWE-KASESE-24h'!M44)</f>
        <v>77.666666666666671</v>
      </c>
      <c r="N44" s="49">
        <f>AVERAGE('26.10.PONDWE-KASESE'!N44,'27.10 PONDWE-KASESE'!N44,'25.10.19 PONDWE-KASESE-24h'!N44)</f>
        <v>0</v>
      </c>
      <c r="O44" s="15">
        <f t="shared" si="0"/>
        <v>7.9999999999999991</v>
      </c>
      <c r="P44" s="15">
        <f t="shared" si="1"/>
        <v>85.666666666666671</v>
      </c>
    </row>
    <row r="45" spans="2:32" ht="23.1" customHeight="1" x14ac:dyDescent="0.25">
      <c r="B45" s="23" t="s">
        <v>72</v>
      </c>
      <c r="C45" s="49">
        <f>AVERAGE('26.10.PONDWE-KASESE'!C45,'27.10 PONDWE-KASESE'!C45,'25.10.19 PONDWE-KASESE-24h'!C45)</f>
        <v>6</v>
      </c>
      <c r="D45" s="49">
        <f>AVERAGE('26.10.PONDWE-KASESE'!D45,'27.10 PONDWE-KASESE'!D45,'25.10.19 PONDWE-KASESE-24h'!D45)</f>
        <v>0.33333333333333331</v>
      </c>
      <c r="E45" s="49">
        <f>AVERAGE('26.10.PONDWE-KASESE'!E45,'27.10 PONDWE-KASESE'!E45,'25.10.19 PONDWE-KASESE-24h'!E45)</f>
        <v>0.66666666666666663</v>
      </c>
      <c r="F45" s="49">
        <f>AVERAGE('26.10.PONDWE-KASESE'!F45,'27.10 PONDWE-KASESE'!F45,'25.10.19 PONDWE-KASESE-24h'!F45)</f>
        <v>0.66666666666666663</v>
      </c>
      <c r="G45" s="49">
        <f>AVERAGE('26.10.PONDWE-KASESE'!G45,'27.10 PONDWE-KASESE'!G45,'25.10.19 PONDWE-KASESE-24h'!G45)</f>
        <v>0</v>
      </c>
      <c r="H45" s="49">
        <f>AVERAGE('26.10.PONDWE-KASESE'!H45,'27.10 PONDWE-KASESE'!H45,'25.10.19 PONDWE-KASESE-24h'!H45)</f>
        <v>0</v>
      </c>
      <c r="I45" s="49">
        <f>AVERAGE('26.10.PONDWE-KASESE'!I45,'27.10 PONDWE-KASESE'!I45,'25.10.19 PONDWE-KASESE-24h'!I45)</f>
        <v>0.66666666666666663</v>
      </c>
      <c r="J45" s="49">
        <f>AVERAGE('26.10.PONDWE-KASESE'!J45,'27.10 PONDWE-KASESE'!J45,'25.10.19 PONDWE-KASESE-24h'!J45)</f>
        <v>1.3333333333333333</v>
      </c>
      <c r="K45" s="49">
        <f>AVERAGE('26.10.PONDWE-KASESE'!K45,'27.10 PONDWE-KASESE'!K45,'25.10.19 PONDWE-KASESE-24h'!K45)</f>
        <v>0.33333333333333331</v>
      </c>
      <c r="L45" s="49">
        <f>AVERAGE('26.10.PONDWE-KASESE'!L45,'27.10 PONDWE-KASESE'!L45,'25.10.19 PONDWE-KASESE-24h'!L45)</f>
        <v>0.66666666666666663</v>
      </c>
      <c r="M45" s="49">
        <f>AVERAGE('26.10.PONDWE-KASESE'!M45,'27.10 PONDWE-KASESE'!M45,'25.10.19 PONDWE-KASESE-24h'!M45)</f>
        <v>68.333333333333329</v>
      </c>
      <c r="N45" s="49">
        <f>AVERAGE('26.10.PONDWE-KASESE'!N45,'27.10 PONDWE-KASESE'!N45,'25.10.19 PONDWE-KASESE-24h'!N45)</f>
        <v>0</v>
      </c>
      <c r="O45" s="15">
        <f t="shared" si="0"/>
        <v>10.666666666666668</v>
      </c>
      <c r="P45" s="15">
        <f t="shared" si="1"/>
        <v>79</v>
      </c>
    </row>
    <row r="46" spans="2:32" ht="23.1" customHeight="1" x14ac:dyDescent="0.25">
      <c r="B46" s="24" t="s">
        <v>73</v>
      </c>
      <c r="C46" s="49">
        <f>AVERAGE('26.10.PONDWE-KASESE'!C46,'27.10 PONDWE-KASESE'!C46,'25.10.19 PONDWE-KASESE-24h'!C46)</f>
        <v>7.666666666666667</v>
      </c>
      <c r="D46" s="49">
        <f>AVERAGE('26.10.PONDWE-KASESE'!D46,'27.10 PONDWE-KASESE'!D46,'25.10.19 PONDWE-KASESE-24h'!D46)</f>
        <v>0.33333333333333331</v>
      </c>
      <c r="E46" s="49">
        <f>AVERAGE('26.10.PONDWE-KASESE'!E46,'27.10 PONDWE-KASESE'!E46,'25.10.19 PONDWE-KASESE-24h'!E46)</f>
        <v>0.33333333333333331</v>
      </c>
      <c r="F46" s="49">
        <f>AVERAGE('26.10.PONDWE-KASESE'!F46,'27.10 PONDWE-KASESE'!F46,'25.10.19 PONDWE-KASESE-24h'!F46)</f>
        <v>0.33333333333333331</v>
      </c>
      <c r="G46" s="49">
        <f>AVERAGE('26.10.PONDWE-KASESE'!G46,'27.10 PONDWE-KASESE'!G46,'25.10.19 PONDWE-KASESE-24h'!G46)</f>
        <v>0</v>
      </c>
      <c r="H46" s="49">
        <f>AVERAGE('26.10.PONDWE-KASESE'!H46,'27.10 PONDWE-KASESE'!H46,'25.10.19 PONDWE-KASESE-24h'!H46)</f>
        <v>0.33333333333333331</v>
      </c>
      <c r="I46" s="49">
        <f>AVERAGE('26.10.PONDWE-KASESE'!I46,'27.10 PONDWE-KASESE'!I46,'25.10.19 PONDWE-KASESE-24h'!I46)</f>
        <v>0.33333333333333331</v>
      </c>
      <c r="J46" s="49">
        <f>AVERAGE('26.10.PONDWE-KASESE'!J46,'27.10 PONDWE-KASESE'!J46,'25.10.19 PONDWE-KASESE-24h'!J46)</f>
        <v>0.66666666666666663</v>
      </c>
      <c r="K46" s="49">
        <f>AVERAGE('26.10.PONDWE-KASESE'!K46,'27.10 PONDWE-KASESE'!K46,'25.10.19 PONDWE-KASESE-24h'!K46)</f>
        <v>0.33333333333333331</v>
      </c>
      <c r="L46" s="49">
        <f>AVERAGE('26.10.PONDWE-KASESE'!L46,'27.10 PONDWE-KASESE'!L46,'25.10.19 PONDWE-KASESE-24h'!L46)</f>
        <v>1</v>
      </c>
      <c r="M46" s="49">
        <f>AVERAGE('26.10.PONDWE-KASESE'!M46,'27.10 PONDWE-KASESE'!M46,'25.10.19 PONDWE-KASESE-24h'!M46)</f>
        <v>68.333333333333329</v>
      </c>
      <c r="N46" s="49">
        <f>AVERAGE('26.10.PONDWE-KASESE'!N46,'27.10 PONDWE-KASESE'!N46,'25.10.19 PONDWE-KASESE-24h'!N46)</f>
        <v>0</v>
      </c>
      <c r="O46" s="15">
        <f t="shared" si="0"/>
        <v>11.333333333333336</v>
      </c>
      <c r="P46" s="15">
        <f t="shared" si="1"/>
        <v>79.666666666666657</v>
      </c>
      <c r="R46" s="8"/>
      <c r="T46"/>
    </row>
    <row r="47" spans="2:32" ht="23.1" customHeight="1" x14ac:dyDescent="0.25">
      <c r="B47" s="24" t="s">
        <v>74</v>
      </c>
      <c r="C47" s="49">
        <f>AVERAGE('26.10.PONDWE-KASESE'!C47,'27.10 PONDWE-KASESE'!C47,'25.10.19 PONDWE-KASESE-24h'!C47)</f>
        <v>6.333333333333333</v>
      </c>
      <c r="D47" s="49">
        <f>AVERAGE('26.10.PONDWE-KASESE'!D47,'27.10 PONDWE-KASESE'!D47,'25.10.19 PONDWE-KASESE-24h'!D47)</f>
        <v>0.33333333333333331</v>
      </c>
      <c r="E47" s="49">
        <f>AVERAGE('26.10.PONDWE-KASESE'!E47,'27.10 PONDWE-KASESE'!E47,'25.10.19 PONDWE-KASESE-24h'!E47)</f>
        <v>0.33333333333333331</v>
      </c>
      <c r="F47" s="49">
        <f>AVERAGE('26.10.PONDWE-KASESE'!F47,'27.10 PONDWE-KASESE'!F47,'25.10.19 PONDWE-KASESE-24h'!F47)</f>
        <v>0.33333333333333331</v>
      </c>
      <c r="G47" s="49">
        <f>AVERAGE('26.10.PONDWE-KASESE'!G47,'27.10 PONDWE-KASESE'!G47,'25.10.19 PONDWE-KASESE-24h'!G47)</f>
        <v>0</v>
      </c>
      <c r="H47" s="49">
        <f>AVERAGE('26.10.PONDWE-KASESE'!H47,'27.10 PONDWE-KASESE'!H47,'25.10.19 PONDWE-KASESE-24h'!H47)</f>
        <v>0.33333333333333331</v>
      </c>
      <c r="I47" s="49">
        <f>AVERAGE('26.10.PONDWE-KASESE'!I47,'27.10 PONDWE-KASESE'!I47,'25.10.19 PONDWE-KASESE-24h'!I47)</f>
        <v>1.6666666666666667</v>
      </c>
      <c r="J47" s="49">
        <f>AVERAGE('26.10.PONDWE-KASESE'!J47,'27.10 PONDWE-KASESE'!J47,'25.10.19 PONDWE-KASESE-24h'!J47)</f>
        <v>1</v>
      </c>
      <c r="K47" s="49">
        <f>AVERAGE('26.10.PONDWE-KASESE'!K47,'27.10 PONDWE-KASESE'!K47,'25.10.19 PONDWE-KASESE-24h'!K47)</f>
        <v>0</v>
      </c>
      <c r="L47" s="49">
        <f>AVERAGE('26.10.PONDWE-KASESE'!L47,'27.10 PONDWE-KASESE'!L47,'25.10.19 PONDWE-KASESE-24h'!L47)</f>
        <v>1.6666666666666667</v>
      </c>
      <c r="M47" s="49">
        <f>AVERAGE('26.10.PONDWE-KASESE'!M47,'27.10 PONDWE-KASESE'!M47,'25.10.19 PONDWE-KASESE-24h'!M47)</f>
        <v>87.333333333333329</v>
      </c>
      <c r="N47" s="49">
        <f>AVERAGE('26.10.PONDWE-KASESE'!N47,'27.10 PONDWE-KASESE'!N47,'25.10.19 PONDWE-KASESE-24h'!N47)</f>
        <v>0</v>
      </c>
      <c r="O47" s="15">
        <f t="shared" si="0"/>
        <v>11.999999999999998</v>
      </c>
      <c r="P47" s="15">
        <f t="shared" si="1"/>
        <v>99.333333333333329</v>
      </c>
      <c r="R47" s="8"/>
      <c r="T47"/>
    </row>
    <row r="48" spans="2:32" ht="23.1" customHeight="1" x14ac:dyDescent="0.25">
      <c r="B48" s="24" t="s">
        <v>75</v>
      </c>
      <c r="C48" s="49">
        <f>AVERAGE('26.10.PONDWE-KASESE'!C48,'27.10 PONDWE-KASESE'!C48,'25.10.19 PONDWE-KASESE-24h'!C48)</f>
        <v>11</v>
      </c>
      <c r="D48" s="49">
        <f>AVERAGE('26.10.PONDWE-KASESE'!D48,'27.10 PONDWE-KASESE'!D48,'25.10.19 PONDWE-KASESE-24h'!D48)</f>
        <v>0.33333333333333331</v>
      </c>
      <c r="E48" s="49">
        <f>AVERAGE('26.10.PONDWE-KASESE'!E48,'27.10 PONDWE-KASESE'!E48,'25.10.19 PONDWE-KASESE-24h'!E48)</f>
        <v>0.66666666666666663</v>
      </c>
      <c r="F48" s="49">
        <f>AVERAGE('26.10.PONDWE-KASESE'!F48,'27.10 PONDWE-KASESE'!F48,'25.10.19 PONDWE-KASESE-24h'!F48)</f>
        <v>0.33333333333333331</v>
      </c>
      <c r="G48" s="49">
        <f>AVERAGE('26.10.PONDWE-KASESE'!G48,'27.10 PONDWE-KASESE'!G48,'25.10.19 PONDWE-KASESE-24h'!G48)</f>
        <v>0</v>
      </c>
      <c r="H48" s="49">
        <f>AVERAGE('26.10.PONDWE-KASESE'!H48,'27.10 PONDWE-KASESE'!H48,'25.10.19 PONDWE-KASESE-24h'!H48)</f>
        <v>0</v>
      </c>
      <c r="I48" s="49">
        <f>AVERAGE('26.10.PONDWE-KASESE'!I48,'27.10 PONDWE-KASESE'!I48,'25.10.19 PONDWE-KASESE-24h'!I48)</f>
        <v>1.6666666666666667</v>
      </c>
      <c r="J48" s="49">
        <f>AVERAGE('26.10.PONDWE-KASESE'!J48,'27.10 PONDWE-KASESE'!J48,'25.10.19 PONDWE-KASESE-24h'!J48)</f>
        <v>0.33333333333333331</v>
      </c>
      <c r="K48" s="49">
        <f>AVERAGE('26.10.PONDWE-KASESE'!K48,'27.10 PONDWE-KASESE'!K48,'25.10.19 PONDWE-KASESE-24h'!K48)</f>
        <v>0</v>
      </c>
      <c r="L48" s="49">
        <f>AVERAGE('26.10.PONDWE-KASESE'!L48,'27.10 PONDWE-KASESE'!L48,'25.10.19 PONDWE-KASESE-24h'!L48)</f>
        <v>0</v>
      </c>
      <c r="M48" s="49">
        <f>AVERAGE('26.10.PONDWE-KASESE'!M48,'27.10 PONDWE-KASESE'!M48,'25.10.19 PONDWE-KASESE-24h'!M48)</f>
        <v>57.333333333333336</v>
      </c>
      <c r="N48" s="49">
        <f>AVERAGE('26.10.PONDWE-KASESE'!N48,'27.10 PONDWE-KASESE'!N48,'25.10.19 PONDWE-KASESE-24h'!N48)</f>
        <v>0</v>
      </c>
      <c r="O48" s="15">
        <f t="shared" si="0"/>
        <v>14.333333333333334</v>
      </c>
      <c r="P48" s="15">
        <f t="shared" si="1"/>
        <v>71.666666666666671</v>
      </c>
      <c r="R48" s="8"/>
      <c r="T48"/>
    </row>
    <row r="49" spans="2:20" ht="23.1" customHeight="1" x14ac:dyDescent="0.25">
      <c r="B49" s="23" t="s">
        <v>76</v>
      </c>
      <c r="C49" s="49">
        <f>AVERAGE('26.10.PONDWE-KASESE'!C49,'27.10 PONDWE-KASESE'!C49,'25.10.19 PONDWE-KASESE-24h'!C49)</f>
        <v>11.333333333333334</v>
      </c>
      <c r="D49" s="49">
        <f>AVERAGE('26.10.PONDWE-KASESE'!D49,'27.10 PONDWE-KASESE'!D49,'25.10.19 PONDWE-KASESE-24h'!D49)</f>
        <v>1.3333333333333333</v>
      </c>
      <c r="E49" s="49">
        <f>AVERAGE('26.10.PONDWE-KASESE'!E49,'27.10 PONDWE-KASESE'!E49,'25.10.19 PONDWE-KASESE-24h'!E49)</f>
        <v>0.66666666666666663</v>
      </c>
      <c r="F49" s="49">
        <f>AVERAGE('26.10.PONDWE-KASESE'!F49,'27.10 PONDWE-KASESE'!F49,'25.10.19 PONDWE-KASESE-24h'!F49)</f>
        <v>0.66666666666666663</v>
      </c>
      <c r="G49" s="49">
        <f>AVERAGE('26.10.PONDWE-KASESE'!G49,'27.10 PONDWE-KASESE'!G49,'25.10.19 PONDWE-KASESE-24h'!G49)</f>
        <v>0</v>
      </c>
      <c r="H49" s="49">
        <f>AVERAGE('26.10.PONDWE-KASESE'!H49,'27.10 PONDWE-KASESE'!H49,'25.10.19 PONDWE-KASESE-24h'!H49)</f>
        <v>0</v>
      </c>
      <c r="I49" s="49">
        <f>AVERAGE('26.10.PONDWE-KASESE'!I49,'27.10 PONDWE-KASESE'!I49,'25.10.19 PONDWE-KASESE-24h'!I49)</f>
        <v>2</v>
      </c>
      <c r="J49" s="49">
        <f>AVERAGE('26.10.PONDWE-KASESE'!J49,'27.10 PONDWE-KASESE'!J49,'25.10.19 PONDWE-KASESE-24h'!J49)</f>
        <v>0.66666666666666663</v>
      </c>
      <c r="K49" s="49">
        <f>AVERAGE('26.10.PONDWE-KASESE'!K49,'27.10 PONDWE-KASESE'!K49,'25.10.19 PONDWE-KASESE-24h'!K49)</f>
        <v>0</v>
      </c>
      <c r="L49" s="49">
        <f>AVERAGE('26.10.PONDWE-KASESE'!L49,'27.10 PONDWE-KASESE'!L49,'25.10.19 PONDWE-KASESE-24h'!L49)</f>
        <v>1.6666666666666667</v>
      </c>
      <c r="M49" s="49">
        <f>AVERAGE('26.10.PONDWE-KASESE'!M49,'27.10 PONDWE-KASESE'!M49,'25.10.19 PONDWE-KASESE-24h'!M49)</f>
        <v>72</v>
      </c>
      <c r="N49" s="49">
        <f>AVERAGE('26.10.PONDWE-KASESE'!N49,'27.10 PONDWE-KASESE'!N49,'25.10.19 PONDWE-KASESE-24h'!N49)</f>
        <v>0</v>
      </c>
      <c r="O49" s="15">
        <f t="shared" si="0"/>
        <v>18.333333333333336</v>
      </c>
      <c r="P49" s="15">
        <f t="shared" si="1"/>
        <v>90.333333333333343</v>
      </c>
      <c r="R49" s="8"/>
      <c r="T49"/>
    </row>
    <row r="50" spans="2:20" ht="23.1" customHeight="1" x14ac:dyDescent="0.25">
      <c r="B50" s="24" t="s">
        <v>77</v>
      </c>
      <c r="C50" s="49">
        <f>AVERAGE('26.10.PONDWE-KASESE'!C50,'27.10 PONDWE-KASESE'!C50,'25.10.19 PONDWE-KASESE-24h'!C50)</f>
        <v>8.6666666666666661</v>
      </c>
      <c r="D50" s="49">
        <f>AVERAGE('26.10.PONDWE-KASESE'!D50,'27.10 PONDWE-KASESE'!D50,'25.10.19 PONDWE-KASESE-24h'!D50)</f>
        <v>1.3333333333333333</v>
      </c>
      <c r="E50" s="49">
        <f>AVERAGE('26.10.PONDWE-KASESE'!E50,'27.10 PONDWE-KASESE'!E50,'25.10.19 PONDWE-KASESE-24h'!E50)</f>
        <v>0.66666666666666663</v>
      </c>
      <c r="F50" s="49">
        <f>AVERAGE('26.10.PONDWE-KASESE'!F50,'27.10 PONDWE-KASESE'!F50,'25.10.19 PONDWE-KASESE-24h'!F50)</f>
        <v>0.33333333333333331</v>
      </c>
      <c r="G50" s="49">
        <f>AVERAGE('26.10.PONDWE-KASESE'!G50,'27.10 PONDWE-KASESE'!G50,'25.10.19 PONDWE-KASESE-24h'!G50)</f>
        <v>0</v>
      </c>
      <c r="H50" s="49">
        <f>AVERAGE('26.10.PONDWE-KASESE'!H50,'27.10 PONDWE-KASESE'!H50,'25.10.19 PONDWE-KASESE-24h'!H50)</f>
        <v>0</v>
      </c>
      <c r="I50" s="49">
        <f>AVERAGE('26.10.PONDWE-KASESE'!I50,'27.10 PONDWE-KASESE'!I50,'25.10.19 PONDWE-KASESE-24h'!I50)</f>
        <v>0.66666666666666663</v>
      </c>
      <c r="J50" s="49">
        <f>AVERAGE('26.10.PONDWE-KASESE'!J50,'27.10 PONDWE-KASESE'!J50,'25.10.19 PONDWE-KASESE-24h'!J50)</f>
        <v>0</v>
      </c>
      <c r="K50" s="49">
        <f>AVERAGE('26.10.PONDWE-KASESE'!K50,'27.10 PONDWE-KASESE'!K50,'25.10.19 PONDWE-KASESE-24h'!K50)</f>
        <v>0</v>
      </c>
      <c r="L50" s="49">
        <f>AVERAGE('26.10.PONDWE-KASESE'!L50,'27.10 PONDWE-KASESE'!L50,'25.10.19 PONDWE-KASESE-24h'!L50)</f>
        <v>0.66666666666666663</v>
      </c>
      <c r="M50" s="49">
        <f>AVERAGE('26.10.PONDWE-KASESE'!M50,'27.10 PONDWE-KASESE'!M50,'25.10.19 PONDWE-KASESE-24h'!M50)</f>
        <v>63.666666666666664</v>
      </c>
      <c r="N50" s="49">
        <f>AVERAGE('26.10.PONDWE-KASESE'!N50,'27.10 PONDWE-KASESE'!N50,'25.10.19 PONDWE-KASESE-24h'!N50)</f>
        <v>0</v>
      </c>
      <c r="O50" s="15">
        <f t="shared" si="0"/>
        <v>12.333333333333332</v>
      </c>
      <c r="P50" s="15">
        <f t="shared" si="1"/>
        <v>76</v>
      </c>
      <c r="R50" s="8"/>
      <c r="T50"/>
    </row>
    <row r="51" spans="2:20" ht="23.1" customHeight="1" x14ac:dyDescent="0.25">
      <c r="B51" s="24" t="s">
        <v>78</v>
      </c>
      <c r="C51" s="49">
        <f>AVERAGE('26.10.PONDWE-KASESE'!C51,'27.10 PONDWE-KASESE'!C51,'25.10.19 PONDWE-KASESE-24h'!C51)</f>
        <v>7.333333333333333</v>
      </c>
      <c r="D51" s="49">
        <f>AVERAGE('26.10.PONDWE-KASESE'!D51,'27.10 PONDWE-KASESE'!D51,'25.10.19 PONDWE-KASESE-24h'!D51)</f>
        <v>0.33333333333333331</v>
      </c>
      <c r="E51" s="49">
        <f>AVERAGE('26.10.PONDWE-KASESE'!E51,'27.10 PONDWE-KASESE'!E51,'25.10.19 PONDWE-KASESE-24h'!E51)</f>
        <v>0</v>
      </c>
      <c r="F51" s="49">
        <f>AVERAGE('26.10.PONDWE-KASESE'!F51,'27.10 PONDWE-KASESE'!F51,'25.10.19 PONDWE-KASESE-24h'!F51)</f>
        <v>1</v>
      </c>
      <c r="G51" s="49">
        <f>AVERAGE('26.10.PONDWE-KASESE'!G51,'27.10 PONDWE-KASESE'!G51,'25.10.19 PONDWE-KASESE-24h'!G51)</f>
        <v>0</v>
      </c>
      <c r="H51" s="49">
        <f>AVERAGE('26.10.PONDWE-KASESE'!H51,'27.10 PONDWE-KASESE'!H51,'25.10.19 PONDWE-KASESE-24h'!H51)</f>
        <v>0</v>
      </c>
      <c r="I51" s="49">
        <f>AVERAGE('26.10.PONDWE-KASESE'!I51,'27.10 PONDWE-KASESE'!I51,'25.10.19 PONDWE-KASESE-24h'!I51)</f>
        <v>0</v>
      </c>
      <c r="J51" s="49">
        <f>AVERAGE('26.10.PONDWE-KASESE'!J51,'27.10 PONDWE-KASESE'!J51,'25.10.19 PONDWE-KASESE-24h'!J51)</f>
        <v>0.33333333333333331</v>
      </c>
      <c r="K51" s="49">
        <f>AVERAGE('26.10.PONDWE-KASESE'!K51,'27.10 PONDWE-KASESE'!K51,'25.10.19 PONDWE-KASESE-24h'!K51)</f>
        <v>0</v>
      </c>
      <c r="L51" s="49">
        <f>AVERAGE('26.10.PONDWE-KASESE'!L51,'27.10 PONDWE-KASESE'!L51,'25.10.19 PONDWE-KASESE-24h'!L51)</f>
        <v>0.33333333333333331</v>
      </c>
      <c r="M51" s="49">
        <f>AVERAGE('26.10.PONDWE-KASESE'!M51,'27.10 PONDWE-KASESE'!M51,'25.10.19 PONDWE-KASESE-24h'!M51)</f>
        <v>70.666666666666671</v>
      </c>
      <c r="N51" s="49">
        <f>AVERAGE('26.10.PONDWE-KASESE'!N51,'27.10 PONDWE-KASESE'!N51,'25.10.19 PONDWE-KASESE-24h'!N51)</f>
        <v>0</v>
      </c>
      <c r="O51" s="15">
        <f t="shared" si="0"/>
        <v>9.3333333333333339</v>
      </c>
      <c r="P51" s="15">
        <f t="shared" si="1"/>
        <v>80</v>
      </c>
      <c r="R51" s="8"/>
      <c r="T51"/>
    </row>
    <row r="52" spans="2:20" ht="23.1" customHeight="1" x14ac:dyDescent="0.25">
      <c r="B52" s="24" t="s">
        <v>79</v>
      </c>
      <c r="C52" s="49">
        <f>AVERAGE('26.10.PONDWE-KASESE'!C52,'27.10 PONDWE-KASESE'!C52,'25.10.19 PONDWE-KASESE-24h'!C52)</f>
        <v>7</v>
      </c>
      <c r="D52" s="49">
        <f>AVERAGE('26.10.PONDWE-KASESE'!D52,'27.10 PONDWE-KASESE'!D52,'25.10.19 PONDWE-KASESE-24h'!D52)</f>
        <v>0.33333333333333331</v>
      </c>
      <c r="E52" s="49">
        <f>AVERAGE('26.10.PONDWE-KASESE'!E52,'27.10 PONDWE-KASESE'!E52,'25.10.19 PONDWE-KASESE-24h'!E52)</f>
        <v>0.33333333333333331</v>
      </c>
      <c r="F52" s="49">
        <f>AVERAGE('26.10.PONDWE-KASESE'!F52,'27.10 PONDWE-KASESE'!F52,'25.10.19 PONDWE-KASESE-24h'!F52)</f>
        <v>1</v>
      </c>
      <c r="G52" s="49">
        <f>AVERAGE('26.10.PONDWE-KASESE'!G52,'27.10 PONDWE-KASESE'!G52,'25.10.19 PONDWE-KASESE-24h'!G52)</f>
        <v>0</v>
      </c>
      <c r="H52" s="49">
        <f>AVERAGE('26.10.PONDWE-KASESE'!H52,'27.10 PONDWE-KASESE'!H52,'25.10.19 PONDWE-KASESE-24h'!H52)</f>
        <v>0</v>
      </c>
      <c r="I52" s="49">
        <f>AVERAGE('26.10.PONDWE-KASESE'!I52,'27.10 PONDWE-KASESE'!I52,'25.10.19 PONDWE-KASESE-24h'!I52)</f>
        <v>1.6666666666666667</v>
      </c>
      <c r="J52" s="49">
        <f>AVERAGE('26.10.PONDWE-KASESE'!J52,'27.10 PONDWE-KASESE'!J52,'25.10.19 PONDWE-KASESE-24h'!J52)</f>
        <v>0.33333333333333331</v>
      </c>
      <c r="K52" s="49">
        <f>AVERAGE('26.10.PONDWE-KASESE'!K52,'27.10 PONDWE-KASESE'!K52,'25.10.19 PONDWE-KASESE-24h'!K52)</f>
        <v>0</v>
      </c>
      <c r="L52" s="49">
        <f>AVERAGE('26.10.PONDWE-KASESE'!L52,'27.10 PONDWE-KASESE'!L52,'25.10.19 PONDWE-KASESE-24h'!L52)</f>
        <v>0.66666666666666663</v>
      </c>
      <c r="M52" s="49">
        <f>AVERAGE('26.10.PONDWE-KASESE'!M52,'27.10 PONDWE-KASESE'!M52,'25.10.19 PONDWE-KASESE-24h'!M52)</f>
        <v>61.666666666666664</v>
      </c>
      <c r="N52" s="49">
        <f>AVERAGE('26.10.PONDWE-KASESE'!N52,'27.10 PONDWE-KASESE'!N52,'25.10.19 PONDWE-KASESE-24h'!N52)</f>
        <v>0</v>
      </c>
      <c r="O52" s="15">
        <f t="shared" si="0"/>
        <v>11.333333333333332</v>
      </c>
      <c r="P52" s="15">
        <f t="shared" si="1"/>
        <v>73</v>
      </c>
      <c r="R52" s="8"/>
      <c r="T52"/>
    </row>
    <row r="53" spans="2:20" ht="23.1" customHeight="1" x14ac:dyDescent="0.25">
      <c r="B53" s="23" t="s">
        <v>80</v>
      </c>
      <c r="C53" s="49">
        <f>AVERAGE('26.10.PONDWE-KASESE'!C53,'27.10 PONDWE-KASESE'!C53,'25.10.19 PONDWE-KASESE-24h'!C53)</f>
        <v>7</v>
      </c>
      <c r="D53" s="49">
        <f>AVERAGE('26.10.PONDWE-KASESE'!D53,'27.10 PONDWE-KASESE'!D53,'25.10.19 PONDWE-KASESE-24h'!D53)</f>
        <v>0.33333333333333331</v>
      </c>
      <c r="E53" s="49">
        <f>AVERAGE('26.10.PONDWE-KASESE'!E53,'27.10 PONDWE-KASESE'!E53,'25.10.19 PONDWE-KASESE-24h'!E53)</f>
        <v>0</v>
      </c>
      <c r="F53" s="49">
        <f>AVERAGE('26.10.PONDWE-KASESE'!F53,'27.10 PONDWE-KASESE'!F53,'25.10.19 PONDWE-KASESE-24h'!F53)</f>
        <v>0.66666666666666663</v>
      </c>
      <c r="G53" s="49">
        <f>AVERAGE('26.10.PONDWE-KASESE'!G53,'27.10 PONDWE-KASESE'!G53,'25.10.19 PONDWE-KASESE-24h'!G53)</f>
        <v>0</v>
      </c>
      <c r="H53" s="49">
        <f>AVERAGE('26.10.PONDWE-KASESE'!H53,'27.10 PONDWE-KASESE'!H53,'25.10.19 PONDWE-KASESE-24h'!H53)</f>
        <v>0</v>
      </c>
      <c r="I53" s="49">
        <f>AVERAGE('26.10.PONDWE-KASESE'!I53,'27.10 PONDWE-KASESE'!I53,'25.10.19 PONDWE-KASESE-24h'!I53)</f>
        <v>1.3333333333333333</v>
      </c>
      <c r="J53" s="49">
        <f>AVERAGE('26.10.PONDWE-KASESE'!J53,'27.10 PONDWE-KASESE'!J53,'25.10.19 PONDWE-KASESE-24h'!J53)</f>
        <v>0.33333333333333331</v>
      </c>
      <c r="K53" s="49">
        <f>AVERAGE('26.10.PONDWE-KASESE'!K53,'27.10 PONDWE-KASESE'!K53,'25.10.19 PONDWE-KASESE-24h'!K53)</f>
        <v>0.33333333333333331</v>
      </c>
      <c r="L53" s="49">
        <f>AVERAGE('26.10.PONDWE-KASESE'!L53,'27.10 PONDWE-KASESE'!L53,'25.10.19 PONDWE-KASESE-24h'!L53)</f>
        <v>2</v>
      </c>
      <c r="M53" s="49">
        <f>AVERAGE('26.10.PONDWE-KASESE'!M53,'27.10 PONDWE-KASESE'!M53,'25.10.19 PONDWE-KASESE-24h'!M53)</f>
        <v>62.333333333333336</v>
      </c>
      <c r="N53" s="49">
        <f>AVERAGE('26.10.PONDWE-KASESE'!N53,'27.10 PONDWE-KASESE'!N53,'25.10.19 PONDWE-KASESE-24h'!N53)</f>
        <v>0</v>
      </c>
      <c r="O53" s="15">
        <f t="shared" si="0"/>
        <v>12.000000000000002</v>
      </c>
      <c r="P53" s="15">
        <f t="shared" si="1"/>
        <v>74.333333333333343</v>
      </c>
      <c r="R53" s="8"/>
      <c r="T53"/>
    </row>
    <row r="54" spans="2:20" ht="23.1" customHeight="1" x14ac:dyDescent="0.25">
      <c r="B54" s="23" t="s">
        <v>81</v>
      </c>
      <c r="C54" s="49">
        <f>AVERAGE('26.10.PONDWE-KASESE'!C54,'27.10 PONDWE-KASESE'!C54,'25.10.19 PONDWE-KASESE-24h'!C54)</f>
        <v>7</v>
      </c>
      <c r="D54" s="49">
        <f>AVERAGE('26.10.PONDWE-KASESE'!D54,'27.10 PONDWE-KASESE'!D54,'25.10.19 PONDWE-KASESE-24h'!D54)</f>
        <v>0</v>
      </c>
      <c r="E54" s="49">
        <f>AVERAGE('26.10.PONDWE-KASESE'!E54,'27.10 PONDWE-KASESE'!E54,'25.10.19 PONDWE-KASESE-24h'!E54)</f>
        <v>0.33333333333333331</v>
      </c>
      <c r="F54" s="49">
        <f>AVERAGE('26.10.PONDWE-KASESE'!F54,'27.10 PONDWE-KASESE'!F54,'25.10.19 PONDWE-KASESE-24h'!F54)</f>
        <v>1</v>
      </c>
      <c r="G54" s="49">
        <f>AVERAGE('26.10.PONDWE-KASESE'!G54,'27.10 PONDWE-KASESE'!G54,'25.10.19 PONDWE-KASESE-24h'!G54)</f>
        <v>0</v>
      </c>
      <c r="H54" s="49">
        <f>AVERAGE('26.10.PONDWE-KASESE'!H54,'27.10 PONDWE-KASESE'!H54,'25.10.19 PONDWE-KASESE-24h'!H54)</f>
        <v>0.33333333333333331</v>
      </c>
      <c r="I54" s="49">
        <f>AVERAGE('26.10.PONDWE-KASESE'!I54,'27.10 PONDWE-KASESE'!I54,'25.10.19 PONDWE-KASESE-24h'!I54)</f>
        <v>0.66666666666666663</v>
      </c>
      <c r="J54" s="49">
        <f>AVERAGE('26.10.PONDWE-KASESE'!J54,'27.10 PONDWE-KASESE'!J54,'25.10.19 PONDWE-KASESE-24h'!J54)</f>
        <v>0.66666666666666663</v>
      </c>
      <c r="K54" s="49">
        <f>AVERAGE('26.10.PONDWE-KASESE'!K54,'27.10 PONDWE-KASESE'!K54,'25.10.19 PONDWE-KASESE-24h'!K54)</f>
        <v>0</v>
      </c>
      <c r="L54" s="49">
        <f>AVERAGE('26.10.PONDWE-KASESE'!L54,'27.10 PONDWE-KASESE'!L54,'25.10.19 PONDWE-KASESE-24h'!L54)</f>
        <v>1</v>
      </c>
      <c r="M54" s="49">
        <f>AVERAGE('26.10.PONDWE-KASESE'!M54,'27.10 PONDWE-KASESE'!M54,'25.10.19 PONDWE-KASESE-24h'!M54)</f>
        <v>81.333333333333329</v>
      </c>
      <c r="N54" s="49">
        <f>AVERAGE('26.10.PONDWE-KASESE'!N54,'27.10 PONDWE-KASESE'!N54,'25.10.19 PONDWE-KASESE-24h'!N54)</f>
        <v>0</v>
      </c>
      <c r="O54" s="15">
        <f t="shared" si="0"/>
        <v>10.999999999999998</v>
      </c>
      <c r="P54" s="15">
        <f t="shared" si="1"/>
        <v>92.333333333333329</v>
      </c>
      <c r="R54" s="8"/>
      <c r="T54"/>
    </row>
    <row r="55" spans="2:20" ht="23.1" customHeight="1" x14ac:dyDescent="0.25">
      <c r="B55" s="23" t="s">
        <v>82</v>
      </c>
      <c r="C55" s="49">
        <f>AVERAGE('26.10.PONDWE-KASESE'!C55,'27.10 PONDWE-KASESE'!C55,'25.10.19 PONDWE-KASESE-24h'!C55)</f>
        <v>7.333333333333333</v>
      </c>
      <c r="D55" s="49">
        <f>AVERAGE('26.10.PONDWE-KASESE'!D55,'27.10 PONDWE-KASESE'!D55,'25.10.19 PONDWE-KASESE-24h'!D55)</f>
        <v>0</v>
      </c>
      <c r="E55" s="49">
        <f>AVERAGE('26.10.PONDWE-KASESE'!E55,'27.10 PONDWE-KASESE'!E55,'25.10.19 PONDWE-KASESE-24h'!E55)</f>
        <v>0.33333333333333331</v>
      </c>
      <c r="F55" s="49">
        <f>AVERAGE('26.10.PONDWE-KASESE'!F55,'27.10 PONDWE-KASESE'!F55,'25.10.19 PONDWE-KASESE-24h'!F55)</f>
        <v>1</v>
      </c>
      <c r="G55" s="49">
        <f>AVERAGE('26.10.PONDWE-KASESE'!G55,'27.10 PONDWE-KASESE'!G55,'25.10.19 PONDWE-KASESE-24h'!G55)</f>
        <v>0</v>
      </c>
      <c r="H55" s="49">
        <f>AVERAGE('26.10.PONDWE-KASESE'!H55,'27.10 PONDWE-KASESE'!H55,'25.10.19 PONDWE-KASESE-24h'!H55)</f>
        <v>0</v>
      </c>
      <c r="I55" s="49">
        <f>AVERAGE('26.10.PONDWE-KASESE'!I55,'27.10 PONDWE-KASESE'!I55,'25.10.19 PONDWE-KASESE-24h'!I55)</f>
        <v>0.33333333333333331</v>
      </c>
      <c r="J55" s="49">
        <f>AVERAGE('26.10.PONDWE-KASESE'!J55,'27.10 PONDWE-KASESE'!J55,'25.10.19 PONDWE-KASESE-24h'!J55)</f>
        <v>1.3333333333333333</v>
      </c>
      <c r="K55" s="49">
        <f>AVERAGE('26.10.PONDWE-KASESE'!K55,'27.10 PONDWE-KASESE'!K55,'25.10.19 PONDWE-KASESE-24h'!K55)</f>
        <v>0.33333333333333331</v>
      </c>
      <c r="L55" s="49">
        <f>AVERAGE('26.10.PONDWE-KASESE'!L55,'27.10 PONDWE-KASESE'!L55,'25.10.19 PONDWE-KASESE-24h'!L55)</f>
        <v>0.66666666666666663</v>
      </c>
      <c r="M55" s="49">
        <f>AVERAGE('26.10.PONDWE-KASESE'!M55,'27.10 PONDWE-KASESE'!M55,'25.10.19 PONDWE-KASESE-24h'!M55)</f>
        <v>85</v>
      </c>
      <c r="N55" s="49">
        <f>AVERAGE('26.10.PONDWE-KASESE'!N55,'27.10 PONDWE-KASESE'!N55,'25.10.19 PONDWE-KASESE-24h'!N55)</f>
        <v>0</v>
      </c>
      <c r="O55" s="15">
        <f t="shared" si="0"/>
        <v>11.333333333333334</v>
      </c>
      <c r="P55" s="15">
        <f t="shared" si="1"/>
        <v>96.333333333333329</v>
      </c>
      <c r="R55" s="8"/>
      <c r="T55"/>
    </row>
    <row r="56" spans="2:20" ht="23.1" customHeight="1" x14ac:dyDescent="0.25">
      <c r="B56" s="23" t="s">
        <v>83</v>
      </c>
      <c r="C56" s="49">
        <f>AVERAGE('26.10.PONDWE-KASESE'!C56,'27.10 PONDWE-KASESE'!C56,'25.10.19 PONDWE-KASESE-24h'!C56)</f>
        <v>6.666666666666667</v>
      </c>
      <c r="D56" s="49">
        <f>AVERAGE('26.10.PONDWE-KASESE'!D56,'27.10 PONDWE-KASESE'!D56,'25.10.19 PONDWE-KASESE-24h'!D56)</f>
        <v>0.33333333333333331</v>
      </c>
      <c r="E56" s="49">
        <f>AVERAGE('26.10.PONDWE-KASESE'!E56,'27.10 PONDWE-KASESE'!E56,'25.10.19 PONDWE-KASESE-24h'!E56)</f>
        <v>0</v>
      </c>
      <c r="F56" s="49">
        <f>AVERAGE('26.10.PONDWE-KASESE'!F56,'27.10 PONDWE-KASESE'!F56,'25.10.19 PONDWE-KASESE-24h'!F56)</f>
        <v>1</v>
      </c>
      <c r="G56" s="49">
        <f>AVERAGE('26.10.PONDWE-KASESE'!G56,'27.10 PONDWE-KASESE'!G56,'25.10.19 PONDWE-KASESE-24h'!G56)</f>
        <v>0</v>
      </c>
      <c r="H56" s="49">
        <f>AVERAGE('26.10.PONDWE-KASESE'!H56,'27.10 PONDWE-KASESE'!H56,'25.10.19 PONDWE-KASESE-24h'!H56)</f>
        <v>0</v>
      </c>
      <c r="I56" s="49">
        <f>AVERAGE('26.10.PONDWE-KASESE'!I56,'27.10 PONDWE-KASESE'!I56,'25.10.19 PONDWE-KASESE-24h'!I56)</f>
        <v>1</v>
      </c>
      <c r="J56" s="49">
        <f>AVERAGE('26.10.PONDWE-KASESE'!J56,'27.10 PONDWE-KASESE'!J56,'25.10.19 PONDWE-KASESE-24h'!J56)</f>
        <v>0</v>
      </c>
      <c r="K56" s="49">
        <f>AVERAGE('26.10.PONDWE-KASESE'!K56,'27.10 PONDWE-KASESE'!K56,'25.10.19 PONDWE-KASESE-24h'!K56)</f>
        <v>0</v>
      </c>
      <c r="L56" s="49">
        <f>AVERAGE('26.10.PONDWE-KASESE'!L56,'27.10 PONDWE-KASESE'!L56,'25.10.19 PONDWE-KASESE-24h'!L56)</f>
        <v>0.33333333333333331</v>
      </c>
      <c r="M56" s="49">
        <f>AVERAGE('26.10.PONDWE-KASESE'!M56,'27.10 PONDWE-KASESE'!M56,'25.10.19 PONDWE-KASESE-24h'!M56)</f>
        <v>91.666666666666671</v>
      </c>
      <c r="N56" s="49">
        <f>AVERAGE('26.10.PONDWE-KASESE'!N56,'27.10 PONDWE-KASESE'!N56,'25.10.19 PONDWE-KASESE-24h'!N56)</f>
        <v>0</v>
      </c>
      <c r="O56" s="15">
        <f t="shared" si="0"/>
        <v>9.3333333333333339</v>
      </c>
      <c r="P56" s="15">
        <f t="shared" si="1"/>
        <v>101</v>
      </c>
      <c r="R56" s="8"/>
      <c r="T56"/>
    </row>
    <row r="57" spans="2:20" ht="23.1" customHeight="1" x14ac:dyDescent="0.25">
      <c r="B57" s="23" t="s">
        <v>84</v>
      </c>
      <c r="C57" s="49">
        <f>AVERAGE('26.10.PONDWE-KASESE'!C57,'27.10 PONDWE-KASESE'!C57,'25.10.19 PONDWE-KASESE-24h'!C57)</f>
        <v>9.6666666666666661</v>
      </c>
      <c r="D57" s="49">
        <f>AVERAGE('26.10.PONDWE-KASESE'!D57,'27.10 PONDWE-KASESE'!D57,'25.10.19 PONDWE-KASESE-24h'!D57)</f>
        <v>0.33333333333333331</v>
      </c>
      <c r="E57" s="49">
        <f>AVERAGE('26.10.PONDWE-KASESE'!E57,'27.10 PONDWE-KASESE'!E57,'25.10.19 PONDWE-KASESE-24h'!E57)</f>
        <v>0</v>
      </c>
      <c r="F57" s="49">
        <f>AVERAGE('26.10.PONDWE-KASESE'!F57,'27.10 PONDWE-KASESE'!F57,'25.10.19 PONDWE-KASESE-24h'!F57)</f>
        <v>0</v>
      </c>
      <c r="G57" s="49">
        <f>AVERAGE('26.10.PONDWE-KASESE'!G57,'27.10 PONDWE-KASESE'!G57,'25.10.19 PONDWE-KASESE-24h'!G57)</f>
        <v>0</v>
      </c>
      <c r="H57" s="49">
        <f>AVERAGE('26.10.PONDWE-KASESE'!H57,'27.10 PONDWE-KASESE'!H57,'25.10.19 PONDWE-KASESE-24h'!H57)</f>
        <v>0</v>
      </c>
      <c r="I57" s="49">
        <f>AVERAGE('26.10.PONDWE-KASESE'!I57,'27.10 PONDWE-KASESE'!I57,'25.10.19 PONDWE-KASESE-24h'!I57)</f>
        <v>1.3333333333333333</v>
      </c>
      <c r="J57" s="49">
        <f>AVERAGE('26.10.PONDWE-KASESE'!J57,'27.10 PONDWE-KASESE'!J57,'25.10.19 PONDWE-KASESE-24h'!J57)</f>
        <v>1.3333333333333333</v>
      </c>
      <c r="K57" s="49">
        <f>AVERAGE('26.10.PONDWE-KASESE'!K57,'27.10 PONDWE-KASESE'!K57,'25.10.19 PONDWE-KASESE-24h'!K57)</f>
        <v>0</v>
      </c>
      <c r="L57" s="49">
        <f>AVERAGE('26.10.PONDWE-KASESE'!L57,'27.10 PONDWE-KASESE'!L57,'25.10.19 PONDWE-KASESE-24h'!L57)</f>
        <v>0.33333333333333331</v>
      </c>
      <c r="M57" s="49">
        <f>AVERAGE('26.10.PONDWE-KASESE'!M57,'27.10 PONDWE-KASESE'!M57,'25.10.19 PONDWE-KASESE-24h'!M57)</f>
        <v>91</v>
      </c>
      <c r="N57" s="49">
        <f>AVERAGE('26.10.PONDWE-KASESE'!N57,'27.10 PONDWE-KASESE'!N57,'25.10.19 PONDWE-KASESE-24h'!N57)</f>
        <v>0</v>
      </c>
      <c r="O57" s="15">
        <f t="shared" si="0"/>
        <v>13.000000000000002</v>
      </c>
      <c r="P57" s="15">
        <f t="shared" si="1"/>
        <v>104</v>
      </c>
      <c r="R57" s="8"/>
      <c r="T57"/>
    </row>
    <row r="58" spans="2:20" ht="23.1" customHeight="1" x14ac:dyDescent="0.25">
      <c r="B58" s="23" t="s">
        <v>99</v>
      </c>
      <c r="C58" s="49">
        <f>AVERAGE('25.10.19 PONDWE-KASESE-24h'!C58)</f>
        <v>9</v>
      </c>
      <c r="D58" s="49">
        <f>AVERAGE('25.10.19 PONDWE-KASESE-24h'!D58)</f>
        <v>2</v>
      </c>
      <c r="E58" s="49">
        <f>AVERAGE('25.10.19 PONDWE-KASESE-24h'!E58)</f>
        <v>0</v>
      </c>
      <c r="F58" s="49">
        <f>AVERAGE('25.10.19 PONDWE-KASESE-24h'!F58)</f>
        <v>2</v>
      </c>
      <c r="G58" s="49">
        <f>AVERAGE('25.10.19 PONDWE-KASESE-24h'!G58)</f>
        <v>1</v>
      </c>
      <c r="H58" s="49">
        <f>AVERAGE('25.10.19 PONDWE-KASESE-24h'!H58)</f>
        <v>0</v>
      </c>
      <c r="I58" s="49">
        <f>AVERAGE('25.10.19 PONDWE-KASESE-24h'!I58)</f>
        <v>2</v>
      </c>
      <c r="J58" s="49">
        <f>AVERAGE('25.10.19 PONDWE-KASESE-24h'!J58)</f>
        <v>1</v>
      </c>
      <c r="K58" s="49">
        <f>AVERAGE('25.10.19 PONDWE-KASESE-24h'!K58)</f>
        <v>0</v>
      </c>
      <c r="L58" s="49">
        <f>AVERAGE('25.10.19 PONDWE-KASESE-24h'!L58)</f>
        <v>1</v>
      </c>
      <c r="M58" s="49">
        <f>AVERAGE('25.10.19 PONDWE-KASESE-24h'!M58)</f>
        <v>135</v>
      </c>
      <c r="N58" s="49">
        <f>AVERAGE('25.10.19 PONDWE-KASESE-24h'!N58)</f>
        <v>0</v>
      </c>
      <c r="O58" s="15">
        <f t="shared" si="0"/>
        <v>18</v>
      </c>
      <c r="P58" s="15">
        <f t="shared" si="1"/>
        <v>153</v>
      </c>
      <c r="R58" s="8"/>
      <c r="T58"/>
    </row>
    <row r="59" spans="2:20" ht="23.1" customHeight="1" x14ac:dyDescent="0.25">
      <c r="B59" s="23" t="s">
        <v>100</v>
      </c>
      <c r="C59" s="49">
        <f>AVERAGE('25.10.19 PONDWE-KASESE-24h'!C59)</f>
        <v>17</v>
      </c>
      <c r="D59" s="49">
        <f>AVERAGE('25.10.19 PONDWE-KASESE-24h'!D59)</f>
        <v>1</v>
      </c>
      <c r="E59" s="49">
        <f>AVERAGE('25.10.19 PONDWE-KASESE-24h'!E59)</f>
        <v>0</v>
      </c>
      <c r="F59" s="49">
        <f>AVERAGE('25.10.19 PONDWE-KASESE-24h'!F59)</f>
        <v>1</v>
      </c>
      <c r="G59" s="49">
        <f>AVERAGE('25.10.19 PONDWE-KASESE-24h'!G59)</f>
        <v>0</v>
      </c>
      <c r="H59" s="49">
        <f>AVERAGE('25.10.19 PONDWE-KASESE-24h'!H59)</f>
        <v>1</v>
      </c>
      <c r="I59" s="49">
        <f>AVERAGE('25.10.19 PONDWE-KASESE-24h'!I59)</f>
        <v>1</v>
      </c>
      <c r="J59" s="49">
        <f>AVERAGE('25.10.19 PONDWE-KASESE-24h'!J59)</f>
        <v>0</v>
      </c>
      <c r="K59" s="49">
        <f>AVERAGE('25.10.19 PONDWE-KASESE-24h'!K59)</f>
        <v>0</v>
      </c>
      <c r="L59" s="49">
        <f>AVERAGE('25.10.19 PONDWE-KASESE-24h'!L59)</f>
        <v>1</v>
      </c>
      <c r="M59" s="49">
        <f>AVERAGE('25.10.19 PONDWE-KASESE-24h'!M59)</f>
        <v>95</v>
      </c>
      <c r="N59" s="49">
        <f>AVERAGE('25.10.19 PONDWE-KASESE-24h'!N59)</f>
        <v>0</v>
      </c>
      <c r="O59" s="15">
        <f t="shared" si="0"/>
        <v>22</v>
      </c>
      <c r="P59" s="15">
        <f t="shared" si="1"/>
        <v>117</v>
      </c>
      <c r="R59" s="8"/>
      <c r="T59"/>
    </row>
    <row r="60" spans="2:20" ht="23.1" customHeight="1" x14ac:dyDescent="0.25">
      <c r="B60" s="23" t="s">
        <v>101</v>
      </c>
      <c r="C60" s="49">
        <f>AVERAGE('25.10.19 PONDWE-KASESE-24h'!C60)</f>
        <v>4</v>
      </c>
      <c r="D60" s="49">
        <f>AVERAGE('25.10.19 PONDWE-KASESE-24h'!D60)</f>
        <v>0</v>
      </c>
      <c r="E60" s="49">
        <f>AVERAGE('25.10.19 PONDWE-KASESE-24h'!E60)</f>
        <v>1</v>
      </c>
      <c r="F60" s="49">
        <f>AVERAGE('25.10.19 PONDWE-KASESE-24h'!F60)</f>
        <v>2</v>
      </c>
      <c r="G60" s="49">
        <f>AVERAGE('25.10.19 PONDWE-KASESE-24h'!G60)</f>
        <v>0</v>
      </c>
      <c r="H60" s="49">
        <f>AVERAGE('25.10.19 PONDWE-KASESE-24h'!H60)</f>
        <v>2</v>
      </c>
      <c r="I60" s="49">
        <f>AVERAGE('25.10.19 PONDWE-KASESE-24h'!I60)</f>
        <v>0</v>
      </c>
      <c r="J60" s="49">
        <f>AVERAGE('25.10.19 PONDWE-KASESE-24h'!J60)</f>
        <v>1</v>
      </c>
      <c r="K60" s="49">
        <f>AVERAGE('25.10.19 PONDWE-KASESE-24h'!K60)</f>
        <v>0</v>
      </c>
      <c r="L60" s="49">
        <f>AVERAGE('25.10.19 PONDWE-KASESE-24h'!L60)</f>
        <v>1</v>
      </c>
      <c r="M60" s="49">
        <f>AVERAGE('25.10.19 PONDWE-KASESE-24h'!M60)</f>
        <v>75</v>
      </c>
      <c r="N60" s="49">
        <f>AVERAGE('25.10.19 PONDWE-KASESE-24h'!N60)</f>
        <v>0</v>
      </c>
      <c r="O60" s="15">
        <f t="shared" si="0"/>
        <v>11</v>
      </c>
      <c r="P60" s="15">
        <f t="shared" si="1"/>
        <v>86</v>
      </c>
      <c r="R60" s="8"/>
      <c r="T60"/>
    </row>
    <row r="61" spans="2:20" ht="23.1" customHeight="1" x14ac:dyDescent="0.25">
      <c r="B61" s="23" t="s">
        <v>102</v>
      </c>
      <c r="C61" s="49">
        <f>AVERAGE('25.10.19 PONDWE-KASESE-24h'!C61)</f>
        <v>6</v>
      </c>
      <c r="D61" s="49">
        <f>AVERAGE('25.10.19 PONDWE-KASESE-24h'!D61)</f>
        <v>0</v>
      </c>
      <c r="E61" s="49">
        <f>AVERAGE('25.10.19 PONDWE-KASESE-24h'!E61)</f>
        <v>0</v>
      </c>
      <c r="F61" s="49">
        <f>AVERAGE('25.10.19 PONDWE-KASESE-24h'!F61)</f>
        <v>0</v>
      </c>
      <c r="G61" s="49">
        <f>AVERAGE('25.10.19 PONDWE-KASESE-24h'!G61)</f>
        <v>0</v>
      </c>
      <c r="H61" s="49">
        <f>AVERAGE('25.10.19 PONDWE-KASESE-24h'!H61)</f>
        <v>0</v>
      </c>
      <c r="I61" s="49">
        <f>AVERAGE('25.10.19 PONDWE-KASESE-24h'!I61)</f>
        <v>2</v>
      </c>
      <c r="J61" s="49">
        <f>AVERAGE('25.10.19 PONDWE-KASESE-24h'!J61)</f>
        <v>2</v>
      </c>
      <c r="K61" s="49">
        <f>AVERAGE('25.10.19 PONDWE-KASESE-24h'!K61)</f>
        <v>0</v>
      </c>
      <c r="L61" s="49">
        <f>AVERAGE('25.10.19 PONDWE-KASESE-24h'!L61)</f>
        <v>0</v>
      </c>
      <c r="M61" s="49">
        <f>AVERAGE('25.10.19 PONDWE-KASESE-24h'!M61)</f>
        <v>56</v>
      </c>
      <c r="N61" s="49">
        <f>AVERAGE('25.10.19 PONDWE-KASESE-24h'!N61)</f>
        <v>0</v>
      </c>
      <c r="O61" s="15">
        <f t="shared" si="0"/>
        <v>10</v>
      </c>
      <c r="P61" s="15">
        <f t="shared" si="1"/>
        <v>66</v>
      </c>
      <c r="R61" s="8"/>
      <c r="T61"/>
    </row>
    <row r="62" spans="2:20" ht="23.1" customHeight="1" x14ac:dyDescent="0.25">
      <c r="B62" s="23" t="s">
        <v>107</v>
      </c>
      <c r="C62" s="49">
        <f>AVERAGE('25.10.19 PONDWE-KASESE-24h'!C62)</f>
        <v>9</v>
      </c>
      <c r="D62" s="49">
        <f>AVERAGE('25.10.19 PONDWE-KASESE-24h'!D62)</f>
        <v>0</v>
      </c>
      <c r="E62" s="49">
        <f>AVERAGE('25.10.19 PONDWE-KASESE-24h'!E62)</f>
        <v>0</v>
      </c>
      <c r="F62" s="49">
        <f>AVERAGE('25.10.19 PONDWE-KASESE-24h'!F62)</f>
        <v>0</v>
      </c>
      <c r="G62" s="49">
        <f>AVERAGE('25.10.19 PONDWE-KASESE-24h'!G62)</f>
        <v>0</v>
      </c>
      <c r="H62" s="49">
        <f>AVERAGE('25.10.19 PONDWE-KASESE-24h'!H62)</f>
        <v>2</v>
      </c>
      <c r="I62" s="49">
        <f>AVERAGE('25.10.19 PONDWE-KASESE-24h'!I62)</f>
        <v>1</v>
      </c>
      <c r="J62" s="49">
        <f>AVERAGE('25.10.19 PONDWE-KASESE-24h'!J62)</f>
        <v>2</v>
      </c>
      <c r="K62" s="49">
        <f>AVERAGE('25.10.19 PONDWE-KASESE-24h'!K62)</f>
        <v>0</v>
      </c>
      <c r="L62" s="49">
        <f>AVERAGE('25.10.19 PONDWE-KASESE-24h'!L62)</f>
        <v>0</v>
      </c>
      <c r="M62" s="49">
        <f>AVERAGE('25.10.19 PONDWE-KASESE-24h'!M62)</f>
        <v>63</v>
      </c>
      <c r="N62" s="49">
        <f>AVERAGE('25.10.19 PONDWE-KASESE-24h'!N62)</f>
        <v>0</v>
      </c>
      <c r="O62" s="15">
        <f t="shared" si="0"/>
        <v>14</v>
      </c>
      <c r="P62" s="15">
        <f t="shared" si="1"/>
        <v>77</v>
      </c>
      <c r="R62" s="8"/>
      <c r="T62"/>
    </row>
    <row r="63" spans="2:20" ht="23.1" customHeight="1" x14ac:dyDescent="0.25">
      <c r="B63" s="23" t="s">
        <v>108</v>
      </c>
      <c r="C63" s="49">
        <f>AVERAGE('25.10.19 PONDWE-KASESE-24h'!C63)</f>
        <v>3</v>
      </c>
      <c r="D63" s="49">
        <f>AVERAGE('25.10.19 PONDWE-KASESE-24h'!D63)</f>
        <v>1</v>
      </c>
      <c r="E63" s="49">
        <f>AVERAGE('25.10.19 PONDWE-KASESE-24h'!E63)</f>
        <v>0</v>
      </c>
      <c r="F63" s="49">
        <f>AVERAGE('25.10.19 PONDWE-KASESE-24h'!F63)</f>
        <v>0</v>
      </c>
      <c r="G63" s="49">
        <f>AVERAGE('25.10.19 PONDWE-KASESE-24h'!G63)</f>
        <v>0</v>
      </c>
      <c r="H63" s="49">
        <f>AVERAGE('25.10.19 PONDWE-KASESE-24h'!H63)</f>
        <v>1</v>
      </c>
      <c r="I63" s="49">
        <f>AVERAGE('25.10.19 PONDWE-KASESE-24h'!I63)</f>
        <v>0</v>
      </c>
      <c r="J63" s="49">
        <f>AVERAGE('25.10.19 PONDWE-KASESE-24h'!J63)</f>
        <v>2</v>
      </c>
      <c r="K63" s="49">
        <f>AVERAGE('25.10.19 PONDWE-KASESE-24h'!K63)</f>
        <v>0</v>
      </c>
      <c r="L63" s="49">
        <f>AVERAGE('25.10.19 PONDWE-KASESE-24h'!L63)</f>
        <v>0</v>
      </c>
      <c r="M63" s="49">
        <f>AVERAGE('25.10.19 PONDWE-KASESE-24h'!M63)</f>
        <v>41</v>
      </c>
      <c r="N63" s="49">
        <f>AVERAGE('25.10.19 PONDWE-KASESE-24h'!N63)</f>
        <v>0</v>
      </c>
      <c r="O63" s="15">
        <f t="shared" si="0"/>
        <v>7</v>
      </c>
      <c r="P63" s="15">
        <f t="shared" si="1"/>
        <v>48</v>
      </c>
      <c r="R63" s="8"/>
      <c r="T63"/>
    </row>
    <row r="64" spans="2:20" ht="23.1" customHeight="1" x14ac:dyDescent="0.25">
      <c r="B64" s="23" t="s">
        <v>109</v>
      </c>
      <c r="C64" s="49">
        <f>AVERAGE('25.10.19 PONDWE-KASESE-24h'!C64)</f>
        <v>2</v>
      </c>
      <c r="D64" s="49">
        <f>AVERAGE('25.10.19 PONDWE-KASESE-24h'!D64)</f>
        <v>0</v>
      </c>
      <c r="E64" s="49">
        <f>AVERAGE('25.10.19 PONDWE-KASESE-24h'!E64)</f>
        <v>0</v>
      </c>
      <c r="F64" s="49">
        <f>AVERAGE('25.10.19 PONDWE-KASESE-24h'!F64)</f>
        <v>0</v>
      </c>
      <c r="G64" s="49">
        <f>AVERAGE('25.10.19 PONDWE-KASESE-24h'!G64)</f>
        <v>0</v>
      </c>
      <c r="H64" s="49">
        <f>AVERAGE('25.10.19 PONDWE-KASESE-24h'!H64)</f>
        <v>0</v>
      </c>
      <c r="I64" s="49">
        <f>AVERAGE('25.10.19 PONDWE-KASESE-24h'!I64)</f>
        <v>0</v>
      </c>
      <c r="J64" s="49">
        <f>AVERAGE('25.10.19 PONDWE-KASESE-24h'!J64)</f>
        <v>0</v>
      </c>
      <c r="K64" s="49">
        <f>AVERAGE('25.10.19 PONDWE-KASESE-24h'!K64)</f>
        <v>0</v>
      </c>
      <c r="L64" s="49">
        <f>AVERAGE('25.10.19 PONDWE-KASESE-24h'!L64)</f>
        <v>0</v>
      </c>
      <c r="M64" s="49">
        <f>AVERAGE('25.10.19 PONDWE-KASESE-24h'!M64)</f>
        <v>24</v>
      </c>
      <c r="N64" s="49">
        <f>AVERAGE('25.10.19 PONDWE-KASESE-24h'!N64)</f>
        <v>0</v>
      </c>
      <c r="O64" s="15">
        <f t="shared" si="0"/>
        <v>2</v>
      </c>
      <c r="P64" s="15">
        <f t="shared" si="1"/>
        <v>26</v>
      </c>
      <c r="R64" s="8"/>
      <c r="T64"/>
    </row>
    <row r="65" spans="2:20" ht="23.1" customHeight="1" x14ac:dyDescent="0.25">
      <c r="B65" s="23" t="s">
        <v>158</v>
      </c>
      <c r="C65" s="49">
        <f>AVERAGE('25.10.19 PONDWE-KASESE-24h'!C65)</f>
        <v>8</v>
      </c>
      <c r="D65" s="49">
        <f>AVERAGE('25.10.19 PONDWE-KASESE-24h'!D65)</f>
        <v>0</v>
      </c>
      <c r="E65" s="49">
        <f>AVERAGE('25.10.19 PONDWE-KASESE-24h'!E65)</f>
        <v>0</v>
      </c>
      <c r="F65" s="49">
        <f>AVERAGE('25.10.19 PONDWE-KASESE-24h'!F65)</f>
        <v>0</v>
      </c>
      <c r="G65" s="49">
        <f>AVERAGE('25.10.19 PONDWE-KASESE-24h'!G65)</f>
        <v>0</v>
      </c>
      <c r="H65" s="49">
        <f>AVERAGE('25.10.19 PONDWE-KASESE-24h'!H65)</f>
        <v>0</v>
      </c>
      <c r="I65" s="49">
        <f>AVERAGE('25.10.19 PONDWE-KASESE-24h'!I65)</f>
        <v>0</v>
      </c>
      <c r="J65" s="49">
        <f>AVERAGE('25.10.19 PONDWE-KASESE-24h'!J65)</f>
        <v>0</v>
      </c>
      <c r="K65" s="49">
        <f>AVERAGE('25.10.19 PONDWE-KASESE-24h'!K65)</f>
        <v>0</v>
      </c>
      <c r="L65" s="49">
        <f>AVERAGE('25.10.19 PONDWE-KASESE-24h'!L65)</f>
        <v>0</v>
      </c>
      <c r="M65" s="49">
        <f>AVERAGE('25.10.19 PONDWE-KASESE-24h'!M65)</f>
        <v>28</v>
      </c>
      <c r="N65" s="49">
        <f>AVERAGE('25.10.19 PONDWE-KASESE-24h'!N65)</f>
        <v>0</v>
      </c>
      <c r="O65" s="15">
        <f t="shared" si="0"/>
        <v>8</v>
      </c>
      <c r="P65" s="15">
        <f t="shared" si="1"/>
        <v>36</v>
      </c>
      <c r="R65" s="8"/>
      <c r="T65"/>
    </row>
    <row r="66" spans="2:20" ht="23.1" customHeight="1" x14ac:dyDescent="0.25">
      <c r="B66" s="23" t="s">
        <v>103</v>
      </c>
      <c r="C66" s="49">
        <f>AVERAGE('25.10.19 PONDWE-KASESE-24h'!C66)</f>
        <v>4</v>
      </c>
      <c r="D66" s="49">
        <f>AVERAGE('25.10.19 PONDWE-KASESE-24h'!D66)</f>
        <v>0</v>
      </c>
      <c r="E66" s="49">
        <f>AVERAGE('25.10.19 PONDWE-KASESE-24h'!E66)</f>
        <v>0</v>
      </c>
      <c r="F66" s="49">
        <f>AVERAGE('25.10.19 PONDWE-KASESE-24h'!F66)</f>
        <v>0</v>
      </c>
      <c r="G66" s="49">
        <f>AVERAGE('25.10.19 PONDWE-KASESE-24h'!G66)</f>
        <v>0</v>
      </c>
      <c r="H66" s="49">
        <f>AVERAGE('25.10.19 PONDWE-KASESE-24h'!H66)</f>
        <v>1</v>
      </c>
      <c r="I66" s="49">
        <f>AVERAGE('25.10.19 PONDWE-KASESE-24h'!I66)</f>
        <v>0</v>
      </c>
      <c r="J66" s="49">
        <f>AVERAGE('25.10.19 PONDWE-KASESE-24h'!J66)</f>
        <v>0</v>
      </c>
      <c r="K66" s="49">
        <f>AVERAGE('25.10.19 PONDWE-KASESE-24h'!K66)</f>
        <v>0</v>
      </c>
      <c r="L66" s="49">
        <f>AVERAGE('25.10.19 PONDWE-KASESE-24h'!L66)</f>
        <v>0</v>
      </c>
      <c r="M66" s="49">
        <f>AVERAGE('25.10.19 PONDWE-KASESE-24h'!M66)</f>
        <v>13</v>
      </c>
      <c r="N66" s="49">
        <f>AVERAGE('25.10.19 PONDWE-KASESE-24h'!N66)</f>
        <v>0</v>
      </c>
      <c r="O66" s="15">
        <f t="shared" si="0"/>
        <v>5</v>
      </c>
      <c r="P66" s="15">
        <f t="shared" si="1"/>
        <v>18</v>
      </c>
      <c r="R66" s="8"/>
      <c r="T66"/>
    </row>
    <row r="67" spans="2:20" ht="23.1" customHeight="1" x14ac:dyDescent="0.25">
      <c r="B67" s="23" t="s">
        <v>104</v>
      </c>
      <c r="C67" s="49">
        <f>AVERAGE('25.10.19 PONDWE-KASESE-24h'!C67)</f>
        <v>2</v>
      </c>
      <c r="D67" s="49">
        <f>AVERAGE('25.10.19 PONDWE-KASESE-24h'!D67)</f>
        <v>0</v>
      </c>
      <c r="E67" s="49">
        <f>AVERAGE('25.10.19 PONDWE-KASESE-24h'!E67)</f>
        <v>0</v>
      </c>
      <c r="F67" s="49">
        <f>AVERAGE('25.10.19 PONDWE-KASESE-24h'!F67)</f>
        <v>0</v>
      </c>
      <c r="G67" s="49">
        <f>AVERAGE('25.10.19 PONDWE-KASESE-24h'!G67)</f>
        <v>0</v>
      </c>
      <c r="H67" s="49">
        <f>AVERAGE('25.10.19 PONDWE-KASESE-24h'!H67)</f>
        <v>0</v>
      </c>
      <c r="I67" s="49">
        <f>AVERAGE('25.10.19 PONDWE-KASESE-24h'!I67)</f>
        <v>1</v>
      </c>
      <c r="J67" s="49">
        <f>AVERAGE('25.10.19 PONDWE-KASESE-24h'!J67)</f>
        <v>0</v>
      </c>
      <c r="K67" s="49">
        <f>AVERAGE('25.10.19 PONDWE-KASESE-24h'!K67)</f>
        <v>0</v>
      </c>
      <c r="L67" s="49">
        <f>AVERAGE('25.10.19 PONDWE-KASESE-24h'!L67)</f>
        <v>0</v>
      </c>
      <c r="M67" s="49">
        <f>AVERAGE('25.10.19 PONDWE-KASESE-24h'!M67)</f>
        <v>19</v>
      </c>
      <c r="N67" s="49">
        <f>AVERAGE('25.10.19 PONDWE-KASESE-24h'!N67)</f>
        <v>0</v>
      </c>
      <c r="O67" s="15">
        <f t="shared" si="0"/>
        <v>3</v>
      </c>
      <c r="P67" s="15">
        <f t="shared" si="1"/>
        <v>22</v>
      </c>
      <c r="R67" s="8"/>
      <c r="T67"/>
    </row>
    <row r="68" spans="2:20" ht="23.1" customHeight="1" x14ac:dyDescent="0.25">
      <c r="B68" s="23" t="s">
        <v>105</v>
      </c>
      <c r="C68" s="49">
        <f>AVERAGE('25.10.19 PONDWE-KASESE-24h'!C68)</f>
        <v>5</v>
      </c>
      <c r="D68" s="49">
        <f>AVERAGE('25.10.19 PONDWE-KASESE-24h'!D68)</f>
        <v>0</v>
      </c>
      <c r="E68" s="49">
        <f>AVERAGE('25.10.19 PONDWE-KASESE-24h'!E68)</f>
        <v>0</v>
      </c>
      <c r="F68" s="49">
        <f>AVERAGE('25.10.19 PONDWE-KASESE-24h'!F68)</f>
        <v>0</v>
      </c>
      <c r="G68" s="49">
        <f>AVERAGE('25.10.19 PONDWE-KASESE-24h'!G68)</f>
        <v>0</v>
      </c>
      <c r="H68" s="49">
        <f>AVERAGE('25.10.19 PONDWE-KASESE-24h'!H68)</f>
        <v>0</v>
      </c>
      <c r="I68" s="49">
        <f>AVERAGE('25.10.19 PONDWE-KASESE-24h'!I68)</f>
        <v>0</v>
      </c>
      <c r="J68" s="49">
        <f>AVERAGE('25.10.19 PONDWE-KASESE-24h'!J68)</f>
        <v>0</v>
      </c>
      <c r="K68" s="49">
        <f>AVERAGE('25.10.19 PONDWE-KASESE-24h'!K68)</f>
        <v>0</v>
      </c>
      <c r="L68" s="49">
        <f>AVERAGE('25.10.19 PONDWE-KASESE-24h'!L68)</f>
        <v>0</v>
      </c>
      <c r="M68" s="49">
        <f>AVERAGE('25.10.19 PONDWE-KASESE-24h'!M68)</f>
        <v>5</v>
      </c>
      <c r="N68" s="49">
        <f>AVERAGE('25.10.19 PONDWE-KASESE-24h'!N68)</f>
        <v>0</v>
      </c>
      <c r="O68" s="15">
        <f t="shared" si="0"/>
        <v>5</v>
      </c>
      <c r="P68" s="15">
        <f t="shared" si="1"/>
        <v>10</v>
      </c>
      <c r="R68" s="8"/>
      <c r="T68"/>
    </row>
    <row r="69" spans="2:20" ht="23.1" customHeight="1" x14ac:dyDescent="0.25">
      <c r="B69" s="23" t="s">
        <v>106</v>
      </c>
      <c r="C69" s="49">
        <f>AVERAGE('25.10.19 PONDWE-KASESE-24h'!C69)</f>
        <v>1</v>
      </c>
      <c r="D69" s="49">
        <f>AVERAGE('25.10.19 PONDWE-KASESE-24h'!D69)</f>
        <v>0</v>
      </c>
      <c r="E69" s="49">
        <f>AVERAGE('25.10.19 PONDWE-KASESE-24h'!E69)</f>
        <v>0</v>
      </c>
      <c r="F69" s="49">
        <f>AVERAGE('25.10.19 PONDWE-KASESE-24h'!F69)</f>
        <v>0</v>
      </c>
      <c r="G69" s="49">
        <f>AVERAGE('25.10.19 PONDWE-KASESE-24h'!G69)</f>
        <v>0</v>
      </c>
      <c r="H69" s="49">
        <f>AVERAGE('25.10.19 PONDWE-KASESE-24h'!H69)</f>
        <v>0</v>
      </c>
      <c r="I69" s="49">
        <f>AVERAGE('25.10.19 PONDWE-KASESE-24h'!I69)</f>
        <v>0</v>
      </c>
      <c r="J69" s="49">
        <f>AVERAGE('25.10.19 PONDWE-KASESE-24h'!J69)</f>
        <v>0</v>
      </c>
      <c r="K69" s="49">
        <f>AVERAGE('25.10.19 PONDWE-KASESE-24h'!K69)</f>
        <v>0</v>
      </c>
      <c r="L69" s="49">
        <f>AVERAGE('25.10.19 PONDWE-KASESE-24h'!L69)</f>
        <v>0</v>
      </c>
      <c r="M69" s="49">
        <f>AVERAGE('25.10.19 PONDWE-KASESE-24h'!M69)</f>
        <v>9</v>
      </c>
      <c r="N69" s="49">
        <f>AVERAGE('25.10.19 PONDWE-KASESE-24h'!N69)</f>
        <v>0</v>
      </c>
      <c r="O69" s="15">
        <f t="shared" si="0"/>
        <v>1</v>
      </c>
      <c r="P69" s="15">
        <f t="shared" si="1"/>
        <v>10</v>
      </c>
      <c r="R69" s="8"/>
      <c r="T69"/>
    </row>
    <row r="70" spans="2:20" ht="23.1" customHeight="1" x14ac:dyDescent="0.25">
      <c r="B70" s="23" t="s">
        <v>110</v>
      </c>
      <c r="C70" s="49">
        <f>AVERAGE('25.10.19 PONDWE-KASESE-24h'!C70)</f>
        <v>3</v>
      </c>
      <c r="D70" s="49">
        <f>AVERAGE('25.10.19 PONDWE-KASESE-24h'!D70)</f>
        <v>0</v>
      </c>
      <c r="E70" s="49">
        <f>AVERAGE('25.10.19 PONDWE-KASESE-24h'!E70)</f>
        <v>0</v>
      </c>
      <c r="F70" s="49">
        <f>AVERAGE('25.10.19 PONDWE-KASESE-24h'!F70)</f>
        <v>0</v>
      </c>
      <c r="G70" s="49">
        <f>AVERAGE('25.10.19 PONDWE-KASESE-24h'!G70)</f>
        <v>0</v>
      </c>
      <c r="H70" s="49">
        <f>AVERAGE('25.10.19 PONDWE-KASESE-24h'!H70)</f>
        <v>0</v>
      </c>
      <c r="I70" s="49">
        <f>AVERAGE('25.10.19 PONDWE-KASESE-24h'!I70)</f>
        <v>0</v>
      </c>
      <c r="J70" s="49">
        <f>AVERAGE('25.10.19 PONDWE-KASESE-24h'!J70)</f>
        <v>0</v>
      </c>
      <c r="K70" s="49">
        <f>AVERAGE('25.10.19 PONDWE-KASESE-24h'!K70)</f>
        <v>0</v>
      </c>
      <c r="L70" s="49">
        <f>AVERAGE('25.10.19 PONDWE-KASESE-24h'!L70)</f>
        <v>0</v>
      </c>
      <c r="M70" s="49">
        <f>AVERAGE('25.10.19 PONDWE-KASESE-24h'!M70)</f>
        <v>10</v>
      </c>
      <c r="N70" s="49">
        <f>AVERAGE('25.10.19 PONDWE-KASESE-24h'!N70)</f>
        <v>0</v>
      </c>
      <c r="O70" s="15">
        <f t="shared" si="0"/>
        <v>3</v>
      </c>
      <c r="P70" s="15">
        <f t="shared" si="1"/>
        <v>13</v>
      </c>
      <c r="R70" s="8"/>
      <c r="T70"/>
    </row>
    <row r="71" spans="2:20" ht="23.1" customHeight="1" x14ac:dyDescent="0.25">
      <c r="B71" s="23" t="s">
        <v>111</v>
      </c>
      <c r="C71" s="49">
        <f>AVERAGE('25.10.19 PONDWE-KASESE-24h'!C71)</f>
        <v>1</v>
      </c>
      <c r="D71" s="49">
        <f>AVERAGE('25.10.19 PONDWE-KASESE-24h'!D71)</f>
        <v>0</v>
      </c>
      <c r="E71" s="49">
        <f>AVERAGE('25.10.19 PONDWE-KASESE-24h'!E71)</f>
        <v>1</v>
      </c>
      <c r="F71" s="49">
        <f>AVERAGE('25.10.19 PONDWE-KASESE-24h'!F71)</f>
        <v>0</v>
      </c>
      <c r="G71" s="49">
        <f>AVERAGE('25.10.19 PONDWE-KASESE-24h'!G71)</f>
        <v>0</v>
      </c>
      <c r="H71" s="49">
        <f>AVERAGE('25.10.19 PONDWE-KASESE-24h'!H71)</f>
        <v>0</v>
      </c>
      <c r="I71" s="49">
        <f>AVERAGE('25.10.19 PONDWE-KASESE-24h'!I71)</f>
        <v>0</v>
      </c>
      <c r="J71" s="49">
        <f>AVERAGE('25.10.19 PONDWE-KASESE-24h'!J71)</f>
        <v>0</v>
      </c>
      <c r="K71" s="49">
        <f>AVERAGE('25.10.19 PONDWE-KASESE-24h'!K71)</f>
        <v>0</v>
      </c>
      <c r="L71" s="49">
        <f>AVERAGE('25.10.19 PONDWE-KASESE-24h'!L71)</f>
        <v>0</v>
      </c>
      <c r="M71" s="49">
        <f>AVERAGE('25.10.19 PONDWE-KASESE-24h'!M71)</f>
        <v>10</v>
      </c>
      <c r="N71" s="49">
        <f>AVERAGE('25.10.19 PONDWE-KASESE-24h'!N71)</f>
        <v>0</v>
      </c>
      <c r="O71" s="15">
        <f t="shared" si="0"/>
        <v>2</v>
      </c>
      <c r="P71" s="15">
        <f t="shared" si="1"/>
        <v>12</v>
      </c>
      <c r="R71" s="8"/>
      <c r="T71"/>
    </row>
    <row r="72" spans="2:20" ht="23.1" customHeight="1" x14ac:dyDescent="0.25">
      <c r="B72" s="23" t="s">
        <v>112</v>
      </c>
      <c r="C72" s="49">
        <f>AVERAGE('25.10.19 PONDWE-KASESE-24h'!C72)</f>
        <v>5</v>
      </c>
      <c r="D72" s="49">
        <f>AVERAGE('25.10.19 PONDWE-KASESE-24h'!D72)</f>
        <v>0</v>
      </c>
      <c r="E72" s="49">
        <f>AVERAGE('25.10.19 PONDWE-KASESE-24h'!E72)</f>
        <v>0</v>
      </c>
      <c r="F72" s="49">
        <f>AVERAGE('25.10.19 PONDWE-KASESE-24h'!F72)</f>
        <v>0</v>
      </c>
      <c r="G72" s="49">
        <f>AVERAGE('25.10.19 PONDWE-KASESE-24h'!G72)</f>
        <v>0</v>
      </c>
      <c r="H72" s="49">
        <f>AVERAGE('25.10.19 PONDWE-KASESE-24h'!H72)</f>
        <v>0</v>
      </c>
      <c r="I72" s="49">
        <f>AVERAGE('25.10.19 PONDWE-KASESE-24h'!I72)</f>
        <v>0</v>
      </c>
      <c r="J72" s="49">
        <f>AVERAGE('25.10.19 PONDWE-KASESE-24h'!J72)</f>
        <v>0</v>
      </c>
      <c r="K72" s="49">
        <f>AVERAGE('25.10.19 PONDWE-KASESE-24h'!K72)</f>
        <v>0</v>
      </c>
      <c r="L72" s="49">
        <f>AVERAGE('25.10.19 PONDWE-KASESE-24h'!L72)</f>
        <v>0</v>
      </c>
      <c r="M72" s="49">
        <f>AVERAGE('25.10.19 PONDWE-KASESE-24h'!M72)</f>
        <v>6</v>
      </c>
      <c r="N72" s="49">
        <f>AVERAGE('25.10.19 PONDWE-KASESE-24h'!N72)</f>
        <v>0</v>
      </c>
      <c r="O72" s="15">
        <f t="shared" si="0"/>
        <v>5</v>
      </c>
      <c r="P72" s="15">
        <f t="shared" si="1"/>
        <v>11</v>
      </c>
      <c r="R72" s="8"/>
      <c r="T72"/>
    </row>
    <row r="73" spans="2:20" ht="23.1" customHeight="1" x14ac:dyDescent="0.25">
      <c r="B73" s="23" t="s">
        <v>113</v>
      </c>
      <c r="C73" s="49">
        <f>AVERAGE('25.10.19 PONDWE-KASESE-24h'!C73)</f>
        <v>2</v>
      </c>
      <c r="D73" s="49">
        <f>AVERAGE('25.10.19 PONDWE-KASESE-24h'!D73)</f>
        <v>0</v>
      </c>
      <c r="E73" s="49">
        <f>AVERAGE('25.10.19 PONDWE-KASESE-24h'!E73)</f>
        <v>0</v>
      </c>
      <c r="F73" s="49">
        <f>AVERAGE('25.10.19 PONDWE-KASESE-24h'!F73)</f>
        <v>0</v>
      </c>
      <c r="G73" s="49">
        <f>AVERAGE('25.10.19 PONDWE-KASESE-24h'!G73)</f>
        <v>0</v>
      </c>
      <c r="H73" s="49">
        <f>AVERAGE('25.10.19 PONDWE-KASESE-24h'!H73)</f>
        <v>0</v>
      </c>
      <c r="I73" s="49">
        <f>AVERAGE('25.10.19 PONDWE-KASESE-24h'!I73)</f>
        <v>0</v>
      </c>
      <c r="J73" s="49">
        <f>AVERAGE('25.10.19 PONDWE-KASESE-24h'!J73)</f>
        <v>0</v>
      </c>
      <c r="K73" s="49">
        <f>AVERAGE('25.10.19 PONDWE-KASESE-24h'!K73)</f>
        <v>0</v>
      </c>
      <c r="L73" s="49">
        <f>AVERAGE('25.10.19 PONDWE-KASESE-24h'!L73)</f>
        <v>0</v>
      </c>
      <c r="M73" s="49">
        <f>AVERAGE('25.10.19 PONDWE-KASESE-24h'!M73)</f>
        <v>8</v>
      </c>
      <c r="N73" s="49">
        <f>AVERAGE('25.10.19 PONDWE-KASESE-24h'!N73)</f>
        <v>0</v>
      </c>
      <c r="O73" s="15">
        <f t="shared" si="0"/>
        <v>2</v>
      </c>
      <c r="P73" s="15">
        <f t="shared" si="1"/>
        <v>10</v>
      </c>
      <c r="R73" s="8"/>
      <c r="T73"/>
    </row>
    <row r="74" spans="2:20" ht="23.1" customHeight="1" x14ac:dyDescent="0.25">
      <c r="B74" s="23" t="s">
        <v>114</v>
      </c>
      <c r="C74" s="49">
        <f>AVERAGE('25.10.19 PONDWE-KASESE-24h'!C74)</f>
        <v>0</v>
      </c>
      <c r="D74" s="49">
        <f>AVERAGE('25.10.19 PONDWE-KASESE-24h'!D74)</f>
        <v>0</v>
      </c>
      <c r="E74" s="49">
        <f>AVERAGE('25.10.19 PONDWE-KASESE-24h'!E74)</f>
        <v>0</v>
      </c>
      <c r="F74" s="49">
        <f>AVERAGE('25.10.19 PONDWE-KASESE-24h'!F74)</f>
        <v>0</v>
      </c>
      <c r="G74" s="49">
        <f>AVERAGE('25.10.19 PONDWE-KASESE-24h'!G74)</f>
        <v>0</v>
      </c>
      <c r="H74" s="49">
        <f>AVERAGE('25.10.19 PONDWE-KASESE-24h'!H74)</f>
        <v>0</v>
      </c>
      <c r="I74" s="49">
        <f>AVERAGE('25.10.19 PONDWE-KASESE-24h'!I74)</f>
        <v>0</v>
      </c>
      <c r="J74" s="49">
        <f>AVERAGE('25.10.19 PONDWE-KASESE-24h'!J74)</f>
        <v>0</v>
      </c>
      <c r="K74" s="49">
        <f>AVERAGE('25.10.19 PONDWE-KASESE-24h'!K74)</f>
        <v>0</v>
      </c>
      <c r="L74" s="49">
        <f>AVERAGE('25.10.19 PONDWE-KASESE-24h'!L74)</f>
        <v>0</v>
      </c>
      <c r="M74" s="49">
        <f>AVERAGE('25.10.19 PONDWE-KASESE-24h'!M74)</f>
        <v>11</v>
      </c>
      <c r="N74" s="49">
        <f>AVERAGE('25.10.19 PONDWE-KASESE-24h'!N74)</f>
        <v>0</v>
      </c>
      <c r="O74" s="15">
        <f t="shared" ref="O74:O105" si="35">SUM(C74:L74,N74)</f>
        <v>0</v>
      </c>
      <c r="P74" s="15">
        <f t="shared" ref="P74:P105" si="36">SUM(C74:N74)</f>
        <v>11</v>
      </c>
      <c r="R74" s="8"/>
      <c r="T74"/>
    </row>
    <row r="75" spans="2:20" ht="23.1" customHeight="1" x14ac:dyDescent="0.25">
      <c r="B75" s="23" t="s">
        <v>115</v>
      </c>
      <c r="C75" s="49">
        <f>AVERAGE('25.10.19 PONDWE-KASESE-24h'!C75)</f>
        <v>0</v>
      </c>
      <c r="D75" s="49">
        <f>AVERAGE('25.10.19 PONDWE-KASESE-24h'!D75)</f>
        <v>0</v>
      </c>
      <c r="E75" s="49">
        <f>AVERAGE('25.10.19 PONDWE-KASESE-24h'!E75)</f>
        <v>0</v>
      </c>
      <c r="F75" s="49">
        <f>AVERAGE('25.10.19 PONDWE-KASESE-24h'!F75)</f>
        <v>0</v>
      </c>
      <c r="G75" s="49">
        <f>AVERAGE('25.10.19 PONDWE-KASESE-24h'!G75)</f>
        <v>0</v>
      </c>
      <c r="H75" s="49">
        <f>AVERAGE('25.10.19 PONDWE-KASESE-24h'!H75)</f>
        <v>0</v>
      </c>
      <c r="I75" s="49">
        <f>AVERAGE('25.10.19 PONDWE-KASESE-24h'!I75)</f>
        <v>0</v>
      </c>
      <c r="J75" s="49">
        <f>AVERAGE('25.10.19 PONDWE-KASESE-24h'!J75)</f>
        <v>0</v>
      </c>
      <c r="K75" s="49">
        <f>AVERAGE('25.10.19 PONDWE-KASESE-24h'!K75)</f>
        <v>0</v>
      </c>
      <c r="L75" s="49">
        <f>AVERAGE('25.10.19 PONDWE-KASESE-24h'!L75)</f>
        <v>0</v>
      </c>
      <c r="M75" s="49">
        <f>AVERAGE('25.10.19 PONDWE-KASESE-24h'!M75)</f>
        <v>4</v>
      </c>
      <c r="N75" s="49">
        <f>AVERAGE('25.10.19 PONDWE-KASESE-24h'!N75)</f>
        <v>0</v>
      </c>
      <c r="O75" s="15">
        <f t="shared" si="35"/>
        <v>0</v>
      </c>
      <c r="P75" s="15">
        <f t="shared" si="36"/>
        <v>4</v>
      </c>
      <c r="R75" s="8"/>
      <c r="T75"/>
    </row>
    <row r="76" spans="2:20" ht="23.1" customHeight="1" x14ac:dyDescent="0.25">
      <c r="B76" s="23" t="s">
        <v>116</v>
      </c>
      <c r="C76" s="49">
        <f>AVERAGE('25.10.19 PONDWE-KASESE-24h'!C76)</f>
        <v>0</v>
      </c>
      <c r="D76" s="49">
        <f>AVERAGE('25.10.19 PONDWE-KASESE-24h'!D76)</f>
        <v>0</v>
      </c>
      <c r="E76" s="49">
        <f>AVERAGE('25.10.19 PONDWE-KASESE-24h'!E76)</f>
        <v>0</v>
      </c>
      <c r="F76" s="49">
        <f>AVERAGE('25.10.19 PONDWE-KASESE-24h'!F76)</f>
        <v>0</v>
      </c>
      <c r="G76" s="49">
        <f>AVERAGE('25.10.19 PONDWE-KASESE-24h'!G76)</f>
        <v>0</v>
      </c>
      <c r="H76" s="49">
        <f>AVERAGE('25.10.19 PONDWE-KASESE-24h'!H76)</f>
        <v>0</v>
      </c>
      <c r="I76" s="49">
        <f>AVERAGE('25.10.19 PONDWE-KASESE-24h'!I76)</f>
        <v>0</v>
      </c>
      <c r="J76" s="49">
        <f>AVERAGE('25.10.19 PONDWE-KASESE-24h'!J76)</f>
        <v>0</v>
      </c>
      <c r="K76" s="49">
        <f>AVERAGE('25.10.19 PONDWE-KASESE-24h'!K76)</f>
        <v>0</v>
      </c>
      <c r="L76" s="49">
        <f>AVERAGE('25.10.19 PONDWE-KASESE-24h'!L76)</f>
        <v>0</v>
      </c>
      <c r="M76" s="49">
        <f>AVERAGE('25.10.19 PONDWE-KASESE-24h'!M76)</f>
        <v>1</v>
      </c>
      <c r="N76" s="49">
        <f>AVERAGE('25.10.19 PONDWE-KASESE-24h'!N76)</f>
        <v>0</v>
      </c>
      <c r="O76" s="15">
        <f t="shared" si="35"/>
        <v>0</v>
      </c>
      <c r="P76" s="15">
        <f t="shared" si="36"/>
        <v>1</v>
      </c>
      <c r="R76" s="8"/>
      <c r="T76"/>
    </row>
    <row r="77" spans="2:20" ht="23.1" customHeight="1" x14ac:dyDescent="0.25">
      <c r="B77" s="23" t="s">
        <v>117</v>
      </c>
      <c r="C77" s="49">
        <f>AVERAGE('25.10.19 PONDWE-KASESE-24h'!C77)</f>
        <v>0</v>
      </c>
      <c r="D77" s="49">
        <f>AVERAGE('25.10.19 PONDWE-KASESE-24h'!D77)</f>
        <v>0</v>
      </c>
      <c r="E77" s="49">
        <f>AVERAGE('25.10.19 PONDWE-KASESE-24h'!E77)</f>
        <v>0</v>
      </c>
      <c r="F77" s="49">
        <f>AVERAGE('25.10.19 PONDWE-KASESE-24h'!F77)</f>
        <v>0</v>
      </c>
      <c r="G77" s="49">
        <f>AVERAGE('25.10.19 PONDWE-KASESE-24h'!G77)</f>
        <v>0</v>
      </c>
      <c r="H77" s="49">
        <f>AVERAGE('25.10.19 PONDWE-KASESE-24h'!H77)</f>
        <v>0</v>
      </c>
      <c r="I77" s="49">
        <f>AVERAGE('25.10.19 PONDWE-KASESE-24h'!I77)</f>
        <v>0</v>
      </c>
      <c r="J77" s="49">
        <f>AVERAGE('25.10.19 PONDWE-KASESE-24h'!J77)</f>
        <v>0</v>
      </c>
      <c r="K77" s="49">
        <f>AVERAGE('25.10.19 PONDWE-KASESE-24h'!K77)</f>
        <v>0</v>
      </c>
      <c r="L77" s="49">
        <f>AVERAGE('25.10.19 PONDWE-KASESE-24h'!L77)</f>
        <v>0</v>
      </c>
      <c r="M77" s="49">
        <f>AVERAGE('25.10.19 PONDWE-KASESE-24h'!M77)</f>
        <v>0</v>
      </c>
      <c r="N77" s="49">
        <f>AVERAGE('25.10.19 PONDWE-KASESE-24h'!N77)</f>
        <v>0</v>
      </c>
      <c r="O77" s="15">
        <f t="shared" si="35"/>
        <v>0</v>
      </c>
      <c r="P77" s="15">
        <f t="shared" si="36"/>
        <v>0</v>
      </c>
      <c r="R77" s="8"/>
      <c r="T77"/>
    </row>
    <row r="78" spans="2:20" ht="23.1" customHeight="1" x14ac:dyDescent="0.25">
      <c r="B78" s="24" t="s">
        <v>118</v>
      </c>
      <c r="C78" s="49">
        <f>AVERAGE('25.10.19 PONDWE-KASESE-24h'!C78)</f>
        <v>0</v>
      </c>
      <c r="D78" s="49">
        <f>AVERAGE('25.10.19 PONDWE-KASESE-24h'!D78)</f>
        <v>0</v>
      </c>
      <c r="E78" s="49">
        <f>AVERAGE('25.10.19 PONDWE-KASESE-24h'!E78)</f>
        <v>0</v>
      </c>
      <c r="F78" s="49">
        <f>AVERAGE('25.10.19 PONDWE-KASESE-24h'!F78)</f>
        <v>0</v>
      </c>
      <c r="G78" s="49">
        <f>AVERAGE('25.10.19 PONDWE-KASESE-24h'!G78)</f>
        <v>0</v>
      </c>
      <c r="H78" s="49">
        <f>AVERAGE('25.10.19 PONDWE-KASESE-24h'!H78)</f>
        <v>0</v>
      </c>
      <c r="I78" s="49">
        <f>AVERAGE('25.10.19 PONDWE-KASESE-24h'!I78)</f>
        <v>0</v>
      </c>
      <c r="J78" s="49">
        <f>AVERAGE('25.10.19 PONDWE-KASESE-24h'!J78)</f>
        <v>0</v>
      </c>
      <c r="K78" s="49">
        <f>AVERAGE('25.10.19 PONDWE-KASESE-24h'!K78)</f>
        <v>0</v>
      </c>
      <c r="L78" s="49">
        <f>AVERAGE('25.10.19 PONDWE-KASESE-24h'!L78)</f>
        <v>0</v>
      </c>
      <c r="M78" s="49">
        <f>AVERAGE('25.10.19 PONDWE-KASESE-24h'!M78)</f>
        <v>2</v>
      </c>
      <c r="N78" s="49">
        <f>AVERAGE('25.10.19 PONDWE-KASESE-24h'!N78)</f>
        <v>0</v>
      </c>
      <c r="O78" s="15">
        <f t="shared" si="35"/>
        <v>0</v>
      </c>
      <c r="P78" s="15">
        <f t="shared" si="36"/>
        <v>2</v>
      </c>
      <c r="R78" s="8"/>
      <c r="T78"/>
    </row>
    <row r="79" spans="2:20" ht="23.1" customHeight="1" x14ac:dyDescent="0.25">
      <c r="B79" s="23" t="s">
        <v>119</v>
      </c>
      <c r="C79" s="49">
        <f>AVERAGE('25.10.19 PONDWE-KASESE-24h'!C79)</f>
        <v>0</v>
      </c>
      <c r="D79" s="49">
        <f>AVERAGE('25.10.19 PONDWE-KASESE-24h'!D79)</f>
        <v>1</v>
      </c>
      <c r="E79" s="49">
        <f>AVERAGE('25.10.19 PONDWE-KASESE-24h'!E79)</f>
        <v>0</v>
      </c>
      <c r="F79" s="49">
        <f>AVERAGE('25.10.19 PONDWE-KASESE-24h'!F79)</f>
        <v>0</v>
      </c>
      <c r="G79" s="49">
        <f>AVERAGE('25.10.19 PONDWE-KASESE-24h'!G79)</f>
        <v>0</v>
      </c>
      <c r="H79" s="49">
        <f>AVERAGE('25.10.19 PONDWE-KASESE-24h'!H79)</f>
        <v>0</v>
      </c>
      <c r="I79" s="49">
        <f>AVERAGE('25.10.19 PONDWE-KASESE-24h'!I79)</f>
        <v>0</v>
      </c>
      <c r="J79" s="49">
        <f>AVERAGE('25.10.19 PONDWE-KASESE-24h'!J79)</f>
        <v>0</v>
      </c>
      <c r="K79" s="49">
        <f>AVERAGE('25.10.19 PONDWE-KASESE-24h'!K79)</f>
        <v>0</v>
      </c>
      <c r="L79" s="49">
        <f>AVERAGE('25.10.19 PONDWE-KASESE-24h'!L79)</f>
        <v>0</v>
      </c>
      <c r="M79" s="49">
        <f>AVERAGE('25.10.19 PONDWE-KASESE-24h'!M79)</f>
        <v>1</v>
      </c>
      <c r="N79" s="49">
        <f>AVERAGE('25.10.19 PONDWE-KASESE-24h'!N79)</f>
        <v>0</v>
      </c>
      <c r="O79" s="15">
        <f t="shared" si="35"/>
        <v>1</v>
      </c>
      <c r="P79" s="15">
        <f t="shared" si="36"/>
        <v>2</v>
      </c>
      <c r="R79" s="8"/>
      <c r="T79"/>
    </row>
    <row r="80" spans="2:20" ht="23.1" customHeight="1" x14ac:dyDescent="0.25">
      <c r="B80" s="25" t="s">
        <v>120</v>
      </c>
      <c r="C80" s="49">
        <f>AVERAGE('25.10.19 PONDWE-KASESE-24h'!C80)</f>
        <v>1</v>
      </c>
      <c r="D80" s="49">
        <f>AVERAGE('25.10.19 PONDWE-KASESE-24h'!D80)</f>
        <v>0</v>
      </c>
      <c r="E80" s="49">
        <f>AVERAGE('25.10.19 PONDWE-KASESE-24h'!E80)</f>
        <v>0</v>
      </c>
      <c r="F80" s="49">
        <f>AVERAGE('25.10.19 PONDWE-KASESE-24h'!F80)</f>
        <v>0</v>
      </c>
      <c r="G80" s="49">
        <f>AVERAGE('25.10.19 PONDWE-KASESE-24h'!G80)</f>
        <v>0</v>
      </c>
      <c r="H80" s="49">
        <f>AVERAGE('25.10.19 PONDWE-KASESE-24h'!H80)</f>
        <v>0</v>
      </c>
      <c r="I80" s="49">
        <f>AVERAGE('25.10.19 PONDWE-KASESE-24h'!I80)</f>
        <v>0</v>
      </c>
      <c r="J80" s="49">
        <f>AVERAGE('25.10.19 PONDWE-KASESE-24h'!J80)</f>
        <v>0</v>
      </c>
      <c r="K80" s="49">
        <f>AVERAGE('25.10.19 PONDWE-KASESE-24h'!K80)</f>
        <v>0</v>
      </c>
      <c r="L80" s="49">
        <f>AVERAGE('25.10.19 PONDWE-KASESE-24h'!L80)</f>
        <v>0</v>
      </c>
      <c r="M80" s="49">
        <f>AVERAGE('25.10.19 PONDWE-KASESE-24h'!M80)</f>
        <v>4</v>
      </c>
      <c r="N80" s="49">
        <f>AVERAGE('25.10.19 PONDWE-KASESE-24h'!N80)</f>
        <v>0</v>
      </c>
      <c r="O80" s="15">
        <f t="shared" si="35"/>
        <v>1</v>
      </c>
      <c r="P80" s="15">
        <f t="shared" si="36"/>
        <v>5</v>
      </c>
      <c r="R80" s="8"/>
      <c r="T80"/>
    </row>
    <row r="81" spans="2:20" ht="23.1" customHeight="1" x14ac:dyDescent="0.25">
      <c r="B81" s="23" t="s">
        <v>121</v>
      </c>
      <c r="C81" s="49">
        <f>AVERAGE('25.10.19 PONDWE-KASESE-24h'!C81)</f>
        <v>0</v>
      </c>
      <c r="D81" s="49">
        <f>AVERAGE('25.10.19 PONDWE-KASESE-24h'!D81)</f>
        <v>0</v>
      </c>
      <c r="E81" s="49">
        <f>AVERAGE('25.10.19 PONDWE-KASESE-24h'!E81)</f>
        <v>0</v>
      </c>
      <c r="F81" s="49">
        <f>AVERAGE('25.10.19 PONDWE-KASESE-24h'!F81)</f>
        <v>0</v>
      </c>
      <c r="G81" s="49">
        <f>AVERAGE('25.10.19 PONDWE-KASESE-24h'!G81)</f>
        <v>0</v>
      </c>
      <c r="H81" s="49">
        <f>AVERAGE('25.10.19 PONDWE-KASESE-24h'!H81)</f>
        <v>0</v>
      </c>
      <c r="I81" s="49">
        <f>AVERAGE('25.10.19 PONDWE-KASESE-24h'!I81)</f>
        <v>0</v>
      </c>
      <c r="J81" s="49">
        <f>AVERAGE('25.10.19 PONDWE-KASESE-24h'!J81)</f>
        <v>0</v>
      </c>
      <c r="K81" s="49">
        <f>AVERAGE('25.10.19 PONDWE-KASESE-24h'!K81)</f>
        <v>0</v>
      </c>
      <c r="L81" s="49">
        <f>AVERAGE('25.10.19 PONDWE-KASESE-24h'!L81)</f>
        <v>0</v>
      </c>
      <c r="M81" s="49">
        <f>AVERAGE('25.10.19 PONDWE-KASESE-24h'!M81)</f>
        <v>7</v>
      </c>
      <c r="N81" s="49">
        <f>AVERAGE('25.10.19 PONDWE-KASESE-24h'!N81)</f>
        <v>0</v>
      </c>
      <c r="O81" s="15">
        <f t="shared" si="35"/>
        <v>0</v>
      </c>
      <c r="P81" s="15">
        <f t="shared" si="36"/>
        <v>7</v>
      </c>
      <c r="R81" s="8"/>
      <c r="T81"/>
    </row>
    <row r="82" spans="2:20" ht="23.1" customHeight="1" x14ac:dyDescent="0.25">
      <c r="B82" s="24" t="s">
        <v>122</v>
      </c>
      <c r="C82" s="49">
        <f>AVERAGE('25.10.19 PONDWE-KASESE-24h'!C82)</f>
        <v>0</v>
      </c>
      <c r="D82" s="49">
        <f>AVERAGE('25.10.19 PONDWE-KASESE-24h'!D82)</f>
        <v>0</v>
      </c>
      <c r="E82" s="49">
        <f>AVERAGE('25.10.19 PONDWE-KASESE-24h'!E82)</f>
        <v>0</v>
      </c>
      <c r="F82" s="49">
        <f>AVERAGE('25.10.19 PONDWE-KASESE-24h'!F82)</f>
        <v>0</v>
      </c>
      <c r="G82" s="49">
        <f>AVERAGE('25.10.19 PONDWE-KASESE-24h'!G82)</f>
        <v>0</v>
      </c>
      <c r="H82" s="49">
        <f>AVERAGE('25.10.19 PONDWE-KASESE-24h'!H82)</f>
        <v>0</v>
      </c>
      <c r="I82" s="49">
        <f>AVERAGE('25.10.19 PONDWE-KASESE-24h'!I82)</f>
        <v>0</v>
      </c>
      <c r="J82" s="49">
        <f>AVERAGE('25.10.19 PONDWE-KASESE-24h'!J82)</f>
        <v>0</v>
      </c>
      <c r="K82" s="49">
        <f>AVERAGE('25.10.19 PONDWE-KASESE-24h'!K82)</f>
        <v>0</v>
      </c>
      <c r="L82" s="49">
        <f>AVERAGE('25.10.19 PONDWE-KASESE-24h'!L82)</f>
        <v>0</v>
      </c>
      <c r="M82" s="49">
        <f>AVERAGE('25.10.19 PONDWE-KASESE-24h'!M82)</f>
        <v>0</v>
      </c>
      <c r="N82" s="49">
        <f>AVERAGE('25.10.19 PONDWE-KASESE-24h'!N82)</f>
        <v>0</v>
      </c>
      <c r="O82" s="15">
        <f t="shared" si="35"/>
        <v>0</v>
      </c>
      <c r="P82" s="15">
        <f t="shared" si="36"/>
        <v>0</v>
      </c>
      <c r="R82" s="8"/>
      <c r="T82"/>
    </row>
    <row r="83" spans="2:20" ht="23.1" customHeight="1" x14ac:dyDescent="0.25">
      <c r="B83" s="23" t="s">
        <v>123</v>
      </c>
      <c r="C83" s="49">
        <f>AVERAGE('25.10.19 PONDWE-KASESE-24h'!C83)</f>
        <v>0</v>
      </c>
      <c r="D83" s="49">
        <f>AVERAGE('25.10.19 PONDWE-KASESE-24h'!D83)</f>
        <v>0</v>
      </c>
      <c r="E83" s="49">
        <f>AVERAGE('25.10.19 PONDWE-KASESE-24h'!E83)</f>
        <v>0</v>
      </c>
      <c r="F83" s="49">
        <f>AVERAGE('25.10.19 PONDWE-KASESE-24h'!F83)</f>
        <v>0</v>
      </c>
      <c r="G83" s="49">
        <f>AVERAGE('25.10.19 PONDWE-KASESE-24h'!G83)</f>
        <v>0</v>
      </c>
      <c r="H83" s="49">
        <f>AVERAGE('25.10.19 PONDWE-KASESE-24h'!H83)</f>
        <v>0</v>
      </c>
      <c r="I83" s="49">
        <f>AVERAGE('25.10.19 PONDWE-KASESE-24h'!I83)</f>
        <v>0</v>
      </c>
      <c r="J83" s="49">
        <f>AVERAGE('25.10.19 PONDWE-KASESE-24h'!J83)</f>
        <v>0</v>
      </c>
      <c r="K83" s="49">
        <f>AVERAGE('25.10.19 PONDWE-KASESE-24h'!K83)</f>
        <v>0</v>
      </c>
      <c r="L83" s="49">
        <f>AVERAGE('25.10.19 PONDWE-KASESE-24h'!L83)</f>
        <v>0</v>
      </c>
      <c r="M83" s="49">
        <f>AVERAGE('25.10.19 PONDWE-KASESE-24h'!M83)</f>
        <v>2</v>
      </c>
      <c r="N83" s="49">
        <f>AVERAGE('25.10.19 PONDWE-KASESE-24h'!N83)</f>
        <v>0</v>
      </c>
      <c r="O83" s="15">
        <f t="shared" si="35"/>
        <v>0</v>
      </c>
      <c r="P83" s="15">
        <f t="shared" si="36"/>
        <v>2</v>
      </c>
      <c r="R83" s="8"/>
      <c r="T83"/>
    </row>
    <row r="84" spans="2:20" ht="23.1" customHeight="1" x14ac:dyDescent="0.25">
      <c r="B84" s="25" t="s">
        <v>124</v>
      </c>
      <c r="C84" s="49">
        <f>AVERAGE('25.10.19 PONDWE-KASESE-24h'!C84)</f>
        <v>0</v>
      </c>
      <c r="D84" s="49">
        <f>AVERAGE('25.10.19 PONDWE-KASESE-24h'!D84)</f>
        <v>0</v>
      </c>
      <c r="E84" s="49">
        <f>AVERAGE('25.10.19 PONDWE-KASESE-24h'!E84)</f>
        <v>0</v>
      </c>
      <c r="F84" s="49">
        <f>AVERAGE('25.10.19 PONDWE-KASESE-24h'!F84)</f>
        <v>0</v>
      </c>
      <c r="G84" s="49">
        <f>AVERAGE('25.10.19 PONDWE-KASESE-24h'!G84)</f>
        <v>0</v>
      </c>
      <c r="H84" s="49">
        <f>AVERAGE('25.10.19 PONDWE-KASESE-24h'!H84)</f>
        <v>0</v>
      </c>
      <c r="I84" s="49">
        <f>AVERAGE('25.10.19 PONDWE-KASESE-24h'!I84)</f>
        <v>0</v>
      </c>
      <c r="J84" s="49">
        <f>AVERAGE('25.10.19 PONDWE-KASESE-24h'!J84)</f>
        <v>0</v>
      </c>
      <c r="K84" s="49">
        <f>AVERAGE('25.10.19 PONDWE-KASESE-24h'!K84)</f>
        <v>0</v>
      </c>
      <c r="L84" s="49">
        <f>AVERAGE('25.10.19 PONDWE-KASESE-24h'!L84)</f>
        <v>0</v>
      </c>
      <c r="M84" s="49">
        <f>AVERAGE('25.10.19 PONDWE-KASESE-24h'!M84)</f>
        <v>1</v>
      </c>
      <c r="N84" s="49">
        <f>AVERAGE('25.10.19 PONDWE-KASESE-24h'!N84)</f>
        <v>0</v>
      </c>
      <c r="O84" s="15">
        <f t="shared" si="35"/>
        <v>0</v>
      </c>
      <c r="P84" s="15">
        <f t="shared" si="36"/>
        <v>1</v>
      </c>
      <c r="R84" s="8"/>
      <c r="T84"/>
    </row>
    <row r="85" spans="2:20" ht="23.1" customHeight="1" x14ac:dyDescent="0.25">
      <c r="B85" s="23" t="s">
        <v>125</v>
      </c>
      <c r="C85" s="49">
        <f>AVERAGE('25.10.19 PONDWE-KASESE-24h'!C85)</f>
        <v>1</v>
      </c>
      <c r="D85" s="49">
        <f>AVERAGE('25.10.19 PONDWE-KASESE-24h'!D85)</f>
        <v>0</v>
      </c>
      <c r="E85" s="49">
        <f>AVERAGE('25.10.19 PONDWE-KASESE-24h'!E85)</f>
        <v>0</v>
      </c>
      <c r="F85" s="49">
        <f>AVERAGE('25.10.19 PONDWE-KASESE-24h'!F85)</f>
        <v>0</v>
      </c>
      <c r="G85" s="49">
        <f>AVERAGE('25.10.19 PONDWE-KASESE-24h'!G85)</f>
        <v>0</v>
      </c>
      <c r="H85" s="49">
        <f>AVERAGE('25.10.19 PONDWE-KASESE-24h'!H85)</f>
        <v>0</v>
      </c>
      <c r="I85" s="49">
        <f>AVERAGE('25.10.19 PONDWE-KASESE-24h'!I85)</f>
        <v>0</v>
      </c>
      <c r="J85" s="49">
        <f>AVERAGE('25.10.19 PONDWE-KASESE-24h'!J85)</f>
        <v>0</v>
      </c>
      <c r="K85" s="49">
        <f>AVERAGE('25.10.19 PONDWE-KASESE-24h'!K85)</f>
        <v>0</v>
      </c>
      <c r="L85" s="49">
        <f>AVERAGE('25.10.19 PONDWE-KASESE-24h'!L85)</f>
        <v>0</v>
      </c>
      <c r="M85" s="49">
        <f>AVERAGE('25.10.19 PONDWE-KASESE-24h'!M85)</f>
        <v>4</v>
      </c>
      <c r="N85" s="49">
        <f>AVERAGE('25.10.19 PONDWE-KASESE-24h'!N85)</f>
        <v>0</v>
      </c>
      <c r="O85" s="15">
        <f t="shared" si="35"/>
        <v>1</v>
      </c>
      <c r="P85" s="15">
        <f t="shared" si="36"/>
        <v>5</v>
      </c>
      <c r="R85" s="8"/>
      <c r="T85"/>
    </row>
    <row r="86" spans="2:20" ht="23.1" customHeight="1" x14ac:dyDescent="0.25">
      <c r="B86" s="24" t="s">
        <v>126</v>
      </c>
      <c r="C86" s="49">
        <f>AVERAGE('25.10.19 PONDWE-KASESE-24h'!C86)</f>
        <v>0</v>
      </c>
      <c r="D86" s="49">
        <f>AVERAGE('25.10.19 PONDWE-KASESE-24h'!D86)</f>
        <v>1</v>
      </c>
      <c r="E86" s="49">
        <f>AVERAGE('25.10.19 PONDWE-KASESE-24h'!E86)</f>
        <v>0</v>
      </c>
      <c r="F86" s="49">
        <f>AVERAGE('25.10.19 PONDWE-KASESE-24h'!F86)</f>
        <v>0</v>
      </c>
      <c r="G86" s="49">
        <f>AVERAGE('25.10.19 PONDWE-KASESE-24h'!G86)</f>
        <v>0</v>
      </c>
      <c r="H86" s="49">
        <f>AVERAGE('25.10.19 PONDWE-KASESE-24h'!H86)</f>
        <v>0</v>
      </c>
      <c r="I86" s="49">
        <f>AVERAGE('25.10.19 PONDWE-KASESE-24h'!I86)</f>
        <v>0</v>
      </c>
      <c r="J86" s="49">
        <f>AVERAGE('25.10.19 PONDWE-KASESE-24h'!J86)</f>
        <v>0</v>
      </c>
      <c r="K86" s="49">
        <f>AVERAGE('25.10.19 PONDWE-KASESE-24h'!K86)</f>
        <v>0</v>
      </c>
      <c r="L86" s="49">
        <f>AVERAGE('25.10.19 PONDWE-KASESE-24h'!L86)</f>
        <v>0</v>
      </c>
      <c r="M86" s="49">
        <f>AVERAGE('25.10.19 PONDWE-KASESE-24h'!M86)</f>
        <v>1</v>
      </c>
      <c r="N86" s="49">
        <f>AVERAGE('25.10.19 PONDWE-KASESE-24h'!N86)</f>
        <v>0</v>
      </c>
      <c r="O86" s="15">
        <f t="shared" si="35"/>
        <v>1</v>
      </c>
      <c r="P86" s="15">
        <f t="shared" si="36"/>
        <v>2</v>
      </c>
      <c r="R86" s="8"/>
      <c r="T86"/>
    </row>
    <row r="87" spans="2:20" ht="23.1" customHeight="1" x14ac:dyDescent="0.25">
      <c r="B87" s="23" t="s">
        <v>127</v>
      </c>
      <c r="C87" s="49">
        <f>AVERAGE('25.10.19 PONDWE-KASESE-24h'!C87)</f>
        <v>0</v>
      </c>
      <c r="D87" s="49">
        <f>AVERAGE('25.10.19 PONDWE-KASESE-24h'!D87)</f>
        <v>0</v>
      </c>
      <c r="E87" s="49">
        <f>AVERAGE('25.10.19 PONDWE-KASESE-24h'!E87)</f>
        <v>0</v>
      </c>
      <c r="F87" s="49">
        <f>AVERAGE('25.10.19 PONDWE-KASESE-24h'!F87)</f>
        <v>0</v>
      </c>
      <c r="G87" s="49">
        <f>AVERAGE('25.10.19 PONDWE-KASESE-24h'!G87)</f>
        <v>0</v>
      </c>
      <c r="H87" s="49">
        <f>AVERAGE('25.10.19 PONDWE-KASESE-24h'!H87)</f>
        <v>0</v>
      </c>
      <c r="I87" s="49">
        <f>AVERAGE('25.10.19 PONDWE-KASESE-24h'!I87)</f>
        <v>0</v>
      </c>
      <c r="J87" s="49">
        <f>AVERAGE('25.10.19 PONDWE-KASESE-24h'!J87)</f>
        <v>0</v>
      </c>
      <c r="K87" s="49">
        <f>AVERAGE('25.10.19 PONDWE-KASESE-24h'!K87)</f>
        <v>0</v>
      </c>
      <c r="L87" s="49">
        <f>AVERAGE('25.10.19 PONDWE-KASESE-24h'!L87)</f>
        <v>0</v>
      </c>
      <c r="M87" s="49">
        <f>AVERAGE('25.10.19 PONDWE-KASESE-24h'!M87)</f>
        <v>2</v>
      </c>
      <c r="N87" s="49">
        <f>AVERAGE('25.10.19 PONDWE-KASESE-24h'!N87)</f>
        <v>0</v>
      </c>
      <c r="O87" s="15">
        <f t="shared" si="35"/>
        <v>0</v>
      </c>
      <c r="P87" s="15">
        <f t="shared" si="36"/>
        <v>2</v>
      </c>
      <c r="R87" s="8"/>
      <c r="T87"/>
    </row>
    <row r="88" spans="2:20" ht="23.1" customHeight="1" x14ac:dyDescent="0.25">
      <c r="B88" s="25" t="s">
        <v>128</v>
      </c>
      <c r="C88" s="49">
        <f>AVERAGE('25.10.19 PONDWE-KASESE-24h'!C88)</f>
        <v>2</v>
      </c>
      <c r="D88" s="49">
        <f>AVERAGE('25.10.19 PONDWE-KASESE-24h'!D88)</f>
        <v>0</v>
      </c>
      <c r="E88" s="49">
        <f>AVERAGE('25.10.19 PONDWE-KASESE-24h'!E88)</f>
        <v>0</v>
      </c>
      <c r="F88" s="49">
        <f>AVERAGE('25.10.19 PONDWE-KASESE-24h'!F88)</f>
        <v>0</v>
      </c>
      <c r="G88" s="49">
        <f>AVERAGE('25.10.19 PONDWE-KASESE-24h'!G88)</f>
        <v>0</v>
      </c>
      <c r="H88" s="49">
        <f>AVERAGE('25.10.19 PONDWE-KASESE-24h'!H88)</f>
        <v>0</v>
      </c>
      <c r="I88" s="49">
        <f>AVERAGE('25.10.19 PONDWE-KASESE-24h'!I88)</f>
        <v>0</v>
      </c>
      <c r="J88" s="49">
        <f>AVERAGE('25.10.19 PONDWE-KASESE-24h'!J88)</f>
        <v>0</v>
      </c>
      <c r="K88" s="49">
        <f>AVERAGE('25.10.19 PONDWE-KASESE-24h'!K88)</f>
        <v>0</v>
      </c>
      <c r="L88" s="49">
        <f>AVERAGE('25.10.19 PONDWE-KASESE-24h'!L88)</f>
        <v>0</v>
      </c>
      <c r="M88" s="49">
        <f>AVERAGE('25.10.19 PONDWE-KASESE-24h'!M88)</f>
        <v>1</v>
      </c>
      <c r="N88" s="49">
        <f>AVERAGE('25.10.19 PONDWE-KASESE-24h'!N88)</f>
        <v>0</v>
      </c>
      <c r="O88" s="15">
        <f t="shared" si="35"/>
        <v>2</v>
      </c>
      <c r="P88" s="15">
        <f t="shared" si="36"/>
        <v>3</v>
      </c>
      <c r="R88" s="8"/>
      <c r="T88"/>
    </row>
    <row r="89" spans="2:20" ht="23.1" customHeight="1" x14ac:dyDescent="0.25">
      <c r="B89" s="23" t="s">
        <v>129</v>
      </c>
      <c r="C89" s="49">
        <f>AVERAGE('25.10.19 PONDWE-KASESE-24h'!C89)</f>
        <v>0</v>
      </c>
      <c r="D89" s="49">
        <f>AVERAGE('25.10.19 PONDWE-KASESE-24h'!D89)</f>
        <v>0</v>
      </c>
      <c r="E89" s="49">
        <f>AVERAGE('25.10.19 PONDWE-KASESE-24h'!E89)</f>
        <v>0</v>
      </c>
      <c r="F89" s="49">
        <f>AVERAGE('25.10.19 PONDWE-KASESE-24h'!F89)</f>
        <v>0</v>
      </c>
      <c r="G89" s="49">
        <f>AVERAGE('25.10.19 PONDWE-KASESE-24h'!G89)</f>
        <v>0</v>
      </c>
      <c r="H89" s="49">
        <f>AVERAGE('25.10.19 PONDWE-KASESE-24h'!H89)</f>
        <v>0</v>
      </c>
      <c r="I89" s="49">
        <f>AVERAGE('25.10.19 PONDWE-KASESE-24h'!I89)</f>
        <v>0</v>
      </c>
      <c r="J89" s="49">
        <f>AVERAGE('25.10.19 PONDWE-KASESE-24h'!J89)</f>
        <v>0</v>
      </c>
      <c r="K89" s="49">
        <f>AVERAGE('25.10.19 PONDWE-KASESE-24h'!K89)</f>
        <v>0</v>
      </c>
      <c r="L89" s="49">
        <f>AVERAGE('25.10.19 PONDWE-KASESE-24h'!L89)</f>
        <v>0</v>
      </c>
      <c r="M89" s="49">
        <f>AVERAGE('25.10.19 PONDWE-KASESE-24h'!M89)</f>
        <v>3</v>
      </c>
      <c r="N89" s="49">
        <f>AVERAGE('25.10.19 PONDWE-KASESE-24h'!N89)</f>
        <v>0</v>
      </c>
      <c r="O89" s="15">
        <f t="shared" si="35"/>
        <v>0</v>
      </c>
      <c r="P89" s="15">
        <f t="shared" si="36"/>
        <v>3</v>
      </c>
      <c r="R89" s="8"/>
      <c r="T89"/>
    </row>
    <row r="90" spans="2:20" ht="23.1" customHeight="1" x14ac:dyDescent="0.25">
      <c r="B90" s="24" t="s">
        <v>130</v>
      </c>
      <c r="C90" s="49">
        <f>AVERAGE('25.10.19 PONDWE-KASESE-24h'!C90)</f>
        <v>0</v>
      </c>
      <c r="D90" s="49">
        <f>AVERAGE('25.10.19 PONDWE-KASESE-24h'!D90)</f>
        <v>0</v>
      </c>
      <c r="E90" s="49">
        <f>AVERAGE('25.10.19 PONDWE-KASESE-24h'!E90)</f>
        <v>0</v>
      </c>
      <c r="F90" s="49">
        <f>AVERAGE('25.10.19 PONDWE-KASESE-24h'!F90)</f>
        <v>0</v>
      </c>
      <c r="G90" s="49">
        <f>AVERAGE('25.10.19 PONDWE-KASESE-24h'!G90)</f>
        <v>0</v>
      </c>
      <c r="H90" s="49">
        <f>AVERAGE('25.10.19 PONDWE-KASESE-24h'!H90)</f>
        <v>0</v>
      </c>
      <c r="I90" s="49">
        <f>AVERAGE('25.10.19 PONDWE-KASESE-24h'!I90)</f>
        <v>0</v>
      </c>
      <c r="J90" s="49">
        <f>AVERAGE('25.10.19 PONDWE-KASESE-24h'!J90)</f>
        <v>0</v>
      </c>
      <c r="K90" s="49">
        <f>AVERAGE('25.10.19 PONDWE-KASESE-24h'!K90)</f>
        <v>0</v>
      </c>
      <c r="L90" s="49">
        <f>AVERAGE('25.10.19 PONDWE-KASESE-24h'!L90)</f>
        <v>0</v>
      </c>
      <c r="M90" s="49">
        <f>AVERAGE('25.10.19 PONDWE-KASESE-24h'!M90)</f>
        <v>17</v>
      </c>
      <c r="N90" s="49">
        <f>AVERAGE('25.10.19 PONDWE-KASESE-24h'!N90)</f>
        <v>0</v>
      </c>
      <c r="O90" s="15">
        <f t="shared" si="35"/>
        <v>0</v>
      </c>
      <c r="P90" s="15">
        <f t="shared" si="36"/>
        <v>17</v>
      </c>
      <c r="R90" s="8"/>
      <c r="T90"/>
    </row>
    <row r="91" spans="2:20" ht="23.1" customHeight="1" x14ac:dyDescent="0.25">
      <c r="B91" s="23" t="s">
        <v>131</v>
      </c>
      <c r="C91" s="49">
        <f>AVERAGE('25.10.19 PONDWE-KASESE-24h'!C91)</f>
        <v>1</v>
      </c>
      <c r="D91" s="49">
        <f>AVERAGE('25.10.19 PONDWE-KASESE-24h'!D91)</f>
        <v>0</v>
      </c>
      <c r="E91" s="49">
        <f>AVERAGE('25.10.19 PONDWE-KASESE-24h'!E91)</f>
        <v>0</v>
      </c>
      <c r="F91" s="49">
        <f>AVERAGE('25.10.19 PONDWE-KASESE-24h'!F91)</f>
        <v>0</v>
      </c>
      <c r="G91" s="49">
        <f>AVERAGE('25.10.19 PONDWE-KASESE-24h'!G91)</f>
        <v>0</v>
      </c>
      <c r="H91" s="49">
        <f>AVERAGE('25.10.19 PONDWE-KASESE-24h'!H91)</f>
        <v>0</v>
      </c>
      <c r="I91" s="49">
        <f>AVERAGE('25.10.19 PONDWE-KASESE-24h'!I91)</f>
        <v>0</v>
      </c>
      <c r="J91" s="49">
        <f>AVERAGE('25.10.19 PONDWE-KASESE-24h'!J91)</f>
        <v>0</v>
      </c>
      <c r="K91" s="49">
        <f>AVERAGE('25.10.19 PONDWE-KASESE-24h'!K91)</f>
        <v>0</v>
      </c>
      <c r="L91" s="49">
        <f>AVERAGE('25.10.19 PONDWE-KASESE-24h'!L91)</f>
        <v>0</v>
      </c>
      <c r="M91" s="49">
        <f>AVERAGE('25.10.19 PONDWE-KASESE-24h'!M91)</f>
        <v>6</v>
      </c>
      <c r="N91" s="49">
        <f>AVERAGE('25.10.19 PONDWE-KASESE-24h'!N91)</f>
        <v>0</v>
      </c>
      <c r="O91" s="15">
        <f t="shared" si="35"/>
        <v>1</v>
      </c>
      <c r="P91" s="15">
        <f t="shared" si="36"/>
        <v>7</v>
      </c>
      <c r="R91" s="8"/>
      <c r="T91"/>
    </row>
    <row r="92" spans="2:20" ht="23.1" customHeight="1" x14ac:dyDescent="0.25">
      <c r="B92" s="25" t="s">
        <v>132</v>
      </c>
      <c r="C92" s="49">
        <f>AVERAGE('25.10.19 PONDWE-KASESE-24h'!C92)</f>
        <v>0</v>
      </c>
      <c r="D92" s="49">
        <f>AVERAGE('25.10.19 PONDWE-KASESE-24h'!D92)</f>
        <v>0</v>
      </c>
      <c r="E92" s="49">
        <f>AVERAGE('25.10.19 PONDWE-KASESE-24h'!E92)</f>
        <v>0</v>
      </c>
      <c r="F92" s="49">
        <f>AVERAGE('25.10.19 PONDWE-KASESE-24h'!F92)</f>
        <v>0</v>
      </c>
      <c r="G92" s="49">
        <f>AVERAGE('25.10.19 PONDWE-KASESE-24h'!G92)</f>
        <v>0</v>
      </c>
      <c r="H92" s="49">
        <f>AVERAGE('25.10.19 PONDWE-KASESE-24h'!H92)</f>
        <v>0</v>
      </c>
      <c r="I92" s="49">
        <f>AVERAGE('25.10.19 PONDWE-KASESE-24h'!I92)</f>
        <v>0</v>
      </c>
      <c r="J92" s="49">
        <f>AVERAGE('25.10.19 PONDWE-KASESE-24h'!J92)</f>
        <v>0</v>
      </c>
      <c r="K92" s="49">
        <f>AVERAGE('25.10.19 PONDWE-KASESE-24h'!K92)</f>
        <v>0</v>
      </c>
      <c r="L92" s="49">
        <f>AVERAGE('25.10.19 PONDWE-KASESE-24h'!L92)</f>
        <v>0</v>
      </c>
      <c r="M92" s="49">
        <f>AVERAGE('25.10.19 PONDWE-KASESE-24h'!M92)</f>
        <v>8</v>
      </c>
      <c r="N92" s="49">
        <f>AVERAGE('25.10.19 PONDWE-KASESE-24h'!N92)</f>
        <v>0</v>
      </c>
      <c r="O92" s="15">
        <f t="shared" si="35"/>
        <v>0</v>
      </c>
      <c r="P92" s="15">
        <f t="shared" si="36"/>
        <v>8</v>
      </c>
      <c r="R92" s="8"/>
      <c r="T92"/>
    </row>
    <row r="93" spans="2:20" ht="23.1" customHeight="1" x14ac:dyDescent="0.25">
      <c r="B93" s="23" t="s">
        <v>133</v>
      </c>
      <c r="C93" s="49">
        <f>AVERAGE('25.10.19 PONDWE-KASESE-24h'!C93)</f>
        <v>0</v>
      </c>
      <c r="D93" s="49">
        <f>AVERAGE('25.10.19 PONDWE-KASESE-24h'!D93)</f>
        <v>0</v>
      </c>
      <c r="E93" s="49">
        <f>AVERAGE('25.10.19 PONDWE-KASESE-24h'!E93)</f>
        <v>0</v>
      </c>
      <c r="F93" s="49">
        <f>AVERAGE('25.10.19 PONDWE-KASESE-24h'!F93)</f>
        <v>0</v>
      </c>
      <c r="G93" s="49">
        <f>AVERAGE('25.10.19 PONDWE-KASESE-24h'!G93)</f>
        <v>0</v>
      </c>
      <c r="H93" s="49">
        <f>AVERAGE('25.10.19 PONDWE-KASESE-24h'!H93)</f>
        <v>0</v>
      </c>
      <c r="I93" s="49">
        <f>AVERAGE('25.10.19 PONDWE-KASESE-24h'!I93)</f>
        <v>0</v>
      </c>
      <c r="J93" s="49">
        <f>AVERAGE('25.10.19 PONDWE-KASESE-24h'!J93)</f>
        <v>0</v>
      </c>
      <c r="K93" s="49">
        <f>AVERAGE('25.10.19 PONDWE-KASESE-24h'!K93)</f>
        <v>0</v>
      </c>
      <c r="L93" s="49">
        <f>AVERAGE('25.10.19 PONDWE-KASESE-24h'!L93)</f>
        <v>0</v>
      </c>
      <c r="M93" s="49">
        <f>AVERAGE('25.10.19 PONDWE-KASESE-24h'!M93)</f>
        <v>3</v>
      </c>
      <c r="N93" s="49">
        <f>AVERAGE('25.10.19 PONDWE-KASESE-24h'!N93)</f>
        <v>0</v>
      </c>
      <c r="O93" s="15">
        <f t="shared" si="35"/>
        <v>0</v>
      </c>
      <c r="P93" s="15">
        <f t="shared" si="36"/>
        <v>3</v>
      </c>
      <c r="R93" s="8"/>
      <c r="T93"/>
    </row>
    <row r="94" spans="2:20" ht="23.1" customHeight="1" x14ac:dyDescent="0.25">
      <c r="B94" s="24" t="s">
        <v>134</v>
      </c>
      <c r="C94" s="49">
        <f>AVERAGE('25.10.19 PONDWE-KASESE-24h'!C94)</f>
        <v>0</v>
      </c>
      <c r="D94" s="49">
        <f>AVERAGE('25.10.19 PONDWE-KASESE-24h'!D94)</f>
        <v>0</v>
      </c>
      <c r="E94" s="49">
        <f>AVERAGE('25.10.19 PONDWE-KASESE-24h'!E94)</f>
        <v>1</v>
      </c>
      <c r="F94" s="49">
        <f>AVERAGE('25.10.19 PONDWE-KASESE-24h'!F94)</f>
        <v>0</v>
      </c>
      <c r="G94" s="49">
        <f>AVERAGE('25.10.19 PONDWE-KASESE-24h'!G94)</f>
        <v>0</v>
      </c>
      <c r="H94" s="49">
        <f>AVERAGE('25.10.19 PONDWE-KASESE-24h'!H94)</f>
        <v>0</v>
      </c>
      <c r="I94" s="49">
        <f>AVERAGE('25.10.19 PONDWE-KASESE-24h'!I94)</f>
        <v>0</v>
      </c>
      <c r="J94" s="49">
        <f>AVERAGE('25.10.19 PONDWE-KASESE-24h'!J94)</f>
        <v>0</v>
      </c>
      <c r="K94" s="49">
        <f>AVERAGE('25.10.19 PONDWE-KASESE-24h'!K94)</f>
        <v>0</v>
      </c>
      <c r="L94" s="49">
        <f>AVERAGE('25.10.19 PONDWE-KASESE-24h'!L94)</f>
        <v>0</v>
      </c>
      <c r="M94" s="49">
        <f>AVERAGE('25.10.19 PONDWE-KASESE-24h'!M94)</f>
        <v>4</v>
      </c>
      <c r="N94" s="49">
        <f>AVERAGE('25.10.19 PONDWE-KASESE-24h'!N94)</f>
        <v>0</v>
      </c>
      <c r="O94" s="15">
        <f t="shared" si="35"/>
        <v>1</v>
      </c>
      <c r="P94" s="15">
        <f t="shared" si="36"/>
        <v>5</v>
      </c>
      <c r="R94" s="8"/>
      <c r="T94"/>
    </row>
    <row r="95" spans="2:20" ht="23.1" customHeight="1" x14ac:dyDescent="0.25">
      <c r="B95" s="23" t="s">
        <v>135</v>
      </c>
      <c r="C95" s="49">
        <f>AVERAGE('25.10.19 PONDWE-KASESE-24h'!C95)</f>
        <v>0</v>
      </c>
      <c r="D95" s="49">
        <f>AVERAGE('25.10.19 PONDWE-KASESE-24h'!D95)</f>
        <v>0</v>
      </c>
      <c r="E95" s="49">
        <f>AVERAGE('25.10.19 PONDWE-KASESE-24h'!E95)</f>
        <v>0</v>
      </c>
      <c r="F95" s="49">
        <f>AVERAGE('25.10.19 PONDWE-KASESE-24h'!F95)</f>
        <v>0</v>
      </c>
      <c r="G95" s="49">
        <f>AVERAGE('25.10.19 PONDWE-KASESE-24h'!G95)</f>
        <v>0</v>
      </c>
      <c r="H95" s="49">
        <f>AVERAGE('25.10.19 PONDWE-KASESE-24h'!H95)</f>
        <v>0</v>
      </c>
      <c r="I95" s="49">
        <f>AVERAGE('25.10.19 PONDWE-KASESE-24h'!I95)</f>
        <v>0</v>
      </c>
      <c r="J95" s="49">
        <f>AVERAGE('25.10.19 PONDWE-KASESE-24h'!J95)</f>
        <v>0</v>
      </c>
      <c r="K95" s="49">
        <f>AVERAGE('25.10.19 PONDWE-KASESE-24h'!K95)</f>
        <v>0</v>
      </c>
      <c r="L95" s="49">
        <f>AVERAGE('25.10.19 PONDWE-KASESE-24h'!L95)</f>
        <v>0</v>
      </c>
      <c r="M95" s="49">
        <f>AVERAGE('25.10.19 PONDWE-KASESE-24h'!M95)</f>
        <v>1</v>
      </c>
      <c r="N95" s="49">
        <f>AVERAGE('25.10.19 PONDWE-KASESE-24h'!N95)</f>
        <v>0</v>
      </c>
      <c r="O95" s="15">
        <f t="shared" si="35"/>
        <v>0</v>
      </c>
      <c r="P95" s="15">
        <f t="shared" si="36"/>
        <v>1</v>
      </c>
      <c r="R95" s="8"/>
      <c r="T95"/>
    </row>
    <row r="96" spans="2:20" ht="23.1" customHeight="1" x14ac:dyDescent="0.25">
      <c r="B96" s="25" t="s">
        <v>136</v>
      </c>
      <c r="C96" s="49">
        <f>AVERAGE('25.10.19 PONDWE-KASESE-24h'!C96)</f>
        <v>0</v>
      </c>
      <c r="D96" s="49">
        <f>AVERAGE('25.10.19 PONDWE-KASESE-24h'!D96)</f>
        <v>0</v>
      </c>
      <c r="E96" s="49">
        <f>AVERAGE('25.10.19 PONDWE-KASESE-24h'!E96)</f>
        <v>0</v>
      </c>
      <c r="F96" s="49">
        <f>AVERAGE('25.10.19 PONDWE-KASESE-24h'!F96)</f>
        <v>0</v>
      </c>
      <c r="G96" s="49">
        <f>AVERAGE('25.10.19 PONDWE-KASESE-24h'!G96)</f>
        <v>0</v>
      </c>
      <c r="H96" s="49">
        <f>AVERAGE('25.10.19 PONDWE-KASESE-24h'!H96)</f>
        <v>0</v>
      </c>
      <c r="I96" s="49">
        <f>AVERAGE('25.10.19 PONDWE-KASESE-24h'!I96)</f>
        <v>0</v>
      </c>
      <c r="J96" s="49">
        <f>AVERAGE('25.10.19 PONDWE-KASESE-24h'!J96)</f>
        <v>0</v>
      </c>
      <c r="K96" s="49">
        <f>AVERAGE('25.10.19 PONDWE-KASESE-24h'!K96)</f>
        <v>0</v>
      </c>
      <c r="L96" s="49">
        <f>AVERAGE('25.10.19 PONDWE-KASESE-24h'!L96)</f>
        <v>0</v>
      </c>
      <c r="M96" s="49">
        <f>AVERAGE('25.10.19 PONDWE-KASESE-24h'!M96)</f>
        <v>2</v>
      </c>
      <c r="N96" s="49">
        <f>AVERAGE('25.10.19 PONDWE-KASESE-24h'!N96)</f>
        <v>0</v>
      </c>
      <c r="O96" s="15">
        <f t="shared" si="35"/>
        <v>0</v>
      </c>
      <c r="P96" s="15">
        <f t="shared" si="36"/>
        <v>2</v>
      </c>
      <c r="R96" s="8"/>
      <c r="T96"/>
    </row>
    <row r="97" spans="2:20" ht="23.1" customHeight="1" x14ac:dyDescent="0.25">
      <c r="B97" s="23" t="s">
        <v>137</v>
      </c>
      <c r="C97" s="49">
        <f>AVERAGE('25.10.19 PONDWE-KASESE-24h'!C97)</f>
        <v>1</v>
      </c>
      <c r="D97" s="49">
        <f>AVERAGE('25.10.19 PONDWE-KASESE-24h'!D97)</f>
        <v>0</v>
      </c>
      <c r="E97" s="49">
        <f>AVERAGE('25.10.19 PONDWE-KASESE-24h'!E97)</f>
        <v>0</v>
      </c>
      <c r="F97" s="49">
        <f>AVERAGE('25.10.19 PONDWE-KASESE-24h'!F97)</f>
        <v>0</v>
      </c>
      <c r="G97" s="49">
        <f>AVERAGE('25.10.19 PONDWE-KASESE-24h'!G97)</f>
        <v>0</v>
      </c>
      <c r="H97" s="49">
        <f>AVERAGE('25.10.19 PONDWE-KASESE-24h'!H97)</f>
        <v>0</v>
      </c>
      <c r="I97" s="49">
        <f>AVERAGE('25.10.19 PONDWE-KASESE-24h'!I97)</f>
        <v>0</v>
      </c>
      <c r="J97" s="49">
        <f>AVERAGE('25.10.19 PONDWE-KASESE-24h'!J97)</f>
        <v>0</v>
      </c>
      <c r="K97" s="49">
        <f>AVERAGE('25.10.19 PONDWE-KASESE-24h'!K97)</f>
        <v>0</v>
      </c>
      <c r="L97" s="49">
        <f>AVERAGE('25.10.19 PONDWE-KASESE-24h'!L97)</f>
        <v>0</v>
      </c>
      <c r="M97" s="49">
        <f>AVERAGE('25.10.19 PONDWE-KASESE-24h'!M97)</f>
        <v>1</v>
      </c>
      <c r="N97" s="49">
        <f>AVERAGE('25.10.19 PONDWE-KASESE-24h'!N97)</f>
        <v>0</v>
      </c>
      <c r="O97" s="15">
        <f t="shared" si="35"/>
        <v>1</v>
      </c>
      <c r="P97" s="15">
        <f t="shared" si="36"/>
        <v>2</v>
      </c>
      <c r="R97" s="8"/>
      <c r="T97"/>
    </row>
    <row r="98" spans="2:20" ht="23.1" customHeight="1" x14ac:dyDescent="0.25">
      <c r="B98" s="24" t="s">
        <v>138</v>
      </c>
      <c r="C98" s="49">
        <f>AVERAGE('25.10.19 PONDWE-KASESE-24h'!C98)</f>
        <v>2</v>
      </c>
      <c r="D98" s="49">
        <f>AVERAGE('25.10.19 PONDWE-KASESE-24h'!D98)</f>
        <v>0</v>
      </c>
      <c r="E98" s="49">
        <f>AVERAGE('25.10.19 PONDWE-KASESE-24h'!E98)</f>
        <v>1</v>
      </c>
      <c r="F98" s="49">
        <f>AVERAGE('25.10.19 PONDWE-KASESE-24h'!F98)</f>
        <v>0</v>
      </c>
      <c r="G98" s="49">
        <f>AVERAGE('25.10.19 PONDWE-KASESE-24h'!G98)</f>
        <v>0</v>
      </c>
      <c r="H98" s="49">
        <f>AVERAGE('25.10.19 PONDWE-KASESE-24h'!H98)</f>
        <v>0</v>
      </c>
      <c r="I98" s="49">
        <f>AVERAGE('25.10.19 PONDWE-KASESE-24h'!I98)</f>
        <v>0</v>
      </c>
      <c r="J98" s="49">
        <f>AVERAGE('25.10.19 PONDWE-KASESE-24h'!J98)</f>
        <v>0</v>
      </c>
      <c r="K98" s="49">
        <f>AVERAGE('25.10.19 PONDWE-KASESE-24h'!K98)</f>
        <v>0</v>
      </c>
      <c r="L98" s="49">
        <f>AVERAGE('25.10.19 PONDWE-KASESE-24h'!L98)</f>
        <v>0</v>
      </c>
      <c r="M98" s="49">
        <f>AVERAGE('25.10.19 PONDWE-KASESE-24h'!M98)</f>
        <v>5</v>
      </c>
      <c r="N98" s="49">
        <f>AVERAGE('25.10.19 PONDWE-KASESE-24h'!N98)</f>
        <v>0</v>
      </c>
      <c r="O98" s="15">
        <f t="shared" si="35"/>
        <v>3</v>
      </c>
      <c r="P98" s="15">
        <f t="shared" si="36"/>
        <v>8</v>
      </c>
      <c r="R98" s="8"/>
      <c r="T98"/>
    </row>
    <row r="99" spans="2:20" ht="23.1" customHeight="1" x14ac:dyDescent="0.25">
      <c r="B99" s="23" t="s">
        <v>139</v>
      </c>
      <c r="C99" s="49">
        <f>AVERAGE('25.10.19 PONDWE-KASESE-24h'!C99)</f>
        <v>1</v>
      </c>
      <c r="D99" s="49">
        <f>AVERAGE('25.10.19 PONDWE-KASESE-24h'!D99)</f>
        <v>0</v>
      </c>
      <c r="E99" s="49">
        <f>AVERAGE('25.10.19 PONDWE-KASESE-24h'!E99)</f>
        <v>0</v>
      </c>
      <c r="F99" s="49">
        <f>AVERAGE('25.10.19 PONDWE-KASESE-24h'!F99)</f>
        <v>1</v>
      </c>
      <c r="G99" s="49">
        <f>AVERAGE('25.10.19 PONDWE-KASESE-24h'!G99)</f>
        <v>0</v>
      </c>
      <c r="H99" s="49">
        <f>AVERAGE('25.10.19 PONDWE-KASESE-24h'!H99)</f>
        <v>0</v>
      </c>
      <c r="I99" s="49">
        <f>AVERAGE('25.10.19 PONDWE-KASESE-24h'!I99)</f>
        <v>0</v>
      </c>
      <c r="J99" s="49">
        <f>AVERAGE('25.10.19 PONDWE-KASESE-24h'!J99)</f>
        <v>0</v>
      </c>
      <c r="K99" s="49">
        <f>AVERAGE('25.10.19 PONDWE-KASESE-24h'!K99)</f>
        <v>0</v>
      </c>
      <c r="L99" s="49">
        <f>AVERAGE('25.10.19 PONDWE-KASESE-24h'!L99)</f>
        <v>0</v>
      </c>
      <c r="M99" s="49">
        <f>AVERAGE('25.10.19 PONDWE-KASESE-24h'!M99)</f>
        <v>11</v>
      </c>
      <c r="N99" s="49">
        <f>AVERAGE('25.10.19 PONDWE-KASESE-24h'!N99)</f>
        <v>0</v>
      </c>
      <c r="O99" s="15">
        <f t="shared" si="35"/>
        <v>2</v>
      </c>
      <c r="P99" s="15">
        <f t="shared" si="36"/>
        <v>13</v>
      </c>
      <c r="R99" s="8"/>
      <c r="T99"/>
    </row>
    <row r="100" spans="2:20" ht="23.1" customHeight="1" x14ac:dyDescent="0.25">
      <c r="B100" s="25" t="s">
        <v>140</v>
      </c>
      <c r="C100" s="49">
        <f>AVERAGE('25.10.19 PONDWE-KASESE-24h'!C100)</f>
        <v>4</v>
      </c>
      <c r="D100" s="49">
        <f>AVERAGE('25.10.19 PONDWE-KASESE-24h'!D100)</f>
        <v>0</v>
      </c>
      <c r="E100" s="49">
        <f>AVERAGE('25.10.19 PONDWE-KASESE-24h'!E100)</f>
        <v>0</v>
      </c>
      <c r="F100" s="49">
        <f>AVERAGE('25.10.19 PONDWE-KASESE-24h'!F100)</f>
        <v>0</v>
      </c>
      <c r="G100" s="49">
        <f>AVERAGE('25.10.19 PONDWE-KASESE-24h'!G100)</f>
        <v>0</v>
      </c>
      <c r="H100" s="49">
        <f>AVERAGE('25.10.19 PONDWE-KASESE-24h'!H100)</f>
        <v>0</v>
      </c>
      <c r="I100" s="49">
        <f>AVERAGE('25.10.19 PONDWE-KASESE-24h'!I100)</f>
        <v>0</v>
      </c>
      <c r="J100" s="49">
        <f>AVERAGE('25.10.19 PONDWE-KASESE-24h'!J100)</f>
        <v>0</v>
      </c>
      <c r="K100" s="49">
        <f>AVERAGE('25.10.19 PONDWE-KASESE-24h'!K100)</f>
        <v>0</v>
      </c>
      <c r="L100" s="49">
        <f>AVERAGE('25.10.19 PONDWE-KASESE-24h'!L100)</f>
        <v>0</v>
      </c>
      <c r="M100" s="49">
        <f>AVERAGE('25.10.19 PONDWE-KASESE-24h'!M100)</f>
        <v>5</v>
      </c>
      <c r="N100" s="49">
        <f>AVERAGE('25.10.19 PONDWE-KASESE-24h'!N100)</f>
        <v>0</v>
      </c>
      <c r="O100" s="15">
        <f t="shared" si="35"/>
        <v>4</v>
      </c>
      <c r="P100" s="15">
        <f t="shared" si="36"/>
        <v>9</v>
      </c>
      <c r="R100" s="8"/>
      <c r="T100"/>
    </row>
    <row r="101" spans="2:20" ht="23.1" customHeight="1" x14ac:dyDescent="0.25">
      <c r="B101" s="23" t="s">
        <v>141</v>
      </c>
      <c r="C101" s="49">
        <f>AVERAGE('25.10.19 PONDWE-KASESE-24h'!C101)</f>
        <v>2</v>
      </c>
      <c r="D101" s="49">
        <f>AVERAGE('25.10.19 PONDWE-KASESE-24h'!D101)</f>
        <v>0</v>
      </c>
      <c r="E101" s="49">
        <f>AVERAGE('25.10.19 PONDWE-KASESE-24h'!E101)</f>
        <v>0</v>
      </c>
      <c r="F101" s="49">
        <f>AVERAGE('25.10.19 PONDWE-KASESE-24h'!F101)</f>
        <v>0</v>
      </c>
      <c r="G101" s="49">
        <f>AVERAGE('25.10.19 PONDWE-KASESE-24h'!G101)</f>
        <v>0</v>
      </c>
      <c r="H101" s="49">
        <f>AVERAGE('25.10.19 PONDWE-KASESE-24h'!H101)</f>
        <v>0</v>
      </c>
      <c r="I101" s="49">
        <f>AVERAGE('25.10.19 PONDWE-KASESE-24h'!I101)</f>
        <v>0</v>
      </c>
      <c r="J101" s="49">
        <f>AVERAGE('25.10.19 PONDWE-KASESE-24h'!J101)</f>
        <v>0</v>
      </c>
      <c r="K101" s="49">
        <f>AVERAGE('25.10.19 PONDWE-KASESE-24h'!K101)</f>
        <v>0</v>
      </c>
      <c r="L101" s="49">
        <f>AVERAGE('25.10.19 PONDWE-KASESE-24h'!L101)</f>
        <v>0</v>
      </c>
      <c r="M101" s="49">
        <f>AVERAGE('25.10.19 PONDWE-KASESE-24h'!M101)</f>
        <v>2</v>
      </c>
      <c r="N101" s="49">
        <f>AVERAGE('25.10.19 PONDWE-KASESE-24h'!N101)</f>
        <v>0</v>
      </c>
      <c r="O101" s="15">
        <f t="shared" si="35"/>
        <v>2</v>
      </c>
      <c r="P101" s="15">
        <f t="shared" si="36"/>
        <v>4</v>
      </c>
      <c r="R101" s="8"/>
      <c r="T101"/>
    </row>
    <row r="102" spans="2:20" ht="23.1" customHeight="1" x14ac:dyDescent="0.25">
      <c r="B102" s="24" t="s">
        <v>142</v>
      </c>
      <c r="C102" s="49">
        <f>AVERAGE('25.10.19 PONDWE-KASESE-24h'!C102)</f>
        <v>1</v>
      </c>
      <c r="D102" s="49">
        <f>AVERAGE('25.10.19 PONDWE-KASESE-24h'!D102)</f>
        <v>0</v>
      </c>
      <c r="E102" s="49">
        <f>AVERAGE('25.10.19 PONDWE-KASESE-24h'!E102)</f>
        <v>0</v>
      </c>
      <c r="F102" s="49">
        <f>AVERAGE('25.10.19 PONDWE-KASESE-24h'!F102)</f>
        <v>0</v>
      </c>
      <c r="G102" s="49">
        <f>AVERAGE('25.10.19 PONDWE-KASESE-24h'!G102)</f>
        <v>0</v>
      </c>
      <c r="H102" s="49">
        <f>AVERAGE('25.10.19 PONDWE-KASESE-24h'!H102)</f>
        <v>0</v>
      </c>
      <c r="I102" s="49">
        <f>AVERAGE('25.10.19 PONDWE-KASESE-24h'!I102)</f>
        <v>0</v>
      </c>
      <c r="J102" s="49">
        <f>AVERAGE('25.10.19 PONDWE-KASESE-24h'!J102)</f>
        <v>0</v>
      </c>
      <c r="K102" s="49">
        <f>AVERAGE('25.10.19 PONDWE-KASESE-24h'!K102)</f>
        <v>0</v>
      </c>
      <c r="L102" s="49">
        <f>AVERAGE('25.10.19 PONDWE-KASESE-24h'!L102)</f>
        <v>0</v>
      </c>
      <c r="M102" s="49">
        <f>AVERAGE('25.10.19 PONDWE-KASESE-24h'!M102)</f>
        <v>6</v>
      </c>
      <c r="N102" s="49">
        <f>AVERAGE('25.10.19 PONDWE-KASESE-24h'!N102)</f>
        <v>0</v>
      </c>
      <c r="O102" s="15">
        <f t="shared" si="35"/>
        <v>1</v>
      </c>
      <c r="P102" s="15">
        <f t="shared" si="36"/>
        <v>7</v>
      </c>
      <c r="R102" s="8"/>
      <c r="T102"/>
    </row>
    <row r="103" spans="2:20" ht="23.1" customHeight="1" x14ac:dyDescent="0.25">
      <c r="B103" s="23" t="s">
        <v>143</v>
      </c>
      <c r="C103" s="49">
        <f>AVERAGE('25.10.19 PONDWE-KASESE-24h'!C103)</f>
        <v>3</v>
      </c>
      <c r="D103" s="49">
        <f>AVERAGE('25.10.19 PONDWE-KASESE-24h'!D103)</f>
        <v>0</v>
      </c>
      <c r="E103" s="49">
        <f>AVERAGE('25.10.19 PONDWE-KASESE-24h'!E103)</f>
        <v>0</v>
      </c>
      <c r="F103" s="49">
        <f>AVERAGE('25.10.19 PONDWE-KASESE-24h'!F103)</f>
        <v>0</v>
      </c>
      <c r="G103" s="49">
        <f>AVERAGE('25.10.19 PONDWE-KASESE-24h'!G103)</f>
        <v>0</v>
      </c>
      <c r="H103" s="49">
        <f>AVERAGE('25.10.19 PONDWE-KASESE-24h'!H103)</f>
        <v>0</v>
      </c>
      <c r="I103" s="49">
        <f>AVERAGE('25.10.19 PONDWE-KASESE-24h'!I103)</f>
        <v>1</v>
      </c>
      <c r="J103" s="49">
        <f>AVERAGE('25.10.19 PONDWE-KASESE-24h'!J103)</f>
        <v>0</v>
      </c>
      <c r="K103" s="49">
        <f>AVERAGE('25.10.19 PONDWE-KASESE-24h'!K103)</f>
        <v>1</v>
      </c>
      <c r="L103" s="49">
        <f>AVERAGE('25.10.19 PONDWE-KASESE-24h'!L103)</f>
        <v>0</v>
      </c>
      <c r="M103" s="49">
        <f>AVERAGE('25.10.19 PONDWE-KASESE-24h'!M103)</f>
        <v>3</v>
      </c>
      <c r="N103" s="49">
        <f>AVERAGE('25.10.19 PONDWE-KASESE-24h'!N103)</f>
        <v>0</v>
      </c>
      <c r="O103" s="15">
        <f t="shared" si="35"/>
        <v>5</v>
      </c>
      <c r="P103" s="15">
        <f t="shared" si="36"/>
        <v>8</v>
      </c>
      <c r="R103" s="8"/>
      <c r="T103"/>
    </row>
    <row r="104" spans="2:20" ht="23.1" customHeight="1" x14ac:dyDescent="0.25">
      <c r="B104" s="25" t="s">
        <v>144</v>
      </c>
      <c r="C104" s="49">
        <f>AVERAGE('25.10.19 PONDWE-KASESE-24h'!C104)</f>
        <v>1</v>
      </c>
      <c r="D104" s="49">
        <f>AVERAGE('25.10.19 PONDWE-KASESE-24h'!D104)</f>
        <v>1</v>
      </c>
      <c r="E104" s="49">
        <f>AVERAGE('25.10.19 PONDWE-KASESE-24h'!E104)</f>
        <v>0</v>
      </c>
      <c r="F104" s="49">
        <f>AVERAGE('25.10.19 PONDWE-KASESE-24h'!F104)</f>
        <v>0</v>
      </c>
      <c r="G104" s="49">
        <f>AVERAGE('25.10.19 PONDWE-KASESE-24h'!G104)</f>
        <v>0</v>
      </c>
      <c r="H104" s="49">
        <f>AVERAGE('25.10.19 PONDWE-KASESE-24h'!H104)</f>
        <v>0</v>
      </c>
      <c r="I104" s="49">
        <f>AVERAGE('25.10.19 PONDWE-KASESE-24h'!I104)</f>
        <v>0</v>
      </c>
      <c r="J104" s="49">
        <f>AVERAGE('25.10.19 PONDWE-KASESE-24h'!J104)</f>
        <v>0</v>
      </c>
      <c r="K104" s="49">
        <f>AVERAGE('25.10.19 PONDWE-KASESE-24h'!K104)</f>
        <v>2</v>
      </c>
      <c r="L104" s="49">
        <f>AVERAGE('25.10.19 PONDWE-KASESE-24h'!L104)</f>
        <v>1</v>
      </c>
      <c r="M104" s="49">
        <f>AVERAGE('25.10.19 PONDWE-KASESE-24h'!M104)</f>
        <v>2</v>
      </c>
      <c r="N104" s="49">
        <f>AVERAGE('25.10.19 PONDWE-KASESE-24h'!N104)</f>
        <v>0</v>
      </c>
      <c r="O104" s="15">
        <f t="shared" si="35"/>
        <v>5</v>
      </c>
      <c r="P104" s="15">
        <f t="shared" si="36"/>
        <v>7</v>
      </c>
      <c r="R104" s="8"/>
      <c r="T104"/>
    </row>
    <row r="105" spans="2:20" ht="23.1" customHeight="1" x14ac:dyDescent="0.25">
      <c r="B105" s="23" t="s">
        <v>145</v>
      </c>
      <c r="C105" s="49">
        <f>AVERAGE('25.10.19 PONDWE-KASESE-24h'!C105)</f>
        <v>2</v>
      </c>
      <c r="D105" s="49">
        <f>AVERAGE('25.10.19 PONDWE-KASESE-24h'!D105)</f>
        <v>0</v>
      </c>
      <c r="E105" s="49">
        <f>AVERAGE('25.10.19 PONDWE-KASESE-24h'!E105)</f>
        <v>0</v>
      </c>
      <c r="F105" s="49">
        <f>AVERAGE('25.10.19 PONDWE-KASESE-24h'!F105)</f>
        <v>0</v>
      </c>
      <c r="G105" s="49">
        <f>AVERAGE('25.10.19 PONDWE-KASESE-24h'!G105)</f>
        <v>0</v>
      </c>
      <c r="H105" s="49">
        <f>AVERAGE('25.10.19 PONDWE-KASESE-24h'!H105)</f>
        <v>0</v>
      </c>
      <c r="I105" s="49">
        <f>AVERAGE('25.10.19 PONDWE-KASESE-24h'!I105)</f>
        <v>1</v>
      </c>
      <c r="J105" s="49">
        <f>AVERAGE('25.10.19 PONDWE-KASESE-24h'!J105)</f>
        <v>0</v>
      </c>
      <c r="K105" s="49">
        <f>AVERAGE('25.10.19 PONDWE-KASESE-24h'!K105)</f>
        <v>0</v>
      </c>
      <c r="L105" s="49">
        <f>AVERAGE('25.10.19 PONDWE-KASESE-24h'!L105)</f>
        <v>0</v>
      </c>
      <c r="M105" s="49">
        <f>AVERAGE('25.10.19 PONDWE-KASESE-24h'!M105)</f>
        <v>5</v>
      </c>
      <c r="N105" s="49">
        <f>AVERAGE('25.10.19 PONDWE-KASESE-24h'!N105)</f>
        <v>0</v>
      </c>
      <c r="O105" s="15">
        <f t="shared" si="35"/>
        <v>3</v>
      </c>
      <c r="P105" s="15">
        <f t="shared" si="36"/>
        <v>8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379.33333333333337</v>
      </c>
      <c r="D106" s="16">
        <f t="shared" ref="D106:P106" si="37">SUM(D10:D105)</f>
        <v>23.000000000000007</v>
      </c>
      <c r="E106" s="16">
        <f t="shared" si="37"/>
        <v>20.333333333333332</v>
      </c>
      <c r="F106" s="16">
        <f t="shared" si="37"/>
        <v>23.666666666666668</v>
      </c>
      <c r="G106" s="16">
        <f t="shared" si="37"/>
        <v>2</v>
      </c>
      <c r="H106" s="16">
        <f t="shared" si="37"/>
        <v>16.000000000000004</v>
      </c>
      <c r="I106" s="16">
        <f t="shared" si="37"/>
        <v>48.333333333333336</v>
      </c>
      <c r="J106" s="16">
        <f t="shared" si="37"/>
        <v>30.999999999999993</v>
      </c>
      <c r="K106" s="16">
        <f t="shared" si="37"/>
        <v>6.666666666666667</v>
      </c>
      <c r="L106" s="16">
        <f t="shared" si="37"/>
        <v>31.666666666666671</v>
      </c>
      <c r="M106" s="16">
        <f t="shared" si="37"/>
        <v>3771</v>
      </c>
      <c r="N106" s="16">
        <f t="shared" si="37"/>
        <v>0</v>
      </c>
      <c r="O106" s="16">
        <f t="shared" si="37"/>
        <v>581.99999999999989</v>
      </c>
      <c r="P106" s="16">
        <f t="shared" si="37"/>
        <v>4353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8.7142966536488259E-2</v>
      </c>
      <c r="D107" s="43">
        <f t="shared" si="38"/>
        <v>5.2837123822651062E-3</v>
      </c>
      <c r="E107" s="43">
        <f t="shared" si="38"/>
        <v>4.6711080480894398E-3</v>
      </c>
      <c r="F107" s="43">
        <f t="shared" si="38"/>
        <v>5.4368634658090208E-3</v>
      </c>
      <c r="G107" s="43">
        <f t="shared" si="38"/>
        <v>4.5945325063174823E-4</v>
      </c>
      <c r="H107" s="43">
        <f t="shared" si="38"/>
        <v>3.6756260050539867E-3</v>
      </c>
      <c r="I107" s="43">
        <f t="shared" si="38"/>
        <v>1.1103453556933917E-2</v>
      </c>
      <c r="J107" s="43">
        <f t="shared" si="38"/>
        <v>7.1215253847920958E-3</v>
      </c>
      <c r="K107" s="43">
        <f t="shared" si="38"/>
        <v>1.5315108354391608E-3</v>
      </c>
      <c r="L107" s="43">
        <f t="shared" si="38"/>
        <v>7.2746764683360148E-3</v>
      </c>
      <c r="M107" s="43">
        <f t="shared" si="38"/>
        <v>0.86629910406616129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0.65177548682703346</v>
      </c>
      <c r="D108" s="44">
        <f t="shared" ref="D108:N108" si="39">D106/$O$106</f>
        <v>3.9518900343642631E-2</v>
      </c>
      <c r="E108" s="44">
        <f t="shared" si="39"/>
        <v>3.4936998854524635E-2</v>
      </c>
      <c r="F108" s="44">
        <f t="shared" si="39"/>
        <v>4.0664375715922116E-2</v>
      </c>
      <c r="G108" s="44">
        <f t="shared" si="39"/>
        <v>3.4364261168384888E-3</v>
      </c>
      <c r="H108" s="44">
        <f t="shared" si="39"/>
        <v>2.7491408934707914E-2</v>
      </c>
      <c r="I108" s="44">
        <f t="shared" si="39"/>
        <v>8.3046964490263483E-2</v>
      </c>
      <c r="J108" s="44">
        <f t="shared" si="39"/>
        <v>5.3264604810996562E-2</v>
      </c>
      <c r="K108" s="44">
        <f t="shared" si="39"/>
        <v>1.1454753722794963E-2</v>
      </c>
      <c r="L108" s="44">
        <f t="shared" si="39"/>
        <v>5.4410080183276081E-2</v>
      </c>
      <c r="M108" s="44"/>
      <c r="N108" s="44">
        <f t="shared" si="39"/>
        <v>0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2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N73" zoomScale="60" workbookViewId="0">
      <selection activeCell="Z93" sqref="Z9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60" t="s">
        <v>23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</row>
    <row r="2" spans="2:32" ht="20.100000000000001" customHeight="1" x14ac:dyDescent="0.25">
      <c r="B2" s="61" t="s">
        <v>95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</row>
    <row r="3" spans="2:32" ht="20.100000000000001" customHeight="1" x14ac:dyDescent="0.25">
      <c r="B3" s="22" t="s">
        <v>96</v>
      </c>
      <c r="C3" s="65" t="e">
        <f>#REF!</f>
        <v>#REF!</v>
      </c>
      <c r="D3" s="65"/>
      <c r="E3" s="65"/>
      <c r="F3" s="65"/>
      <c r="G3" s="65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8" t="s">
        <v>162</v>
      </c>
      <c r="E5" s="69"/>
      <c r="F5" s="41" t="s">
        <v>1</v>
      </c>
      <c r="G5" s="66" t="s">
        <v>165</v>
      </c>
      <c r="H5" s="67"/>
      <c r="I5" s="14"/>
      <c r="J5" s="2" t="s">
        <v>5</v>
      </c>
      <c r="K5" s="66" t="s">
        <v>174</v>
      </c>
      <c r="L5" s="67"/>
      <c r="M5" s="10"/>
      <c r="N5" s="10"/>
      <c r="O5" s="3"/>
      <c r="P5" s="3"/>
    </row>
    <row r="6" spans="2:32" ht="23.25" customHeight="1" x14ac:dyDescent="0.25">
      <c r="C6" s="2" t="s">
        <v>4</v>
      </c>
      <c r="D6" s="70" t="s">
        <v>161</v>
      </c>
      <c r="E6" s="71"/>
      <c r="F6" s="2" t="s">
        <v>2</v>
      </c>
      <c r="G6" s="70" t="s">
        <v>161</v>
      </c>
      <c r="H6" s="71"/>
      <c r="J6" s="2" t="s">
        <v>21</v>
      </c>
      <c r="K6" s="66" t="str">
        <f>'Avg Week Pondwe-Kasese'!K6:L6</f>
        <v>GODFREY</v>
      </c>
      <c r="L6" s="67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9" t="s">
        <v>88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Kasese-Pondwe'!C10+'Avg Week Pondwe-Kasese'!C10</f>
        <v>3</v>
      </c>
      <c r="D10" s="49">
        <f>'Avg Week Kasese-Pondwe'!D10+'Avg Week Pondwe-Kasese'!D10</f>
        <v>0</v>
      </c>
      <c r="E10" s="49">
        <f>'Avg Week Kasese-Pondwe'!E10+'Avg Week Pondwe-Kasese'!E10</f>
        <v>0.33333333333333331</v>
      </c>
      <c r="F10" s="49">
        <f>'Avg Week Kasese-Pondwe'!F10+'Avg Week Pondwe-Kasese'!F10</f>
        <v>1</v>
      </c>
      <c r="G10" s="49">
        <f>'Avg Week Kasese-Pondwe'!G10+'Avg Week Pondwe-Kasese'!G10</f>
        <v>0</v>
      </c>
      <c r="H10" s="49">
        <f>'Avg Week Kasese-Pondwe'!H10+'Avg Week Pondwe-Kasese'!H10</f>
        <v>0</v>
      </c>
      <c r="I10" s="49">
        <f>'Avg Week Kasese-Pondwe'!I10+'Avg Week Pondwe-Kasese'!I10</f>
        <v>0.66666666666666663</v>
      </c>
      <c r="J10" s="49">
        <f>'Avg Week Kasese-Pondwe'!J10+'Avg Week Pondwe-Kasese'!J10</f>
        <v>0</v>
      </c>
      <c r="K10" s="49">
        <f>'Avg Week Kasese-Pondwe'!K10+'Avg Week Pondwe-Kasese'!K10</f>
        <v>0</v>
      </c>
      <c r="L10" s="49">
        <f>'Avg Week Kasese-Pondwe'!L10+'Avg Week Pondwe-Kasese'!L10</f>
        <v>0</v>
      </c>
      <c r="M10" s="49">
        <f>'Avg Week Kasese-Pondwe'!M10+'Avg Week Pondwe-Kasese'!M10</f>
        <v>49</v>
      </c>
      <c r="N10" s="49">
        <f>'Avg Week Kasese-Pondwe'!N10+'Avg Week Pondwe-Kasese'!N10</f>
        <v>0</v>
      </c>
      <c r="O10" s="15">
        <f t="shared" ref="O10:O73" si="0">SUM(C10:L10,N10)</f>
        <v>5.0000000000000009</v>
      </c>
      <c r="P10" s="15">
        <f t="shared" ref="P10:P73" si="1">SUM(C10:N10)</f>
        <v>54</v>
      </c>
      <c r="R10" s="1" t="s">
        <v>6</v>
      </c>
      <c r="S10" s="17">
        <f t="shared" ref="S10:AF10" si="2">SUM(C10:C13)</f>
        <v>16.666666666666664</v>
      </c>
      <c r="T10" s="17">
        <f t="shared" si="2"/>
        <v>0.66666666666666663</v>
      </c>
      <c r="U10" s="17">
        <f t="shared" si="2"/>
        <v>1</v>
      </c>
      <c r="V10" s="17">
        <f t="shared" si="2"/>
        <v>7</v>
      </c>
      <c r="W10" s="17">
        <f t="shared" si="2"/>
        <v>0</v>
      </c>
      <c r="X10" s="17">
        <f t="shared" si="2"/>
        <v>1.6666666666666665</v>
      </c>
      <c r="Y10" s="17">
        <f t="shared" si="2"/>
        <v>3.333333333333333</v>
      </c>
      <c r="Z10" s="17">
        <f t="shared" si="2"/>
        <v>3</v>
      </c>
      <c r="AA10" s="17">
        <f t="shared" si="2"/>
        <v>0</v>
      </c>
      <c r="AB10" s="17">
        <f t="shared" si="2"/>
        <v>2</v>
      </c>
      <c r="AC10" s="17">
        <f t="shared" si="2"/>
        <v>405</v>
      </c>
      <c r="AD10" s="17">
        <f t="shared" si="2"/>
        <v>0</v>
      </c>
      <c r="AE10" s="31">
        <f t="shared" si="2"/>
        <v>35.333333333333329</v>
      </c>
      <c r="AF10" s="31">
        <f t="shared" si="2"/>
        <v>440.33333333333331</v>
      </c>
    </row>
    <row r="11" spans="2:32" s="6" customFormat="1" ht="23.1" customHeight="1" x14ac:dyDescent="0.25">
      <c r="B11" s="23" t="s">
        <v>38</v>
      </c>
      <c r="C11" s="49">
        <f>'Avg Week Kasese-Pondwe'!C11+'Avg Week Pondwe-Kasese'!C11</f>
        <v>4.6666666666666661</v>
      </c>
      <c r="D11" s="49">
        <f>'Avg Week Kasese-Pondwe'!D11+'Avg Week Pondwe-Kasese'!D11</f>
        <v>0</v>
      </c>
      <c r="E11" s="49">
        <f>'Avg Week Kasese-Pondwe'!E11+'Avg Week Pondwe-Kasese'!E11</f>
        <v>0</v>
      </c>
      <c r="F11" s="49">
        <f>'Avg Week Kasese-Pondwe'!F11+'Avg Week Pondwe-Kasese'!F11</f>
        <v>2.3333333333333335</v>
      </c>
      <c r="G11" s="49">
        <f>'Avg Week Kasese-Pondwe'!G11+'Avg Week Pondwe-Kasese'!G11</f>
        <v>0</v>
      </c>
      <c r="H11" s="49">
        <f>'Avg Week Kasese-Pondwe'!H11+'Avg Week Pondwe-Kasese'!H11</f>
        <v>0.66666666666666663</v>
      </c>
      <c r="I11" s="49">
        <f>'Avg Week Kasese-Pondwe'!I11+'Avg Week Pondwe-Kasese'!I11</f>
        <v>1</v>
      </c>
      <c r="J11" s="49">
        <f>'Avg Week Kasese-Pondwe'!J11+'Avg Week Pondwe-Kasese'!J11</f>
        <v>0.66666666666666663</v>
      </c>
      <c r="K11" s="49">
        <f>'Avg Week Kasese-Pondwe'!K11+'Avg Week Pondwe-Kasese'!K11</f>
        <v>0</v>
      </c>
      <c r="L11" s="49">
        <f>'Avg Week Kasese-Pondwe'!L11+'Avg Week Pondwe-Kasese'!L11</f>
        <v>0.66666666666666663</v>
      </c>
      <c r="M11" s="49">
        <f>'Avg Week Kasese-Pondwe'!M11+'Avg Week Pondwe-Kasese'!M11</f>
        <v>107</v>
      </c>
      <c r="N11" s="49">
        <f>'Avg Week Kasese-Pondwe'!N11+'Avg Week Pondwe-Kasese'!N11</f>
        <v>0</v>
      </c>
      <c r="O11" s="15">
        <f t="shared" si="0"/>
        <v>10</v>
      </c>
      <c r="P11" s="15">
        <f t="shared" si="1"/>
        <v>117</v>
      </c>
      <c r="R11" s="1" t="s">
        <v>7</v>
      </c>
      <c r="S11" s="17">
        <f t="shared" ref="S11:AF11" si="3">SUM(C14:C17)</f>
        <v>31.333333333333332</v>
      </c>
      <c r="T11" s="17">
        <f t="shared" si="3"/>
        <v>1.9999999999999998</v>
      </c>
      <c r="U11" s="17">
        <f t="shared" si="3"/>
        <v>2</v>
      </c>
      <c r="V11" s="17">
        <f t="shared" si="3"/>
        <v>6</v>
      </c>
      <c r="W11" s="17">
        <f t="shared" si="3"/>
        <v>0.33333333333333331</v>
      </c>
      <c r="X11" s="17">
        <f t="shared" si="3"/>
        <v>3</v>
      </c>
      <c r="Y11" s="17">
        <f t="shared" si="3"/>
        <v>3.333333333333333</v>
      </c>
      <c r="Z11" s="17">
        <f t="shared" si="3"/>
        <v>4.6666666666666661</v>
      </c>
      <c r="AA11" s="17">
        <f t="shared" si="3"/>
        <v>1.3333333333333333</v>
      </c>
      <c r="AB11" s="17">
        <f t="shared" si="3"/>
        <v>2.6666666666666665</v>
      </c>
      <c r="AC11" s="17">
        <f t="shared" si="3"/>
        <v>463</v>
      </c>
      <c r="AD11" s="17">
        <f t="shared" si="3"/>
        <v>0</v>
      </c>
      <c r="AE11" s="31">
        <f t="shared" si="3"/>
        <v>56.666666666666671</v>
      </c>
      <c r="AF11" s="31">
        <f t="shared" si="3"/>
        <v>519.66666666666663</v>
      </c>
    </row>
    <row r="12" spans="2:32" ht="23.1" customHeight="1" x14ac:dyDescent="0.25">
      <c r="B12" s="23" t="s">
        <v>39</v>
      </c>
      <c r="C12" s="49">
        <f>'Avg Week Kasese-Pondwe'!C12+'Avg Week Pondwe-Kasese'!C12</f>
        <v>4</v>
      </c>
      <c r="D12" s="49">
        <f>'Avg Week Kasese-Pondwe'!D12+'Avg Week Pondwe-Kasese'!D12</f>
        <v>0.33333333333333331</v>
      </c>
      <c r="E12" s="49">
        <f>'Avg Week Kasese-Pondwe'!E12+'Avg Week Pondwe-Kasese'!E12</f>
        <v>0.33333333333333331</v>
      </c>
      <c r="F12" s="49">
        <f>'Avg Week Kasese-Pondwe'!F12+'Avg Week Pondwe-Kasese'!F12</f>
        <v>1</v>
      </c>
      <c r="G12" s="49">
        <f>'Avg Week Kasese-Pondwe'!G12+'Avg Week Pondwe-Kasese'!G12</f>
        <v>0</v>
      </c>
      <c r="H12" s="49">
        <f>'Avg Week Kasese-Pondwe'!H12+'Avg Week Pondwe-Kasese'!H12</f>
        <v>0.66666666666666663</v>
      </c>
      <c r="I12" s="49">
        <f>'Avg Week Kasese-Pondwe'!I12+'Avg Week Pondwe-Kasese'!I12</f>
        <v>0.33333333333333331</v>
      </c>
      <c r="J12" s="49">
        <f>'Avg Week Kasese-Pondwe'!J12+'Avg Week Pondwe-Kasese'!J12</f>
        <v>0.33333333333333331</v>
      </c>
      <c r="K12" s="49">
        <f>'Avg Week Kasese-Pondwe'!K12+'Avg Week Pondwe-Kasese'!K12</f>
        <v>0</v>
      </c>
      <c r="L12" s="49">
        <f>'Avg Week Kasese-Pondwe'!L12+'Avg Week Pondwe-Kasese'!L12</f>
        <v>0.66666666666666663</v>
      </c>
      <c r="M12" s="49">
        <f>'Avg Week Kasese-Pondwe'!M12+'Avg Week Pondwe-Kasese'!M12</f>
        <v>119.33333333333334</v>
      </c>
      <c r="N12" s="49">
        <f>'Avg Week Kasese-Pondwe'!N12+'Avg Week Pondwe-Kasese'!N12</f>
        <v>0</v>
      </c>
      <c r="O12" s="15">
        <f t="shared" si="0"/>
        <v>7.6666666666666661</v>
      </c>
      <c r="P12" s="15">
        <f t="shared" si="1"/>
        <v>127.00000000000001</v>
      </c>
      <c r="R12" s="1" t="s">
        <v>8</v>
      </c>
      <c r="S12" s="17">
        <f t="shared" ref="S12:AF12" si="4">SUM(C18:C21)</f>
        <v>32.333333333333329</v>
      </c>
      <c r="T12" s="17">
        <f t="shared" si="4"/>
        <v>1.6666666666666665</v>
      </c>
      <c r="U12" s="17">
        <f t="shared" si="4"/>
        <v>3.6666666666666665</v>
      </c>
      <c r="V12" s="17">
        <f t="shared" si="4"/>
        <v>5.333333333333333</v>
      </c>
      <c r="W12" s="17">
        <f t="shared" si="4"/>
        <v>0.33333333333333331</v>
      </c>
      <c r="X12" s="17">
        <f t="shared" si="4"/>
        <v>1.3333333333333333</v>
      </c>
      <c r="Y12" s="17">
        <f t="shared" si="4"/>
        <v>5</v>
      </c>
      <c r="Z12" s="17">
        <f t="shared" si="4"/>
        <v>5.333333333333333</v>
      </c>
      <c r="AA12" s="17">
        <f t="shared" si="4"/>
        <v>0.66666666666666663</v>
      </c>
      <c r="AB12" s="17">
        <f t="shared" si="4"/>
        <v>3.666666666666667</v>
      </c>
      <c r="AC12" s="17">
        <f t="shared" si="4"/>
        <v>371.33333333333331</v>
      </c>
      <c r="AD12" s="17">
        <f t="shared" si="4"/>
        <v>0</v>
      </c>
      <c r="AE12" s="31">
        <f t="shared" si="4"/>
        <v>59.333333333333336</v>
      </c>
      <c r="AF12" s="31">
        <f t="shared" si="4"/>
        <v>430.66666666666663</v>
      </c>
    </row>
    <row r="13" spans="2:32" ht="23.1" customHeight="1" x14ac:dyDescent="0.25">
      <c r="B13" s="23" t="s">
        <v>40</v>
      </c>
      <c r="C13" s="49">
        <f>'Avg Week Kasese-Pondwe'!C13+'Avg Week Pondwe-Kasese'!C13</f>
        <v>5</v>
      </c>
      <c r="D13" s="49">
        <f>'Avg Week Kasese-Pondwe'!D13+'Avg Week Pondwe-Kasese'!D13</f>
        <v>0.33333333333333331</v>
      </c>
      <c r="E13" s="49">
        <f>'Avg Week Kasese-Pondwe'!E13+'Avg Week Pondwe-Kasese'!E13</f>
        <v>0.33333333333333331</v>
      </c>
      <c r="F13" s="49">
        <f>'Avg Week Kasese-Pondwe'!F13+'Avg Week Pondwe-Kasese'!F13</f>
        <v>2.6666666666666665</v>
      </c>
      <c r="G13" s="49">
        <f>'Avg Week Kasese-Pondwe'!G13+'Avg Week Pondwe-Kasese'!G13</f>
        <v>0</v>
      </c>
      <c r="H13" s="49">
        <f>'Avg Week Kasese-Pondwe'!H13+'Avg Week Pondwe-Kasese'!H13</f>
        <v>0.33333333333333331</v>
      </c>
      <c r="I13" s="49">
        <f>'Avg Week Kasese-Pondwe'!I13+'Avg Week Pondwe-Kasese'!I13</f>
        <v>1.3333333333333333</v>
      </c>
      <c r="J13" s="49">
        <f>'Avg Week Kasese-Pondwe'!J13+'Avg Week Pondwe-Kasese'!J13</f>
        <v>2</v>
      </c>
      <c r="K13" s="49">
        <f>'Avg Week Kasese-Pondwe'!K13+'Avg Week Pondwe-Kasese'!K13</f>
        <v>0</v>
      </c>
      <c r="L13" s="49">
        <f>'Avg Week Kasese-Pondwe'!L13+'Avg Week Pondwe-Kasese'!L13</f>
        <v>0.66666666666666663</v>
      </c>
      <c r="M13" s="49">
        <f>'Avg Week Kasese-Pondwe'!M13+'Avg Week Pondwe-Kasese'!M13</f>
        <v>129.66666666666666</v>
      </c>
      <c r="N13" s="49">
        <f>'Avg Week Kasese-Pondwe'!N13+'Avg Week Pondwe-Kasese'!N13</f>
        <v>0</v>
      </c>
      <c r="O13" s="15">
        <f t="shared" si="0"/>
        <v>12.666666666666666</v>
      </c>
      <c r="P13" s="15">
        <f t="shared" si="1"/>
        <v>142.33333333333331</v>
      </c>
      <c r="R13" s="1" t="s">
        <v>9</v>
      </c>
      <c r="S13" s="17">
        <f t="shared" ref="S13:AF13" si="5">SUM(C22:C25)</f>
        <v>29.333333333333336</v>
      </c>
      <c r="T13" s="17">
        <f t="shared" si="5"/>
        <v>1.6666666666666665</v>
      </c>
      <c r="U13" s="17">
        <f t="shared" si="5"/>
        <v>3.6666666666666665</v>
      </c>
      <c r="V13" s="17">
        <f t="shared" si="5"/>
        <v>2</v>
      </c>
      <c r="W13" s="17">
        <f t="shared" si="5"/>
        <v>0</v>
      </c>
      <c r="X13" s="17">
        <f t="shared" si="5"/>
        <v>0.33333333333333331</v>
      </c>
      <c r="Y13" s="17">
        <f t="shared" si="5"/>
        <v>5.333333333333333</v>
      </c>
      <c r="Z13" s="17">
        <f t="shared" si="5"/>
        <v>3.6666666666666661</v>
      </c>
      <c r="AA13" s="17">
        <f t="shared" si="5"/>
        <v>0.33333333333333331</v>
      </c>
      <c r="AB13" s="17">
        <f t="shared" si="5"/>
        <v>3.3333333333333335</v>
      </c>
      <c r="AC13" s="17">
        <f t="shared" si="5"/>
        <v>337.66666666666669</v>
      </c>
      <c r="AD13" s="17">
        <f t="shared" si="5"/>
        <v>0</v>
      </c>
      <c r="AE13" s="31">
        <f t="shared" si="5"/>
        <v>49.666666666666671</v>
      </c>
      <c r="AF13" s="31">
        <f t="shared" si="5"/>
        <v>387.33333333333337</v>
      </c>
    </row>
    <row r="14" spans="2:32" ht="23.1" customHeight="1" x14ac:dyDescent="0.25">
      <c r="B14" s="23" t="s">
        <v>41</v>
      </c>
      <c r="C14" s="49">
        <f>'Avg Week Kasese-Pondwe'!C14+'Avg Week Pondwe-Kasese'!C14</f>
        <v>6.3333333333333339</v>
      </c>
      <c r="D14" s="49">
        <f>'Avg Week Kasese-Pondwe'!D14+'Avg Week Pondwe-Kasese'!D14</f>
        <v>0.66666666666666663</v>
      </c>
      <c r="E14" s="49">
        <f>'Avg Week Kasese-Pondwe'!E14+'Avg Week Pondwe-Kasese'!E14</f>
        <v>0.66666666666666663</v>
      </c>
      <c r="F14" s="49">
        <f>'Avg Week Kasese-Pondwe'!F14+'Avg Week Pondwe-Kasese'!F14</f>
        <v>1</v>
      </c>
      <c r="G14" s="49">
        <f>'Avg Week Kasese-Pondwe'!G14+'Avg Week Pondwe-Kasese'!G14</f>
        <v>0</v>
      </c>
      <c r="H14" s="49">
        <f>'Avg Week Kasese-Pondwe'!H14+'Avg Week Pondwe-Kasese'!H14</f>
        <v>1.3333333333333333</v>
      </c>
      <c r="I14" s="49">
        <f>'Avg Week Kasese-Pondwe'!I14+'Avg Week Pondwe-Kasese'!I14</f>
        <v>1.3333333333333333</v>
      </c>
      <c r="J14" s="49">
        <f>'Avg Week Kasese-Pondwe'!J14+'Avg Week Pondwe-Kasese'!J14</f>
        <v>0.33333333333333331</v>
      </c>
      <c r="K14" s="49">
        <f>'Avg Week Kasese-Pondwe'!K14+'Avg Week Pondwe-Kasese'!K14</f>
        <v>0.33333333333333331</v>
      </c>
      <c r="L14" s="49">
        <f>'Avg Week Kasese-Pondwe'!L14+'Avg Week Pondwe-Kasese'!L14</f>
        <v>0.33333333333333331</v>
      </c>
      <c r="M14" s="49">
        <f>'Avg Week Kasese-Pondwe'!M14+'Avg Week Pondwe-Kasese'!M14</f>
        <v>147.33333333333331</v>
      </c>
      <c r="N14" s="49">
        <f>'Avg Week Kasese-Pondwe'!N14+'Avg Week Pondwe-Kasese'!N14</f>
        <v>0</v>
      </c>
      <c r="O14" s="15">
        <f t="shared" si="0"/>
        <v>12.333333333333337</v>
      </c>
      <c r="P14" s="15">
        <f t="shared" si="1"/>
        <v>159.66666666666666</v>
      </c>
      <c r="R14" s="1" t="s">
        <v>10</v>
      </c>
      <c r="S14" s="17">
        <f t="shared" ref="S14:AF14" si="6">SUM(C26:C29)</f>
        <v>47</v>
      </c>
      <c r="T14" s="17">
        <f t="shared" si="6"/>
        <v>2.333333333333333</v>
      </c>
      <c r="U14" s="17">
        <f t="shared" si="6"/>
        <v>2.3333333333333335</v>
      </c>
      <c r="V14" s="17">
        <f t="shared" si="6"/>
        <v>3.666666666666667</v>
      </c>
      <c r="W14" s="17">
        <f t="shared" si="6"/>
        <v>0.66666666666666663</v>
      </c>
      <c r="X14" s="17">
        <f t="shared" si="6"/>
        <v>2.333333333333333</v>
      </c>
      <c r="Y14" s="17">
        <f t="shared" si="6"/>
        <v>5.6666666666666661</v>
      </c>
      <c r="Z14" s="17">
        <f t="shared" si="6"/>
        <v>4</v>
      </c>
      <c r="AA14" s="17">
        <f t="shared" si="6"/>
        <v>1.3333333333333333</v>
      </c>
      <c r="AB14" s="17">
        <f t="shared" si="6"/>
        <v>3.3333333333333335</v>
      </c>
      <c r="AC14" s="17">
        <f t="shared" si="6"/>
        <v>451</v>
      </c>
      <c r="AD14" s="17">
        <f t="shared" si="6"/>
        <v>0</v>
      </c>
      <c r="AE14" s="31">
        <f t="shared" si="6"/>
        <v>72.666666666666671</v>
      </c>
      <c r="AF14" s="31">
        <f t="shared" si="6"/>
        <v>523.66666666666663</v>
      </c>
    </row>
    <row r="15" spans="2:32" ht="23.1" customHeight="1" x14ac:dyDescent="0.25">
      <c r="B15" s="23" t="s">
        <v>42</v>
      </c>
      <c r="C15" s="49">
        <f>'Avg Week Kasese-Pondwe'!C15+'Avg Week Pondwe-Kasese'!C15</f>
        <v>8.6666666666666661</v>
      </c>
      <c r="D15" s="49">
        <f>'Avg Week Kasese-Pondwe'!D15+'Avg Week Pondwe-Kasese'!D15</f>
        <v>0.33333333333333331</v>
      </c>
      <c r="E15" s="49">
        <f>'Avg Week Kasese-Pondwe'!E15+'Avg Week Pondwe-Kasese'!E15</f>
        <v>0</v>
      </c>
      <c r="F15" s="49">
        <f>'Avg Week Kasese-Pondwe'!F15+'Avg Week Pondwe-Kasese'!F15</f>
        <v>2</v>
      </c>
      <c r="G15" s="49">
        <f>'Avg Week Kasese-Pondwe'!G15+'Avg Week Pondwe-Kasese'!G15</f>
        <v>0</v>
      </c>
      <c r="H15" s="49">
        <f>'Avg Week Kasese-Pondwe'!H15+'Avg Week Pondwe-Kasese'!H15</f>
        <v>0.66666666666666663</v>
      </c>
      <c r="I15" s="49">
        <f>'Avg Week Kasese-Pondwe'!I15+'Avg Week Pondwe-Kasese'!I15</f>
        <v>1.3333333333333333</v>
      </c>
      <c r="J15" s="49">
        <f>'Avg Week Kasese-Pondwe'!J15+'Avg Week Pondwe-Kasese'!J15</f>
        <v>1.6666666666666667</v>
      </c>
      <c r="K15" s="49">
        <f>'Avg Week Kasese-Pondwe'!K15+'Avg Week Pondwe-Kasese'!K15</f>
        <v>0</v>
      </c>
      <c r="L15" s="49">
        <f>'Avg Week Kasese-Pondwe'!L15+'Avg Week Pondwe-Kasese'!L15</f>
        <v>0.66666666666666663</v>
      </c>
      <c r="M15" s="49">
        <f>'Avg Week Kasese-Pondwe'!M15+'Avg Week Pondwe-Kasese'!M15</f>
        <v>110.66666666666666</v>
      </c>
      <c r="N15" s="49">
        <f>'Avg Week Kasese-Pondwe'!N15+'Avg Week Pondwe-Kasese'!N15</f>
        <v>0</v>
      </c>
      <c r="O15" s="15">
        <f t="shared" si="0"/>
        <v>15.333333333333332</v>
      </c>
      <c r="P15" s="15">
        <f t="shared" si="1"/>
        <v>125.99999999999999</v>
      </c>
      <c r="R15" s="1" t="s">
        <v>11</v>
      </c>
      <c r="S15" s="17">
        <f t="shared" ref="S15:AF15" si="7">SUM(C30:C33)</f>
        <v>37</v>
      </c>
      <c r="T15" s="17">
        <f t="shared" si="7"/>
        <v>2.333333333333333</v>
      </c>
      <c r="U15" s="17">
        <f t="shared" si="7"/>
        <v>3.6666666666666665</v>
      </c>
      <c r="V15" s="17">
        <f t="shared" si="7"/>
        <v>5.6666666666666661</v>
      </c>
      <c r="W15" s="17">
        <f t="shared" si="7"/>
        <v>0.33333333333333331</v>
      </c>
      <c r="X15" s="17">
        <f t="shared" si="7"/>
        <v>1.3333333333333333</v>
      </c>
      <c r="Y15" s="17">
        <f t="shared" si="7"/>
        <v>5.6666666666666661</v>
      </c>
      <c r="Z15" s="17">
        <f t="shared" si="7"/>
        <v>4.6666666666666661</v>
      </c>
      <c r="AA15" s="17">
        <f t="shared" si="7"/>
        <v>2</v>
      </c>
      <c r="AB15" s="17">
        <f t="shared" si="7"/>
        <v>2</v>
      </c>
      <c r="AC15" s="17">
        <f t="shared" si="7"/>
        <v>383.33333333333337</v>
      </c>
      <c r="AD15" s="17">
        <f t="shared" si="7"/>
        <v>0</v>
      </c>
      <c r="AE15" s="31">
        <f t="shared" si="7"/>
        <v>64.666666666666671</v>
      </c>
      <c r="AF15" s="31">
        <f t="shared" si="7"/>
        <v>448.00000000000006</v>
      </c>
    </row>
    <row r="16" spans="2:32" ht="23.1" customHeight="1" x14ac:dyDescent="0.25">
      <c r="B16" s="23" t="s">
        <v>43</v>
      </c>
      <c r="C16" s="49">
        <f>'Avg Week Kasese-Pondwe'!C16+'Avg Week Pondwe-Kasese'!C16</f>
        <v>7.6666666666666661</v>
      </c>
      <c r="D16" s="49">
        <f>'Avg Week Kasese-Pondwe'!D16+'Avg Week Pondwe-Kasese'!D16</f>
        <v>0.66666666666666663</v>
      </c>
      <c r="E16" s="49">
        <f>'Avg Week Kasese-Pondwe'!E16+'Avg Week Pondwe-Kasese'!E16</f>
        <v>0.33333333333333331</v>
      </c>
      <c r="F16" s="49">
        <f>'Avg Week Kasese-Pondwe'!F16+'Avg Week Pondwe-Kasese'!F16</f>
        <v>1</v>
      </c>
      <c r="G16" s="49">
        <f>'Avg Week Kasese-Pondwe'!G16+'Avg Week Pondwe-Kasese'!G16</f>
        <v>0.33333333333333331</v>
      </c>
      <c r="H16" s="49">
        <f>'Avg Week Kasese-Pondwe'!H16+'Avg Week Pondwe-Kasese'!H16</f>
        <v>0.33333333333333331</v>
      </c>
      <c r="I16" s="49">
        <f>'Avg Week Kasese-Pondwe'!I16+'Avg Week Pondwe-Kasese'!I16</f>
        <v>0.66666666666666663</v>
      </c>
      <c r="J16" s="49">
        <f>'Avg Week Kasese-Pondwe'!J16+'Avg Week Pondwe-Kasese'!J16</f>
        <v>1.6666666666666665</v>
      </c>
      <c r="K16" s="49">
        <f>'Avg Week Kasese-Pondwe'!K16+'Avg Week Pondwe-Kasese'!K16</f>
        <v>0</v>
      </c>
      <c r="L16" s="49">
        <f>'Avg Week Kasese-Pondwe'!L16+'Avg Week Pondwe-Kasese'!L16</f>
        <v>1</v>
      </c>
      <c r="M16" s="49">
        <f>'Avg Week Kasese-Pondwe'!M16+'Avg Week Pondwe-Kasese'!M16</f>
        <v>113</v>
      </c>
      <c r="N16" s="49">
        <f>'Avg Week Kasese-Pondwe'!N16+'Avg Week Pondwe-Kasese'!N16</f>
        <v>0</v>
      </c>
      <c r="O16" s="15">
        <f t="shared" si="0"/>
        <v>13.666666666666666</v>
      </c>
      <c r="P16" s="15">
        <f t="shared" si="1"/>
        <v>126.66666666666667</v>
      </c>
      <c r="R16" s="1" t="s">
        <v>12</v>
      </c>
      <c r="S16" s="17">
        <f t="shared" ref="S16:AF16" si="8">SUM(C34:C37)</f>
        <v>38.666666666666664</v>
      </c>
      <c r="T16" s="17">
        <f t="shared" si="8"/>
        <v>4.333333333333333</v>
      </c>
      <c r="U16" s="17">
        <f t="shared" si="8"/>
        <v>3.333333333333333</v>
      </c>
      <c r="V16" s="17">
        <f t="shared" si="8"/>
        <v>6.333333333333333</v>
      </c>
      <c r="W16" s="17">
        <f t="shared" si="8"/>
        <v>0</v>
      </c>
      <c r="X16" s="17">
        <f t="shared" si="8"/>
        <v>1.3333333333333333</v>
      </c>
      <c r="Y16" s="17">
        <f t="shared" si="8"/>
        <v>5.333333333333333</v>
      </c>
      <c r="Z16" s="17">
        <f t="shared" si="8"/>
        <v>4.333333333333333</v>
      </c>
      <c r="AA16" s="17">
        <f t="shared" si="8"/>
        <v>0.66666666666666663</v>
      </c>
      <c r="AB16" s="17">
        <f t="shared" si="8"/>
        <v>4.333333333333333</v>
      </c>
      <c r="AC16" s="17">
        <f t="shared" si="8"/>
        <v>445</v>
      </c>
      <c r="AD16" s="17">
        <f t="shared" si="8"/>
        <v>0</v>
      </c>
      <c r="AE16" s="31">
        <f t="shared" si="8"/>
        <v>68.666666666666671</v>
      </c>
      <c r="AF16" s="31">
        <f t="shared" si="8"/>
        <v>513.66666666666674</v>
      </c>
    </row>
    <row r="17" spans="2:32" ht="23.1" customHeight="1" x14ac:dyDescent="0.25">
      <c r="B17" s="23" t="s">
        <v>44</v>
      </c>
      <c r="C17" s="49">
        <f>'Avg Week Kasese-Pondwe'!C17+'Avg Week Pondwe-Kasese'!C17</f>
        <v>8.6666666666666679</v>
      </c>
      <c r="D17" s="49">
        <f>'Avg Week Kasese-Pondwe'!D17+'Avg Week Pondwe-Kasese'!D17</f>
        <v>0.33333333333333331</v>
      </c>
      <c r="E17" s="49">
        <f>'Avg Week Kasese-Pondwe'!E17+'Avg Week Pondwe-Kasese'!E17</f>
        <v>1</v>
      </c>
      <c r="F17" s="49">
        <f>'Avg Week Kasese-Pondwe'!F17+'Avg Week Pondwe-Kasese'!F17</f>
        <v>2</v>
      </c>
      <c r="G17" s="49">
        <f>'Avg Week Kasese-Pondwe'!G17+'Avg Week Pondwe-Kasese'!G17</f>
        <v>0</v>
      </c>
      <c r="H17" s="49">
        <f>'Avg Week Kasese-Pondwe'!H17+'Avg Week Pondwe-Kasese'!H17</f>
        <v>0.66666666666666663</v>
      </c>
      <c r="I17" s="49">
        <f>'Avg Week Kasese-Pondwe'!I17+'Avg Week Pondwe-Kasese'!I17</f>
        <v>0</v>
      </c>
      <c r="J17" s="49">
        <f>'Avg Week Kasese-Pondwe'!J17+'Avg Week Pondwe-Kasese'!J17</f>
        <v>1</v>
      </c>
      <c r="K17" s="49">
        <f>'Avg Week Kasese-Pondwe'!K17+'Avg Week Pondwe-Kasese'!K17</f>
        <v>1</v>
      </c>
      <c r="L17" s="49">
        <f>'Avg Week Kasese-Pondwe'!L17+'Avg Week Pondwe-Kasese'!L17</f>
        <v>0.66666666666666663</v>
      </c>
      <c r="M17" s="49">
        <f>'Avg Week Kasese-Pondwe'!M17+'Avg Week Pondwe-Kasese'!M17</f>
        <v>92</v>
      </c>
      <c r="N17" s="49">
        <f>'Avg Week Kasese-Pondwe'!N17+'Avg Week Pondwe-Kasese'!N17</f>
        <v>0</v>
      </c>
      <c r="O17" s="15">
        <f t="shared" si="0"/>
        <v>15.333333333333334</v>
      </c>
      <c r="P17" s="15">
        <f t="shared" si="1"/>
        <v>107.33333333333333</v>
      </c>
      <c r="R17" s="1" t="s">
        <v>13</v>
      </c>
      <c r="S17" s="17">
        <f t="shared" ref="S17:AF17" si="9">SUM(C38:C41)</f>
        <v>33</v>
      </c>
      <c r="T17" s="17">
        <f t="shared" si="9"/>
        <v>2.6666666666666665</v>
      </c>
      <c r="U17" s="17">
        <f t="shared" si="9"/>
        <v>2</v>
      </c>
      <c r="V17" s="17">
        <f t="shared" si="9"/>
        <v>6.6666666666666661</v>
      </c>
      <c r="W17" s="17">
        <f t="shared" si="9"/>
        <v>0.33333333333333331</v>
      </c>
      <c r="X17" s="17">
        <f t="shared" si="9"/>
        <v>1.6666666666666665</v>
      </c>
      <c r="Y17" s="17">
        <f t="shared" si="9"/>
        <v>4.6666666666666661</v>
      </c>
      <c r="Z17" s="17">
        <f t="shared" si="9"/>
        <v>3</v>
      </c>
      <c r="AA17" s="17">
        <f t="shared" si="9"/>
        <v>1.3333333333333333</v>
      </c>
      <c r="AB17" s="17">
        <f t="shared" si="9"/>
        <v>6.666666666666667</v>
      </c>
      <c r="AC17" s="17">
        <f t="shared" si="9"/>
        <v>474.66666666666663</v>
      </c>
      <c r="AD17" s="17">
        <f t="shared" si="9"/>
        <v>0</v>
      </c>
      <c r="AE17" s="31">
        <f t="shared" si="9"/>
        <v>62</v>
      </c>
      <c r="AF17" s="31">
        <f t="shared" si="9"/>
        <v>536.66666666666674</v>
      </c>
    </row>
    <row r="18" spans="2:32" ht="23.1" customHeight="1" x14ac:dyDescent="0.25">
      <c r="B18" s="23" t="s">
        <v>45</v>
      </c>
      <c r="C18" s="49">
        <f>'Avg Week Kasese-Pondwe'!C18+'Avg Week Pondwe-Kasese'!C18</f>
        <v>6.6666666666666661</v>
      </c>
      <c r="D18" s="49">
        <f>'Avg Week Kasese-Pondwe'!D18+'Avg Week Pondwe-Kasese'!D18</f>
        <v>0</v>
      </c>
      <c r="E18" s="49">
        <f>'Avg Week Kasese-Pondwe'!E18+'Avg Week Pondwe-Kasese'!E18</f>
        <v>1.3333333333333333</v>
      </c>
      <c r="F18" s="49">
        <f>'Avg Week Kasese-Pondwe'!F18+'Avg Week Pondwe-Kasese'!F18</f>
        <v>1.6666666666666667</v>
      </c>
      <c r="G18" s="49">
        <f>'Avg Week Kasese-Pondwe'!G18+'Avg Week Pondwe-Kasese'!G18</f>
        <v>0</v>
      </c>
      <c r="H18" s="49">
        <f>'Avg Week Kasese-Pondwe'!H18+'Avg Week Pondwe-Kasese'!H18</f>
        <v>0</v>
      </c>
      <c r="I18" s="49">
        <f>'Avg Week Kasese-Pondwe'!I18+'Avg Week Pondwe-Kasese'!I18</f>
        <v>1.6666666666666665</v>
      </c>
      <c r="J18" s="49">
        <f>'Avg Week Kasese-Pondwe'!J18+'Avg Week Pondwe-Kasese'!J18</f>
        <v>1</v>
      </c>
      <c r="K18" s="49">
        <f>'Avg Week Kasese-Pondwe'!K18+'Avg Week Pondwe-Kasese'!K18</f>
        <v>0.33333333333333331</v>
      </c>
      <c r="L18" s="49">
        <f>'Avg Week Kasese-Pondwe'!L18+'Avg Week Pondwe-Kasese'!L18</f>
        <v>0.33333333333333331</v>
      </c>
      <c r="M18" s="49">
        <f>'Avg Week Kasese-Pondwe'!M18+'Avg Week Pondwe-Kasese'!M18</f>
        <v>92.666666666666657</v>
      </c>
      <c r="N18" s="49">
        <f>'Avg Week Kasese-Pondwe'!N18+'Avg Week Pondwe-Kasese'!N18</f>
        <v>0</v>
      </c>
      <c r="O18" s="15">
        <f t="shared" si="0"/>
        <v>13</v>
      </c>
      <c r="P18" s="15">
        <f t="shared" si="1"/>
        <v>105.66666666666666</v>
      </c>
      <c r="R18" s="1" t="s">
        <v>14</v>
      </c>
      <c r="S18" s="17">
        <f t="shared" ref="S18:AF18" si="10">SUM(C42:C45)</f>
        <v>39.666666666666664</v>
      </c>
      <c r="T18" s="17">
        <f t="shared" si="10"/>
        <v>4.666666666666667</v>
      </c>
      <c r="U18" s="17">
        <f t="shared" si="10"/>
        <v>2.6666666666666665</v>
      </c>
      <c r="V18" s="17">
        <f t="shared" si="10"/>
        <v>10</v>
      </c>
      <c r="W18" s="17">
        <f t="shared" si="10"/>
        <v>0</v>
      </c>
      <c r="X18" s="17">
        <f t="shared" si="10"/>
        <v>0.66666666666666663</v>
      </c>
      <c r="Y18" s="17">
        <f t="shared" si="10"/>
        <v>5.6666666666666661</v>
      </c>
      <c r="Z18" s="17">
        <f t="shared" si="10"/>
        <v>4</v>
      </c>
      <c r="AA18" s="17">
        <f t="shared" si="10"/>
        <v>0.66666666666666663</v>
      </c>
      <c r="AB18" s="17">
        <f t="shared" si="10"/>
        <v>5.6666666666666661</v>
      </c>
      <c r="AC18" s="17">
        <f t="shared" si="10"/>
        <v>503.66666666666663</v>
      </c>
      <c r="AD18" s="17">
        <f t="shared" si="10"/>
        <v>0</v>
      </c>
      <c r="AE18" s="31">
        <f t="shared" si="10"/>
        <v>73.666666666666657</v>
      </c>
      <c r="AF18" s="31">
        <f t="shared" si="10"/>
        <v>577.33333333333337</v>
      </c>
    </row>
    <row r="19" spans="2:32" ht="23.1" customHeight="1" x14ac:dyDescent="0.25">
      <c r="B19" s="23" t="s">
        <v>46</v>
      </c>
      <c r="C19" s="49">
        <f>'Avg Week Kasese-Pondwe'!C19+'Avg Week Pondwe-Kasese'!C19</f>
        <v>10</v>
      </c>
      <c r="D19" s="49">
        <f>'Avg Week Kasese-Pondwe'!D19+'Avg Week Pondwe-Kasese'!D19</f>
        <v>0.66666666666666663</v>
      </c>
      <c r="E19" s="49">
        <f>'Avg Week Kasese-Pondwe'!E19+'Avg Week Pondwe-Kasese'!E19</f>
        <v>0.66666666666666663</v>
      </c>
      <c r="F19" s="49">
        <f>'Avg Week Kasese-Pondwe'!F19+'Avg Week Pondwe-Kasese'!F19</f>
        <v>1.6666666666666665</v>
      </c>
      <c r="G19" s="49">
        <f>'Avg Week Kasese-Pondwe'!G19+'Avg Week Pondwe-Kasese'!G19</f>
        <v>0</v>
      </c>
      <c r="H19" s="49">
        <f>'Avg Week Kasese-Pondwe'!H19+'Avg Week Pondwe-Kasese'!H19</f>
        <v>0</v>
      </c>
      <c r="I19" s="49">
        <f>'Avg Week Kasese-Pondwe'!I19+'Avg Week Pondwe-Kasese'!I19</f>
        <v>1</v>
      </c>
      <c r="J19" s="49">
        <f>'Avg Week Kasese-Pondwe'!J19+'Avg Week Pondwe-Kasese'!J19</f>
        <v>2</v>
      </c>
      <c r="K19" s="49">
        <f>'Avg Week Kasese-Pondwe'!K19+'Avg Week Pondwe-Kasese'!K19</f>
        <v>0</v>
      </c>
      <c r="L19" s="49">
        <f>'Avg Week Kasese-Pondwe'!L19+'Avg Week Pondwe-Kasese'!L19</f>
        <v>0</v>
      </c>
      <c r="M19" s="49">
        <f>'Avg Week Kasese-Pondwe'!M19+'Avg Week Pondwe-Kasese'!M19</f>
        <v>85</v>
      </c>
      <c r="N19" s="49">
        <f>'Avg Week Kasese-Pondwe'!N19+'Avg Week Pondwe-Kasese'!N19</f>
        <v>0</v>
      </c>
      <c r="O19" s="15">
        <f t="shared" si="0"/>
        <v>15.999999999999998</v>
      </c>
      <c r="P19" s="15">
        <f t="shared" si="1"/>
        <v>101</v>
      </c>
      <c r="R19" s="1" t="s">
        <v>15</v>
      </c>
      <c r="S19" s="17">
        <f t="shared" ref="S19:AF19" si="11">SUM(C46:C49)</f>
        <v>52.333333333333336</v>
      </c>
      <c r="T19" s="17">
        <f t="shared" si="11"/>
        <v>3.6666666666666665</v>
      </c>
      <c r="U19" s="17">
        <f t="shared" si="11"/>
        <v>4</v>
      </c>
      <c r="V19" s="17">
        <f t="shared" si="11"/>
        <v>8.6666666666666661</v>
      </c>
      <c r="W19" s="17">
        <f t="shared" si="11"/>
        <v>0</v>
      </c>
      <c r="X19" s="17">
        <f t="shared" si="11"/>
        <v>1.6666666666666665</v>
      </c>
      <c r="Y19" s="17">
        <f t="shared" si="11"/>
        <v>6.3333333333333339</v>
      </c>
      <c r="Z19" s="17">
        <f t="shared" si="11"/>
        <v>4</v>
      </c>
      <c r="AA19" s="17">
        <f t="shared" si="11"/>
        <v>0.66666666666666663</v>
      </c>
      <c r="AB19" s="17">
        <f t="shared" si="11"/>
        <v>6.666666666666667</v>
      </c>
      <c r="AC19" s="17">
        <f t="shared" si="11"/>
        <v>536.33333333333326</v>
      </c>
      <c r="AD19" s="17">
        <f t="shared" si="11"/>
        <v>0</v>
      </c>
      <c r="AE19" s="31">
        <f t="shared" si="11"/>
        <v>88</v>
      </c>
      <c r="AF19" s="31">
        <f t="shared" si="11"/>
        <v>624.33333333333326</v>
      </c>
    </row>
    <row r="20" spans="2:32" ht="23.1" customHeight="1" x14ac:dyDescent="0.25">
      <c r="B20" s="23" t="s">
        <v>47</v>
      </c>
      <c r="C20" s="49">
        <f>'Avg Week Kasese-Pondwe'!C20+'Avg Week Pondwe-Kasese'!C20</f>
        <v>6.6666666666666661</v>
      </c>
      <c r="D20" s="49">
        <f>'Avg Week Kasese-Pondwe'!D20+'Avg Week Pondwe-Kasese'!D20</f>
        <v>0.66666666666666663</v>
      </c>
      <c r="E20" s="49">
        <f>'Avg Week Kasese-Pondwe'!E20+'Avg Week Pondwe-Kasese'!E20</f>
        <v>1</v>
      </c>
      <c r="F20" s="49">
        <f>'Avg Week Kasese-Pondwe'!F20+'Avg Week Pondwe-Kasese'!F20</f>
        <v>1.3333333333333333</v>
      </c>
      <c r="G20" s="49">
        <f>'Avg Week Kasese-Pondwe'!G20+'Avg Week Pondwe-Kasese'!G20</f>
        <v>0</v>
      </c>
      <c r="H20" s="49">
        <f>'Avg Week Kasese-Pondwe'!H20+'Avg Week Pondwe-Kasese'!H20</f>
        <v>0.33333333333333331</v>
      </c>
      <c r="I20" s="49">
        <f>'Avg Week Kasese-Pondwe'!I20+'Avg Week Pondwe-Kasese'!I20</f>
        <v>1</v>
      </c>
      <c r="J20" s="49">
        <f>'Avg Week Kasese-Pondwe'!J20+'Avg Week Pondwe-Kasese'!J20</f>
        <v>0.66666666666666663</v>
      </c>
      <c r="K20" s="49">
        <f>'Avg Week Kasese-Pondwe'!K20+'Avg Week Pondwe-Kasese'!K20</f>
        <v>0.33333333333333331</v>
      </c>
      <c r="L20" s="49">
        <f>'Avg Week Kasese-Pondwe'!L20+'Avg Week Pondwe-Kasese'!L20</f>
        <v>2.3333333333333335</v>
      </c>
      <c r="M20" s="49">
        <f>'Avg Week Kasese-Pondwe'!M20+'Avg Week Pondwe-Kasese'!M20</f>
        <v>91.333333333333343</v>
      </c>
      <c r="N20" s="49">
        <f>'Avg Week Kasese-Pondwe'!N20+'Avg Week Pondwe-Kasese'!N20</f>
        <v>0</v>
      </c>
      <c r="O20" s="15">
        <f t="shared" si="0"/>
        <v>14.333333333333334</v>
      </c>
      <c r="P20" s="15">
        <f t="shared" si="1"/>
        <v>105.66666666666667</v>
      </c>
      <c r="R20" s="1" t="s">
        <v>16</v>
      </c>
      <c r="S20" s="17">
        <f t="shared" ref="S20:AF20" si="12">SUM(C50:C53)</f>
        <v>47.666666666666664</v>
      </c>
      <c r="T20" s="17">
        <f t="shared" si="12"/>
        <v>3.9999999999999996</v>
      </c>
      <c r="U20" s="17">
        <f t="shared" si="12"/>
        <v>1.3333333333333333</v>
      </c>
      <c r="V20" s="17">
        <f t="shared" si="12"/>
        <v>7.6666666666666661</v>
      </c>
      <c r="W20" s="17">
        <f t="shared" si="12"/>
        <v>0.33333333333333331</v>
      </c>
      <c r="X20" s="17">
        <f t="shared" si="12"/>
        <v>1</v>
      </c>
      <c r="Y20" s="17">
        <f t="shared" si="12"/>
        <v>4.6666666666666661</v>
      </c>
      <c r="Z20" s="17">
        <f t="shared" si="12"/>
        <v>1.3333333333333333</v>
      </c>
      <c r="AA20" s="17">
        <f t="shared" si="12"/>
        <v>1</v>
      </c>
      <c r="AB20" s="17">
        <f t="shared" si="12"/>
        <v>5</v>
      </c>
      <c r="AC20" s="17">
        <f t="shared" si="12"/>
        <v>428.33333333333337</v>
      </c>
      <c r="AD20" s="17">
        <f t="shared" si="12"/>
        <v>0</v>
      </c>
      <c r="AE20" s="31">
        <f t="shared" si="12"/>
        <v>74</v>
      </c>
      <c r="AF20" s="31">
        <f t="shared" si="12"/>
        <v>502.33333333333337</v>
      </c>
    </row>
    <row r="21" spans="2:32" ht="23.1" customHeight="1" x14ac:dyDescent="0.25">
      <c r="B21" s="23" t="s">
        <v>48</v>
      </c>
      <c r="C21" s="49">
        <f>'Avg Week Kasese-Pondwe'!C21+'Avg Week Pondwe-Kasese'!C21</f>
        <v>9</v>
      </c>
      <c r="D21" s="49">
        <f>'Avg Week Kasese-Pondwe'!D21+'Avg Week Pondwe-Kasese'!D21</f>
        <v>0.33333333333333331</v>
      </c>
      <c r="E21" s="49">
        <f>'Avg Week Kasese-Pondwe'!E21+'Avg Week Pondwe-Kasese'!E21</f>
        <v>0.66666666666666663</v>
      </c>
      <c r="F21" s="49">
        <f>'Avg Week Kasese-Pondwe'!F21+'Avg Week Pondwe-Kasese'!F21</f>
        <v>0.66666666666666663</v>
      </c>
      <c r="G21" s="49">
        <f>'Avg Week Kasese-Pondwe'!G21+'Avg Week Pondwe-Kasese'!G21</f>
        <v>0.33333333333333331</v>
      </c>
      <c r="H21" s="49">
        <f>'Avg Week Kasese-Pondwe'!H21+'Avg Week Pondwe-Kasese'!H21</f>
        <v>1</v>
      </c>
      <c r="I21" s="49">
        <f>'Avg Week Kasese-Pondwe'!I21+'Avg Week Pondwe-Kasese'!I21</f>
        <v>1.3333333333333333</v>
      </c>
      <c r="J21" s="49">
        <f>'Avg Week Kasese-Pondwe'!J21+'Avg Week Pondwe-Kasese'!J21</f>
        <v>1.6666666666666665</v>
      </c>
      <c r="K21" s="49">
        <f>'Avg Week Kasese-Pondwe'!K21+'Avg Week Pondwe-Kasese'!K21</f>
        <v>0</v>
      </c>
      <c r="L21" s="49">
        <f>'Avg Week Kasese-Pondwe'!L21+'Avg Week Pondwe-Kasese'!L21</f>
        <v>1</v>
      </c>
      <c r="M21" s="49">
        <f>'Avg Week Kasese-Pondwe'!M21+'Avg Week Pondwe-Kasese'!M21</f>
        <v>102.33333333333333</v>
      </c>
      <c r="N21" s="49">
        <f>'Avg Week Kasese-Pondwe'!N21+'Avg Week Pondwe-Kasese'!N21</f>
        <v>0</v>
      </c>
      <c r="O21" s="15">
        <f t="shared" si="0"/>
        <v>16</v>
      </c>
      <c r="P21" s="15">
        <f t="shared" si="1"/>
        <v>118.33333333333333</v>
      </c>
      <c r="R21" s="36" t="s">
        <v>20</v>
      </c>
      <c r="S21" s="34">
        <f t="shared" ref="S21:AF21" si="13">SUM(C54:C57)</f>
        <v>44.333333333333329</v>
      </c>
      <c r="T21" s="17">
        <f t="shared" si="13"/>
        <v>2.333333333333333</v>
      </c>
      <c r="U21" s="17">
        <f t="shared" si="13"/>
        <v>1</v>
      </c>
      <c r="V21" s="17">
        <f t="shared" si="13"/>
        <v>6.6666666666666661</v>
      </c>
      <c r="W21" s="17">
        <f t="shared" si="13"/>
        <v>0</v>
      </c>
      <c r="X21" s="17">
        <f t="shared" si="13"/>
        <v>0.66666666666666663</v>
      </c>
      <c r="Y21" s="17">
        <f t="shared" si="13"/>
        <v>5.6666666666666661</v>
      </c>
      <c r="Z21" s="17">
        <f t="shared" si="13"/>
        <v>3.333333333333333</v>
      </c>
      <c r="AA21" s="17">
        <f t="shared" si="13"/>
        <v>1</v>
      </c>
      <c r="AB21" s="17">
        <f t="shared" si="13"/>
        <v>3.9999999999999996</v>
      </c>
      <c r="AC21" s="17">
        <f t="shared" si="13"/>
        <v>583</v>
      </c>
      <c r="AD21" s="17">
        <f t="shared" si="13"/>
        <v>0</v>
      </c>
      <c r="AE21" s="31">
        <f t="shared" si="13"/>
        <v>68.999999999999986</v>
      </c>
      <c r="AF21" s="31">
        <f t="shared" si="13"/>
        <v>652</v>
      </c>
    </row>
    <row r="22" spans="2:32" ht="23.1" customHeight="1" x14ac:dyDescent="0.25">
      <c r="B22" s="23" t="s">
        <v>49</v>
      </c>
      <c r="C22" s="49">
        <f>'Avg Week Kasese-Pondwe'!C22+'Avg Week Pondwe-Kasese'!C22</f>
        <v>7</v>
      </c>
      <c r="D22" s="49">
        <f>'Avg Week Kasese-Pondwe'!D22+'Avg Week Pondwe-Kasese'!D22</f>
        <v>0.66666666666666663</v>
      </c>
      <c r="E22" s="49">
        <f>'Avg Week Kasese-Pondwe'!E22+'Avg Week Pondwe-Kasese'!E22</f>
        <v>1</v>
      </c>
      <c r="F22" s="49">
        <f>'Avg Week Kasese-Pondwe'!F22+'Avg Week Pondwe-Kasese'!F22</f>
        <v>0.66666666666666663</v>
      </c>
      <c r="G22" s="49">
        <f>'Avg Week Kasese-Pondwe'!G22+'Avg Week Pondwe-Kasese'!G22</f>
        <v>0</v>
      </c>
      <c r="H22" s="49">
        <f>'Avg Week Kasese-Pondwe'!H22+'Avg Week Pondwe-Kasese'!H22</f>
        <v>0.33333333333333331</v>
      </c>
      <c r="I22" s="49">
        <f>'Avg Week Kasese-Pondwe'!I22+'Avg Week Pondwe-Kasese'!I22</f>
        <v>0.33333333333333331</v>
      </c>
      <c r="J22" s="49">
        <f>'Avg Week Kasese-Pondwe'!J22+'Avg Week Pondwe-Kasese'!J22</f>
        <v>0.66666666666666663</v>
      </c>
      <c r="K22" s="49">
        <f>'Avg Week Kasese-Pondwe'!K22+'Avg Week Pondwe-Kasese'!K22</f>
        <v>0</v>
      </c>
      <c r="L22" s="49">
        <f>'Avg Week Kasese-Pondwe'!L22+'Avg Week Pondwe-Kasese'!L22</f>
        <v>0</v>
      </c>
      <c r="M22" s="49">
        <f>'Avg Week Kasese-Pondwe'!M22+'Avg Week Pondwe-Kasese'!M22</f>
        <v>86</v>
      </c>
      <c r="N22" s="49">
        <f>'Avg Week Kasese-Pondwe'!N22+'Avg Week Pondwe-Kasese'!N22</f>
        <v>0</v>
      </c>
      <c r="O22" s="15">
        <f t="shared" si="0"/>
        <v>10.666666666666668</v>
      </c>
      <c r="P22" s="15">
        <f t="shared" si="1"/>
        <v>96.666666666666671</v>
      </c>
      <c r="R22" s="1" t="s">
        <v>146</v>
      </c>
      <c r="S22" s="34">
        <f>SUM(C58:C61)</f>
        <v>51</v>
      </c>
      <c r="T22" s="34">
        <f t="shared" ref="T22:AF22" si="14">SUM(D58:D61)</f>
        <v>4</v>
      </c>
      <c r="U22" s="34">
        <f t="shared" si="14"/>
        <v>1</v>
      </c>
      <c r="V22" s="34">
        <f t="shared" si="14"/>
        <v>11</v>
      </c>
      <c r="W22" s="34">
        <f t="shared" si="14"/>
        <v>1</v>
      </c>
      <c r="X22" s="34">
        <f t="shared" si="14"/>
        <v>3</v>
      </c>
      <c r="Y22" s="34">
        <f t="shared" si="14"/>
        <v>6</v>
      </c>
      <c r="Z22" s="34">
        <f t="shared" si="14"/>
        <v>4</v>
      </c>
      <c r="AA22" s="34">
        <f t="shared" si="14"/>
        <v>1</v>
      </c>
      <c r="AB22" s="34">
        <f t="shared" si="14"/>
        <v>4</v>
      </c>
      <c r="AC22" s="34">
        <f t="shared" si="14"/>
        <v>566</v>
      </c>
      <c r="AD22" s="34">
        <f t="shared" si="14"/>
        <v>0</v>
      </c>
      <c r="AE22" s="31">
        <f t="shared" si="14"/>
        <v>86</v>
      </c>
      <c r="AF22" s="31">
        <f t="shared" si="14"/>
        <v>652</v>
      </c>
    </row>
    <row r="23" spans="2:32" ht="23.1" customHeight="1" x14ac:dyDescent="0.25">
      <c r="B23" s="23" t="s">
        <v>50</v>
      </c>
      <c r="C23" s="49">
        <f>'Avg Week Kasese-Pondwe'!C23+'Avg Week Pondwe-Kasese'!C23</f>
        <v>9</v>
      </c>
      <c r="D23" s="49">
        <f>'Avg Week Kasese-Pondwe'!D23+'Avg Week Pondwe-Kasese'!D23</f>
        <v>0</v>
      </c>
      <c r="E23" s="49">
        <f>'Avg Week Kasese-Pondwe'!E23+'Avg Week Pondwe-Kasese'!E23</f>
        <v>0.66666666666666663</v>
      </c>
      <c r="F23" s="49">
        <f>'Avg Week Kasese-Pondwe'!F23+'Avg Week Pondwe-Kasese'!F23</f>
        <v>0.33333333333333331</v>
      </c>
      <c r="G23" s="49">
        <f>'Avg Week Kasese-Pondwe'!G23+'Avg Week Pondwe-Kasese'!G23</f>
        <v>0</v>
      </c>
      <c r="H23" s="49">
        <f>'Avg Week Kasese-Pondwe'!H23+'Avg Week Pondwe-Kasese'!H23</f>
        <v>0</v>
      </c>
      <c r="I23" s="49">
        <f>'Avg Week Kasese-Pondwe'!I23+'Avg Week Pondwe-Kasese'!I23</f>
        <v>1.3333333333333333</v>
      </c>
      <c r="J23" s="49">
        <f>'Avg Week Kasese-Pondwe'!J23+'Avg Week Pondwe-Kasese'!J23</f>
        <v>1.6666666666666665</v>
      </c>
      <c r="K23" s="49">
        <f>'Avg Week Kasese-Pondwe'!K23+'Avg Week Pondwe-Kasese'!K23</f>
        <v>0</v>
      </c>
      <c r="L23" s="49">
        <f>'Avg Week Kasese-Pondwe'!L23+'Avg Week Pondwe-Kasese'!L23</f>
        <v>0</v>
      </c>
      <c r="M23" s="49">
        <f>'Avg Week Kasese-Pondwe'!M23+'Avg Week Pondwe-Kasese'!M23</f>
        <v>85.333333333333343</v>
      </c>
      <c r="N23" s="49">
        <f>'Avg Week Kasese-Pondwe'!N23+'Avg Week Pondwe-Kasese'!N23</f>
        <v>0</v>
      </c>
      <c r="O23" s="15">
        <f t="shared" si="0"/>
        <v>13</v>
      </c>
      <c r="P23" s="15">
        <f t="shared" si="1"/>
        <v>98.333333333333343</v>
      </c>
      <c r="R23" s="1" t="s">
        <v>147</v>
      </c>
      <c r="S23" s="34">
        <f>SUM(C62:C65)</f>
        <v>45</v>
      </c>
      <c r="T23" s="34">
        <f t="shared" ref="T23:AF23" si="15">SUM(D62:D65)</f>
        <v>1</v>
      </c>
      <c r="U23" s="34">
        <f t="shared" si="15"/>
        <v>0</v>
      </c>
      <c r="V23" s="34">
        <f t="shared" si="15"/>
        <v>6</v>
      </c>
      <c r="W23" s="34">
        <f t="shared" si="15"/>
        <v>0</v>
      </c>
      <c r="X23" s="34">
        <f t="shared" si="15"/>
        <v>6</v>
      </c>
      <c r="Y23" s="34">
        <f t="shared" si="15"/>
        <v>4</v>
      </c>
      <c r="Z23" s="34">
        <f t="shared" si="15"/>
        <v>4</v>
      </c>
      <c r="AA23" s="34">
        <f t="shared" si="15"/>
        <v>1</v>
      </c>
      <c r="AB23" s="34">
        <f t="shared" si="15"/>
        <v>2</v>
      </c>
      <c r="AC23" s="34">
        <f t="shared" si="15"/>
        <v>294</v>
      </c>
      <c r="AD23" s="34">
        <f t="shared" si="15"/>
        <v>0</v>
      </c>
      <c r="AE23" s="31">
        <f t="shared" si="15"/>
        <v>69</v>
      </c>
      <c r="AF23" s="31">
        <f t="shared" si="15"/>
        <v>363</v>
      </c>
    </row>
    <row r="24" spans="2:32" ht="23.1" customHeight="1" x14ac:dyDescent="0.25">
      <c r="B24" s="23" t="s">
        <v>51</v>
      </c>
      <c r="C24" s="49">
        <f>'Avg Week Kasese-Pondwe'!C24+'Avg Week Pondwe-Kasese'!C24</f>
        <v>5.3333333333333339</v>
      </c>
      <c r="D24" s="49">
        <f>'Avg Week Kasese-Pondwe'!D24+'Avg Week Pondwe-Kasese'!D24</f>
        <v>1</v>
      </c>
      <c r="E24" s="49">
        <f>'Avg Week Kasese-Pondwe'!E24+'Avg Week Pondwe-Kasese'!E24</f>
        <v>1</v>
      </c>
      <c r="F24" s="49">
        <f>'Avg Week Kasese-Pondwe'!F24+'Avg Week Pondwe-Kasese'!F24</f>
        <v>1</v>
      </c>
      <c r="G24" s="49">
        <f>'Avg Week Kasese-Pondwe'!G24+'Avg Week Pondwe-Kasese'!G24</f>
        <v>0</v>
      </c>
      <c r="H24" s="49">
        <f>'Avg Week Kasese-Pondwe'!H24+'Avg Week Pondwe-Kasese'!H24</f>
        <v>0</v>
      </c>
      <c r="I24" s="49">
        <f>'Avg Week Kasese-Pondwe'!I24+'Avg Week Pondwe-Kasese'!I24</f>
        <v>1.6666666666666667</v>
      </c>
      <c r="J24" s="49">
        <f>'Avg Week Kasese-Pondwe'!J24+'Avg Week Pondwe-Kasese'!J24</f>
        <v>0.66666666666666663</v>
      </c>
      <c r="K24" s="49">
        <f>'Avg Week Kasese-Pondwe'!K24+'Avg Week Pondwe-Kasese'!K24</f>
        <v>0</v>
      </c>
      <c r="L24" s="49">
        <f>'Avg Week Kasese-Pondwe'!L24+'Avg Week Pondwe-Kasese'!L24</f>
        <v>1</v>
      </c>
      <c r="M24" s="49">
        <f>'Avg Week Kasese-Pondwe'!M24+'Avg Week Pondwe-Kasese'!M24</f>
        <v>89</v>
      </c>
      <c r="N24" s="49">
        <f>'Avg Week Kasese-Pondwe'!N24+'Avg Week Pondwe-Kasese'!N24</f>
        <v>0</v>
      </c>
      <c r="O24" s="15">
        <f t="shared" si="0"/>
        <v>11.666666666666666</v>
      </c>
      <c r="P24" s="15">
        <f t="shared" si="1"/>
        <v>100.66666666666667</v>
      </c>
      <c r="R24" s="1" t="s">
        <v>148</v>
      </c>
      <c r="S24" s="34">
        <f>SUM(C66:C69)</f>
        <v>24</v>
      </c>
      <c r="T24" s="34">
        <f t="shared" ref="T24:AF24" si="16">SUM(D66:D69)</f>
        <v>0</v>
      </c>
      <c r="U24" s="34">
        <f t="shared" si="16"/>
        <v>2</v>
      </c>
      <c r="V24" s="34">
        <f t="shared" si="16"/>
        <v>1</v>
      </c>
      <c r="W24" s="34">
        <f t="shared" si="16"/>
        <v>0</v>
      </c>
      <c r="X24" s="34">
        <f t="shared" si="16"/>
        <v>1</v>
      </c>
      <c r="Y24" s="34">
        <f t="shared" si="16"/>
        <v>1</v>
      </c>
      <c r="Z24" s="34">
        <f t="shared" si="16"/>
        <v>0</v>
      </c>
      <c r="AA24" s="34">
        <f t="shared" si="16"/>
        <v>0</v>
      </c>
      <c r="AB24" s="34">
        <f t="shared" si="16"/>
        <v>1</v>
      </c>
      <c r="AC24" s="34">
        <f t="shared" si="16"/>
        <v>77</v>
      </c>
      <c r="AD24" s="34">
        <f t="shared" si="16"/>
        <v>0</v>
      </c>
      <c r="AE24" s="31">
        <f t="shared" si="16"/>
        <v>30</v>
      </c>
      <c r="AF24" s="31">
        <f t="shared" si="16"/>
        <v>107</v>
      </c>
    </row>
    <row r="25" spans="2:32" ht="23.1" customHeight="1" x14ac:dyDescent="0.25">
      <c r="B25" s="23" t="s">
        <v>52</v>
      </c>
      <c r="C25" s="49">
        <f>'Avg Week Kasese-Pondwe'!C25+'Avg Week Pondwe-Kasese'!C25</f>
        <v>8</v>
      </c>
      <c r="D25" s="49">
        <f>'Avg Week Kasese-Pondwe'!D25+'Avg Week Pondwe-Kasese'!D25</f>
        <v>0</v>
      </c>
      <c r="E25" s="49">
        <f>'Avg Week Kasese-Pondwe'!E25+'Avg Week Pondwe-Kasese'!E25</f>
        <v>1</v>
      </c>
      <c r="F25" s="49">
        <f>'Avg Week Kasese-Pondwe'!F25+'Avg Week Pondwe-Kasese'!F25</f>
        <v>0</v>
      </c>
      <c r="G25" s="49">
        <f>'Avg Week Kasese-Pondwe'!G25+'Avg Week Pondwe-Kasese'!G25</f>
        <v>0</v>
      </c>
      <c r="H25" s="49">
        <f>'Avg Week Kasese-Pondwe'!H25+'Avg Week Pondwe-Kasese'!H25</f>
        <v>0</v>
      </c>
      <c r="I25" s="49">
        <f>'Avg Week Kasese-Pondwe'!I25+'Avg Week Pondwe-Kasese'!I25</f>
        <v>2</v>
      </c>
      <c r="J25" s="49">
        <f>'Avg Week Kasese-Pondwe'!J25+'Avg Week Pondwe-Kasese'!J25</f>
        <v>0.66666666666666663</v>
      </c>
      <c r="K25" s="49">
        <f>'Avg Week Kasese-Pondwe'!K25+'Avg Week Pondwe-Kasese'!K25</f>
        <v>0.33333333333333331</v>
      </c>
      <c r="L25" s="49">
        <f>'Avg Week Kasese-Pondwe'!L25+'Avg Week Pondwe-Kasese'!L25</f>
        <v>2.3333333333333335</v>
      </c>
      <c r="M25" s="49">
        <f>'Avg Week Kasese-Pondwe'!M25+'Avg Week Pondwe-Kasese'!M25</f>
        <v>77.333333333333329</v>
      </c>
      <c r="N25" s="49">
        <f>'Avg Week Kasese-Pondwe'!N25+'Avg Week Pondwe-Kasese'!N25</f>
        <v>0</v>
      </c>
      <c r="O25" s="15">
        <f t="shared" si="0"/>
        <v>14.333333333333334</v>
      </c>
      <c r="P25" s="15">
        <f t="shared" si="1"/>
        <v>91.666666666666657</v>
      </c>
      <c r="R25" s="1" t="s">
        <v>149</v>
      </c>
      <c r="S25" s="34">
        <f>SUM(C70:C73)</f>
        <v>16</v>
      </c>
      <c r="T25" s="34">
        <f t="shared" ref="T25:AF25" si="17">SUM(D70:D73)</f>
        <v>1</v>
      </c>
      <c r="U25" s="34">
        <f t="shared" si="17"/>
        <v>1</v>
      </c>
      <c r="V25" s="34">
        <f t="shared" si="17"/>
        <v>1</v>
      </c>
      <c r="W25" s="34">
        <f t="shared" si="17"/>
        <v>0</v>
      </c>
      <c r="X25" s="34">
        <f t="shared" si="17"/>
        <v>1</v>
      </c>
      <c r="Y25" s="34">
        <f t="shared" si="17"/>
        <v>0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50</v>
      </c>
      <c r="AD25" s="34">
        <f t="shared" si="17"/>
        <v>0</v>
      </c>
      <c r="AE25" s="31">
        <f t="shared" si="17"/>
        <v>20</v>
      </c>
      <c r="AF25" s="31">
        <f t="shared" si="17"/>
        <v>70</v>
      </c>
    </row>
    <row r="26" spans="2:32" ht="23.1" customHeight="1" x14ac:dyDescent="0.25">
      <c r="B26" s="23" t="s">
        <v>53</v>
      </c>
      <c r="C26" s="49">
        <f>'Avg Week Kasese-Pondwe'!C26+'Avg Week Pondwe-Kasese'!C26</f>
        <v>10.333333333333332</v>
      </c>
      <c r="D26" s="49">
        <f>'Avg Week Kasese-Pondwe'!D26+'Avg Week Pondwe-Kasese'!D26</f>
        <v>1</v>
      </c>
      <c r="E26" s="49">
        <f>'Avg Week Kasese-Pondwe'!E26+'Avg Week Pondwe-Kasese'!E26</f>
        <v>0.33333333333333331</v>
      </c>
      <c r="F26" s="49">
        <f>'Avg Week Kasese-Pondwe'!F26+'Avg Week Pondwe-Kasese'!F26</f>
        <v>1</v>
      </c>
      <c r="G26" s="49">
        <f>'Avg Week Kasese-Pondwe'!G26+'Avg Week Pondwe-Kasese'!G26</f>
        <v>0.66666666666666663</v>
      </c>
      <c r="H26" s="49">
        <f>'Avg Week Kasese-Pondwe'!H26+'Avg Week Pondwe-Kasese'!H26</f>
        <v>0.33333333333333331</v>
      </c>
      <c r="I26" s="49">
        <f>'Avg Week Kasese-Pondwe'!I26+'Avg Week Pondwe-Kasese'!I26</f>
        <v>1.6666666666666667</v>
      </c>
      <c r="J26" s="49">
        <f>'Avg Week Kasese-Pondwe'!J26+'Avg Week Pondwe-Kasese'!J26</f>
        <v>1.6666666666666667</v>
      </c>
      <c r="K26" s="49">
        <f>'Avg Week Kasese-Pondwe'!K26+'Avg Week Pondwe-Kasese'!K26</f>
        <v>0.33333333333333331</v>
      </c>
      <c r="L26" s="49">
        <f>'Avg Week Kasese-Pondwe'!L26+'Avg Week Pondwe-Kasese'!L26</f>
        <v>0.66666666666666663</v>
      </c>
      <c r="M26" s="49">
        <f>'Avg Week Kasese-Pondwe'!M26+'Avg Week Pondwe-Kasese'!M26</f>
        <v>101.33333333333334</v>
      </c>
      <c r="N26" s="49">
        <f>'Avg Week Kasese-Pondwe'!N26+'Avg Week Pondwe-Kasese'!N26</f>
        <v>0</v>
      </c>
      <c r="O26" s="15">
        <f t="shared" si="0"/>
        <v>18</v>
      </c>
      <c r="P26" s="15">
        <f t="shared" si="1"/>
        <v>119.33333333333334</v>
      </c>
      <c r="R26" s="1" t="s">
        <v>150</v>
      </c>
      <c r="S26" s="34">
        <f>SUM(C74:C77)</f>
        <v>3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20</v>
      </c>
      <c r="AD26" s="34">
        <f t="shared" si="18"/>
        <v>0</v>
      </c>
      <c r="AE26" s="31">
        <f t="shared" si="18"/>
        <v>3</v>
      </c>
      <c r="AF26" s="31">
        <f t="shared" si="18"/>
        <v>23</v>
      </c>
    </row>
    <row r="27" spans="2:32" ht="23.1" customHeight="1" x14ac:dyDescent="0.25">
      <c r="B27" s="23" t="s">
        <v>54</v>
      </c>
      <c r="C27" s="49">
        <f>'Avg Week Kasese-Pondwe'!C27+'Avg Week Pondwe-Kasese'!C27</f>
        <v>10.666666666666666</v>
      </c>
      <c r="D27" s="49">
        <f>'Avg Week Kasese-Pondwe'!D27+'Avg Week Pondwe-Kasese'!D27</f>
        <v>0.66666666666666663</v>
      </c>
      <c r="E27" s="49">
        <f>'Avg Week Kasese-Pondwe'!E27+'Avg Week Pondwe-Kasese'!E27</f>
        <v>0.33333333333333331</v>
      </c>
      <c r="F27" s="49">
        <f>'Avg Week Kasese-Pondwe'!F27+'Avg Week Pondwe-Kasese'!F27</f>
        <v>1</v>
      </c>
      <c r="G27" s="49">
        <f>'Avg Week Kasese-Pondwe'!G27+'Avg Week Pondwe-Kasese'!G27</f>
        <v>0</v>
      </c>
      <c r="H27" s="49">
        <f>'Avg Week Kasese-Pondwe'!H27+'Avg Week Pondwe-Kasese'!H27</f>
        <v>0.33333333333333331</v>
      </c>
      <c r="I27" s="49">
        <f>'Avg Week Kasese-Pondwe'!I27+'Avg Week Pondwe-Kasese'!I27</f>
        <v>1.3333333333333333</v>
      </c>
      <c r="J27" s="49">
        <f>'Avg Week Kasese-Pondwe'!J27+'Avg Week Pondwe-Kasese'!J27</f>
        <v>1.3333333333333333</v>
      </c>
      <c r="K27" s="49">
        <f>'Avg Week Kasese-Pondwe'!K27+'Avg Week Pondwe-Kasese'!K27</f>
        <v>0.33333333333333331</v>
      </c>
      <c r="L27" s="49">
        <f>'Avg Week Kasese-Pondwe'!L27+'Avg Week Pondwe-Kasese'!L27</f>
        <v>0.66666666666666663</v>
      </c>
      <c r="M27" s="49">
        <f>'Avg Week Kasese-Pondwe'!M27+'Avg Week Pondwe-Kasese'!M27</f>
        <v>135.66666666666666</v>
      </c>
      <c r="N27" s="49">
        <f>'Avg Week Kasese-Pondwe'!N27+'Avg Week Pondwe-Kasese'!N27</f>
        <v>0</v>
      </c>
      <c r="O27" s="15">
        <f t="shared" si="0"/>
        <v>16.666666666666668</v>
      </c>
      <c r="P27" s="15">
        <f t="shared" si="1"/>
        <v>152.33333333333331</v>
      </c>
      <c r="R27" s="1" t="s">
        <v>151</v>
      </c>
      <c r="S27" s="34">
        <f>SUM(C78:C81)</f>
        <v>5</v>
      </c>
      <c r="T27" s="34">
        <f t="shared" ref="T27:AF27" si="19">SUM(D78:D81)</f>
        <v>3</v>
      </c>
      <c r="U27" s="34">
        <f t="shared" si="19"/>
        <v>1</v>
      </c>
      <c r="V27" s="34">
        <f t="shared" si="19"/>
        <v>1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20</v>
      </c>
      <c r="AD27" s="34">
        <f t="shared" si="19"/>
        <v>0</v>
      </c>
      <c r="AE27" s="31">
        <f t="shared" si="19"/>
        <v>10</v>
      </c>
      <c r="AF27" s="31">
        <f t="shared" si="19"/>
        <v>30</v>
      </c>
    </row>
    <row r="28" spans="2:32" ht="23.1" customHeight="1" x14ac:dyDescent="0.25">
      <c r="B28" s="23" t="s">
        <v>55</v>
      </c>
      <c r="C28" s="49">
        <f>'Avg Week Kasese-Pondwe'!C28+'Avg Week Pondwe-Kasese'!C28</f>
        <v>14</v>
      </c>
      <c r="D28" s="49">
        <f>'Avg Week Kasese-Pondwe'!D28+'Avg Week Pondwe-Kasese'!D28</f>
        <v>0</v>
      </c>
      <c r="E28" s="49">
        <f>'Avg Week Kasese-Pondwe'!E28+'Avg Week Pondwe-Kasese'!E28</f>
        <v>1.3333333333333333</v>
      </c>
      <c r="F28" s="49">
        <f>'Avg Week Kasese-Pondwe'!F28+'Avg Week Pondwe-Kasese'!F28</f>
        <v>0</v>
      </c>
      <c r="G28" s="49">
        <f>'Avg Week Kasese-Pondwe'!G28+'Avg Week Pondwe-Kasese'!G28</f>
        <v>0</v>
      </c>
      <c r="H28" s="49">
        <f>'Avg Week Kasese-Pondwe'!H28+'Avg Week Pondwe-Kasese'!H28</f>
        <v>1.6666666666666665</v>
      </c>
      <c r="I28" s="49">
        <f>'Avg Week Kasese-Pondwe'!I28+'Avg Week Pondwe-Kasese'!I28</f>
        <v>1</v>
      </c>
      <c r="J28" s="49">
        <f>'Avg Week Kasese-Pondwe'!J28+'Avg Week Pondwe-Kasese'!J28</f>
        <v>1</v>
      </c>
      <c r="K28" s="49">
        <f>'Avg Week Kasese-Pondwe'!K28+'Avg Week Pondwe-Kasese'!K28</f>
        <v>0.66666666666666663</v>
      </c>
      <c r="L28" s="49">
        <f>'Avg Week Kasese-Pondwe'!L28+'Avg Week Pondwe-Kasese'!L28</f>
        <v>1.6666666666666665</v>
      </c>
      <c r="M28" s="49">
        <f>'Avg Week Kasese-Pondwe'!M28+'Avg Week Pondwe-Kasese'!M28</f>
        <v>121</v>
      </c>
      <c r="N28" s="49">
        <f>'Avg Week Kasese-Pondwe'!N28+'Avg Week Pondwe-Kasese'!N28</f>
        <v>0</v>
      </c>
      <c r="O28" s="15">
        <f t="shared" si="0"/>
        <v>21.333333333333336</v>
      </c>
      <c r="P28" s="15">
        <f t="shared" si="1"/>
        <v>142.33333333333334</v>
      </c>
      <c r="R28" s="1" t="s">
        <v>152</v>
      </c>
      <c r="S28" s="34">
        <f>SUM(C82:C85)</f>
        <v>2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10</v>
      </c>
      <c r="AD28" s="34">
        <f t="shared" si="20"/>
        <v>0</v>
      </c>
      <c r="AE28" s="31">
        <f t="shared" si="20"/>
        <v>2</v>
      </c>
      <c r="AF28" s="31">
        <f t="shared" si="20"/>
        <v>12</v>
      </c>
    </row>
    <row r="29" spans="2:32" ht="23.1" customHeight="1" x14ac:dyDescent="0.25">
      <c r="B29" s="23" t="s">
        <v>56</v>
      </c>
      <c r="C29" s="49">
        <f>'Avg Week Kasese-Pondwe'!C29+'Avg Week Pondwe-Kasese'!C29</f>
        <v>12</v>
      </c>
      <c r="D29" s="49">
        <f>'Avg Week Kasese-Pondwe'!D29+'Avg Week Pondwe-Kasese'!D29</f>
        <v>0.66666666666666663</v>
      </c>
      <c r="E29" s="49">
        <f>'Avg Week Kasese-Pondwe'!E29+'Avg Week Pondwe-Kasese'!E29</f>
        <v>0.33333333333333331</v>
      </c>
      <c r="F29" s="49">
        <f>'Avg Week Kasese-Pondwe'!F29+'Avg Week Pondwe-Kasese'!F29</f>
        <v>1.6666666666666667</v>
      </c>
      <c r="G29" s="49">
        <f>'Avg Week Kasese-Pondwe'!G29+'Avg Week Pondwe-Kasese'!G29</f>
        <v>0</v>
      </c>
      <c r="H29" s="49">
        <f>'Avg Week Kasese-Pondwe'!H29+'Avg Week Pondwe-Kasese'!H29</f>
        <v>0</v>
      </c>
      <c r="I29" s="49">
        <f>'Avg Week Kasese-Pondwe'!I29+'Avg Week Pondwe-Kasese'!I29</f>
        <v>1.6666666666666665</v>
      </c>
      <c r="J29" s="49">
        <f>'Avg Week Kasese-Pondwe'!J29+'Avg Week Pondwe-Kasese'!J29</f>
        <v>0</v>
      </c>
      <c r="K29" s="49">
        <f>'Avg Week Kasese-Pondwe'!K29+'Avg Week Pondwe-Kasese'!K29</f>
        <v>0</v>
      </c>
      <c r="L29" s="49">
        <f>'Avg Week Kasese-Pondwe'!L29+'Avg Week Pondwe-Kasese'!L29</f>
        <v>0.33333333333333331</v>
      </c>
      <c r="M29" s="49">
        <f>'Avg Week Kasese-Pondwe'!M29+'Avg Week Pondwe-Kasese'!M29</f>
        <v>93</v>
      </c>
      <c r="N29" s="49">
        <f>'Avg Week Kasese-Pondwe'!N29+'Avg Week Pondwe-Kasese'!N29</f>
        <v>0</v>
      </c>
      <c r="O29" s="15">
        <f t="shared" si="0"/>
        <v>16.666666666666664</v>
      </c>
      <c r="P29" s="15">
        <f t="shared" si="1"/>
        <v>109.66666666666666</v>
      </c>
      <c r="R29" s="1" t="s">
        <v>153</v>
      </c>
      <c r="S29" s="34">
        <f>SUM(C86:C89)</f>
        <v>4</v>
      </c>
      <c r="T29" s="34">
        <f t="shared" ref="T29:AF29" si="21">SUM(D86:D89)</f>
        <v>1</v>
      </c>
      <c r="U29" s="34">
        <f t="shared" si="21"/>
        <v>1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8</v>
      </c>
      <c r="AD29" s="34">
        <f t="shared" si="21"/>
        <v>0</v>
      </c>
      <c r="AE29" s="31">
        <f t="shared" si="21"/>
        <v>7</v>
      </c>
      <c r="AF29" s="31">
        <f t="shared" si="21"/>
        <v>15</v>
      </c>
    </row>
    <row r="30" spans="2:32" ht="23.1" customHeight="1" x14ac:dyDescent="0.25">
      <c r="B30" s="23" t="s">
        <v>57</v>
      </c>
      <c r="C30" s="49">
        <f>'Avg Week Kasese-Pondwe'!C30+'Avg Week Pondwe-Kasese'!C30</f>
        <v>8.6666666666666661</v>
      </c>
      <c r="D30" s="49">
        <f>'Avg Week Kasese-Pondwe'!D30+'Avg Week Pondwe-Kasese'!D30</f>
        <v>0</v>
      </c>
      <c r="E30" s="49">
        <f>'Avg Week Kasese-Pondwe'!E30+'Avg Week Pondwe-Kasese'!E30</f>
        <v>0.66666666666666663</v>
      </c>
      <c r="F30" s="49">
        <f>'Avg Week Kasese-Pondwe'!F30+'Avg Week Pondwe-Kasese'!F30</f>
        <v>1.6666666666666665</v>
      </c>
      <c r="G30" s="49">
        <f>'Avg Week Kasese-Pondwe'!G30+'Avg Week Pondwe-Kasese'!G30</f>
        <v>0.33333333333333331</v>
      </c>
      <c r="H30" s="49">
        <f>'Avg Week Kasese-Pondwe'!H30+'Avg Week Pondwe-Kasese'!H30</f>
        <v>0</v>
      </c>
      <c r="I30" s="49">
        <f>'Avg Week Kasese-Pondwe'!I30+'Avg Week Pondwe-Kasese'!I30</f>
        <v>1</v>
      </c>
      <c r="J30" s="49">
        <f>'Avg Week Kasese-Pondwe'!J30+'Avg Week Pondwe-Kasese'!J30</f>
        <v>0.66666666666666663</v>
      </c>
      <c r="K30" s="49">
        <f>'Avg Week Kasese-Pondwe'!K30+'Avg Week Pondwe-Kasese'!K30</f>
        <v>0.33333333333333331</v>
      </c>
      <c r="L30" s="49">
        <f>'Avg Week Kasese-Pondwe'!L30+'Avg Week Pondwe-Kasese'!L30</f>
        <v>0</v>
      </c>
      <c r="M30" s="49">
        <f>'Avg Week Kasese-Pondwe'!M30+'Avg Week Pondwe-Kasese'!M30</f>
        <v>93</v>
      </c>
      <c r="N30" s="49">
        <f>'Avg Week Kasese-Pondwe'!N30+'Avg Week Pondwe-Kasese'!N30</f>
        <v>0</v>
      </c>
      <c r="O30" s="15">
        <f t="shared" si="0"/>
        <v>13.333333333333332</v>
      </c>
      <c r="P30" s="15">
        <f t="shared" si="1"/>
        <v>106.33333333333333</v>
      </c>
      <c r="R30" s="1" t="s">
        <v>154</v>
      </c>
      <c r="S30" s="34">
        <f>SUM(C90:C93)</f>
        <v>2</v>
      </c>
      <c r="T30" s="34">
        <f t="shared" ref="T30:AF30" si="22">SUM(D90:D93)</f>
        <v>0</v>
      </c>
      <c r="U30" s="34">
        <f t="shared" si="22"/>
        <v>1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39</v>
      </c>
      <c r="AD30" s="34">
        <f t="shared" si="22"/>
        <v>0</v>
      </c>
      <c r="AE30" s="31">
        <f t="shared" si="22"/>
        <v>3</v>
      </c>
      <c r="AF30" s="31">
        <f t="shared" si="22"/>
        <v>42</v>
      </c>
    </row>
    <row r="31" spans="2:32" ht="23.1" customHeight="1" x14ac:dyDescent="0.25">
      <c r="B31" s="24" t="s">
        <v>58</v>
      </c>
      <c r="C31" s="49">
        <f>'Avg Week Kasese-Pondwe'!C31+'Avg Week Pondwe-Kasese'!C31</f>
        <v>8</v>
      </c>
      <c r="D31" s="49">
        <f>'Avg Week Kasese-Pondwe'!D31+'Avg Week Pondwe-Kasese'!D31</f>
        <v>1</v>
      </c>
      <c r="E31" s="49">
        <f>'Avg Week Kasese-Pondwe'!E31+'Avg Week Pondwe-Kasese'!E31</f>
        <v>1</v>
      </c>
      <c r="F31" s="49">
        <f>'Avg Week Kasese-Pondwe'!F31+'Avg Week Pondwe-Kasese'!F31</f>
        <v>1.6666666666666667</v>
      </c>
      <c r="G31" s="49">
        <f>'Avg Week Kasese-Pondwe'!G31+'Avg Week Pondwe-Kasese'!G31</f>
        <v>0</v>
      </c>
      <c r="H31" s="49">
        <f>'Avg Week Kasese-Pondwe'!H31+'Avg Week Pondwe-Kasese'!H31</f>
        <v>1</v>
      </c>
      <c r="I31" s="49">
        <f>'Avg Week Kasese-Pondwe'!I31+'Avg Week Pondwe-Kasese'!I31</f>
        <v>1.3333333333333333</v>
      </c>
      <c r="J31" s="49">
        <f>'Avg Week Kasese-Pondwe'!J31+'Avg Week Pondwe-Kasese'!J31</f>
        <v>1.6666666666666665</v>
      </c>
      <c r="K31" s="49">
        <f>'Avg Week Kasese-Pondwe'!K31+'Avg Week Pondwe-Kasese'!K31</f>
        <v>0</v>
      </c>
      <c r="L31" s="49">
        <f>'Avg Week Kasese-Pondwe'!L31+'Avg Week Pondwe-Kasese'!L31</f>
        <v>0.33333333333333331</v>
      </c>
      <c r="M31" s="49">
        <f>'Avg Week Kasese-Pondwe'!M31+'Avg Week Pondwe-Kasese'!M31</f>
        <v>110.66666666666667</v>
      </c>
      <c r="N31" s="49">
        <f>'Avg Week Kasese-Pondwe'!N31+'Avg Week Pondwe-Kasese'!N31</f>
        <v>0</v>
      </c>
      <c r="O31" s="15">
        <f t="shared" si="0"/>
        <v>16</v>
      </c>
      <c r="P31" s="15">
        <f t="shared" si="1"/>
        <v>126.66666666666667</v>
      </c>
      <c r="R31" s="1" t="s">
        <v>155</v>
      </c>
      <c r="S31" s="34">
        <f>SUM(C94:C97)</f>
        <v>2</v>
      </c>
      <c r="T31" s="34">
        <f t="shared" ref="T31:AF31" si="23">SUM(D94:D97)</f>
        <v>1</v>
      </c>
      <c r="U31" s="34">
        <f t="shared" si="23"/>
        <v>2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9</v>
      </c>
      <c r="AD31" s="34">
        <f t="shared" si="23"/>
        <v>0</v>
      </c>
      <c r="AE31" s="31">
        <f t="shared" si="23"/>
        <v>5</v>
      </c>
      <c r="AF31" s="31">
        <f t="shared" si="23"/>
        <v>14</v>
      </c>
    </row>
    <row r="32" spans="2:32" ht="23.1" customHeight="1" x14ac:dyDescent="0.25">
      <c r="B32" s="24" t="s">
        <v>59</v>
      </c>
      <c r="C32" s="49">
        <f>'Avg Week Kasese-Pondwe'!C32+'Avg Week Pondwe-Kasese'!C32</f>
        <v>11.666666666666668</v>
      </c>
      <c r="D32" s="49">
        <f>'Avg Week Kasese-Pondwe'!D32+'Avg Week Pondwe-Kasese'!D32</f>
        <v>0.66666666666666663</v>
      </c>
      <c r="E32" s="49">
        <f>'Avg Week Kasese-Pondwe'!E32+'Avg Week Pondwe-Kasese'!E32</f>
        <v>1.3333333333333333</v>
      </c>
      <c r="F32" s="49">
        <f>'Avg Week Kasese-Pondwe'!F32+'Avg Week Pondwe-Kasese'!F32</f>
        <v>0.33333333333333331</v>
      </c>
      <c r="G32" s="49">
        <f>'Avg Week Kasese-Pondwe'!G32+'Avg Week Pondwe-Kasese'!G32</f>
        <v>0</v>
      </c>
      <c r="H32" s="49">
        <f>'Avg Week Kasese-Pondwe'!H32+'Avg Week Pondwe-Kasese'!H32</f>
        <v>0.33333333333333331</v>
      </c>
      <c r="I32" s="49">
        <f>'Avg Week Kasese-Pondwe'!I32+'Avg Week Pondwe-Kasese'!I32</f>
        <v>1.3333333333333333</v>
      </c>
      <c r="J32" s="49">
        <f>'Avg Week Kasese-Pondwe'!J32+'Avg Week Pondwe-Kasese'!J32</f>
        <v>2</v>
      </c>
      <c r="K32" s="49">
        <f>'Avg Week Kasese-Pondwe'!K32+'Avg Week Pondwe-Kasese'!K32</f>
        <v>0.66666666666666663</v>
      </c>
      <c r="L32" s="49">
        <f>'Avg Week Kasese-Pondwe'!L32+'Avg Week Pondwe-Kasese'!L32</f>
        <v>0.66666666666666663</v>
      </c>
      <c r="M32" s="49">
        <f>'Avg Week Kasese-Pondwe'!M32+'Avg Week Pondwe-Kasese'!M32</f>
        <v>92.333333333333343</v>
      </c>
      <c r="N32" s="49">
        <f>'Avg Week Kasese-Pondwe'!N32+'Avg Week Pondwe-Kasese'!N32</f>
        <v>0</v>
      </c>
      <c r="O32" s="15">
        <f t="shared" si="0"/>
        <v>19.000000000000007</v>
      </c>
      <c r="P32" s="15">
        <f t="shared" si="1"/>
        <v>111.33333333333334</v>
      </c>
      <c r="R32" s="1" t="s">
        <v>156</v>
      </c>
      <c r="S32" s="34">
        <f>SUM(C98:C101)</f>
        <v>11</v>
      </c>
      <c r="T32" s="34">
        <f t="shared" ref="T32:AF32" si="24">SUM(D98:D101)</f>
        <v>0</v>
      </c>
      <c r="U32" s="34">
        <f t="shared" si="24"/>
        <v>3</v>
      </c>
      <c r="V32" s="34">
        <f t="shared" si="24"/>
        <v>4</v>
      </c>
      <c r="W32" s="34">
        <f t="shared" si="24"/>
        <v>0</v>
      </c>
      <c r="X32" s="34">
        <f t="shared" si="24"/>
        <v>0</v>
      </c>
      <c r="Y32" s="34">
        <f t="shared" si="24"/>
        <v>1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27</v>
      </c>
      <c r="AD32" s="34">
        <f t="shared" si="24"/>
        <v>0</v>
      </c>
      <c r="AE32" s="31">
        <f t="shared" si="24"/>
        <v>19</v>
      </c>
      <c r="AF32" s="31">
        <f t="shared" si="24"/>
        <v>46</v>
      </c>
    </row>
    <row r="33" spans="2:32" ht="23.1" customHeight="1" x14ac:dyDescent="0.25">
      <c r="B33" s="23" t="s">
        <v>60</v>
      </c>
      <c r="C33" s="49">
        <f>'Avg Week Kasese-Pondwe'!C33+'Avg Week Pondwe-Kasese'!C33</f>
        <v>8.6666666666666661</v>
      </c>
      <c r="D33" s="49">
        <f>'Avg Week Kasese-Pondwe'!D33+'Avg Week Pondwe-Kasese'!D33</f>
        <v>0.66666666666666663</v>
      </c>
      <c r="E33" s="49">
        <f>'Avg Week Kasese-Pondwe'!E33+'Avg Week Pondwe-Kasese'!E33</f>
        <v>0.66666666666666663</v>
      </c>
      <c r="F33" s="49">
        <f>'Avg Week Kasese-Pondwe'!F33+'Avg Week Pondwe-Kasese'!F33</f>
        <v>2</v>
      </c>
      <c r="G33" s="49">
        <f>'Avg Week Kasese-Pondwe'!G33+'Avg Week Pondwe-Kasese'!G33</f>
        <v>0</v>
      </c>
      <c r="H33" s="49">
        <f>'Avg Week Kasese-Pondwe'!H33+'Avg Week Pondwe-Kasese'!H33</f>
        <v>0</v>
      </c>
      <c r="I33" s="49">
        <f>'Avg Week Kasese-Pondwe'!I33+'Avg Week Pondwe-Kasese'!I33</f>
        <v>2</v>
      </c>
      <c r="J33" s="49">
        <f>'Avg Week Kasese-Pondwe'!J33+'Avg Week Pondwe-Kasese'!J33</f>
        <v>0.33333333333333331</v>
      </c>
      <c r="K33" s="49">
        <f>'Avg Week Kasese-Pondwe'!K33+'Avg Week Pondwe-Kasese'!K33</f>
        <v>1</v>
      </c>
      <c r="L33" s="49">
        <f>'Avg Week Kasese-Pondwe'!L33+'Avg Week Pondwe-Kasese'!L33</f>
        <v>1</v>
      </c>
      <c r="M33" s="49">
        <f>'Avg Week Kasese-Pondwe'!M33+'Avg Week Pondwe-Kasese'!M33</f>
        <v>87.333333333333343</v>
      </c>
      <c r="N33" s="49">
        <f>'Avg Week Kasese-Pondwe'!N33+'Avg Week Pondwe-Kasese'!N33</f>
        <v>0</v>
      </c>
      <c r="O33" s="15">
        <f t="shared" si="0"/>
        <v>16.333333333333332</v>
      </c>
      <c r="P33" s="15">
        <f t="shared" si="1"/>
        <v>103.66666666666667</v>
      </c>
      <c r="R33" s="1" t="s">
        <v>157</v>
      </c>
      <c r="S33" s="34">
        <f>SUM(C102:C105)</f>
        <v>13</v>
      </c>
      <c r="T33" s="34">
        <f t="shared" ref="T33:AF33" si="25">SUM(D102:D105)</f>
        <v>2</v>
      </c>
      <c r="U33" s="34">
        <f t="shared" si="25"/>
        <v>1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3</v>
      </c>
      <c r="Z33" s="34">
        <f t="shared" si="25"/>
        <v>3</v>
      </c>
      <c r="AA33" s="34">
        <f t="shared" si="25"/>
        <v>3</v>
      </c>
      <c r="AB33" s="34">
        <f t="shared" si="25"/>
        <v>1</v>
      </c>
      <c r="AC33" s="34">
        <f t="shared" si="25"/>
        <v>24</v>
      </c>
      <c r="AD33" s="34">
        <f t="shared" si="25"/>
        <v>0</v>
      </c>
      <c r="AE33" s="31">
        <f t="shared" si="25"/>
        <v>26</v>
      </c>
      <c r="AF33" s="31">
        <f t="shared" si="25"/>
        <v>50</v>
      </c>
    </row>
    <row r="34" spans="2:32" ht="23.1" customHeight="1" x14ac:dyDescent="0.25">
      <c r="B34" s="24" t="s">
        <v>61</v>
      </c>
      <c r="C34" s="49">
        <f>'Avg Week Kasese-Pondwe'!C34+'Avg Week Pondwe-Kasese'!C34</f>
        <v>8</v>
      </c>
      <c r="D34" s="49">
        <f>'Avg Week Kasese-Pondwe'!D34+'Avg Week Pondwe-Kasese'!D34</f>
        <v>1.6666666666666665</v>
      </c>
      <c r="E34" s="49">
        <f>'Avg Week Kasese-Pondwe'!E34+'Avg Week Pondwe-Kasese'!E34</f>
        <v>1</v>
      </c>
      <c r="F34" s="49">
        <f>'Avg Week Kasese-Pondwe'!F34+'Avg Week Pondwe-Kasese'!F34</f>
        <v>1.3333333333333333</v>
      </c>
      <c r="G34" s="49">
        <f>'Avg Week Kasese-Pondwe'!G34+'Avg Week Pondwe-Kasese'!G34</f>
        <v>0</v>
      </c>
      <c r="H34" s="49">
        <f>'Avg Week Kasese-Pondwe'!H34+'Avg Week Pondwe-Kasese'!H34</f>
        <v>1</v>
      </c>
      <c r="I34" s="49">
        <f>'Avg Week Kasese-Pondwe'!I34+'Avg Week Pondwe-Kasese'!I34</f>
        <v>2.3333333333333335</v>
      </c>
      <c r="J34" s="49">
        <f>'Avg Week Kasese-Pondwe'!J34+'Avg Week Pondwe-Kasese'!J34</f>
        <v>1</v>
      </c>
      <c r="K34" s="49">
        <f>'Avg Week Kasese-Pondwe'!K34+'Avg Week Pondwe-Kasese'!K34</f>
        <v>0.33333333333333331</v>
      </c>
      <c r="L34" s="49">
        <f>'Avg Week Kasese-Pondwe'!L34+'Avg Week Pondwe-Kasese'!L34</f>
        <v>1</v>
      </c>
      <c r="M34" s="49">
        <f>'Avg Week Kasese-Pondwe'!M34+'Avg Week Pondwe-Kasese'!M34</f>
        <v>107.66666666666667</v>
      </c>
      <c r="N34" s="49">
        <f>'Avg Week Kasese-Pondwe'!N34+'Avg Week Pondwe-Kasese'!N34</f>
        <v>0</v>
      </c>
      <c r="O34" s="15">
        <f t="shared" si="0"/>
        <v>17.666666666666668</v>
      </c>
      <c r="P34" s="15">
        <f t="shared" si="1"/>
        <v>125.33333333333334</v>
      </c>
      <c r="R34" s="51" t="s">
        <v>90</v>
      </c>
      <c r="S34" s="52">
        <f t="shared" ref="S34:AF34" si="26">MAX(S10:S12)</f>
        <v>32.333333333333329</v>
      </c>
      <c r="T34" s="52">
        <f t="shared" si="26"/>
        <v>1.9999999999999998</v>
      </c>
      <c r="U34" s="52">
        <f t="shared" si="26"/>
        <v>3.6666666666666665</v>
      </c>
      <c r="V34" s="52">
        <f t="shared" si="26"/>
        <v>7</v>
      </c>
      <c r="W34" s="52">
        <f t="shared" si="26"/>
        <v>0.33333333333333331</v>
      </c>
      <c r="X34" s="52">
        <f t="shared" si="26"/>
        <v>3</v>
      </c>
      <c r="Y34" s="52">
        <f t="shared" si="26"/>
        <v>5</v>
      </c>
      <c r="Z34" s="52">
        <f t="shared" si="26"/>
        <v>5.333333333333333</v>
      </c>
      <c r="AA34" s="52">
        <f t="shared" si="26"/>
        <v>1.3333333333333333</v>
      </c>
      <c r="AB34" s="52">
        <f t="shared" si="26"/>
        <v>3.666666666666667</v>
      </c>
      <c r="AC34" s="52">
        <f t="shared" si="26"/>
        <v>463</v>
      </c>
      <c r="AD34" s="52">
        <f t="shared" si="26"/>
        <v>0</v>
      </c>
      <c r="AE34" s="40">
        <f t="shared" si="26"/>
        <v>59.333333333333336</v>
      </c>
      <c r="AF34" s="40">
        <f t="shared" si="26"/>
        <v>519.66666666666663</v>
      </c>
    </row>
    <row r="35" spans="2:32" ht="23.1" customHeight="1" x14ac:dyDescent="0.25">
      <c r="B35" s="24" t="s">
        <v>62</v>
      </c>
      <c r="C35" s="49">
        <f>'Avg Week Kasese-Pondwe'!C35+'Avg Week Pondwe-Kasese'!C35</f>
        <v>10.666666666666668</v>
      </c>
      <c r="D35" s="49">
        <f>'Avg Week Kasese-Pondwe'!D35+'Avg Week Pondwe-Kasese'!D35</f>
        <v>1.6666666666666665</v>
      </c>
      <c r="E35" s="49">
        <f>'Avg Week Kasese-Pondwe'!E35+'Avg Week Pondwe-Kasese'!E35</f>
        <v>0.66666666666666663</v>
      </c>
      <c r="F35" s="49">
        <f>'Avg Week Kasese-Pondwe'!F35+'Avg Week Pondwe-Kasese'!F35</f>
        <v>1.6666666666666667</v>
      </c>
      <c r="G35" s="49">
        <f>'Avg Week Kasese-Pondwe'!G35+'Avg Week Pondwe-Kasese'!G35</f>
        <v>0</v>
      </c>
      <c r="H35" s="49">
        <f>'Avg Week Kasese-Pondwe'!H35+'Avg Week Pondwe-Kasese'!H35</f>
        <v>0</v>
      </c>
      <c r="I35" s="49">
        <f>'Avg Week Kasese-Pondwe'!I35+'Avg Week Pondwe-Kasese'!I35</f>
        <v>0.66666666666666663</v>
      </c>
      <c r="J35" s="49">
        <f>'Avg Week Kasese-Pondwe'!J35+'Avg Week Pondwe-Kasese'!J35</f>
        <v>0.66666666666666663</v>
      </c>
      <c r="K35" s="49">
        <f>'Avg Week Kasese-Pondwe'!K35+'Avg Week Pondwe-Kasese'!K35</f>
        <v>0.33333333333333331</v>
      </c>
      <c r="L35" s="49">
        <f>'Avg Week Kasese-Pondwe'!L35+'Avg Week Pondwe-Kasese'!L35</f>
        <v>0.33333333333333331</v>
      </c>
      <c r="M35" s="49">
        <f>'Avg Week Kasese-Pondwe'!M35+'Avg Week Pondwe-Kasese'!M35</f>
        <v>111.66666666666667</v>
      </c>
      <c r="N35" s="49">
        <f>'Avg Week Kasese-Pondwe'!N35+'Avg Week Pondwe-Kasese'!N35</f>
        <v>0</v>
      </c>
      <c r="O35" s="15">
        <f t="shared" si="0"/>
        <v>16.666666666666664</v>
      </c>
      <c r="P35" s="15">
        <f t="shared" si="1"/>
        <v>128.33333333333334</v>
      </c>
      <c r="R35" s="51" t="s">
        <v>91</v>
      </c>
      <c r="S35" s="52">
        <f t="shared" ref="S35:AF35" si="27">MAX(S13:S18)</f>
        <v>47</v>
      </c>
      <c r="T35" s="52">
        <f t="shared" si="27"/>
        <v>4.666666666666667</v>
      </c>
      <c r="U35" s="52">
        <f t="shared" si="27"/>
        <v>3.6666666666666665</v>
      </c>
      <c r="V35" s="52">
        <f t="shared" si="27"/>
        <v>10</v>
      </c>
      <c r="W35" s="52">
        <f t="shared" si="27"/>
        <v>0.66666666666666663</v>
      </c>
      <c r="X35" s="52">
        <f t="shared" si="27"/>
        <v>2.333333333333333</v>
      </c>
      <c r="Y35" s="52">
        <f t="shared" si="27"/>
        <v>5.6666666666666661</v>
      </c>
      <c r="Z35" s="52">
        <f t="shared" si="27"/>
        <v>4.6666666666666661</v>
      </c>
      <c r="AA35" s="52">
        <f t="shared" si="27"/>
        <v>2</v>
      </c>
      <c r="AB35" s="52">
        <f t="shared" si="27"/>
        <v>6.666666666666667</v>
      </c>
      <c r="AC35" s="52">
        <f t="shared" si="27"/>
        <v>503.66666666666663</v>
      </c>
      <c r="AD35" s="52">
        <f t="shared" si="27"/>
        <v>0</v>
      </c>
      <c r="AE35" s="40">
        <f t="shared" si="27"/>
        <v>73.666666666666657</v>
      </c>
      <c r="AF35" s="40">
        <f t="shared" si="27"/>
        <v>577.33333333333337</v>
      </c>
    </row>
    <row r="36" spans="2:32" ht="23.1" customHeight="1" x14ac:dyDescent="0.25">
      <c r="B36" s="24" t="s">
        <v>63</v>
      </c>
      <c r="C36" s="49">
        <f>'Avg Week Kasese-Pondwe'!C36+'Avg Week Pondwe-Kasese'!C36</f>
        <v>9.3333333333333321</v>
      </c>
      <c r="D36" s="49">
        <f>'Avg Week Kasese-Pondwe'!D36+'Avg Week Pondwe-Kasese'!D36</f>
        <v>0.66666666666666663</v>
      </c>
      <c r="E36" s="49">
        <f>'Avg Week Kasese-Pondwe'!E36+'Avg Week Pondwe-Kasese'!E36</f>
        <v>0.33333333333333331</v>
      </c>
      <c r="F36" s="49">
        <f>'Avg Week Kasese-Pondwe'!F36+'Avg Week Pondwe-Kasese'!F36</f>
        <v>1.3333333333333333</v>
      </c>
      <c r="G36" s="49">
        <f>'Avg Week Kasese-Pondwe'!G36+'Avg Week Pondwe-Kasese'!G36</f>
        <v>0</v>
      </c>
      <c r="H36" s="49">
        <f>'Avg Week Kasese-Pondwe'!H36+'Avg Week Pondwe-Kasese'!H36</f>
        <v>0.33333333333333331</v>
      </c>
      <c r="I36" s="49">
        <f>'Avg Week Kasese-Pondwe'!I36+'Avg Week Pondwe-Kasese'!I36</f>
        <v>1</v>
      </c>
      <c r="J36" s="49">
        <f>'Avg Week Kasese-Pondwe'!J36+'Avg Week Pondwe-Kasese'!J36</f>
        <v>2</v>
      </c>
      <c r="K36" s="49">
        <f>'Avg Week Kasese-Pondwe'!K36+'Avg Week Pondwe-Kasese'!K36</f>
        <v>0</v>
      </c>
      <c r="L36" s="49">
        <f>'Avg Week Kasese-Pondwe'!L36+'Avg Week Pondwe-Kasese'!L36</f>
        <v>1.6666666666666665</v>
      </c>
      <c r="M36" s="49">
        <f>'Avg Week Kasese-Pondwe'!M36+'Avg Week Pondwe-Kasese'!M36</f>
        <v>117.33333333333333</v>
      </c>
      <c r="N36" s="49">
        <f>'Avg Week Kasese-Pondwe'!N36+'Avg Week Pondwe-Kasese'!N36</f>
        <v>0</v>
      </c>
      <c r="O36" s="15">
        <f t="shared" si="0"/>
        <v>16.666666666666668</v>
      </c>
      <c r="P36" s="15">
        <f t="shared" si="1"/>
        <v>134</v>
      </c>
      <c r="R36" s="51" t="s">
        <v>92</v>
      </c>
      <c r="S36" s="52">
        <f t="shared" ref="S36:AF36" si="28">MAX(S19:S21)</f>
        <v>52.333333333333336</v>
      </c>
      <c r="T36" s="52">
        <f t="shared" si="28"/>
        <v>3.9999999999999996</v>
      </c>
      <c r="U36" s="52">
        <f t="shared" si="28"/>
        <v>4</v>
      </c>
      <c r="V36" s="52">
        <f t="shared" si="28"/>
        <v>8.6666666666666661</v>
      </c>
      <c r="W36" s="52">
        <f t="shared" si="28"/>
        <v>0.33333333333333331</v>
      </c>
      <c r="X36" s="52">
        <f t="shared" si="28"/>
        <v>1.6666666666666665</v>
      </c>
      <c r="Y36" s="52">
        <f t="shared" si="28"/>
        <v>6.3333333333333339</v>
      </c>
      <c r="Z36" s="52">
        <f t="shared" si="28"/>
        <v>4</v>
      </c>
      <c r="AA36" s="52">
        <f t="shared" si="28"/>
        <v>1</v>
      </c>
      <c r="AB36" s="52">
        <f t="shared" si="28"/>
        <v>6.666666666666667</v>
      </c>
      <c r="AC36" s="52">
        <f t="shared" si="28"/>
        <v>583</v>
      </c>
      <c r="AD36" s="52">
        <f t="shared" si="28"/>
        <v>0</v>
      </c>
      <c r="AE36" s="40">
        <f t="shared" si="28"/>
        <v>88</v>
      </c>
      <c r="AF36" s="40">
        <f t="shared" si="28"/>
        <v>652</v>
      </c>
    </row>
    <row r="37" spans="2:32" ht="23.1" customHeight="1" x14ac:dyDescent="0.25">
      <c r="B37" s="23" t="s">
        <v>64</v>
      </c>
      <c r="C37" s="49">
        <f>'Avg Week Kasese-Pondwe'!C37+'Avg Week Pondwe-Kasese'!C37</f>
        <v>10.666666666666666</v>
      </c>
      <c r="D37" s="49">
        <f>'Avg Week Kasese-Pondwe'!D37+'Avg Week Pondwe-Kasese'!D37</f>
        <v>0.33333333333333331</v>
      </c>
      <c r="E37" s="49">
        <f>'Avg Week Kasese-Pondwe'!E37+'Avg Week Pondwe-Kasese'!E37</f>
        <v>1.3333333333333333</v>
      </c>
      <c r="F37" s="49">
        <f>'Avg Week Kasese-Pondwe'!F37+'Avg Week Pondwe-Kasese'!F37</f>
        <v>2</v>
      </c>
      <c r="G37" s="49">
        <f>'Avg Week Kasese-Pondwe'!G37+'Avg Week Pondwe-Kasese'!G37</f>
        <v>0</v>
      </c>
      <c r="H37" s="49">
        <f>'Avg Week Kasese-Pondwe'!H37+'Avg Week Pondwe-Kasese'!H37</f>
        <v>0</v>
      </c>
      <c r="I37" s="49">
        <f>'Avg Week Kasese-Pondwe'!I37+'Avg Week Pondwe-Kasese'!I37</f>
        <v>1.3333333333333333</v>
      </c>
      <c r="J37" s="49">
        <f>'Avg Week Kasese-Pondwe'!J37+'Avg Week Pondwe-Kasese'!J37</f>
        <v>0.66666666666666663</v>
      </c>
      <c r="K37" s="49">
        <f>'Avg Week Kasese-Pondwe'!K37+'Avg Week Pondwe-Kasese'!K37</f>
        <v>0</v>
      </c>
      <c r="L37" s="49">
        <f>'Avg Week Kasese-Pondwe'!L37+'Avg Week Pondwe-Kasese'!L37</f>
        <v>1.3333333333333333</v>
      </c>
      <c r="M37" s="49">
        <f>'Avg Week Kasese-Pondwe'!M37+'Avg Week Pondwe-Kasese'!M37</f>
        <v>108.33333333333333</v>
      </c>
      <c r="N37" s="49">
        <f>'Avg Week Kasese-Pondwe'!N37+'Avg Week Pondwe-Kasese'!N37</f>
        <v>0</v>
      </c>
      <c r="O37" s="15">
        <f t="shared" si="0"/>
        <v>17.666666666666668</v>
      </c>
      <c r="P37" s="15">
        <f t="shared" si="1"/>
        <v>126</v>
      </c>
      <c r="R37" s="37" t="s">
        <v>85</v>
      </c>
      <c r="S37" s="53">
        <f t="shared" ref="S37:AF37" si="29">SUM(S10:S12)</f>
        <v>80.333333333333329</v>
      </c>
      <c r="T37" s="54">
        <f t="shared" si="29"/>
        <v>4.333333333333333</v>
      </c>
      <c r="U37" s="54">
        <f t="shared" si="29"/>
        <v>6.6666666666666661</v>
      </c>
      <c r="V37" s="54">
        <f t="shared" si="29"/>
        <v>18.333333333333332</v>
      </c>
      <c r="W37" s="54">
        <f t="shared" si="29"/>
        <v>0.66666666666666663</v>
      </c>
      <c r="X37" s="54">
        <f t="shared" si="29"/>
        <v>5.9999999999999991</v>
      </c>
      <c r="Y37" s="54">
        <f t="shared" si="29"/>
        <v>11.666666666666666</v>
      </c>
      <c r="Z37" s="54">
        <f t="shared" si="29"/>
        <v>13</v>
      </c>
      <c r="AA37" s="54">
        <f t="shared" si="29"/>
        <v>2</v>
      </c>
      <c r="AB37" s="54">
        <f t="shared" si="29"/>
        <v>8.3333333333333321</v>
      </c>
      <c r="AC37" s="54">
        <f t="shared" si="29"/>
        <v>1239.3333333333333</v>
      </c>
      <c r="AD37" s="54">
        <f t="shared" si="29"/>
        <v>0</v>
      </c>
      <c r="AE37" s="55">
        <f t="shared" si="29"/>
        <v>151.33333333333334</v>
      </c>
      <c r="AF37" s="55">
        <f t="shared" si="29"/>
        <v>1390.6666666666665</v>
      </c>
    </row>
    <row r="38" spans="2:32" ht="23.1" customHeight="1" x14ac:dyDescent="0.25">
      <c r="B38" s="24" t="s">
        <v>65</v>
      </c>
      <c r="C38" s="49">
        <f>'Avg Week Kasese-Pondwe'!C38+'Avg Week Pondwe-Kasese'!C38</f>
        <v>6.333333333333333</v>
      </c>
      <c r="D38" s="49">
        <f>'Avg Week Kasese-Pondwe'!D38+'Avg Week Pondwe-Kasese'!D38</f>
        <v>1</v>
      </c>
      <c r="E38" s="49">
        <f>'Avg Week Kasese-Pondwe'!E38+'Avg Week Pondwe-Kasese'!E38</f>
        <v>0.66666666666666663</v>
      </c>
      <c r="F38" s="49">
        <f>'Avg Week Kasese-Pondwe'!F38+'Avg Week Pondwe-Kasese'!F38</f>
        <v>1.6666666666666665</v>
      </c>
      <c r="G38" s="49">
        <f>'Avg Week Kasese-Pondwe'!G38+'Avg Week Pondwe-Kasese'!G38</f>
        <v>0</v>
      </c>
      <c r="H38" s="49">
        <f>'Avg Week Kasese-Pondwe'!H38+'Avg Week Pondwe-Kasese'!H38</f>
        <v>0</v>
      </c>
      <c r="I38" s="49">
        <f>'Avg Week Kasese-Pondwe'!I38+'Avg Week Pondwe-Kasese'!I38</f>
        <v>1.3333333333333333</v>
      </c>
      <c r="J38" s="49">
        <f>'Avg Week Kasese-Pondwe'!J38+'Avg Week Pondwe-Kasese'!J38</f>
        <v>0.33333333333333331</v>
      </c>
      <c r="K38" s="49">
        <f>'Avg Week Kasese-Pondwe'!K38+'Avg Week Pondwe-Kasese'!K38</f>
        <v>0.33333333333333331</v>
      </c>
      <c r="L38" s="49">
        <f>'Avg Week Kasese-Pondwe'!L38+'Avg Week Pondwe-Kasese'!L38</f>
        <v>0.33333333333333331</v>
      </c>
      <c r="M38" s="49">
        <f>'Avg Week Kasese-Pondwe'!M38+'Avg Week Pondwe-Kasese'!M38</f>
        <v>93.666666666666657</v>
      </c>
      <c r="N38" s="49">
        <f>'Avg Week Kasese-Pondwe'!N38+'Avg Week Pondwe-Kasese'!N38</f>
        <v>0</v>
      </c>
      <c r="O38" s="15">
        <f t="shared" si="0"/>
        <v>12.000000000000002</v>
      </c>
      <c r="P38" s="15">
        <f t="shared" si="1"/>
        <v>105.66666666666666</v>
      </c>
      <c r="R38" s="28" t="s">
        <v>86</v>
      </c>
      <c r="S38" s="54">
        <f t="shared" ref="S38:AF38" si="30">SUM(S13:S18)</f>
        <v>224.66666666666666</v>
      </c>
      <c r="T38" s="54">
        <f t="shared" si="30"/>
        <v>17.999999999999996</v>
      </c>
      <c r="U38" s="54">
        <f t="shared" si="30"/>
        <v>17.666666666666668</v>
      </c>
      <c r="V38" s="54">
        <f t="shared" si="30"/>
        <v>34.333333333333329</v>
      </c>
      <c r="W38" s="54">
        <f t="shared" si="30"/>
        <v>1.3333333333333333</v>
      </c>
      <c r="X38" s="54">
        <f t="shared" si="30"/>
        <v>7.666666666666667</v>
      </c>
      <c r="Y38" s="54">
        <f t="shared" si="30"/>
        <v>32.333333333333329</v>
      </c>
      <c r="Z38" s="54">
        <f t="shared" si="30"/>
        <v>23.666666666666664</v>
      </c>
      <c r="AA38" s="54">
        <f t="shared" si="30"/>
        <v>6.333333333333333</v>
      </c>
      <c r="AB38" s="54">
        <f t="shared" si="30"/>
        <v>25.333333333333336</v>
      </c>
      <c r="AC38" s="54">
        <f t="shared" si="30"/>
        <v>2595.333333333333</v>
      </c>
      <c r="AD38" s="54">
        <f t="shared" si="30"/>
        <v>0</v>
      </c>
      <c r="AE38" s="55">
        <f t="shared" si="30"/>
        <v>391.33333333333337</v>
      </c>
      <c r="AF38" s="55">
        <f t="shared" si="30"/>
        <v>2986.666666666667</v>
      </c>
    </row>
    <row r="39" spans="2:32" ht="23.1" customHeight="1" x14ac:dyDescent="0.25">
      <c r="B39" s="24" t="s">
        <v>66</v>
      </c>
      <c r="C39" s="49">
        <f>'Avg Week Kasese-Pondwe'!C39+'Avg Week Pondwe-Kasese'!C39</f>
        <v>9</v>
      </c>
      <c r="D39" s="49">
        <f>'Avg Week Kasese-Pondwe'!D39+'Avg Week Pondwe-Kasese'!D39</f>
        <v>0.66666666666666663</v>
      </c>
      <c r="E39" s="49">
        <f>'Avg Week Kasese-Pondwe'!E39+'Avg Week Pondwe-Kasese'!E39</f>
        <v>0.33333333333333331</v>
      </c>
      <c r="F39" s="49">
        <f>'Avg Week Kasese-Pondwe'!F39+'Avg Week Pondwe-Kasese'!F39</f>
        <v>1.3333333333333333</v>
      </c>
      <c r="G39" s="49">
        <f>'Avg Week Kasese-Pondwe'!G39+'Avg Week Pondwe-Kasese'!G39</f>
        <v>0.33333333333333331</v>
      </c>
      <c r="H39" s="49">
        <f>'Avg Week Kasese-Pondwe'!H39+'Avg Week Pondwe-Kasese'!H39</f>
        <v>1</v>
      </c>
      <c r="I39" s="49">
        <f>'Avg Week Kasese-Pondwe'!I39+'Avg Week Pondwe-Kasese'!I39</f>
        <v>1</v>
      </c>
      <c r="J39" s="49">
        <f>'Avg Week Kasese-Pondwe'!J39+'Avg Week Pondwe-Kasese'!J39</f>
        <v>1.6666666666666665</v>
      </c>
      <c r="K39" s="49">
        <f>'Avg Week Kasese-Pondwe'!K39+'Avg Week Pondwe-Kasese'!K39</f>
        <v>0.66666666666666663</v>
      </c>
      <c r="L39" s="49">
        <f>'Avg Week Kasese-Pondwe'!L39+'Avg Week Pondwe-Kasese'!L39</f>
        <v>1.6666666666666665</v>
      </c>
      <c r="M39" s="49">
        <f>'Avg Week Kasese-Pondwe'!M39+'Avg Week Pondwe-Kasese'!M39</f>
        <v>137.66666666666666</v>
      </c>
      <c r="N39" s="49">
        <f>'Avg Week Kasese-Pondwe'!N39+'Avg Week Pondwe-Kasese'!N39</f>
        <v>0</v>
      </c>
      <c r="O39" s="15">
        <f t="shared" si="0"/>
        <v>17.666666666666668</v>
      </c>
      <c r="P39" s="15">
        <f t="shared" si="1"/>
        <v>155.33333333333331</v>
      </c>
      <c r="R39" s="29" t="s">
        <v>87</v>
      </c>
      <c r="S39" s="54">
        <f t="shared" ref="S39:AF39" si="31">SUM(S19:S21)</f>
        <v>144.33333333333331</v>
      </c>
      <c r="T39" s="54">
        <f t="shared" si="31"/>
        <v>10</v>
      </c>
      <c r="U39" s="54">
        <f t="shared" si="31"/>
        <v>6.333333333333333</v>
      </c>
      <c r="V39" s="54">
        <f t="shared" si="31"/>
        <v>23</v>
      </c>
      <c r="W39" s="54">
        <f t="shared" si="31"/>
        <v>0.33333333333333331</v>
      </c>
      <c r="X39" s="54">
        <f t="shared" si="31"/>
        <v>3.333333333333333</v>
      </c>
      <c r="Y39" s="54">
        <f t="shared" si="31"/>
        <v>16.666666666666664</v>
      </c>
      <c r="Z39" s="54">
        <f t="shared" si="31"/>
        <v>8.6666666666666661</v>
      </c>
      <c r="AA39" s="54">
        <f t="shared" si="31"/>
        <v>2.6666666666666665</v>
      </c>
      <c r="AB39" s="54">
        <f t="shared" si="31"/>
        <v>15.666666666666668</v>
      </c>
      <c r="AC39" s="54">
        <f t="shared" si="31"/>
        <v>1547.6666666666665</v>
      </c>
      <c r="AD39" s="54">
        <f t="shared" si="31"/>
        <v>0</v>
      </c>
      <c r="AE39" s="55">
        <f t="shared" si="31"/>
        <v>231</v>
      </c>
      <c r="AF39" s="55">
        <f t="shared" si="31"/>
        <v>1778.6666666666665</v>
      </c>
    </row>
    <row r="40" spans="2:32" ht="23.1" customHeight="1" x14ac:dyDescent="0.25">
      <c r="B40" s="24" t="s">
        <v>67</v>
      </c>
      <c r="C40" s="49">
        <f>'Avg Week Kasese-Pondwe'!C40+'Avg Week Pondwe-Kasese'!C40</f>
        <v>8.3333333333333339</v>
      </c>
      <c r="D40" s="49">
        <f>'Avg Week Kasese-Pondwe'!D40+'Avg Week Pondwe-Kasese'!D40</f>
        <v>0.33333333333333331</v>
      </c>
      <c r="E40" s="49">
        <f>'Avg Week Kasese-Pondwe'!E40+'Avg Week Pondwe-Kasese'!E40</f>
        <v>0.33333333333333331</v>
      </c>
      <c r="F40" s="49">
        <f>'Avg Week Kasese-Pondwe'!F40+'Avg Week Pondwe-Kasese'!F40</f>
        <v>1.3333333333333333</v>
      </c>
      <c r="G40" s="49">
        <f>'Avg Week Kasese-Pondwe'!G40+'Avg Week Pondwe-Kasese'!G40</f>
        <v>0</v>
      </c>
      <c r="H40" s="49">
        <f>'Avg Week Kasese-Pondwe'!H40+'Avg Week Pondwe-Kasese'!H40</f>
        <v>0</v>
      </c>
      <c r="I40" s="49">
        <f>'Avg Week Kasese-Pondwe'!I40+'Avg Week Pondwe-Kasese'!I40</f>
        <v>2</v>
      </c>
      <c r="J40" s="49">
        <f>'Avg Week Kasese-Pondwe'!J40+'Avg Week Pondwe-Kasese'!J40</f>
        <v>0.66666666666666663</v>
      </c>
      <c r="K40" s="49">
        <f>'Avg Week Kasese-Pondwe'!K40+'Avg Week Pondwe-Kasese'!K40</f>
        <v>0.33333333333333331</v>
      </c>
      <c r="L40" s="49">
        <f>'Avg Week Kasese-Pondwe'!L40+'Avg Week Pondwe-Kasese'!L40</f>
        <v>2.666666666666667</v>
      </c>
      <c r="M40" s="49">
        <f>'Avg Week Kasese-Pondwe'!M40+'Avg Week Pondwe-Kasese'!M40</f>
        <v>112.33333333333334</v>
      </c>
      <c r="N40" s="49">
        <f>'Avg Week Kasese-Pondwe'!N40+'Avg Week Pondwe-Kasese'!N40</f>
        <v>0</v>
      </c>
      <c r="O40" s="15">
        <f t="shared" si="0"/>
        <v>16.000000000000004</v>
      </c>
      <c r="P40" s="15">
        <f t="shared" si="1"/>
        <v>128.33333333333334</v>
      </c>
      <c r="R40" s="5" t="s">
        <v>17</v>
      </c>
      <c r="S40" s="54">
        <f t="shared" ref="S40:AF40" si="32">SUM(S10:S21)</f>
        <v>449.33333333333331</v>
      </c>
      <c r="T40" s="54">
        <f t="shared" si="32"/>
        <v>32.333333333333336</v>
      </c>
      <c r="U40" s="54">
        <f t="shared" si="32"/>
        <v>30.666666666666664</v>
      </c>
      <c r="V40" s="54">
        <f t="shared" si="32"/>
        <v>75.666666666666671</v>
      </c>
      <c r="W40" s="54">
        <f t="shared" si="32"/>
        <v>2.333333333333333</v>
      </c>
      <c r="X40" s="54">
        <f t="shared" si="32"/>
        <v>16.999999999999996</v>
      </c>
      <c r="Y40" s="54">
        <f t="shared" si="32"/>
        <v>60.666666666666657</v>
      </c>
      <c r="Z40" s="54">
        <f t="shared" si="32"/>
        <v>45.333333333333329</v>
      </c>
      <c r="AA40" s="54">
        <f t="shared" si="32"/>
        <v>11</v>
      </c>
      <c r="AB40" s="54">
        <f t="shared" si="32"/>
        <v>49.333333333333329</v>
      </c>
      <c r="AC40" s="54">
        <f t="shared" si="32"/>
        <v>5382.333333333333</v>
      </c>
      <c r="AD40" s="54">
        <f t="shared" si="32"/>
        <v>0</v>
      </c>
      <c r="AE40" s="55">
        <f t="shared" si="32"/>
        <v>773.66666666666674</v>
      </c>
      <c r="AF40" s="55">
        <f t="shared" si="32"/>
        <v>6155.9999999999991</v>
      </c>
    </row>
    <row r="41" spans="2:32" ht="23.1" customHeight="1" x14ac:dyDescent="0.25">
      <c r="B41" s="23" t="s">
        <v>68</v>
      </c>
      <c r="C41" s="49">
        <f>'Avg Week Kasese-Pondwe'!C41+'Avg Week Pondwe-Kasese'!C41</f>
        <v>9.3333333333333321</v>
      </c>
      <c r="D41" s="49">
        <f>'Avg Week Kasese-Pondwe'!D41+'Avg Week Pondwe-Kasese'!D41</f>
        <v>0.66666666666666663</v>
      </c>
      <c r="E41" s="49">
        <f>'Avg Week Kasese-Pondwe'!E41+'Avg Week Pondwe-Kasese'!E41</f>
        <v>0.66666666666666663</v>
      </c>
      <c r="F41" s="49">
        <f>'Avg Week Kasese-Pondwe'!F41+'Avg Week Pondwe-Kasese'!F41</f>
        <v>2.3333333333333335</v>
      </c>
      <c r="G41" s="49">
        <f>'Avg Week Kasese-Pondwe'!G41+'Avg Week Pondwe-Kasese'!G41</f>
        <v>0</v>
      </c>
      <c r="H41" s="49">
        <f>'Avg Week Kasese-Pondwe'!H41+'Avg Week Pondwe-Kasese'!H41</f>
        <v>0.66666666666666663</v>
      </c>
      <c r="I41" s="49">
        <f>'Avg Week Kasese-Pondwe'!I41+'Avg Week Pondwe-Kasese'!I41</f>
        <v>0.33333333333333331</v>
      </c>
      <c r="J41" s="49">
        <f>'Avg Week Kasese-Pondwe'!J41+'Avg Week Pondwe-Kasese'!J41</f>
        <v>0.33333333333333331</v>
      </c>
      <c r="K41" s="49">
        <f>'Avg Week Kasese-Pondwe'!K41+'Avg Week Pondwe-Kasese'!K41</f>
        <v>0</v>
      </c>
      <c r="L41" s="49">
        <f>'Avg Week Kasese-Pondwe'!L41+'Avg Week Pondwe-Kasese'!L41</f>
        <v>2</v>
      </c>
      <c r="M41" s="49">
        <f>'Avg Week Kasese-Pondwe'!M41+'Avg Week Pondwe-Kasese'!M41</f>
        <v>131</v>
      </c>
      <c r="N41" s="49">
        <f>'Avg Week Kasese-Pondwe'!N41+'Avg Week Pondwe-Kasese'!N41</f>
        <v>0</v>
      </c>
      <c r="O41" s="15">
        <f t="shared" si="0"/>
        <v>16.333333333333332</v>
      </c>
      <c r="P41" s="15">
        <f t="shared" si="1"/>
        <v>147.33333333333334</v>
      </c>
      <c r="R41" s="5" t="s">
        <v>178</v>
      </c>
      <c r="S41" s="54">
        <f>SUM(S10:S33)</f>
        <v>627.33333333333326</v>
      </c>
      <c r="T41" s="54">
        <f t="shared" ref="T41:AD41" si="33">SUM(T10:T33)</f>
        <v>45.333333333333336</v>
      </c>
      <c r="U41" s="54">
        <f t="shared" si="33"/>
        <v>43.666666666666664</v>
      </c>
      <c r="V41" s="54">
        <f t="shared" si="33"/>
        <v>100.66666666666667</v>
      </c>
      <c r="W41" s="54">
        <f t="shared" si="33"/>
        <v>3.333333333333333</v>
      </c>
      <c r="X41" s="54">
        <f t="shared" si="33"/>
        <v>27.999999999999996</v>
      </c>
      <c r="Y41" s="54">
        <f t="shared" si="33"/>
        <v>75.666666666666657</v>
      </c>
      <c r="Z41" s="54">
        <f t="shared" si="33"/>
        <v>56.333333333333329</v>
      </c>
      <c r="AA41" s="54">
        <f t="shared" si="33"/>
        <v>16</v>
      </c>
      <c r="AB41" s="54">
        <f t="shared" si="33"/>
        <v>57.333333333333329</v>
      </c>
      <c r="AC41" s="54">
        <f t="shared" si="33"/>
        <v>6526.333333333333</v>
      </c>
      <c r="AD41" s="54">
        <f t="shared" si="33"/>
        <v>0</v>
      </c>
      <c r="AE41" s="55">
        <f>SUM(AE10:AE33)</f>
        <v>1053.6666666666667</v>
      </c>
      <c r="AF41" s="55">
        <f>SUM(AF10:AF33)</f>
        <v>7579.9999999999991</v>
      </c>
    </row>
    <row r="42" spans="2:32" ht="23.1" customHeight="1" x14ac:dyDescent="0.25">
      <c r="B42" s="24" t="s">
        <v>69</v>
      </c>
      <c r="C42" s="49">
        <f>'Avg Week Kasese-Pondwe'!C42+'Avg Week Pondwe-Kasese'!C42</f>
        <v>14</v>
      </c>
      <c r="D42" s="49">
        <f>'Avg Week Kasese-Pondwe'!D42+'Avg Week Pondwe-Kasese'!D42</f>
        <v>1.3333333333333333</v>
      </c>
      <c r="E42" s="49">
        <f>'Avg Week Kasese-Pondwe'!E42+'Avg Week Pondwe-Kasese'!E42</f>
        <v>0.66666666666666663</v>
      </c>
      <c r="F42" s="49">
        <f>'Avg Week Kasese-Pondwe'!F42+'Avg Week Pondwe-Kasese'!F42</f>
        <v>4.333333333333333</v>
      </c>
      <c r="G42" s="49">
        <f>'Avg Week Kasese-Pondwe'!G42+'Avg Week Pondwe-Kasese'!G42</f>
        <v>0</v>
      </c>
      <c r="H42" s="49">
        <f>'Avg Week Kasese-Pondwe'!H42+'Avg Week Pondwe-Kasese'!H42</f>
        <v>0.66666666666666663</v>
      </c>
      <c r="I42" s="49">
        <f>'Avg Week Kasese-Pondwe'!I42+'Avg Week Pondwe-Kasese'!I42</f>
        <v>1.6666666666666665</v>
      </c>
      <c r="J42" s="49">
        <f>'Avg Week Kasese-Pondwe'!J42+'Avg Week Pondwe-Kasese'!J42</f>
        <v>0</v>
      </c>
      <c r="K42" s="49">
        <f>'Avg Week Kasese-Pondwe'!K42+'Avg Week Pondwe-Kasese'!K42</f>
        <v>0.33333333333333331</v>
      </c>
      <c r="L42" s="49">
        <f>'Avg Week Kasese-Pondwe'!L42+'Avg Week Pondwe-Kasese'!L42</f>
        <v>1.3333333333333333</v>
      </c>
      <c r="M42" s="49">
        <f>'Avg Week Kasese-Pondwe'!M42+'Avg Week Pondwe-Kasese'!M42</f>
        <v>132.66666666666669</v>
      </c>
      <c r="N42" s="49">
        <f>'Avg Week Kasese-Pondwe'!N42+'Avg Week Pondwe-Kasese'!N42</f>
        <v>0</v>
      </c>
      <c r="O42" s="15">
        <f t="shared" si="0"/>
        <v>24.333333333333332</v>
      </c>
      <c r="P42" s="15">
        <f t="shared" si="1"/>
        <v>157.00000000000003</v>
      </c>
      <c r="R42" s="5" t="s">
        <v>160</v>
      </c>
      <c r="S42" s="48">
        <f>S41/S40</f>
        <v>1.3961424332344212</v>
      </c>
      <c r="T42" s="48">
        <f t="shared" ref="T42:AF42" si="34">T41/T40</f>
        <v>1.402061855670103</v>
      </c>
      <c r="U42" s="48">
        <f t="shared" si="34"/>
        <v>1.423913043478261</v>
      </c>
      <c r="V42" s="48">
        <f t="shared" si="34"/>
        <v>1.330396475770925</v>
      </c>
      <c r="W42" s="48">
        <f t="shared" si="34"/>
        <v>1.4285714285714286</v>
      </c>
      <c r="X42" s="48">
        <f t="shared" si="34"/>
        <v>1.6470588235294119</v>
      </c>
      <c r="Y42" s="48">
        <f t="shared" si="34"/>
        <v>1.2472527472527473</v>
      </c>
      <c r="Z42" s="48">
        <f t="shared" si="34"/>
        <v>1.2426470588235294</v>
      </c>
      <c r="AA42" s="48">
        <f t="shared" si="34"/>
        <v>1.4545454545454546</v>
      </c>
      <c r="AB42" s="48">
        <f t="shared" si="34"/>
        <v>1.1621621621621623</v>
      </c>
      <c r="AC42" s="48">
        <f t="shared" si="34"/>
        <v>1.2125472223942528</v>
      </c>
      <c r="AD42" s="48">
        <v>0</v>
      </c>
      <c r="AE42" s="56">
        <f t="shared" si="34"/>
        <v>1.3619129685480396</v>
      </c>
      <c r="AF42" s="56">
        <f t="shared" si="34"/>
        <v>1.2313190383365822</v>
      </c>
    </row>
    <row r="43" spans="2:32" ht="23.1" customHeight="1" x14ac:dyDescent="0.25">
      <c r="B43" s="23" t="s">
        <v>70</v>
      </c>
      <c r="C43" s="49">
        <f>'Avg Week Kasese-Pondwe'!C43+'Avg Week Pondwe-Kasese'!C43</f>
        <v>8.6666666666666661</v>
      </c>
      <c r="D43" s="49">
        <f>'Avg Week Kasese-Pondwe'!D43+'Avg Week Pondwe-Kasese'!D43</f>
        <v>1.3333333333333333</v>
      </c>
      <c r="E43" s="49">
        <f>'Avg Week Kasese-Pondwe'!E43+'Avg Week Pondwe-Kasese'!E43</f>
        <v>0</v>
      </c>
      <c r="F43" s="49">
        <f>'Avg Week Kasese-Pondwe'!F43+'Avg Week Pondwe-Kasese'!F43</f>
        <v>1.6666666666666665</v>
      </c>
      <c r="G43" s="49">
        <f>'Avg Week Kasese-Pondwe'!G43+'Avg Week Pondwe-Kasese'!G43</f>
        <v>0</v>
      </c>
      <c r="H43" s="49">
        <f>'Avg Week Kasese-Pondwe'!H43+'Avg Week Pondwe-Kasese'!H43</f>
        <v>0</v>
      </c>
      <c r="I43" s="49">
        <f>'Avg Week Kasese-Pondwe'!I43+'Avg Week Pondwe-Kasese'!I43</f>
        <v>1</v>
      </c>
      <c r="J43" s="49">
        <f>'Avg Week Kasese-Pondwe'!J43+'Avg Week Pondwe-Kasese'!J43</f>
        <v>1.3333333333333333</v>
      </c>
      <c r="K43" s="49">
        <f>'Avg Week Kasese-Pondwe'!K43+'Avg Week Pondwe-Kasese'!K43</f>
        <v>0</v>
      </c>
      <c r="L43" s="49">
        <f>'Avg Week Kasese-Pondwe'!L43+'Avg Week Pondwe-Kasese'!L43</f>
        <v>1.3333333333333333</v>
      </c>
      <c r="M43" s="49">
        <f>'Avg Week Kasese-Pondwe'!M43+'Avg Week Pondwe-Kasese'!M43</f>
        <v>106</v>
      </c>
      <c r="N43" s="49">
        <f>'Avg Week Kasese-Pondwe'!N43+'Avg Week Pondwe-Kasese'!N43</f>
        <v>0</v>
      </c>
      <c r="O43" s="15">
        <f t="shared" si="0"/>
        <v>15.333333333333334</v>
      </c>
      <c r="P43" s="15">
        <f t="shared" si="1"/>
        <v>121.33333333333333</v>
      </c>
    </row>
    <row r="44" spans="2:32" ht="23.1" customHeight="1" x14ac:dyDescent="0.25">
      <c r="B44" s="25" t="s">
        <v>71</v>
      </c>
      <c r="C44" s="49">
        <f>'Avg Week Kasese-Pondwe'!C44+'Avg Week Pondwe-Kasese'!C44</f>
        <v>7.3333333333333339</v>
      </c>
      <c r="D44" s="49">
        <f>'Avg Week Kasese-Pondwe'!D44+'Avg Week Pondwe-Kasese'!D44</f>
        <v>1.3333333333333333</v>
      </c>
      <c r="E44" s="49">
        <f>'Avg Week Kasese-Pondwe'!E44+'Avg Week Pondwe-Kasese'!E44</f>
        <v>0.66666666666666663</v>
      </c>
      <c r="F44" s="49">
        <f>'Avg Week Kasese-Pondwe'!F44+'Avg Week Pondwe-Kasese'!F44</f>
        <v>2</v>
      </c>
      <c r="G44" s="49">
        <f>'Avg Week Kasese-Pondwe'!G44+'Avg Week Pondwe-Kasese'!G44</f>
        <v>0</v>
      </c>
      <c r="H44" s="49">
        <f>'Avg Week Kasese-Pondwe'!H44+'Avg Week Pondwe-Kasese'!H44</f>
        <v>0</v>
      </c>
      <c r="I44" s="49">
        <f>'Avg Week Kasese-Pondwe'!I44+'Avg Week Pondwe-Kasese'!I44</f>
        <v>1.6666666666666665</v>
      </c>
      <c r="J44" s="49">
        <f>'Avg Week Kasese-Pondwe'!J44+'Avg Week Pondwe-Kasese'!J44</f>
        <v>1.3333333333333333</v>
      </c>
      <c r="K44" s="49">
        <f>'Avg Week Kasese-Pondwe'!K44+'Avg Week Pondwe-Kasese'!K44</f>
        <v>0</v>
      </c>
      <c r="L44" s="49">
        <f>'Avg Week Kasese-Pondwe'!L44+'Avg Week Pondwe-Kasese'!L44</f>
        <v>1.6666666666666665</v>
      </c>
      <c r="M44" s="49">
        <f>'Avg Week Kasese-Pondwe'!M44+'Avg Week Pondwe-Kasese'!M44</f>
        <v>140.33333333333334</v>
      </c>
      <c r="N44" s="49">
        <f>'Avg Week Kasese-Pondwe'!N44+'Avg Week Pondwe-Kasese'!N44</f>
        <v>0</v>
      </c>
      <c r="O44" s="15">
        <f t="shared" si="0"/>
        <v>16</v>
      </c>
      <c r="P44" s="15">
        <f t="shared" si="1"/>
        <v>156.33333333333334</v>
      </c>
    </row>
    <row r="45" spans="2:32" ht="23.1" customHeight="1" x14ac:dyDescent="0.25">
      <c r="B45" s="23" t="s">
        <v>72</v>
      </c>
      <c r="C45" s="49">
        <f>'Avg Week Kasese-Pondwe'!C45+'Avg Week Pondwe-Kasese'!C45</f>
        <v>9.6666666666666661</v>
      </c>
      <c r="D45" s="49">
        <f>'Avg Week Kasese-Pondwe'!D45+'Avg Week Pondwe-Kasese'!D45</f>
        <v>0.66666666666666663</v>
      </c>
      <c r="E45" s="49">
        <f>'Avg Week Kasese-Pondwe'!E45+'Avg Week Pondwe-Kasese'!E45</f>
        <v>1.3333333333333333</v>
      </c>
      <c r="F45" s="49">
        <f>'Avg Week Kasese-Pondwe'!F45+'Avg Week Pondwe-Kasese'!F45</f>
        <v>2</v>
      </c>
      <c r="G45" s="49">
        <f>'Avg Week Kasese-Pondwe'!G45+'Avg Week Pondwe-Kasese'!G45</f>
        <v>0</v>
      </c>
      <c r="H45" s="49">
        <f>'Avg Week Kasese-Pondwe'!H45+'Avg Week Pondwe-Kasese'!H45</f>
        <v>0</v>
      </c>
      <c r="I45" s="49">
        <f>'Avg Week Kasese-Pondwe'!I45+'Avg Week Pondwe-Kasese'!I45</f>
        <v>1.3333333333333333</v>
      </c>
      <c r="J45" s="49">
        <f>'Avg Week Kasese-Pondwe'!J45+'Avg Week Pondwe-Kasese'!J45</f>
        <v>1.3333333333333333</v>
      </c>
      <c r="K45" s="49">
        <f>'Avg Week Kasese-Pondwe'!K45+'Avg Week Pondwe-Kasese'!K45</f>
        <v>0.33333333333333331</v>
      </c>
      <c r="L45" s="49">
        <f>'Avg Week Kasese-Pondwe'!L45+'Avg Week Pondwe-Kasese'!L45</f>
        <v>1.3333333333333333</v>
      </c>
      <c r="M45" s="49">
        <f>'Avg Week Kasese-Pondwe'!M45+'Avg Week Pondwe-Kasese'!M45</f>
        <v>124.66666666666666</v>
      </c>
      <c r="N45" s="49">
        <f>'Avg Week Kasese-Pondwe'!N45+'Avg Week Pondwe-Kasese'!N45</f>
        <v>0</v>
      </c>
      <c r="O45" s="15">
        <f t="shared" si="0"/>
        <v>17.999999999999996</v>
      </c>
      <c r="P45" s="15">
        <f t="shared" si="1"/>
        <v>142.66666666666666</v>
      </c>
    </row>
    <row r="46" spans="2:32" ht="23.1" customHeight="1" x14ac:dyDescent="0.25">
      <c r="B46" s="24" t="s">
        <v>73</v>
      </c>
      <c r="C46" s="49">
        <f>'Avg Week Kasese-Pondwe'!C46+'Avg Week Pondwe-Kasese'!C46</f>
        <v>12</v>
      </c>
      <c r="D46" s="49">
        <f>'Avg Week Kasese-Pondwe'!D46+'Avg Week Pondwe-Kasese'!D46</f>
        <v>0.33333333333333331</v>
      </c>
      <c r="E46" s="49">
        <f>'Avg Week Kasese-Pondwe'!E46+'Avg Week Pondwe-Kasese'!E46</f>
        <v>0.66666666666666663</v>
      </c>
      <c r="F46" s="49">
        <f>'Avg Week Kasese-Pondwe'!F46+'Avg Week Pondwe-Kasese'!F46</f>
        <v>2</v>
      </c>
      <c r="G46" s="49">
        <f>'Avg Week Kasese-Pondwe'!G46+'Avg Week Pondwe-Kasese'!G46</f>
        <v>0</v>
      </c>
      <c r="H46" s="49">
        <f>'Avg Week Kasese-Pondwe'!H46+'Avg Week Pondwe-Kasese'!H46</f>
        <v>0.33333333333333331</v>
      </c>
      <c r="I46" s="49">
        <f>'Avg Week Kasese-Pondwe'!I46+'Avg Week Pondwe-Kasese'!I46</f>
        <v>0.33333333333333331</v>
      </c>
      <c r="J46" s="49">
        <f>'Avg Week Kasese-Pondwe'!J46+'Avg Week Pondwe-Kasese'!J46</f>
        <v>1</v>
      </c>
      <c r="K46" s="49">
        <f>'Avg Week Kasese-Pondwe'!K46+'Avg Week Pondwe-Kasese'!K46</f>
        <v>0.33333333333333331</v>
      </c>
      <c r="L46" s="49">
        <f>'Avg Week Kasese-Pondwe'!L46+'Avg Week Pondwe-Kasese'!L46</f>
        <v>1.3333333333333333</v>
      </c>
      <c r="M46" s="49">
        <f>'Avg Week Kasese-Pondwe'!M46+'Avg Week Pondwe-Kasese'!M46</f>
        <v>111.66666666666666</v>
      </c>
      <c r="N46" s="49">
        <f>'Avg Week Kasese-Pondwe'!N46+'Avg Week Pondwe-Kasese'!N46</f>
        <v>0</v>
      </c>
      <c r="O46" s="15">
        <f t="shared" si="0"/>
        <v>18.333333333333332</v>
      </c>
      <c r="P46" s="15">
        <f t="shared" si="1"/>
        <v>130</v>
      </c>
      <c r="R46" s="8"/>
      <c r="T46"/>
    </row>
    <row r="47" spans="2:32" ht="23.1" customHeight="1" x14ac:dyDescent="0.25">
      <c r="B47" s="24" t="s">
        <v>74</v>
      </c>
      <c r="C47" s="49">
        <f>'Avg Week Kasese-Pondwe'!C47+'Avg Week Pondwe-Kasese'!C47</f>
        <v>10.333333333333332</v>
      </c>
      <c r="D47" s="49">
        <f>'Avg Week Kasese-Pondwe'!D47+'Avg Week Pondwe-Kasese'!D47</f>
        <v>1</v>
      </c>
      <c r="E47" s="49">
        <f>'Avg Week Kasese-Pondwe'!E47+'Avg Week Pondwe-Kasese'!E47</f>
        <v>1.3333333333333333</v>
      </c>
      <c r="F47" s="49">
        <f>'Avg Week Kasese-Pondwe'!F47+'Avg Week Pondwe-Kasese'!F47</f>
        <v>3</v>
      </c>
      <c r="G47" s="49">
        <f>'Avg Week Kasese-Pondwe'!G47+'Avg Week Pondwe-Kasese'!G47</f>
        <v>0</v>
      </c>
      <c r="H47" s="49">
        <f>'Avg Week Kasese-Pondwe'!H47+'Avg Week Pondwe-Kasese'!H47</f>
        <v>0.66666666666666663</v>
      </c>
      <c r="I47" s="49">
        <f>'Avg Week Kasese-Pondwe'!I47+'Avg Week Pondwe-Kasese'!I47</f>
        <v>1.6666666666666667</v>
      </c>
      <c r="J47" s="49">
        <f>'Avg Week Kasese-Pondwe'!J47+'Avg Week Pondwe-Kasese'!J47</f>
        <v>2</v>
      </c>
      <c r="K47" s="49">
        <f>'Avg Week Kasese-Pondwe'!K47+'Avg Week Pondwe-Kasese'!K47</f>
        <v>0.33333333333333331</v>
      </c>
      <c r="L47" s="49">
        <f>'Avg Week Kasese-Pondwe'!L47+'Avg Week Pondwe-Kasese'!L47</f>
        <v>2.3333333333333335</v>
      </c>
      <c r="M47" s="49">
        <f>'Avg Week Kasese-Pondwe'!M47+'Avg Week Pondwe-Kasese'!M47</f>
        <v>175.33333333333331</v>
      </c>
      <c r="N47" s="49">
        <f>'Avg Week Kasese-Pondwe'!N47+'Avg Week Pondwe-Kasese'!N47</f>
        <v>0</v>
      </c>
      <c r="O47" s="15">
        <f t="shared" si="0"/>
        <v>22.666666666666664</v>
      </c>
      <c r="P47" s="15">
        <f t="shared" si="1"/>
        <v>197.99999999999997</v>
      </c>
      <c r="R47" s="8"/>
      <c r="T47"/>
    </row>
    <row r="48" spans="2:32" ht="23.1" customHeight="1" x14ac:dyDescent="0.25">
      <c r="B48" s="24" t="s">
        <v>75</v>
      </c>
      <c r="C48" s="49">
        <f>'Avg Week Kasese-Pondwe'!C48+'Avg Week Pondwe-Kasese'!C48</f>
        <v>13.666666666666666</v>
      </c>
      <c r="D48" s="49">
        <f>'Avg Week Kasese-Pondwe'!D48+'Avg Week Pondwe-Kasese'!D48</f>
        <v>0.66666666666666663</v>
      </c>
      <c r="E48" s="49">
        <f>'Avg Week Kasese-Pondwe'!E48+'Avg Week Pondwe-Kasese'!E48</f>
        <v>0.66666666666666663</v>
      </c>
      <c r="F48" s="49">
        <f>'Avg Week Kasese-Pondwe'!F48+'Avg Week Pondwe-Kasese'!F48</f>
        <v>1.6666666666666665</v>
      </c>
      <c r="G48" s="49">
        <f>'Avg Week Kasese-Pondwe'!G48+'Avg Week Pondwe-Kasese'!G48</f>
        <v>0</v>
      </c>
      <c r="H48" s="49">
        <f>'Avg Week Kasese-Pondwe'!H48+'Avg Week Pondwe-Kasese'!H48</f>
        <v>0</v>
      </c>
      <c r="I48" s="49">
        <f>'Avg Week Kasese-Pondwe'!I48+'Avg Week Pondwe-Kasese'!I48</f>
        <v>2</v>
      </c>
      <c r="J48" s="49">
        <f>'Avg Week Kasese-Pondwe'!J48+'Avg Week Pondwe-Kasese'!J48</f>
        <v>0.33333333333333331</v>
      </c>
      <c r="K48" s="49">
        <f>'Avg Week Kasese-Pondwe'!K48+'Avg Week Pondwe-Kasese'!K48</f>
        <v>0</v>
      </c>
      <c r="L48" s="49">
        <f>'Avg Week Kasese-Pondwe'!L48+'Avg Week Pondwe-Kasese'!L48</f>
        <v>0.33333333333333331</v>
      </c>
      <c r="M48" s="49">
        <f>'Avg Week Kasese-Pondwe'!M48+'Avg Week Pondwe-Kasese'!M48</f>
        <v>124.66666666666666</v>
      </c>
      <c r="N48" s="49">
        <f>'Avg Week Kasese-Pondwe'!N48+'Avg Week Pondwe-Kasese'!N48</f>
        <v>0</v>
      </c>
      <c r="O48" s="15">
        <f t="shared" si="0"/>
        <v>19.333333333333329</v>
      </c>
      <c r="P48" s="15">
        <f t="shared" si="1"/>
        <v>144</v>
      </c>
      <c r="R48" s="8"/>
      <c r="T48"/>
    </row>
    <row r="49" spans="2:20" ht="23.1" customHeight="1" x14ac:dyDescent="0.25">
      <c r="B49" s="23" t="s">
        <v>76</v>
      </c>
      <c r="C49" s="49">
        <f>'Avg Week Kasese-Pondwe'!C49+'Avg Week Pondwe-Kasese'!C49</f>
        <v>16.333333333333336</v>
      </c>
      <c r="D49" s="49">
        <f>'Avg Week Kasese-Pondwe'!D49+'Avg Week Pondwe-Kasese'!D49</f>
        <v>1.6666666666666665</v>
      </c>
      <c r="E49" s="49">
        <f>'Avg Week Kasese-Pondwe'!E49+'Avg Week Pondwe-Kasese'!E49</f>
        <v>1.3333333333333333</v>
      </c>
      <c r="F49" s="49">
        <f>'Avg Week Kasese-Pondwe'!F49+'Avg Week Pondwe-Kasese'!F49</f>
        <v>2</v>
      </c>
      <c r="G49" s="49">
        <f>'Avg Week Kasese-Pondwe'!G49+'Avg Week Pondwe-Kasese'!G49</f>
        <v>0</v>
      </c>
      <c r="H49" s="49">
        <f>'Avg Week Kasese-Pondwe'!H49+'Avg Week Pondwe-Kasese'!H49</f>
        <v>0.66666666666666663</v>
      </c>
      <c r="I49" s="49">
        <f>'Avg Week Kasese-Pondwe'!I49+'Avg Week Pondwe-Kasese'!I49</f>
        <v>2.3333333333333335</v>
      </c>
      <c r="J49" s="49">
        <f>'Avg Week Kasese-Pondwe'!J49+'Avg Week Pondwe-Kasese'!J49</f>
        <v>0.66666666666666663</v>
      </c>
      <c r="K49" s="49">
        <f>'Avg Week Kasese-Pondwe'!K49+'Avg Week Pondwe-Kasese'!K49</f>
        <v>0</v>
      </c>
      <c r="L49" s="49">
        <f>'Avg Week Kasese-Pondwe'!L49+'Avg Week Pondwe-Kasese'!L49</f>
        <v>2.666666666666667</v>
      </c>
      <c r="M49" s="49">
        <f>'Avg Week Kasese-Pondwe'!M49+'Avg Week Pondwe-Kasese'!M49</f>
        <v>124.66666666666666</v>
      </c>
      <c r="N49" s="49">
        <f>'Avg Week Kasese-Pondwe'!N49+'Avg Week Pondwe-Kasese'!N49</f>
        <v>0</v>
      </c>
      <c r="O49" s="15">
        <f t="shared" si="0"/>
        <v>27.666666666666671</v>
      </c>
      <c r="P49" s="15">
        <f t="shared" si="1"/>
        <v>152.33333333333331</v>
      </c>
      <c r="R49" s="8"/>
      <c r="T49"/>
    </row>
    <row r="50" spans="2:20" ht="23.1" customHeight="1" x14ac:dyDescent="0.25">
      <c r="B50" s="24" t="s">
        <v>77</v>
      </c>
      <c r="C50" s="49">
        <f>'Avg Week Kasese-Pondwe'!C50+'Avg Week Pondwe-Kasese'!C50</f>
        <v>10.666666666666666</v>
      </c>
      <c r="D50" s="49">
        <f>'Avg Week Kasese-Pondwe'!D50+'Avg Week Pondwe-Kasese'!D50</f>
        <v>1.6666666666666665</v>
      </c>
      <c r="E50" s="49">
        <f>'Avg Week Kasese-Pondwe'!E50+'Avg Week Pondwe-Kasese'!E50</f>
        <v>0.66666666666666663</v>
      </c>
      <c r="F50" s="49">
        <f>'Avg Week Kasese-Pondwe'!F50+'Avg Week Pondwe-Kasese'!F50</f>
        <v>1</v>
      </c>
      <c r="G50" s="49">
        <f>'Avg Week Kasese-Pondwe'!G50+'Avg Week Pondwe-Kasese'!G50</f>
        <v>0</v>
      </c>
      <c r="H50" s="49">
        <f>'Avg Week Kasese-Pondwe'!H50+'Avg Week Pondwe-Kasese'!H50</f>
        <v>0.66666666666666663</v>
      </c>
      <c r="I50" s="49">
        <f>'Avg Week Kasese-Pondwe'!I50+'Avg Week Pondwe-Kasese'!I50</f>
        <v>0.66666666666666663</v>
      </c>
      <c r="J50" s="49">
        <f>'Avg Week Kasese-Pondwe'!J50+'Avg Week Pondwe-Kasese'!J50</f>
        <v>0</v>
      </c>
      <c r="K50" s="49">
        <f>'Avg Week Kasese-Pondwe'!K50+'Avg Week Pondwe-Kasese'!K50</f>
        <v>0</v>
      </c>
      <c r="L50" s="49">
        <f>'Avg Week Kasese-Pondwe'!L50+'Avg Week Pondwe-Kasese'!L50</f>
        <v>0.66666666666666663</v>
      </c>
      <c r="M50" s="49">
        <f>'Avg Week Kasese-Pondwe'!M50+'Avg Week Pondwe-Kasese'!M50</f>
        <v>111</v>
      </c>
      <c r="N50" s="49">
        <f>'Avg Week Kasese-Pondwe'!N50+'Avg Week Pondwe-Kasese'!N50</f>
        <v>0</v>
      </c>
      <c r="O50" s="15">
        <f t="shared" si="0"/>
        <v>15.999999999999996</v>
      </c>
      <c r="P50" s="15">
        <f t="shared" si="1"/>
        <v>127</v>
      </c>
      <c r="R50" s="8"/>
      <c r="T50"/>
    </row>
    <row r="51" spans="2:20" ht="23.1" customHeight="1" x14ac:dyDescent="0.25">
      <c r="B51" s="24" t="s">
        <v>78</v>
      </c>
      <c r="C51" s="49">
        <f>'Avg Week Kasese-Pondwe'!C51+'Avg Week Pondwe-Kasese'!C51</f>
        <v>14.333333333333332</v>
      </c>
      <c r="D51" s="49">
        <f>'Avg Week Kasese-Pondwe'!D51+'Avg Week Pondwe-Kasese'!D51</f>
        <v>0.66666666666666663</v>
      </c>
      <c r="E51" s="49">
        <f>'Avg Week Kasese-Pondwe'!E51+'Avg Week Pondwe-Kasese'!E51</f>
        <v>0.33333333333333331</v>
      </c>
      <c r="F51" s="49">
        <f>'Avg Week Kasese-Pondwe'!F51+'Avg Week Pondwe-Kasese'!F51</f>
        <v>3.6666666666666665</v>
      </c>
      <c r="G51" s="49">
        <f>'Avg Week Kasese-Pondwe'!G51+'Avg Week Pondwe-Kasese'!G51</f>
        <v>0.33333333333333331</v>
      </c>
      <c r="H51" s="49">
        <f>'Avg Week Kasese-Pondwe'!H51+'Avg Week Pondwe-Kasese'!H51</f>
        <v>0.33333333333333331</v>
      </c>
      <c r="I51" s="49">
        <f>'Avg Week Kasese-Pondwe'!I51+'Avg Week Pondwe-Kasese'!I51</f>
        <v>0.66666666666666663</v>
      </c>
      <c r="J51" s="49">
        <f>'Avg Week Kasese-Pondwe'!J51+'Avg Week Pondwe-Kasese'!J51</f>
        <v>0.33333333333333331</v>
      </c>
      <c r="K51" s="49">
        <f>'Avg Week Kasese-Pondwe'!K51+'Avg Week Pondwe-Kasese'!K51</f>
        <v>0</v>
      </c>
      <c r="L51" s="49">
        <f>'Avg Week Kasese-Pondwe'!L51+'Avg Week Pondwe-Kasese'!L51</f>
        <v>0.66666666666666663</v>
      </c>
      <c r="M51" s="49">
        <f>'Avg Week Kasese-Pondwe'!M51+'Avg Week Pondwe-Kasese'!M51</f>
        <v>110.66666666666667</v>
      </c>
      <c r="N51" s="49">
        <f>'Avg Week Kasese-Pondwe'!N51+'Avg Week Pondwe-Kasese'!N51</f>
        <v>0</v>
      </c>
      <c r="O51" s="15">
        <f t="shared" si="0"/>
        <v>21.333333333333332</v>
      </c>
      <c r="P51" s="15">
        <f t="shared" si="1"/>
        <v>132</v>
      </c>
      <c r="R51" s="8"/>
      <c r="T51"/>
    </row>
    <row r="52" spans="2:20" ht="23.1" customHeight="1" x14ac:dyDescent="0.25">
      <c r="B52" s="24" t="s">
        <v>79</v>
      </c>
      <c r="C52" s="49">
        <f>'Avg Week Kasese-Pondwe'!C52+'Avg Week Pondwe-Kasese'!C52</f>
        <v>12.333333333333332</v>
      </c>
      <c r="D52" s="49">
        <f>'Avg Week Kasese-Pondwe'!D52+'Avg Week Pondwe-Kasese'!D52</f>
        <v>0.66666666666666663</v>
      </c>
      <c r="E52" s="49">
        <f>'Avg Week Kasese-Pondwe'!E52+'Avg Week Pondwe-Kasese'!E52</f>
        <v>0.33333333333333331</v>
      </c>
      <c r="F52" s="49">
        <f>'Avg Week Kasese-Pondwe'!F52+'Avg Week Pondwe-Kasese'!F52</f>
        <v>1.3333333333333333</v>
      </c>
      <c r="G52" s="49">
        <f>'Avg Week Kasese-Pondwe'!G52+'Avg Week Pondwe-Kasese'!G52</f>
        <v>0</v>
      </c>
      <c r="H52" s="49">
        <f>'Avg Week Kasese-Pondwe'!H52+'Avg Week Pondwe-Kasese'!H52</f>
        <v>0</v>
      </c>
      <c r="I52" s="49">
        <f>'Avg Week Kasese-Pondwe'!I52+'Avg Week Pondwe-Kasese'!I52</f>
        <v>2</v>
      </c>
      <c r="J52" s="49">
        <f>'Avg Week Kasese-Pondwe'!J52+'Avg Week Pondwe-Kasese'!J52</f>
        <v>0.66666666666666663</v>
      </c>
      <c r="K52" s="49">
        <f>'Avg Week Kasese-Pondwe'!K52+'Avg Week Pondwe-Kasese'!K52</f>
        <v>0.66666666666666663</v>
      </c>
      <c r="L52" s="49">
        <f>'Avg Week Kasese-Pondwe'!L52+'Avg Week Pondwe-Kasese'!L52</f>
        <v>1.6666666666666665</v>
      </c>
      <c r="M52" s="49">
        <f>'Avg Week Kasese-Pondwe'!M52+'Avg Week Pondwe-Kasese'!M52</f>
        <v>107.33333333333333</v>
      </c>
      <c r="N52" s="49">
        <f>'Avg Week Kasese-Pondwe'!N52+'Avg Week Pondwe-Kasese'!N52</f>
        <v>0</v>
      </c>
      <c r="O52" s="15">
        <f t="shared" si="0"/>
        <v>19.666666666666668</v>
      </c>
      <c r="P52" s="15">
        <f t="shared" si="1"/>
        <v>127</v>
      </c>
      <c r="R52" s="8"/>
      <c r="T52"/>
    </row>
    <row r="53" spans="2:20" ht="23.1" customHeight="1" x14ac:dyDescent="0.25">
      <c r="B53" s="23" t="s">
        <v>80</v>
      </c>
      <c r="C53" s="49">
        <f>'Avg Week Kasese-Pondwe'!C53+'Avg Week Pondwe-Kasese'!C53</f>
        <v>10.333333333333334</v>
      </c>
      <c r="D53" s="49">
        <f>'Avg Week Kasese-Pondwe'!D53+'Avg Week Pondwe-Kasese'!D53</f>
        <v>1</v>
      </c>
      <c r="E53" s="49">
        <f>'Avg Week Kasese-Pondwe'!E53+'Avg Week Pondwe-Kasese'!E53</f>
        <v>0</v>
      </c>
      <c r="F53" s="49">
        <f>'Avg Week Kasese-Pondwe'!F53+'Avg Week Pondwe-Kasese'!F53</f>
        <v>1.6666666666666665</v>
      </c>
      <c r="G53" s="49">
        <f>'Avg Week Kasese-Pondwe'!G53+'Avg Week Pondwe-Kasese'!G53</f>
        <v>0</v>
      </c>
      <c r="H53" s="49">
        <f>'Avg Week Kasese-Pondwe'!H53+'Avg Week Pondwe-Kasese'!H53</f>
        <v>0</v>
      </c>
      <c r="I53" s="49">
        <f>'Avg Week Kasese-Pondwe'!I53+'Avg Week Pondwe-Kasese'!I53</f>
        <v>1.3333333333333333</v>
      </c>
      <c r="J53" s="49">
        <f>'Avg Week Kasese-Pondwe'!J53+'Avg Week Pondwe-Kasese'!J53</f>
        <v>0.33333333333333331</v>
      </c>
      <c r="K53" s="49">
        <f>'Avg Week Kasese-Pondwe'!K53+'Avg Week Pondwe-Kasese'!K53</f>
        <v>0.33333333333333331</v>
      </c>
      <c r="L53" s="49">
        <f>'Avg Week Kasese-Pondwe'!L53+'Avg Week Pondwe-Kasese'!L53</f>
        <v>2</v>
      </c>
      <c r="M53" s="49">
        <f>'Avg Week Kasese-Pondwe'!M53+'Avg Week Pondwe-Kasese'!M53</f>
        <v>99.333333333333343</v>
      </c>
      <c r="N53" s="49">
        <f>'Avg Week Kasese-Pondwe'!N53+'Avg Week Pondwe-Kasese'!N53</f>
        <v>0</v>
      </c>
      <c r="O53" s="15">
        <f t="shared" si="0"/>
        <v>17</v>
      </c>
      <c r="P53" s="15">
        <f t="shared" si="1"/>
        <v>116.33333333333334</v>
      </c>
      <c r="R53" s="8"/>
      <c r="T53"/>
    </row>
    <row r="54" spans="2:20" ht="23.1" customHeight="1" x14ac:dyDescent="0.25">
      <c r="B54" s="23" t="s">
        <v>81</v>
      </c>
      <c r="C54" s="49">
        <f>'Avg Week Kasese-Pondwe'!C54+'Avg Week Pondwe-Kasese'!C54</f>
        <v>8.6666666666666661</v>
      </c>
      <c r="D54" s="49">
        <f>'Avg Week Kasese-Pondwe'!D54+'Avg Week Pondwe-Kasese'!D54</f>
        <v>0.66666666666666663</v>
      </c>
      <c r="E54" s="49">
        <f>'Avg Week Kasese-Pondwe'!E54+'Avg Week Pondwe-Kasese'!E54</f>
        <v>0.33333333333333331</v>
      </c>
      <c r="F54" s="49">
        <f>'Avg Week Kasese-Pondwe'!F54+'Avg Week Pondwe-Kasese'!F54</f>
        <v>2</v>
      </c>
      <c r="G54" s="49">
        <f>'Avg Week Kasese-Pondwe'!G54+'Avg Week Pondwe-Kasese'!G54</f>
        <v>0</v>
      </c>
      <c r="H54" s="49">
        <f>'Avg Week Kasese-Pondwe'!H54+'Avg Week Pondwe-Kasese'!H54</f>
        <v>0.66666666666666663</v>
      </c>
      <c r="I54" s="49">
        <f>'Avg Week Kasese-Pondwe'!I54+'Avg Week Pondwe-Kasese'!I54</f>
        <v>1</v>
      </c>
      <c r="J54" s="49">
        <f>'Avg Week Kasese-Pondwe'!J54+'Avg Week Pondwe-Kasese'!J54</f>
        <v>0.66666666666666663</v>
      </c>
      <c r="K54" s="49">
        <f>'Avg Week Kasese-Pondwe'!K54+'Avg Week Pondwe-Kasese'!K54</f>
        <v>0.33333333333333331</v>
      </c>
      <c r="L54" s="49">
        <f>'Avg Week Kasese-Pondwe'!L54+'Avg Week Pondwe-Kasese'!L54</f>
        <v>1.6666666666666665</v>
      </c>
      <c r="M54" s="49">
        <f>'Avg Week Kasese-Pondwe'!M54+'Avg Week Pondwe-Kasese'!M54</f>
        <v>126.33333333333333</v>
      </c>
      <c r="N54" s="49">
        <f>'Avg Week Kasese-Pondwe'!N54+'Avg Week Pondwe-Kasese'!N54</f>
        <v>0</v>
      </c>
      <c r="O54" s="15">
        <f t="shared" si="0"/>
        <v>15.999999999999998</v>
      </c>
      <c r="P54" s="15">
        <f t="shared" si="1"/>
        <v>142.33333333333331</v>
      </c>
      <c r="R54" s="8"/>
      <c r="T54"/>
    </row>
    <row r="55" spans="2:20" ht="23.1" customHeight="1" x14ac:dyDescent="0.25">
      <c r="B55" s="23" t="s">
        <v>82</v>
      </c>
      <c r="C55" s="49">
        <f>'Avg Week Kasese-Pondwe'!C55+'Avg Week Pondwe-Kasese'!C55</f>
        <v>13</v>
      </c>
      <c r="D55" s="49">
        <f>'Avg Week Kasese-Pondwe'!D55+'Avg Week Pondwe-Kasese'!D55</f>
        <v>0.66666666666666663</v>
      </c>
      <c r="E55" s="49">
        <f>'Avg Week Kasese-Pondwe'!E55+'Avg Week Pondwe-Kasese'!E55</f>
        <v>0.33333333333333331</v>
      </c>
      <c r="F55" s="49">
        <f>'Avg Week Kasese-Pondwe'!F55+'Avg Week Pondwe-Kasese'!F55</f>
        <v>1.6666666666666665</v>
      </c>
      <c r="G55" s="49">
        <f>'Avg Week Kasese-Pondwe'!G55+'Avg Week Pondwe-Kasese'!G55</f>
        <v>0</v>
      </c>
      <c r="H55" s="49">
        <f>'Avg Week Kasese-Pondwe'!H55+'Avg Week Pondwe-Kasese'!H55</f>
        <v>0</v>
      </c>
      <c r="I55" s="49">
        <f>'Avg Week Kasese-Pondwe'!I55+'Avg Week Pondwe-Kasese'!I55</f>
        <v>1.6666666666666665</v>
      </c>
      <c r="J55" s="49">
        <f>'Avg Week Kasese-Pondwe'!J55+'Avg Week Pondwe-Kasese'!J55</f>
        <v>1.3333333333333333</v>
      </c>
      <c r="K55" s="49">
        <f>'Avg Week Kasese-Pondwe'!K55+'Avg Week Pondwe-Kasese'!K55</f>
        <v>0.33333333333333331</v>
      </c>
      <c r="L55" s="49">
        <f>'Avg Week Kasese-Pondwe'!L55+'Avg Week Pondwe-Kasese'!L55</f>
        <v>1</v>
      </c>
      <c r="M55" s="49">
        <f>'Avg Week Kasese-Pondwe'!M55+'Avg Week Pondwe-Kasese'!M55</f>
        <v>146.66666666666666</v>
      </c>
      <c r="N55" s="49">
        <f>'Avg Week Kasese-Pondwe'!N55+'Avg Week Pondwe-Kasese'!N55</f>
        <v>0</v>
      </c>
      <c r="O55" s="15">
        <f t="shared" si="0"/>
        <v>19.999999999999996</v>
      </c>
      <c r="P55" s="15">
        <f t="shared" si="1"/>
        <v>166.66666666666666</v>
      </c>
      <c r="R55" s="8"/>
      <c r="T55"/>
    </row>
    <row r="56" spans="2:20" ht="23.1" customHeight="1" x14ac:dyDescent="0.25">
      <c r="B56" s="23" t="s">
        <v>83</v>
      </c>
      <c r="C56" s="49">
        <f>'Avg Week Kasese-Pondwe'!C56+'Avg Week Pondwe-Kasese'!C56</f>
        <v>10.666666666666668</v>
      </c>
      <c r="D56" s="49">
        <f>'Avg Week Kasese-Pondwe'!D56+'Avg Week Pondwe-Kasese'!D56</f>
        <v>0.33333333333333331</v>
      </c>
      <c r="E56" s="49">
        <f>'Avg Week Kasese-Pondwe'!E56+'Avg Week Pondwe-Kasese'!E56</f>
        <v>0</v>
      </c>
      <c r="F56" s="49">
        <f>'Avg Week Kasese-Pondwe'!F56+'Avg Week Pondwe-Kasese'!F56</f>
        <v>1.6666666666666665</v>
      </c>
      <c r="G56" s="49">
        <f>'Avg Week Kasese-Pondwe'!G56+'Avg Week Pondwe-Kasese'!G56</f>
        <v>0</v>
      </c>
      <c r="H56" s="49">
        <f>'Avg Week Kasese-Pondwe'!H56+'Avg Week Pondwe-Kasese'!H56</f>
        <v>0</v>
      </c>
      <c r="I56" s="49">
        <f>'Avg Week Kasese-Pondwe'!I56+'Avg Week Pondwe-Kasese'!I56</f>
        <v>1.3333333333333333</v>
      </c>
      <c r="J56" s="49">
        <f>'Avg Week Kasese-Pondwe'!J56+'Avg Week Pondwe-Kasese'!J56</f>
        <v>0</v>
      </c>
      <c r="K56" s="49">
        <f>'Avg Week Kasese-Pondwe'!K56+'Avg Week Pondwe-Kasese'!K56</f>
        <v>0</v>
      </c>
      <c r="L56" s="49">
        <f>'Avg Week Kasese-Pondwe'!L56+'Avg Week Pondwe-Kasese'!L56</f>
        <v>0.66666666666666663</v>
      </c>
      <c r="M56" s="49">
        <f>'Avg Week Kasese-Pondwe'!M56+'Avg Week Pondwe-Kasese'!M56</f>
        <v>162</v>
      </c>
      <c r="N56" s="49">
        <f>'Avg Week Kasese-Pondwe'!N56+'Avg Week Pondwe-Kasese'!N56</f>
        <v>0</v>
      </c>
      <c r="O56" s="15">
        <f t="shared" si="0"/>
        <v>14.666666666666668</v>
      </c>
      <c r="P56" s="15">
        <f t="shared" si="1"/>
        <v>176.66666666666666</v>
      </c>
      <c r="R56" s="8"/>
      <c r="T56"/>
    </row>
    <row r="57" spans="2:20" ht="23.1" customHeight="1" x14ac:dyDescent="0.25">
      <c r="B57" s="23" t="s">
        <v>84</v>
      </c>
      <c r="C57" s="49">
        <f>'Avg Week Kasese-Pondwe'!C57+'Avg Week Pondwe-Kasese'!C57</f>
        <v>12</v>
      </c>
      <c r="D57" s="49">
        <f>'Avg Week Kasese-Pondwe'!D57+'Avg Week Pondwe-Kasese'!D57</f>
        <v>0.66666666666666663</v>
      </c>
      <c r="E57" s="49">
        <f>'Avg Week Kasese-Pondwe'!E57+'Avg Week Pondwe-Kasese'!E57</f>
        <v>0.33333333333333331</v>
      </c>
      <c r="F57" s="49">
        <f>'Avg Week Kasese-Pondwe'!F57+'Avg Week Pondwe-Kasese'!F57</f>
        <v>1.3333333333333333</v>
      </c>
      <c r="G57" s="49">
        <f>'Avg Week Kasese-Pondwe'!G57+'Avg Week Pondwe-Kasese'!G57</f>
        <v>0</v>
      </c>
      <c r="H57" s="49">
        <f>'Avg Week Kasese-Pondwe'!H57+'Avg Week Pondwe-Kasese'!H57</f>
        <v>0</v>
      </c>
      <c r="I57" s="49">
        <f>'Avg Week Kasese-Pondwe'!I57+'Avg Week Pondwe-Kasese'!I57</f>
        <v>1.6666666666666665</v>
      </c>
      <c r="J57" s="49">
        <f>'Avg Week Kasese-Pondwe'!J57+'Avg Week Pondwe-Kasese'!J57</f>
        <v>1.3333333333333333</v>
      </c>
      <c r="K57" s="49">
        <f>'Avg Week Kasese-Pondwe'!K57+'Avg Week Pondwe-Kasese'!K57</f>
        <v>0.33333333333333331</v>
      </c>
      <c r="L57" s="49">
        <f>'Avg Week Kasese-Pondwe'!L57+'Avg Week Pondwe-Kasese'!L57</f>
        <v>0.66666666666666663</v>
      </c>
      <c r="M57" s="49">
        <f>'Avg Week Kasese-Pondwe'!M57+'Avg Week Pondwe-Kasese'!M57</f>
        <v>148</v>
      </c>
      <c r="N57" s="49">
        <f>'Avg Week Kasese-Pondwe'!N57+'Avg Week Pondwe-Kasese'!N57</f>
        <v>0</v>
      </c>
      <c r="O57" s="15">
        <f t="shared" si="0"/>
        <v>18.333333333333332</v>
      </c>
      <c r="P57" s="15">
        <f t="shared" si="1"/>
        <v>166.33333333333334</v>
      </c>
      <c r="R57" s="8"/>
      <c r="T57"/>
    </row>
    <row r="58" spans="2:20" ht="23.1" customHeight="1" x14ac:dyDescent="0.25">
      <c r="B58" s="23" t="s">
        <v>99</v>
      </c>
      <c r="C58" s="49">
        <f>'Avg Week Kasese-Pondwe'!C58+'Avg Week Pondwe-Kasese'!C58</f>
        <v>12</v>
      </c>
      <c r="D58" s="49">
        <f>'Avg Week Kasese-Pondwe'!D58+'Avg Week Pondwe-Kasese'!D58</f>
        <v>2</v>
      </c>
      <c r="E58" s="49">
        <f>'Avg Week Kasese-Pondwe'!E58+'Avg Week Pondwe-Kasese'!E58</f>
        <v>0</v>
      </c>
      <c r="F58" s="49">
        <f>'Avg Week Kasese-Pondwe'!F58+'Avg Week Pondwe-Kasese'!F58</f>
        <v>4</v>
      </c>
      <c r="G58" s="49">
        <f>'Avg Week Kasese-Pondwe'!G58+'Avg Week Pondwe-Kasese'!G58</f>
        <v>1</v>
      </c>
      <c r="H58" s="49">
        <f>'Avg Week Kasese-Pondwe'!H58+'Avg Week Pondwe-Kasese'!H58</f>
        <v>0</v>
      </c>
      <c r="I58" s="49">
        <f>'Avg Week Kasese-Pondwe'!I58+'Avg Week Pondwe-Kasese'!I58</f>
        <v>2</v>
      </c>
      <c r="J58" s="49">
        <f>'Avg Week Kasese-Pondwe'!J58+'Avg Week Pondwe-Kasese'!J58</f>
        <v>1</v>
      </c>
      <c r="K58" s="49">
        <f>'Avg Week Kasese-Pondwe'!K58+'Avg Week Pondwe-Kasese'!K58</f>
        <v>0</v>
      </c>
      <c r="L58" s="49">
        <f>'Avg Week Kasese-Pondwe'!L58+'Avg Week Pondwe-Kasese'!L58</f>
        <v>1</v>
      </c>
      <c r="M58" s="49">
        <f>'Avg Week Kasese-Pondwe'!M58+'Avg Week Pondwe-Kasese'!M58</f>
        <v>170</v>
      </c>
      <c r="N58" s="49">
        <f>'Avg Week Kasese-Pondwe'!N58+'Avg Week Pondwe-Kasese'!N58</f>
        <v>0</v>
      </c>
      <c r="O58" s="15">
        <f t="shared" si="0"/>
        <v>23</v>
      </c>
      <c r="P58" s="15">
        <f t="shared" si="1"/>
        <v>193</v>
      </c>
      <c r="R58" s="8"/>
      <c r="T58"/>
    </row>
    <row r="59" spans="2:20" ht="23.1" customHeight="1" x14ac:dyDescent="0.25">
      <c r="B59" s="23" t="s">
        <v>100</v>
      </c>
      <c r="C59" s="49">
        <f>'Avg Week Kasese-Pondwe'!C59+'Avg Week Pondwe-Kasese'!C59</f>
        <v>22</v>
      </c>
      <c r="D59" s="49">
        <f>'Avg Week Kasese-Pondwe'!D59+'Avg Week Pondwe-Kasese'!D59</f>
        <v>2</v>
      </c>
      <c r="E59" s="49">
        <f>'Avg Week Kasese-Pondwe'!E59+'Avg Week Pondwe-Kasese'!E59</f>
        <v>0</v>
      </c>
      <c r="F59" s="49">
        <f>'Avg Week Kasese-Pondwe'!F59+'Avg Week Pondwe-Kasese'!F59</f>
        <v>1</v>
      </c>
      <c r="G59" s="49">
        <f>'Avg Week Kasese-Pondwe'!G59+'Avg Week Pondwe-Kasese'!G59</f>
        <v>0</v>
      </c>
      <c r="H59" s="49">
        <f>'Avg Week Kasese-Pondwe'!H59+'Avg Week Pondwe-Kasese'!H59</f>
        <v>1</v>
      </c>
      <c r="I59" s="49">
        <f>'Avg Week Kasese-Pondwe'!I59+'Avg Week Pondwe-Kasese'!I59</f>
        <v>2</v>
      </c>
      <c r="J59" s="49">
        <f>'Avg Week Kasese-Pondwe'!J59+'Avg Week Pondwe-Kasese'!J59</f>
        <v>0</v>
      </c>
      <c r="K59" s="49">
        <f>'Avg Week Kasese-Pondwe'!K59+'Avg Week Pondwe-Kasese'!K59</f>
        <v>0</v>
      </c>
      <c r="L59" s="49">
        <f>'Avg Week Kasese-Pondwe'!L59+'Avg Week Pondwe-Kasese'!L59</f>
        <v>1</v>
      </c>
      <c r="M59" s="49">
        <f>'Avg Week Kasese-Pondwe'!M59+'Avg Week Pondwe-Kasese'!M59</f>
        <v>138</v>
      </c>
      <c r="N59" s="49">
        <f>'Avg Week Kasese-Pondwe'!N59+'Avg Week Pondwe-Kasese'!N59</f>
        <v>0</v>
      </c>
      <c r="O59" s="15">
        <f t="shared" si="0"/>
        <v>29</v>
      </c>
      <c r="P59" s="15">
        <f t="shared" si="1"/>
        <v>167</v>
      </c>
      <c r="R59" s="8"/>
      <c r="T59"/>
    </row>
    <row r="60" spans="2:20" ht="23.1" customHeight="1" x14ac:dyDescent="0.25">
      <c r="B60" s="23" t="s">
        <v>101</v>
      </c>
      <c r="C60" s="49">
        <f>'Avg Week Kasese-Pondwe'!C60+'Avg Week Pondwe-Kasese'!C60</f>
        <v>8</v>
      </c>
      <c r="D60" s="49">
        <f>'Avg Week Kasese-Pondwe'!D60+'Avg Week Pondwe-Kasese'!D60</f>
        <v>0</v>
      </c>
      <c r="E60" s="49">
        <f>'Avg Week Kasese-Pondwe'!E60+'Avg Week Pondwe-Kasese'!E60</f>
        <v>1</v>
      </c>
      <c r="F60" s="49">
        <f>'Avg Week Kasese-Pondwe'!F60+'Avg Week Pondwe-Kasese'!F60</f>
        <v>3</v>
      </c>
      <c r="G60" s="49">
        <f>'Avg Week Kasese-Pondwe'!G60+'Avg Week Pondwe-Kasese'!G60</f>
        <v>0</v>
      </c>
      <c r="H60" s="49">
        <f>'Avg Week Kasese-Pondwe'!H60+'Avg Week Pondwe-Kasese'!H60</f>
        <v>2</v>
      </c>
      <c r="I60" s="49">
        <f>'Avg Week Kasese-Pondwe'!I60+'Avg Week Pondwe-Kasese'!I60</f>
        <v>0</v>
      </c>
      <c r="J60" s="49">
        <f>'Avg Week Kasese-Pondwe'!J60+'Avg Week Pondwe-Kasese'!J60</f>
        <v>1</v>
      </c>
      <c r="K60" s="49">
        <f>'Avg Week Kasese-Pondwe'!K60+'Avg Week Pondwe-Kasese'!K60</f>
        <v>0</v>
      </c>
      <c r="L60" s="49">
        <f>'Avg Week Kasese-Pondwe'!L60+'Avg Week Pondwe-Kasese'!L60</f>
        <v>1</v>
      </c>
      <c r="M60" s="49">
        <f>'Avg Week Kasese-Pondwe'!M60+'Avg Week Pondwe-Kasese'!M60</f>
        <v>137</v>
      </c>
      <c r="N60" s="49">
        <f>'Avg Week Kasese-Pondwe'!N60+'Avg Week Pondwe-Kasese'!N60</f>
        <v>0</v>
      </c>
      <c r="O60" s="15">
        <f t="shared" si="0"/>
        <v>16</v>
      </c>
      <c r="P60" s="15">
        <f t="shared" si="1"/>
        <v>153</v>
      </c>
      <c r="R60" s="8"/>
      <c r="T60"/>
    </row>
    <row r="61" spans="2:20" ht="23.1" customHeight="1" x14ac:dyDescent="0.25">
      <c r="B61" s="23" t="s">
        <v>102</v>
      </c>
      <c r="C61" s="49">
        <f>'Avg Week Kasese-Pondwe'!C61+'Avg Week Pondwe-Kasese'!C61</f>
        <v>9</v>
      </c>
      <c r="D61" s="49">
        <f>'Avg Week Kasese-Pondwe'!D61+'Avg Week Pondwe-Kasese'!D61</f>
        <v>0</v>
      </c>
      <c r="E61" s="49">
        <f>'Avg Week Kasese-Pondwe'!E61+'Avg Week Pondwe-Kasese'!E61</f>
        <v>0</v>
      </c>
      <c r="F61" s="49">
        <f>'Avg Week Kasese-Pondwe'!F61+'Avg Week Pondwe-Kasese'!F61</f>
        <v>3</v>
      </c>
      <c r="G61" s="49">
        <f>'Avg Week Kasese-Pondwe'!G61+'Avg Week Pondwe-Kasese'!G61</f>
        <v>0</v>
      </c>
      <c r="H61" s="49">
        <f>'Avg Week Kasese-Pondwe'!H61+'Avg Week Pondwe-Kasese'!H61</f>
        <v>0</v>
      </c>
      <c r="I61" s="49">
        <f>'Avg Week Kasese-Pondwe'!I61+'Avg Week Pondwe-Kasese'!I61</f>
        <v>2</v>
      </c>
      <c r="J61" s="49">
        <f>'Avg Week Kasese-Pondwe'!J61+'Avg Week Pondwe-Kasese'!J61</f>
        <v>2</v>
      </c>
      <c r="K61" s="49">
        <f>'Avg Week Kasese-Pondwe'!K61+'Avg Week Pondwe-Kasese'!K61</f>
        <v>1</v>
      </c>
      <c r="L61" s="49">
        <f>'Avg Week Kasese-Pondwe'!L61+'Avg Week Pondwe-Kasese'!L61</f>
        <v>1</v>
      </c>
      <c r="M61" s="49">
        <f>'Avg Week Kasese-Pondwe'!M61+'Avg Week Pondwe-Kasese'!M61</f>
        <v>121</v>
      </c>
      <c r="N61" s="49">
        <f>'Avg Week Kasese-Pondwe'!N61+'Avg Week Pondwe-Kasese'!N61</f>
        <v>0</v>
      </c>
      <c r="O61" s="15">
        <f t="shared" si="0"/>
        <v>18</v>
      </c>
      <c r="P61" s="15">
        <f t="shared" si="1"/>
        <v>139</v>
      </c>
      <c r="R61" s="8"/>
      <c r="T61"/>
    </row>
    <row r="62" spans="2:20" ht="23.1" customHeight="1" x14ac:dyDescent="0.25">
      <c r="B62" s="23" t="s">
        <v>107</v>
      </c>
      <c r="C62" s="49">
        <f>'Avg Week Kasese-Pondwe'!C62+'Avg Week Pondwe-Kasese'!C62</f>
        <v>20</v>
      </c>
      <c r="D62" s="49">
        <f>'Avg Week Kasese-Pondwe'!D62+'Avg Week Pondwe-Kasese'!D62</f>
        <v>0</v>
      </c>
      <c r="E62" s="49">
        <f>'Avg Week Kasese-Pondwe'!E62+'Avg Week Pondwe-Kasese'!E62</f>
        <v>0</v>
      </c>
      <c r="F62" s="49">
        <f>'Avg Week Kasese-Pondwe'!F62+'Avg Week Pondwe-Kasese'!F62</f>
        <v>4</v>
      </c>
      <c r="G62" s="49">
        <f>'Avg Week Kasese-Pondwe'!G62+'Avg Week Pondwe-Kasese'!G62</f>
        <v>0</v>
      </c>
      <c r="H62" s="49">
        <f>'Avg Week Kasese-Pondwe'!H62+'Avg Week Pondwe-Kasese'!H62</f>
        <v>4</v>
      </c>
      <c r="I62" s="49">
        <f>'Avg Week Kasese-Pondwe'!I62+'Avg Week Pondwe-Kasese'!I62</f>
        <v>1</v>
      </c>
      <c r="J62" s="49">
        <f>'Avg Week Kasese-Pondwe'!J62+'Avg Week Pondwe-Kasese'!J62</f>
        <v>2</v>
      </c>
      <c r="K62" s="49">
        <f>'Avg Week Kasese-Pondwe'!K62+'Avg Week Pondwe-Kasese'!K62</f>
        <v>0</v>
      </c>
      <c r="L62" s="49">
        <f>'Avg Week Kasese-Pondwe'!L62+'Avg Week Pondwe-Kasese'!L62</f>
        <v>0</v>
      </c>
      <c r="M62" s="49">
        <f>'Avg Week Kasese-Pondwe'!M62+'Avg Week Pondwe-Kasese'!M62</f>
        <v>107</v>
      </c>
      <c r="N62" s="49">
        <f>'Avg Week Kasese-Pondwe'!N62+'Avg Week Pondwe-Kasese'!N62</f>
        <v>0</v>
      </c>
      <c r="O62" s="15">
        <f t="shared" si="0"/>
        <v>31</v>
      </c>
      <c r="P62" s="15">
        <f t="shared" si="1"/>
        <v>138</v>
      </c>
      <c r="R62" s="8"/>
      <c r="T62"/>
    </row>
    <row r="63" spans="2:20" ht="23.1" customHeight="1" x14ac:dyDescent="0.25">
      <c r="B63" s="23" t="s">
        <v>108</v>
      </c>
      <c r="C63" s="49">
        <f>'Avg Week Kasese-Pondwe'!C63+'Avg Week Pondwe-Kasese'!C63</f>
        <v>4</v>
      </c>
      <c r="D63" s="49">
        <f>'Avg Week Kasese-Pondwe'!D63+'Avg Week Pondwe-Kasese'!D63</f>
        <v>1</v>
      </c>
      <c r="E63" s="49">
        <f>'Avg Week Kasese-Pondwe'!E63+'Avg Week Pondwe-Kasese'!E63</f>
        <v>0</v>
      </c>
      <c r="F63" s="49">
        <f>'Avg Week Kasese-Pondwe'!F63+'Avg Week Pondwe-Kasese'!F63</f>
        <v>1</v>
      </c>
      <c r="G63" s="49">
        <f>'Avg Week Kasese-Pondwe'!G63+'Avg Week Pondwe-Kasese'!G63</f>
        <v>0</v>
      </c>
      <c r="H63" s="49">
        <f>'Avg Week Kasese-Pondwe'!H63+'Avg Week Pondwe-Kasese'!H63</f>
        <v>1</v>
      </c>
      <c r="I63" s="49">
        <f>'Avg Week Kasese-Pondwe'!I63+'Avg Week Pondwe-Kasese'!I63</f>
        <v>1</v>
      </c>
      <c r="J63" s="49">
        <f>'Avg Week Kasese-Pondwe'!J63+'Avg Week Pondwe-Kasese'!J63</f>
        <v>2</v>
      </c>
      <c r="K63" s="49">
        <f>'Avg Week Kasese-Pondwe'!K63+'Avg Week Pondwe-Kasese'!K63</f>
        <v>1</v>
      </c>
      <c r="L63" s="49">
        <f>'Avg Week Kasese-Pondwe'!L63+'Avg Week Pondwe-Kasese'!L63</f>
        <v>0</v>
      </c>
      <c r="M63" s="49">
        <f>'Avg Week Kasese-Pondwe'!M63+'Avg Week Pondwe-Kasese'!M63</f>
        <v>93</v>
      </c>
      <c r="N63" s="49">
        <f>'Avg Week Kasese-Pondwe'!N63+'Avg Week Pondwe-Kasese'!N63</f>
        <v>0</v>
      </c>
      <c r="O63" s="15">
        <f t="shared" si="0"/>
        <v>11</v>
      </c>
      <c r="P63" s="15">
        <f t="shared" si="1"/>
        <v>104</v>
      </c>
      <c r="R63" s="8"/>
      <c r="T63"/>
    </row>
    <row r="64" spans="2:20" ht="23.1" customHeight="1" x14ac:dyDescent="0.25">
      <c r="B64" s="23" t="s">
        <v>109</v>
      </c>
      <c r="C64" s="49">
        <f>'Avg Week Kasese-Pondwe'!C64+'Avg Week Pondwe-Kasese'!C64</f>
        <v>9</v>
      </c>
      <c r="D64" s="49">
        <f>'Avg Week Kasese-Pondwe'!D64+'Avg Week Pondwe-Kasese'!D64</f>
        <v>0</v>
      </c>
      <c r="E64" s="49">
        <f>'Avg Week Kasese-Pondwe'!E64+'Avg Week Pondwe-Kasese'!E64</f>
        <v>0</v>
      </c>
      <c r="F64" s="49">
        <f>'Avg Week Kasese-Pondwe'!F64+'Avg Week Pondwe-Kasese'!F64</f>
        <v>0</v>
      </c>
      <c r="G64" s="49">
        <f>'Avg Week Kasese-Pondwe'!G64+'Avg Week Pondwe-Kasese'!G64</f>
        <v>0</v>
      </c>
      <c r="H64" s="49">
        <f>'Avg Week Kasese-Pondwe'!H64+'Avg Week Pondwe-Kasese'!H64</f>
        <v>1</v>
      </c>
      <c r="I64" s="49">
        <f>'Avg Week Kasese-Pondwe'!I64+'Avg Week Pondwe-Kasese'!I64</f>
        <v>0</v>
      </c>
      <c r="J64" s="49">
        <f>'Avg Week Kasese-Pondwe'!J64+'Avg Week Pondwe-Kasese'!J64</f>
        <v>0</v>
      </c>
      <c r="K64" s="49">
        <f>'Avg Week Kasese-Pondwe'!K64+'Avg Week Pondwe-Kasese'!K64</f>
        <v>0</v>
      </c>
      <c r="L64" s="49">
        <f>'Avg Week Kasese-Pondwe'!L64+'Avg Week Pondwe-Kasese'!L64</f>
        <v>0</v>
      </c>
      <c r="M64" s="49">
        <f>'Avg Week Kasese-Pondwe'!M64+'Avg Week Pondwe-Kasese'!M64</f>
        <v>52</v>
      </c>
      <c r="N64" s="49">
        <f>'Avg Week Kasese-Pondwe'!N64+'Avg Week Pondwe-Kasese'!N64</f>
        <v>0</v>
      </c>
      <c r="O64" s="15">
        <f t="shared" si="0"/>
        <v>10</v>
      </c>
      <c r="P64" s="15">
        <f t="shared" si="1"/>
        <v>62</v>
      </c>
      <c r="R64" s="8"/>
      <c r="T64"/>
    </row>
    <row r="65" spans="2:20" ht="23.1" customHeight="1" x14ac:dyDescent="0.25">
      <c r="B65" s="23" t="s">
        <v>158</v>
      </c>
      <c r="C65" s="49">
        <f>'Avg Week Kasese-Pondwe'!C65+'Avg Week Pondwe-Kasese'!C65</f>
        <v>12</v>
      </c>
      <c r="D65" s="49">
        <f>'Avg Week Kasese-Pondwe'!D65+'Avg Week Pondwe-Kasese'!D65</f>
        <v>0</v>
      </c>
      <c r="E65" s="49">
        <f>'Avg Week Kasese-Pondwe'!E65+'Avg Week Pondwe-Kasese'!E65</f>
        <v>0</v>
      </c>
      <c r="F65" s="49">
        <f>'Avg Week Kasese-Pondwe'!F65+'Avg Week Pondwe-Kasese'!F65</f>
        <v>1</v>
      </c>
      <c r="G65" s="49">
        <f>'Avg Week Kasese-Pondwe'!G65+'Avg Week Pondwe-Kasese'!G65</f>
        <v>0</v>
      </c>
      <c r="H65" s="49">
        <f>'Avg Week Kasese-Pondwe'!H65+'Avg Week Pondwe-Kasese'!H65</f>
        <v>0</v>
      </c>
      <c r="I65" s="49">
        <f>'Avg Week Kasese-Pondwe'!I65+'Avg Week Pondwe-Kasese'!I65</f>
        <v>2</v>
      </c>
      <c r="J65" s="49">
        <f>'Avg Week Kasese-Pondwe'!J65+'Avg Week Pondwe-Kasese'!J65</f>
        <v>0</v>
      </c>
      <c r="K65" s="49">
        <f>'Avg Week Kasese-Pondwe'!K65+'Avg Week Pondwe-Kasese'!K65</f>
        <v>0</v>
      </c>
      <c r="L65" s="49">
        <f>'Avg Week Kasese-Pondwe'!L65+'Avg Week Pondwe-Kasese'!L65</f>
        <v>2</v>
      </c>
      <c r="M65" s="49">
        <f>'Avg Week Kasese-Pondwe'!M65+'Avg Week Pondwe-Kasese'!M65</f>
        <v>42</v>
      </c>
      <c r="N65" s="49">
        <f>'Avg Week Kasese-Pondwe'!N65+'Avg Week Pondwe-Kasese'!N65</f>
        <v>0</v>
      </c>
      <c r="O65" s="15">
        <f t="shared" si="0"/>
        <v>17</v>
      </c>
      <c r="P65" s="15">
        <f t="shared" si="1"/>
        <v>59</v>
      </c>
      <c r="R65" s="8"/>
      <c r="T65"/>
    </row>
    <row r="66" spans="2:20" ht="23.1" customHeight="1" x14ac:dyDescent="0.25">
      <c r="B66" s="23" t="s">
        <v>103</v>
      </c>
      <c r="C66" s="49">
        <f>'Avg Week Kasese-Pondwe'!C66+'Avg Week Pondwe-Kasese'!C66</f>
        <v>5</v>
      </c>
      <c r="D66" s="49">
        <f>'Avg Week Kasese-Pondwe'!D66+'Avg Week Pondwe-Kasese'!D66</f>
        <v>0</v>
      </c>
      <c r="E66" s="49">
        <f>'Avg Week Kasese-Pondwe'!E66+'Avg Week Pondwe-Kasese'!E66</f>
        <v>0</v>
      </c>
      <c r="F66" s="49">
        <f>'Avg Week Kasese-Pondwe'!F66+'Avg Week Pondwe-Kasese'!F66</f>
        <v>0</v>
      </c>
      <c r="G66" s="49">
        <f>'Avg Week Kasese-Pondwe'!G66+'Avg Week Pondwe-Kasese'!G66</f>
        <v>0</v>
      </c>
      <c r="H66" s="49">
        <f>'Avg Week Kasese-Pondwe'!H66+'Avg Week Pondwe-Kasese'!H66</f>
        <v>1</v>
      </c>
      <c r="I66" s="49">
        <f>'Avg Week Kasese-Pondwe'!I66+'Avg Week Pondwe-Kasese'!I66</f>
        <v>0</v>
      </c>
      <c r="J66" s="49">
        <f>'Avg Week Kasese-Pondwe'!J66+'Avg Week Pondwe-Kasese'!J66</f>
        <v>0</v>
      </c>
      <c r="K66" s="49">
        <f>'Avg Week Kasese-Pondwe'!K66+'Avg Week Pondwe-Kasese'!K66</f>
        <v>0</v>
      </c>
      <c r="L66" s="49">
        <f>'Avg Week Kasese-Pondwe'!L66+'Avg Week Pondwe-Kasese'!L66</f>
        <v>0</v>
      </c>
      <c r="M66" s="49">
        <f>'Avg Week Kasese-Pondwe'!M66+'Avg Week Pondwe-Kasese'!M66</f>
        <v>20</v>
      </c>
      <c r="N66" s="49">
        <f>'Avg Week Kasese-Pondwe'!N66+'Avg Week Pondwe-Kasese'!N66</f>
        <v>0</v>
      </c>
      <c r="O66" s="15">
        <f t="shared" si="0"/>
        <v>6</v>
      </c>
      <c r="P66" s="15">
        <f t="shared" si="1"/>
        <v>26</v>
      </c>
      <c r="R66" s="8"/>
      <c r="T66"/>
    </row>
    <row r="67" spans="2:20" ht="23.1" customHeight="1" x14ac:dyDescent="0.25">
      <c r="B67" s="23" t="s">
        <v>104</v>
      </c>
      <c r="C67" s="49">
        <f>'Avg Week Kasese-Pondwe'!C67+'Avg Week Pondwe-Kasese'!C67</f>
        <v>4</v>
      </c>
      <c r="D67" s="49">
        <f>'Avg Week Kasese-Pondwe'!D67+'Avg Week Pondwe-Kasese'!D67</f>
        <v>0</v>
      </c>
      <c r="E67" s="49">
        <f>'Avg Week Kasese-Pondwe'!E67+'Avg Week Pondwe-Kasese'!E67</f>
        <v>0</v>
      </c>
      <c r="F67" s="49">
        <f>'Avg Week Kasese-Pondwe'!F67+'Avg Week Pondwe-Kasese'!F67</f>
        <v>0</v>
      </c>
      <c r="G67" s="49">
        <f>'Avg Week Kasese-Pondwe'!G67+'Avg Week Pondwe-Kasese'!G67</f>
        <v>0</v>
      </c>
      <c r="H67" s="49">
        <f>'Avg Week Kasese-Pondwe'!H67+'Avg Week Pondwe-Kasese'!H67</f>
        <v>0</v>
      </c>
      <c r="I67" s="49">
        <f>'Avg Week Kasese-Pondwe'!I67+'Avg Week Pondwe-Kasese'!I67</f>
        <v>1</v>
      </c>
      <c r="J67" s="49">
        <f>'Avg Week Kasese-Pondwe'!J67+'Avg Week Pondwe-Kasese'!J67</f>
        <v>0</v>
      </c>
      <c r="K67" s="49">
        <f>'Avg Week Kasese-Pondwe'!K67+'Avg Week Pondwe-Kasese'!K67</f>
        <v>0</v>
      </c>
      <c r="L67" s="49">
        <f>'Avg Week Kasese-Pondwe'!L67+'Avg Week Pondwe-Kasese'!L67</f>
        <v>0</v>
      </c>
      <c r="M67" s="49">
        <f>'Avg Week Kasese-Pondwe'!M67+'Avg Week Pondwe-Kasese'!M67</f>
        <v>30</v>
      </c>
      <c r="N67" s="49">
        <f>'Avg Week Kasese-Pondwe'!N67+'Avg Week Pondwe-Kasese'!N67</f>
        <v>0</v>
      </c>
      <c r="O67" s="15">
        <f t="shared" si="0"/>
        <v>5</v>
      </c>
      <c r="P67" s="15">
        <f t="shared" si="1"/>
        <v>35</v>
      </c>
      <c r="R67" s="8"/>
      <c r="T67"/>
    </row>
    <row r="68" spans="2:20" ht="23.1" customHeight="1" x14ac:dyDescent="0.25">
      <c r="B68" s="23" t="s">
        <v>105</v>
      </c>
      <c r="C68" s="49">
        <f>'Avg Week Kasese-Pondwe'!C68+'Avg Week Pondwe-Kasese'!C68</f>
        <v>8</v>
      </c>
      <c r="D68" s="49">
        <f>'Avg Week Kasese-Pondwe'!D68+'Avg Week Pondwe-Kasese'!D68</f>
        <v>0</v>
      </c>
      <c r="E68" s="49">
        <f>'Avg Week Kasese-Pondwe'!E68+'Avg Week Pondwe-Kasese'!E68</f>
        <v>1</v>
      </c>
      <c r="F68" s="49">
        <f>'Avg Week Kasese-Pondwe'!F68+'Avg Week Pondwe-Kasese'!F68</f>
        <v>1</v>
      </c>
      <c r="G68" s="49">
        <f>'Avg Week Kasese-Pondwe'!G68+'Avg Week Pondwe-Kasese'!G68</f>
        <v>0</v>
      </c>
      <c r="H68" s="49">
        <f>'Avg Week Kasese-Pondwe'!H68+'Avg Week Pondwe-Kasese'!H68</f>
        <v>0</v>
      </c>
      <c r="I68" s="49">
        <f>'Avg Week Kasese-Pondwe'!I68+'Avg Week Pondwe-Kasese'!I68</f>
        <v>0</v>
      </c>
      <c r="J68" s="49">
        <f>'Avg Week Kasese-Pondwe'!J68+'Avg Week Pondwe-Kasese'!J68</f>
        <v>0</v>
      </c>
      <c r="K68" s="49">
        <f>'Avg Week Kasese-Pondwe'!K68+'Avg Week Pondwe-Kasese'!K68</f>
        <v>0</v>
      </c>
      <c r="L68" s="49">
        <f>'Avg Week Kasese-Pondwe'!L68+'Avg Week Pondwe-Kasese'!L68</f>
        <v>0</v>
      </c>
      <c r="M68" s="49">
        <f>'Avg Week Kasese-Pondwe'!M68+'Avg Week Pondwe-Kasese'!M68</f>
        <v>10</v>
      </c>
      <c r="N68" s="49">
        <f>'Avg Week Kasese-Pondwe'!N68+'Avg Week Pondwe-Kasese'!N68</f>
        <v>0</v>
      </c>
      <c r="O68" s="15">
        <f t="shared" si="0"/>
        <v>10</v>
      </c>
      <c r="P68" s="15">
        <f t="shared" si="1"/>
        <v>20</v>
      </c>
      <c r="R68" s="8"/>
      <c r="T68"/>
    </row>
    <row r="69" spans="2:20" ht="23.1" customHeight="1" x14ac:dyDescent="0.25">
      <c r="B69" s="23" t="s">
        <v>106</v>
      </c>
      <c r="C69" s="49">
        <f>'Avg Week Kasese-Pondwe'!C69+'Avg Week Pondwe-Kasese'!C69</f>
        <v>7</v>
      </c>
      <c r="D69" s="49">
        <f>'Avg Week Kasese-Pondwe'!D69+'Avg Week Pondwe-Kasese'!D69</f>
        <v>0</v>
      </c>
      <c r="E69" s="49">
        <f>'Avg Week Kasese-Pondwe'!E69+'Avg Week Pondwe-Kasese'!E69</f>
        <v>1</v>
      </c>
      <c r="F69" s="49">
        <f>'Avg Week Kasese-Pondwe'!F69+'Avg Week Pondwe-Kasese'!F69</f>
        <v>0</v>
      </c>
      <c r="G69" s="49">
        <f>'Avg Week Kasese-Pondwe'!G69+'Avg Week Pondwe-Kasese'!G69</f>
        <v>0</v>
      </c>
      <c r="H69" s="49">
        <f>'Avg Week Kasese-Pondwe'!H69+'Avg Week Pondwe-Kasese'!H69</f>
        <v>0</v>
      </c>
      <c r="I69" s="49">
        <f>'Avg Week Kasese-Pondwe'!I69+'Avg Week Pondwe-Kasese'!I69</f>
        <v>0</v>
      </c>
      <c r="J69" s="49">
        <f>'Avg Week Kasese-Pondwe'!J69+'Avg Week Pondwe-Kasese'!J69</f>
        <v>0</v>
      </c>
      <c r="K69" s="49">
        <f>'Avg Week Kasese-Pondwe'!K69+'Avg Week Pondwe-Kasese'!K69</f>
        <v>0</v>
      </c>
      <c r="L69" s="49">
        <f>'Avg Week Kasese-Pondwe'!L69+'Avg Week Pondwe-Kasese'!L69</f>
        <v>1</v>
      </c>
      <c r="M69" s="49">
        <f>'Avg Week Kasese-Pondwe'!M69+'Avg Week Pondwe-Kasese'!M69</f>
        <v>17</v>
      </c>
      <c r="N69" s="49">
        <f>'Avg Week Kasese-Pondwe'!N69+'Avg Week Pondwe-Kasese'!N69</f>
        <v>0</v>
      </c>
      <c r="O69" s="15">
        <f t="shared" si="0"/>
        <v>9</v>
      </c>
      <c r="P69" s="15">
        <f t="shared" si="1"/>
        <v>26</v>
      </c>
      <c r="R69" s="8"/>
      <c r="T69"/>
    </row>
    <row r="70" spans="2:20" ht="23.1" customHeight="1" x14ac:dyDescent="0.25">
      <c r="B70" s="23" t="s">
        <v>110</v>
      </c>
      <c r="C70" s="49">
        <f>'Avg Week Kasese-Pondwe'!C70+'Avg Week Pondwe-Kasese'!C70</f>
        <v>6</v>
      </c>
      <c r="D70" s="49">
        <f>'Avg Week Kasese-Pondwe'!D70+'Avg Week Pondwe-Kasese'!D70</f>
        <v>0</v>
      </c>
      <c r="E70" s="49">
        <f>'Avg Week Kasese-Pondwe'!E70+'Avg Week Pondwe-Kasese'!E70</f>
        <v>0</v>
      </c>
      <c r="F70" s="49">
        <f>'Avg Week Kasese-Pondwe'!F70+'Avg Week Pondwe-Kasese'!F70</f>
        <v>0</v>
      </c>
      <c r="G70" s="49">
        <f>'Avg Week Kasese-Pondwe'!G70+'Avg Week Pondwe-Kasese'!G70</f>
        <v>0</v>
      </c>
      <c r="H70" s="49">
        <f>'Avg Week Kasese-Pondwe'!H70+'Avg Week Pondwe-Kasese'!H70</f>
        <v>1</v>
      </c>
      <c r="I70" s="49">
        <f>'Avg Week Kasese-Pondwe'!I70+'Avg Week Pondwe-Kasese'!I70</f>
        <v>0</v>
      </c>
      <c r="J70" s="49">
        <f>'Avg Week Kasese-Pondwe'!J70+'Avg Week Pondwe-Kasese'!J70</f>
        <v>0</v>
      </c>
      <c r="K70" s="49">
        <f>'Avg Week Kasese-Pondwe'!K70+'Avg Week Pondwe-Kasese'!K70</f>
        <v>0</v>
      </c>
      <c r="L70" s="49">
        <f>'Avg Week Kasese-Pondwe'!L70+'Avg Week Pondwe-Kasese'!L70</f>
        <v>0</v>
      </c>
      <c r="M70" s="49">
        <f>'Avg Week Kasese-Pondwe'!M70+'Avg Week Pondwe-Kasese'!M70</f>
        <v>18</v>
      </c>
      <c r="N70" s="49">
        <f>'Avg Week Kasese-Pondwe'!N70+'Avg Week Pondwe-Kasese'!N70</f>
        <v>0</v>
      </c>
      <c r="O70" s="15">
        <f t="shared" si="0"/>
        <v>7</v>
      </c>
      <c r="P70" s="15">
        <f t="shared" si="1"/>
        <v>25</v>
      </c>
      <c r="R70" s="8"/>
      <c r="T70"/>
    </row>
    <row r="71" spans="2:20" ht="23.1" customHeight="1" x14ac:dyDescent="0.25">
      <c r="B71" s="23" t="s">
        <v>111</v>
      </c>
      <c r="C71" s="49">
        <f>'Avg Week Kasese-Pondwe'!C71+'Avg Week Pondwe-Kasese'!C71</f>
        <v>2</v>
      </c>
      <c r="D71" s="49">
        <f>'Avg Week Kasese-Pondwe'!D71+'Avg Week Pondwe-Kasese'!D71</f>
        <v>1</v>
      </c>
      <c r="E71" s="49">
        <f>'Avg Week Kasese-Pondwe'!E71+'Avg Week Pondwe-Kasese'!E71</f>
        <v>1</v>
      </c>
      <c r="F71" s="49">
        <f>'Avg Week Kasese-Pondwe'!F71+'Avg Week Pondwe-Kasese'!F71</f>
        <v>0</v>
      </c>
      <c r="G71" s="49">
        <f>'Avg Week Kasese-Pondwe'!G71+'Avg Week Pondwe-Kasese'!G71</f>
        <v>0</v>
      </c>
      <c r="H71" s="49">
        <f>'Avg Week Kasese-Pondwe'!H71+'Avg Week Pondwe-Kasese'!H71</f>
        <v>0</v>
      </c>
      <c r="I71" s="49">
        <f>'Avg Week Kasese-Pondwe'!I71+'Avg Week Pondwe-Kasese'!I71</f>
        <v>0</v>
      </c>
      <c r="J71" s="49">
        <f>'Avg Week Kasese-Pondwe'!J71+'Avg Week Pondwe-Kasese'!J71</f>
        <v>0</v>
      </c>
      <c r="K71" s="49">
        <f>'Avg Week Kasese-Pondwe'!K71+'Avg Week Pondwe-Kasese'!K71</f>
        <v>0</v>
      </c>
      <c r="L71" s="49">
        <f>'Avg Week Kasese-Pondwe'!L71+'Avg Week Pondwe-Kasese'!L71</f>
        <v>0</v>
      </c>
      <c r="M71" s="49">
        <f>'Avg Week Kasese-Pondwe'!M71+'Avg Week Pondwe-Kasese'!M71</f>
        <v>12</v>
      </c>
      <c r="N71" s="49">
        <f>'Avg Week Kasese-Pondwe'!N71+'Avg Week Pondwe-Kasese'!N71</f>
        <v>0</v>
      </c>
      <c r="O71" s="15">
        <f t="shared" si="0"/>
        <v>4</v>
      </c>
      <c r="P71" s="15">
        <f t="shared" si="1"/>
        <v>16</v>
      </c>
      <c r="R71" s="8"/>
      <c r="T71"/>
    </row>
    <row r="72" spans="2:20" ht="23.1" customHeight="1" x14ac:dyDescent="0.25">
      <c r="B72" s="23" t="s">
        <v>112</v>
      </c>
      <c r="C72" s="49">
        <f>'Avg Week Kasese-Pondwe'!C72+'Avg Week Pondwe-Kasese'!C72</f>
        <v>5</v>
      </c>
      <c r="D72" s="49">
        <f>'Avg Week Kasese-Pondwe'!D72+'Avg Week Pondwe-Kasese'!D72</f>
        <v>0</v>
      </c>
      <c r="E72" s="49">
        <f>'Avg Week Kasese-Pondwe'!E72+'Avg Week Pondwe-Kasese'!E72</f>
        <v>0</v>
      </c>
      <c r="F72" s="49">
        <f>'Avg Week Kasese-Pondwe'!F72+'Avg Week Pondwe-Kasese'!F72</f>
        <v>0</v>
      </c>
      <c r="G72" s="49">
        <f>'Avg Week Kasese-Pondwe'!G72+'Avg Week Pondwe-Kasese'!G72</f>
        <v>0</v>
      </c>
      <c r="H72" s="49">
        <f>'Avg Week Kasese-Pondwe'!H72+'Avg Week Pondwe-Kasese'!H72</f>
        <v>0</v>
      </c>
      <c r="I72" s="49">
        <f>'Avg Week Kasese-Pondwe'!I72+'Avg Week Pondwe-Kasese'!I72</f>
        <v>0</v>
      </c>
      <c r="J72" s="49">
        <f>'Avg Week Kasese-Pondwe'!J72+'Avg Week Pondwe-Kasese'!J72</f>
        <v>0</v>
      </c>
      <c r="K72" s="49">
        <f>'Avg Week Kasese-Pondwe'!K72+'Avg Week Pondwe-Kasese'!K72</f>
        <v>0</v>
      </c>
      <c r="L72" s="49">
        <f>'Avg Week Kasese-Pondwe'!L72+'Avg Week Pondwe-Kasese'!L72</f>
        <v>0</v>
      </c>
      <c r="M72" s="49">
        <f>'Avg Week Kasese-Pondwe'!M72+'Avg Week Pondwe-Kasese'!M72</f>
        <v>8</v>
      </c>
      <c r="N72" s="49">
        <f>'Avg Week Kasese-Pondwe'!N72+'Avg Week Pondwe-Kasese'!N72</f>
        <v>0</v>
      </c>
      <c r="O72" s="15">
        <f t="shared" si="0"/>
        <v>5</v>
      </c>
      <c r="P72" s="15">
        <f t="shared" si="1"/>
        <v>13</v>
      </c>
      <c r="R72" s="8"/>
      <c r="T72"/>
    </row>
    <row r="73" spans="2:20" ht="23.1" customHeight="1" x14ac:dyDescent="0.25">
      <c r="B73" s="23" t="s">
        <v>113</v>
      </c>
      <c r="C73" s="49">
        <f>'Avg Week Kasese-Pondwe'!C73+'Avg Week Pondwe-Kasese'!C73</f>
        <v>3</v>
      </c>
      <c r="D73" s="49">
        <f>'Avg Week Kasese-Pondwe'!D73+'Avg Week Pondwe-Kasese'!D73</f>
        <v>0</v>
      </c>
      <c r="E73" s="49">
        <f>'Avg Week Kasese-Pondwe'!E73+'Avg Week Pondwe-Kasese'!E73</f>
        <v>0</v>
      </c>
      <c r="F73" s="49">
        <f>'Avg Week Kasese-Pondwe'!F73+'Avg Week Pondwe-Kasese'!F73</f>
        <v>1</v>
      </c>
      <c r="G73" s="49">
        <f>'Avg Week Kasese-Pondwe'!G73+'Avg Week Pondwe-Kasese'!G73</f>
        <v>0</v>
      </c>
      <c r="H73" s="49">
        <f>'Avg Week Kasese-Pondwe'!H73+'Avg Week Pondwe-Kasese'!H73</f>
        <v>0</v>
      </c>
      <c r="I73" s="49">
        <f>'Avg Week Kasese-Pondwe'!I73+'Avg Week Pondwe-Kasese'!I73</f>
        <v>0</v>
      </c>
      <c r="J73" s="49">
        <f>'Avg Week Kasese-Pondwe'!J73+'Avg Week Pondwe-Kasese'!J73</f>
        <v>0</v>
      </c>
      <c r="K73" s="49">
        <f>'Avg Week Kasese-Pondwe'!K73+'Avg Week Pondwe-Kasese'!K73</f>
        <v>0</v>
      </c>
      <c r="L73" s="49">
        <f>'Avg Week Kasese-Pondwe'!L73+'Avg Week Pondwe-Kasese'!L73</f>
        <v>0</v>
      </c>
      <c r="M73" s="49">
        <f>'Avg Week Kasese-Pondwe'!M73+'Avg Week Pondwe-Kasese'!M73</f>
        <v>12</v>
      </c>
      <c r="N73" s="49">
        <f>'Avg Week Kasese-Pondwe'!N73+'Avg Week Pondwe-Kasese'!N73</f>
        <v>0</v>
      </c>
      <c r="O73" s="15">
        <f t="shared" si="0"/>
        <v>4</v>
      </c>
      <c r="P73" s="15">
        <f t="shared" si="1"/>
        <v>16</v>
      </c>
      <c r="R73" s="8"/>
      <c r="T73"/>
    </row>
    <row r="74" spans="2:20" ht="23.1" customHeight="1" x14ac:dyDescent="0.25">
      <c r="B74" s="23" t="s">
        <v>114</v>
      </c>
      <c r="C74" s="49">
        <f>'Avg Week Kasese-Pondwe'!C74+'Avg Week Pondwe-Kasese'!C74</f>
        <v>0</v>
      </c>
      <c r="D74" s="49">
        <f>'Avg Week Kasese-Pondwe'!D74+'Avg Week Pondwe-Kasese'!D74</f>
        <v>0</v>
      </c>
      <c r="E74" s="49">
        <f>'Avg Week Kasese-Pondwe'!E74+'Avg Week Pondwe-Kasese'!E74</f>
        <v>0</v>
      </c>
      <c r="F74" s="49">
        <f>'Avg Week Kasese-Pondwe'!F74+'Avg Week Pondwe-Kasese'!F74</f>
        <v>0</v>
      </c>
      <c r="G74" s="49">
        <f>'Avg Week Kasese-Pondwe'!G74+'Avg Week Pondwe-Kasese'!G74</f>
        <v>0</v>
      </c>
      <c r="H74" s="49">
        <f>'Avg Week Kasese-Pondwe'!H74+'Avg Week Pondwe-Kasese'!H74</f>
        <v>0</v>
      </c>
      <c r="I74" s="49">
        <f>'Avg Week Kasese-Pondwe'!I74+'Avg Week Pondwe-Kasese'!I74</f>
        <v>0</v>
      </c>
      <c r="J74" s="49">
        <f>'Avg Week Kasese-Pondwe'!J74+'Avg Week Pondwe-Kasese'!J74</f>
        <v>0</v>
      </c>
      <c r="K74" s="49">
        <f>'Avg Week Kasese-Pondwe'!K74+'Avg Week Pondwe-Kasese'!K74</f>
        <v>0</v>
      </c>
      <c r="L74" s="49">
        <f>'Avg Week Kasese-Pondwe'!L74+'Avg Week Pondwe-Kasese'!L74</f>
        <v>0</v>
      </c>
      <c r="M74" s="49">
        <f>'Avg Week Kasese-Pondwe'!M74+'Avg Week Pondwe-Kasese'!M74</f>
        <v>12</v>
      </c>
      <c r="N74" s="49">
        <f>'Avg Week Kasese-Pondwe'!N74+'Avg Week Pondwe-Kasese'!N74</f>
        <v>0</v>
      </c>
      <c r="O74" s="15">
        <f t="shared" ref="O74:O105" si="35">SUM(C74:L74,N74)</f>
        <v>0</v>
      </c>
      <c r="P74" s="15">
        <f t="shared" ref="P74:P105" si="36">SUM(C74:N74)</f>
        <v>12</v>
      </c>
      <c r="R74" s="8"/>
      <c r="T74"/>
    </row>
    <row r="75" spans="2:20" ht="23.1" customHeight="1" x14ac:dyDescent="0.25">
      <c r="B75" s="23" t="s">
        <v>115</v>
      </c>
      <c r="C75" s="49">
        <f>'Avg Week Kasese-Pondwe'!C75+'Avg Week Pondwe-Kasese'!C75</f>
        <v>2</v>
      </c>
      <c r="D75" s="49">
        <f>'Avg Week Kasese-Pondwe'!D75+'Avg Week Pondwe-Kasese'!D75</f>
        <v>0</v>
      </c>
      <c r="E75" s="49">
        <f>'Avg Week Kasese-Pondwe'!E75+'Avg Week Pondwe-Kasese'!E75</f>
        <v>0</v>
      </c>
      <c r="F75" s="49">
        <f>'Avg Week Kasese-Pondwe'!F75+'Avg Week Pondwe-Kasese'!F75</f>
        <v>0</v>
      </c>
      <c r="G75" s="49">
        <f>'Avg Week Kasese-Pondwe'!G75+'Avg Week Pondwe-Kasese'!G75</f>
        <v>0</v>
      </c>
      <c r="H75" s="49">
        <f>'Avg Week Kasese-Pondwe'!H75+'Avg Week Pondwe-Kasese'!H75</f>
        <v>0</v>
      </c>
      <c r="I75" s="49">
        <f>'Avg Week Kasese-Pondwe'!I75+'Avg Week Pondwe-Kasese'!I75</f>
        <v>0</v>
      </c>
      <c r="J75" s="49">
        <f>'Avg Week Kasese-Pondwe'!J75+'Avg Week Pondwe-Kasese'!J75</f>
        <v>0</v>
      </c>
      <c r="K75" s="49">
        <f>'Avg Week Kasese-Pondwe'!K75+'Avg Week Pondwe-Kasese'!K75</f>
        <v>0</v>
      </c>
      <c r="L75" s="49">
        <f>'Avg Week Kasese-Pondwe'!L75+'Avg Week Pondwe-Kasese'!L75</f>
        <v>0</v>
      </c>
      <c r="M75" s="49">
        <f>'Avg Week Kasese-Pondwe'!M75+'Avg Week Pondwe-Kasese'!M75</f>
        <v>5</v>
      </c>
      <c r="N75" s="49">
        <f>'Avg Week Kasese-Pondwe'!N75+'Avg Week Pondwe-Kasese'!N75</f>
        <v>0</v>
      </c>
      <c r="O75" s="15">
        <f t="shared" si="35"/>
        <v>2</v>
      </c>
      <c r="P75" s="15">
        <f t="shared" si="36"/>
        <v>7</v>
      </c>
      <c r="R75" s="8"/>
      <c r="T75"/>
    </row>
    <row r="76" spans="2:20" ht="23.1" customHeight="1" x14ac:dyDescent="0.25">
      <c r="B76" s="23" t="s">
        <v>116</v>
      </c>
      <c r="C76" s="49">
        <f>'Avg Week Kasese-Pondwe'!C76+'Avg Week Pondwe-Kasese'!C76</f>
        <v>0</v>
      </c>
      <c r="D76" s="49">
        <f>'Avg Week Kasese-Pondwe'!D76+'Avg Week Pondwe-Kasese'!D76</f>
        <v>0</v>
      </c>
      <c r="E76" s="49">
        <f>'Avg Week Kasese-Pondwe'!E76+'Avg Week Pondwe-Kasese'!E76</f>
        <v>0</v>
      </c>
      <c r="F76" s="49">
        <f>'Avg Week Kasese-Pondwe'!F76+'Avg Week Pondwe-Kasese'!F76</f>
        <v>0</v>
      </c>
      <c r="G76" s="49">
        <f>'Avg Week Kasese-Pondwe'!G76+'Avg Week Pondwe-Kasese'!G76</f>
        <v>0</v>
      </c>
      <c r="H76" s="49">
        <f>'Avg Week Kasese-Pondwe'!H76+'Avg Week Pondwe-Kasese'!H76</f>
        <v>0</v>
      </c>
      <c r="I76" s="49">
        <f>'Avg Week Kasese-Pondwe'!I76+'Avg Week Pondwe-Kasese'!I76</f>
        <v>0</v>
      </c>
      <c r="J76" s="49">
        <f>'Avg Week Kasese-Pondwe'!J76+'Avg Week Pondwe-Kasese'!J76</f>
        <v>0</v>
      </c>
      <c r="K76" s="49">
        <f>'Avg Week Kasese-Pondwe'!K76+'Avg Week Pondwe-Kasese'!K76</f>
        <v>0</v>
      </c>
      <c r="L76" s="49">
        <f>'Avg Week Kasese-Pondwe'!L76+'Avg Week Pondwe-Kasese'!L76</f>
        <v>0</v>
      </c>
      <c r="M76" s="49">
        <f>'Avg Week Kasese-Pondwe'!M76+'Avg Week Pondwe-Kasese'!M76</f>
        <v>3</v>
      </c>
      <c r="N76" s="49">
        <f>'Avg Week Kasese-Pondwe'!N76+'Avg Week Pondwe-Kasese'!N76</f>
        <v>0</v>
      </c>
      <c r="O76" s="15">
        <f t="shared" si="35"/>
        <v>0</v>
      </c>
      <c r="P76" s="15">
        <f t="shared" si="36"/>
        <v>3</v>
      </c>
      <c r="R76" s="8"/>
      <c r="T76"/>
    </row>
    <row r="77" spans="2:20" ht="23.1" customHeight="1" x14ac:dyDescent="0.25">
      <c r="B77" s="23" t="s">
        <v>117</v>
      </c>
      <c r="C77" s="49">
        <f>'Avg Week Kasese-Pondwe'!C77+'Avg Week Pondwe-Kasese'!C77</f>
        <v>1</v>
      </c>
      <c r="D77" s="49">
        <f>'Avg Week Kasese-Pondwe'!D77+'Avg Week Pondwe-Kasese'!D77</f>
        <v>0</v>
      </c>
      <c r="E77" s="49">
        <f>'Avg Week Kasese-Pondwe'!E77+'Avg Week Pondwe-Kasese'!E77</f>
        <v>0</v>
      </c>
      <c r="F77" s="49">
        <f>'Avg Week Kasese-Pondwe'!F77+'Avg Week Pondwe-Kasese'!F77</f>
        <v>0</v>
      </c>
      <c r="G77" s="49">
        <f>'Avg Week Kasese-Pondwe'!G77+'Avg Week Pondwe-Kasese'!G77</f>
        <v>0</v>
      </c>
      <c r="H77" s="49">
        <f>'Avg Week Kasese-Pondwe'!H77+'Avg Week Pondwe-Kasese'!H77</f>
        <v>0</v>
      </c>
      <c r="I77" s="49">
        <f>'Avg Week Kasese-Pondwe'!I77+'Avg Week Pondwe-Kasese'!I77</f>
        <v>0</v>
      </c>
      <c r="J77" s="49">
        <f>'Avg Week Kasese-Pondwe'!J77+'Avg Week Pondwe-Kasese'!J77</f>
        <v>0</v>
      </c>
      <c r="K77" s="49">
        <f>'Avg Week Kasese-Pondwe'!K77+'Avg Week Pondwe-Kasese'!K77</f>
        <v>0</v>
      </c>
      <c r="L77" s="49">
        <f>'Avg Week Kasese-Pondwe'!L77+'Avg Week Pondwe-Kasese'!L77</f>
        <v>0</v>
      </c>
      <c r="M77" s="49">
        <f>'Avg Week Kasese-Pondwe'!M77+'Avg Week Pondwe-Kasese'!M77</f>
        <v>0</v>
      </c>
      <c r="N77" s="49">
        <f>'Avg Week Kasese-Pondwe'!N77+'Avg Week Pondwe-Kasese'!N77</f>
        <v>0</v>
      </c>
      <c r="O77" s="15">
        <f t="shared" si="35"/>
        <v>1</v>
      </c>
      <c r="P77" s="15">
        <f t="shared" si="36"/>
        <v>1</v>
      </c>
      <c r="R77" s="8"/>
      <c r="T77"/>
    </row>
    <row r="78" spans="2:20" ht="23.1" customHeight="1" x14ac:dyDescent="0.25">
      <c r="B78" s="24" t="s">
        <v>118</v>
      </c>
      <c r="C78" s="49">
        <f>'Avg Week Kasese-Pondwe'!C78+'Avg Week Pondwe-Kasese'!C78</f>
        <v>0</v>
      </c>
      <c r="D78" s="49">
        <f>'Avg Week Kasese-Pondwe'!D78+'Avg Week Pondwe-Kasese'!D78</f>
        <v>0</v>
      </c>
      <c r="E78" s="49">
        <f>'Avg Week Kasese-Pondwe'!E78+'Avg Week Pondwe-Kasese'!E78</f>
        <v>0</v>
      </c>
      <c r="F78" s="49">
        <f>'Avg Week Kasese-Pondwe'!F78+'Avg Week Pondwe-Kasese'!F78</f>
        <v>0</v>
      </c>
      <c r="G78" s="49">
        <f>'Avg Week Kasese-Pondwe'!G78+'Avg Week Pondwe-Kasese'!G78</f>
        <v>0</v>
      </c>
      <c r="H78" s="49">
        <f>'Avg Week Kasese-Pondwe'!H78+'Avg Week Pondwe-Kasese'!H78</f>
        <v>0</v>
      </c>
      <c r="I78" s="49">
        <f>'Avg Week Kasese-Pondwe'!I78+'Avg Week Pondwe-Kasese'!I78</f>
        <v>0</v>
      </c>
      <c r="J78" s="49">
        <f>'Avg Week Kasese-Pondwe'!J78+'Avg Week Pondwe-Kasese'!J78</f>
        <v>0</v>
      </c>
      <c r="K78" s="49">
        <f>'Avg Week Kasese-Pondwe'!K78+'Avg Week Pondwe-Kasese'!K78</f>
        <v>0</v>
      </c>
      <c r="L78" s="49">
        <f>'Avg Week Kasese-Pondwe'!L78+'Avg Week Pondwe-Kasese'!L78</f>
        <v>0</v>
      </c>
      <c r="M78" s="49">
        <f>'Avg Week Kasese-Pondwe'!M78+'Avg Week Pondwe-Kasese'!M78</f>
        <v>6</v>
      </c>
      <c r="N78" s="49">
        <f>'Avg Week Kasese-Pondwe'!N78+'Avg Week Pondwe-Kasese'!N78</f>
        <v>0</v>
      </c>
      <c r="O78" s="15">
        <f t="shared" si="35"/>
        <v>0</v>
      </c>
      <c r="P78" s="15">
        <f t="shared" si="36"/>
        <v>6</v>
      </c>
      <c r="R78" s="8"/>
      <c r="T78"/>
    </row>
    <row r="79" spans="2:20" ht="23.1" customHeight="1" x14ac:dyDescent="0.25">
      <c r="B79" s="23" t="s">
        <v>119</v>
      </c>
      <c r="C79" s="49">
        <f>'Avg Week Kasese-Pondwe'!C79+'Avg Week Pondwe-Kasese'!C79</f>
        <v>2</v>
      </c>
      <c r="D79" s="49">
        <f>'Avg Week Kasese-Pondwe'!D79+'Avg Week Pondwe-Kasese'!D79</f>
        <v>3</v>
      </c>
      <c r="E79" s="49">
        <f>'Avg Week Kasese-Pondwe'!E79+'Avg Week Pondwe-Kasese'!E79</f>
        <v>0</v>
      </c>
      <c r="F79" s="49">
        <f>'Avg Week Kasese-Pondwe'!F79+'Avg Week Pondwe-Kasese'!F79</f>
        <v>0</v>
      </c>
      <c r="G79" s="49">
        <f>'Avg Week Kasese-Pondwe'!G79+'Avg Week Pondwe-Kasese'!G79</f>
        <v>0</v>
      </c>
      <c r="H79" s="49">
        <f>'Avg Week Kasese-Pondwe'!H79+'Avg Week Pondwe-Kasese'!H79</f>
        <v>0</v>
      </c>
      <c r="I79" s="49">
        <f>'Avg Week Kasese-Pondwe'!I79+'Avg Week Pondwe-Kasese'!I79</f>
        <v>0</v>
      </c>
      <c r="J79" s="49">
        <f>'Avg Week Kasese-Pondwe'!J79+'Avg Week Pondwe-Kasese'!J79</f>
        <v>0</v>
      </c>
      <c r="K79" s="49">
        <f>'Avg Week Kasese-Pondwe'!K79+'Avg Week Pondwe-Kasese'!K79</f>
        <v>0</v>
      </c>
      <c r="L79" s="49">
        <f>'Avg Week Kasese-Pondwe'!L79+'Avg Week Pondwe-Kasese'!L79</f>
        <v>0</v>
      </c>
      <c r="M79" s="49">
        <f>'Avg Week Kasese-Pondwe'!M79+'Avg Week Pondwe-Kasese'!M79</f>
        <v>3</v>
      </c>
      <c r="N79" s="49">
        <f>'Avg Week Kasese-Pondwe'!N79+'Avg Week Pondwe-Kasese'!N79</f>
        <v>0</v>
      </c>
      <c r="O79" s="15">
        <f t="shared" si="35"/>
        <v>5</v>
      </c>
      <c r="P79" s="15">
        <f t="shared" si="36"/>
        <v>8</v>
      </c>
      <c r="R79" s="8"/>
      <c r="T79"/>
    </row>
    <row r="80" spans="2:20" ht="23.1" customHeight="1" x14ac:dyDescent="0.25">
      <c r="B80" s="25" t="s">
        <v>120</v>
      </c>
      <c r="C80" s="49">
        <f>'Avg Week Kasese-Pondwe'!C80+'Avg Week Pondwe-Kasese'!C80</f>
        <v>1</v>
      </c>
      <c r="D80" s="49">
        <f>'Avg Week Kasese-Pondwe'!D80+'Avg Week Pondwe-Kasese'!D80</f>
        <v>0</v>
      </c>
      <c r="E80" s="49">
        <f>'Avg Week Kasese-Pondwe'!E80+'Avg Week Pondwe-Kasese'!E80</f>
        <v>1</v>
      </c>
      <c r="F80" s="49">
        <f>'Avg Week Kasese-Pondwe'!F80+'Avg Week Pondwe-Kasese'!F80</f>
        <v>0</v>
      </c>
      <c r="G80" s="49">
        <f>'Avg Week Kasese-Pondwe'!G80+'Avg Week Pondwe-Kasese'!G80</f>
        <v>0</v>
      </c>
      <c r="H80" s="49">
        <f>'Avg Week Kasese-Pondwe'!H80+'Avg Week Pondwe-Kasese'!H80</f>
        <v>0</v>
      </c>
      <c r="I80" s="49">
        <f>'Avg Week Kasese-Pondwe'!I80+'Avg Week Pondwe-Kasese'!I80</f>
        <v>0</v>
      </c>
      <c r="J80" s="49">
        <f>'Avg Week Kasese-Pondwe'!J80+'Avg Week Pondwe-Kasese'!J80</f>
        <v>0</v>
      </c>
      <c r="K80" s="49">
        <f>'Avg Week Kasese-Pondwe'!K80+'Avg Week Pondwe-Kasese'!K80</f>
        <v>0</v>
      </c>
      <c r="L80" s="49">
        <f>'Avg Week Kasese-Pondwe'!L80+'Avg Week Pondwe-Kasese'!L80</f>
        <v>0</v>
      </c>
      <c r="M80" s="49">
        <f>'Avg Week Kasese-Pondwe'!M80+'Avg Week Pondwe-Kasese'!M80</f>
        <v>4</v>
      </c>
      <c r="N80" s="49">
        <f>'Avg Week Kasese-Pondwe'!N80+'Avg Week Pondwe-Kasese'!N80</f>
        <v>0</v>
      </c>
      <c r="O80" s="15">
        <f t="shared" si="35"/>
        <v>2</v>
      </c>
      <c r="P80" s="15">
        <f t="shared" si="36"/>
        <v>6</v>
      </c>
      <c r="R80" s="8"/>
      <c r="T80"/>
    </row>
    <row r="81" spans="2:20" ht="23.1" customHeight="1" x14ac:dyDescent="0.25">
      <c r="B81" s="23" t="s">
        <v>121</v>
      </c>
      <c r="C81" s="49">
        <f>'Avg Week Kasese-Pondwe'!C81+'Avg Week Pondwe-Kasese'!C81</f>
        <v>2</v>
      </c>
      <c r="D81" s="49">
        <f>'Avg Week Kasese-Pondwe'!D81+'Avg Week Pondwe-Kasese'!D81</f>
        <v>0</v>
      </c>
      <c r="E81" s="49">
        <f>'Avg Week Kasese-Pondwe'!E81+'Avg Week Pondwe-Kasese'!E81</f>
        <v>0</v>
      </c>
      <c r="F81" s="49">
        <f>'Avg Week Kasese-Pondwe'!F81+'Avg Week Pondwe-Kasese'!F81</f>
        <v>1</v>
      </c>
      <c r="G81" s="49">
        <f>'Avg Week Kasese-Pondwe'!G81+'Avg Week Pondwe-Kasese'!G81</f>
        <v>0</v>
      </c>
      <c r="H81" s="49">
        <f>'Avg Week Kasese-Pondwe'!H81+'Avg Week Pondwe-Kasese'!H81</f>
        <v>0</v>
      </c>
      <c r="I81" s="49">
        <f>'Avg Week Kasese-Pondwe'!I81+'Avg Week Pondwe-Kasese'!I81</f>
        <v>0</v>
      </c>
      <c r="J81" s="49">
        <f>'Avg Week Kasese-Pondwe'!J81+'Avg Week Pondwe-Kasese'!J81</f>
        <v>0</v>
      </c>
      <c r="K81" s="49">
        <f>'Avg Week Kasese-Pondwe'!K81+'Avg Week Pondwe-Kasese'!K81</f>
        <v>0</v>
      </c>
      <c r="L81" s="49">
        <f>'Avg Week Kasese-Pondwe'!L81+'Avg Week Pondwe-Kasese'!L81</f>
        <v>0</v>
      </c>
      <c r="M81" s="49">
        <f>'Avg Week Kasese-Pondwe'!M81+'Avg Week Pondwe-Kasese'!M81</f>
        <v>7</v>
      </c>
      <c r="N81" s="49">
        <f>'Avg Week Kasese-Pondwe'!N81+'Avg Week Pondwe-Kasese'!N81</f>
        <v>0</v>
      </c>
      <c r="O81" s="15">
        <f t="shared" si="35"/>
        <v>3</v>
      </c>
      <c r="P81" s="15">
        <f t="shared" si="36"/>
        <v>10</v>
      </c>
      <c r="R81" s="8"/>
      <c r="T81"/>
    </row>
    <row r="82" spans="2:20" ht="23.1" customHeight="1" x14ac:dyDescent="0.25">
      <c r="B82" s="24" t="s">
        <v>122</v>
      </c>
      <c r="C82" s="49">
        <f>'Avg Week Kasese-Pondwe'!C82+'Avg Week Pondwe-Kasese'!C82</f>
        <v>0</v>
      </c>
      <c r="D82" s="49">
        <f>'Avg Week Kasese-Pondwe'!D82+'Avg Week Pondwe-Kasese'!D82</f>
        <v>0</v>
      </c>
      <c r="E82" s="49">
        <f>'Avg Week Kasese-Pondwe'!E82+'Avg Week Pondwe-Kasese'!E82</f>
        <v>0</v>
      </c>
      <c r="F82" s="49">
        <f>'Avg Week Kasese-Pondwe'!F82+'Avg Week Pondwe-Kasese'!F82</f>
        <v>0</v>
      </c>
      <c r="G82" s="49">
        <f>'Avg Week Kasese-Pondwe'!G82+'Avg Week Pondwe-Kasese'!G82</f>
        <v>0</v>
      </c>
      <c r="H82" s="49">
        <f>'Avg Week Kasese-Pondwe'!H82+'Avg Week Pondwe-Kasese'!H82</f>
        <v>0</v>
      </c>
      <c r="I82" s="49">
        <f>'Avg Week Kasese-Pondwe'!I82+'Avg Week Pondwe-Kasese'!I82</f>
        <v>0</v>
      </c>
      <c r="J82" s="49">
        <f>'Avg Week Kasese-Pondwe'!J82+'Avg Week Pondwe-Kasese'!J82</f>
        <v>0</v>
      </c>
      <c r="K82" s="49">
        <f>'Avg Week Kasese-Pondwe'!K82+'Avg Week Pondwe-Kasese'!K82</f>
        <v>0</v>
      </c>
      <c r="L82" s="49">
        <f>'Avg Week Kasese-Pondwe'!L82+'Avg Week Pondwe-Kasese'!L82</f>
        <v>0</v>
      </c>
      <c r="M82" s="49">
        <f>'Avg Week Kasese-Pondwe'!M82+'Avg Week Pondwe-Kasese'!M82</f>
        <v>1</v>
      </c>
      <c r="N82" s="49">
        <f>'Avg Week Kasese-Pondwe'!N82+'Avg Week Pondwe-Kasese'!N82</f>
        <v>0</v>
      </c>
      <c r="O82" s="15">
        <f t="shared" si="35"/>
        <v>0</v>
      </c>
      <c r="P82" s="15">
        <f t="shared" si="36"/>
        <v>1</v>
      </c>
      <c r="R82" s="8"/>
      <c r="T82"/>
    </row>
    <row r="83" spans="2:20" ht="23.1" customHeight="1" x14ac:dyDescent="0.25">
      <c r="B83" s="23" t="s">
        <v>123</v>
      </c>
      <c r="C83" s="49">
        <f>'Avg Week Kasese-Pondwe'!C83+'Avg Week Pondwe-Kasese'!C83</f>
        <v>0</v>
      </c>
      <c r="D83" s="49">
        <f>'Avg Week Kasese-Pondwe'!D83+'Avg Week Pondwe-Kasese'!D83</f>
        <v>0</v>
      </c>
      <c r="E83" s="49">
        <f>'Avg Week Kasese-Pondwe'!E83+'Avg Week Pondwe-Kasese'!E83</f>
        <v>0</v>
      </c>
      <c r="F83" s="49">
        <f>'Avg Week Kasese-Pondwe'!F83+'Avg Week Pondwe-Kasese'!F83</f>
        <v>0</v>
      </c>
      <c r="G83" s="49">
        <f>'Avg Week Kasese-Pondwe'!G83+'Avg Week Pondwe-Kasese'!G83</f>
        <v>0</v>
      </c>
      <c r="H83" s="49">
        <f>'Avg Week Kasese-Pondwe'!H83+'Avg Week Pondwe-Kasese'!H83</f>
        <v>0</v>
      </c>
      <c r="I83" s="49">
        <f>'Avg Week Kasese-Pondwe'!I83+'Avg Week Pondwe-Kasese'!I83</f>
        <v>0</v>
      </c>
      <c r="J83" s="49">
        <f>'Avg Week Kasese-Pondwe'!J83+'Avg Week Pondwe-Kasese'!J83</f>
        <v>0</v>
      </c>
      <c r="K83" s="49">
        <f>'Avg Week Kasese-Pondwe'!K83+'Avg Week Pondwe-Kasese'!K83</f>
        <v>0</v>
      </c>
      <c r="L83" s="49">
        <f>'Avg Week Kasese-Pondwe'!L83+'Avg Week Pondwe-Kasese'!L83</f>
        <v>0</v>
      </c>
      <c r="M83" s="49">
        <f>'Avg Week Kasese-Pondwe'!M83+'Avg Week Pondwe-Kasese'!M83</f>
        <v>2</v>
      </c>
      <c r="N83" s="49">
        <f>'Avg Week Kasese-Pondwe'!N83+'Avg Week Pondwe-Kasese'!N83</f>
        <v>0</v>
      </c>
      <c r="O83" s="15">
        <f t="shared" si="35"/>
        <v>0</v>
      </c>
      <c r="P83" s="15">
        <f t="shared" si="36"/>
        <v>2</v>
      </c>
      <c r="R83" s="8"/>
      <c r="T83"/>
    </row>
    <row r="84" spans="2:20" ht="23.1" customHeight="1" x14ac:dyDescent="0.25">
      <c r="B84" s="25" t="s">
        <v>124</v>
      </c>
      <c r="C84" s="49">
        <f>'Avg Week Kasese-Pondwe'!C84+'Avg Week Pondwe-Kasese'!C84</f>
        <v>1</v>
      </c>
      <c r="D84" s="49">
        <f>'Avg Week Kasese-Pondwe'!D84+'Avg Week Pondwe-Kasese'!D84</f>
        <v>0</v>
      </c>
      <c r="E84" s="49">
        <f>'Avg Week Kasese-Pondwe'!E84+'Avg Week Pondwe-Kasese'!E84</f>
        <v>0</v>
      </c>
      <c r="F84" s="49">
        <f>'Avg Week Kasese-Pondwe'!F84+'Avg Week Pondwe-Kasese'!F84</f>
        <v>0</v>
      </c>
      <c r="G84" s="49">
        <f>'Avg Week Kasese-Pondwe'!G84+'Avg Week Pondwe-Kasese'!G84</f>
        <v>0</v>
      </c>
      <c r="H84" s="49">
        <f>'Avg Week Kasese-Pondwe'!H84+'Avg Week Pondwe-Kasese'!H84</f>
        <v>0</v>
      </c>
      <c r="I84" s="49">
        <f>'Avg Week Kasese-Pondwe'!I84+'Avg Week Pondwe-Kasese'!I84</f>
        <v>0</v>
      </c>
      <c r="J84" s="49">
        <f>'Avg Week Kasese-Pondwe'!J84+'Avg Week Pondwe-Kasese'!J84</f>
        <v>0</v>
      </c>
      <c r="K84" s="49">
        <f>'Avg Week Kasese-Pondwe'!K84+'Avg Week Pondwe-Kasese'!K84</f>
        <v>0</v>
      </c>
      <c r="L84" s="49">
        <f>'Avg Week Kasese-Pondwe'!L84+'Avg Week Pondwe-Kasese'!L84</f>
        <v>0</v>
      </c>
      <c r="M84" s="49">
        <f>'Avg Week Kasese-Pondwe'!M84+'Avg Week Pondwe-Kasese'!M84</f>
        <v>3</v>
      </c>
      <c r="N84" s="49">
        <f>'Avg Week Kasese-Pondwe'!N84+'Avg Week Pondwe-Kasese'!N84</f>
        <v>0</v>
      </c>
      <c r="O84" s="15">
        <f t="shared" si="35"/>
        <v>1</v>
      </c>
      <c r="P84" s="15">
        <f t="shared" si="36"/>
        <v>4</v>
      </c>
      <c r="R84" s="8"/>
      <c r="T84"/>
    </row>
    <row r="85" spans="2:20" ht="23.1" customHeight="1" x14ac:dyDescent="0.25">
      <c r="B85" s="23" t="s">
        <v>125</v>
      </c>
      <c r="C85" s="49">
        <f>'Avg Week Kasese-Pondwe'!C85+'Avg Week Pondwe-Kasese'!C85</f>
        <v>1</v>
      </c>
      <c r="D85" s="49">
        <f>'Avg Week Kasese-Pondwe'!D85+'Avg Week Pondwe-Kasese'!D85</f>
        <v>0</v>
      </c>
      <c r="E85" s="49">
        <f>'Avg Week Kasese-Pondwe'!E85+'Avg Week Pondwe-Kasese'!E85</f>
        <v>0</v>
      </c>
      <c r="F85" s="49">
        <f>'Avg Week Kasese-Pondwe'!F85+'Avg Week Pondwe-Kasese'!F85</f>
        <v>0</v>
      </c>
      <c r="G85" s="49">
        <f>'Avg Week Kasese-Pondwe'!G85+'Avg Week Pondwe-Kasese'!G85</f>
        <v>0</v>
      </c>
      <c r="H85" s="49">
        <f>'Avg Week Kasese-Pondwe'!H85+'Avg Week Pondwe-Kasese'!H85</f>
        <v>0</v>
      </c>
      <c r="I85" s="49">
        <f>'Avg Week Kasese-Pondwe'!I85+'Avg Week Pondwe-Kasese'!I85</f>
        <v>0</v>
      </c>
      <c r="J85" s="49">
        <f>'Avg Week Kasese-Pondwe'!J85+'Avg Week Pondwe-Kasese'!J85</f>
        <v>0</v>
      </c>
      <c r="K85" s="49">
        <f>'Avg Week Kasese-Pondwe'!K85+'Avg Week Pondwe-Kasese'!K85</f>
        <v>0</v>
      </c>
      <c r="L85" s="49">
        <f>'Avg Week Kasese-Pondwe'!L85+'Avg Week Pondwe-Kasese'!L85</f>
        <v>0</v>
      </c>
      <c r="M85" s="49">
        <f>'Avg Week Kasese-Pondwe'!M85+'Avg Week Pondwe-Kasese'!M85</f>
        <v>4</v>
      </c>
      <c r="N85" s="49">
        <f>'Avg Week Kasese-Pondwe'!N85+'Avg Week Pondwe-Kasese'!N85</f>
        <v>0</v>
      </c>
      <c r="O85" s="15">
        <f t="shared" si="35"/>
        <v>1</v>
      </c>
      <c r="P85" s="15">
        <f t="shared" si="36"/>
        <v>5</v>
      </c>
      <c r="R85" s="8"/>
      <c r="T85"/>
    </row>
    <row r="86" spans="2:20" ht="23.1" customHeight="1" x14ac:dyDescent="0.25">
      <c r="B86" s="24" t="s">
        <v>126</v>
      </c>
      <c r="C86" s="49">
        <f>'Avg Week Kasese-Pondwe'!C86+'Avg Week Pondwe-Kasese'!C86</f>
        <v>0</v>
      </c>
      <c r="D86" s="49">
        <f>'Avg Week Kasese-Pondwe'!D86+'Avg Week Pondwe-Kasese'!D86</f>
        <v>1</v>
      </c>
      <c r="E86" s="49">
        <f>'Avg Week Kasese-Pondwe'!E86+'Avg Week Pondwe-Kasese'!E86</f>
        <v>1</v>
      </c>
      <c r="F86" s="49">
        <f>'Avg Week Kasese-Pondwe'!F86+'Avg Week Pondwe-Kasese'!F86</f>
        <v>0</v>
      </c>
      <c r="G86" s="49">
        <f>'Avg Week Kasese-Pondwe'!G86+'Avg Week Pondwe-Kasese'!G86</f>
        <v>0</v>
      </c>
      <c r="H86" s="49">
        <f>'Avg Week Kasese-Pondwe'!H86+'Avg Week Pondwe-Kasese'!H86</f>
        <v>0</v>
      </c>
      <c r="I86" s="49">
        <f>'Avg Week Kasese-Pondwe'!I86+'Avg Week Pondwe-Kasese'!I86</f>
        <v>0</v>
      </c>
      <c r="J86" s="49">
        <f>'Avg Week Kasese-Pondwe'!J86+'Avg Week Pondwe-Kasese'!J86</f>
        <v>0</v>
      </c>
      <c r="K86" s="49">
        <f>'Avg Week Kasese-Pondwe'!K86+'Avg Week Pondwe-Kasese'!K86</f>
        <v>0</v>
      </c>
      <c r="L86" s="49">
        <f>'Avg Week Kasese-Pondwe'!L86+'Avg Week Pondwe-Kasese'!L86</f>
        <v>0</v>
      </c>
      <c r="M86" s="49">
        <f>'Avg Week Kasese-Pondwe'!M86+'Avg Week Pondwe-Kasese'!M86</f>
        <v>2</v>
      </c>
      <c r="N86" s="49">
        <f>'Avg Week Kasese-Pondwe'!N86+'Avg Week Pondwe-Kasese'!N86</f>
        <v>0</v>
      </c>
      <c r="O86" s="15">
        <f t="shared" si="35"/>
        <v>2</v>
      </c>
      <c r="P86" s="15">
        <f t="shared" si="36"/>
        <v>4</v>
      </c>
      <c r="R86" s="8"/>
      <c r="T86"/>
    </row>
    <row r="87" spans="2:20" ht="23.1" customHeight="1" x14ac:dyDescent="0.25">
      <c r="B87" s="23" t="s">
        <v>127</v>
      </c>
      <c r="C87" s="49">
        <f>'Avg Week Kasese-Pondwe'!C87+'Avg Week Pondwe-Kasese'!C87</f>
        <v>0</v>
      </c>
      <c r="D87" s="49">
        <f>'Avg Week Kasese-Pondwe'!D87+'Avg Week Pondwe-Kasese'!D87</f>
        <v>0</v>
      </c>
      <c r="E87" s="49">
        <f>'Avg Week Kasese-Pondwe'!E87+'Avg Week Pondwe-Kasese'!E87</f>
        <v>0</v>
      </c>
      <c r="F87" s="49">
        <f>'Avg Week Kasese-Pondwe'!F87+'Avg Week Pondwe-Kasese'!F87</f>
        <v>0</v>
      </c>
      <c r="G87" s="49">
        <f>'Avg Week Kasese-Pondwe'!G87+'Avg Week Pondwe-Kasese'!G87</f>
        <v>0</v>
      </c>
      <c r="H87" s="49">
        <f>'Avg Week Kasese-Pondwe'!H87+'Avg Week Pondwe-Kasese'!H87</f>
        <v>0</v>
      </c>
      <c r="I87" s="49">
        <f>'Avg Week Kasese-Pondwe'!I87+'Avg Week Pondwe-Kasese'!I87</f>
        <v>0</v>
      </c>
      <c r="J87" s="49">
        <f>'Avg Week Kasese-Pondwe'!J87+'Avg Week Pondwe-Kasese'!J87</f>
        <v>0</v>
      </c>
      <c r="K87" s="49">
        <f>'Avg Week Kasese-Pondwe'!K87+'Avg Week Pondwe-Kasese'!K87</f>
        <v>0</v>
      </c>
      <c r="L87" s="49">
        <f>'Avg Week Kasese-Pondwe'!L87+'Avg Week Pondwe-Kasese'!L87</f>
        <v>0</v>
      </c>
      <c r="M87" s="49">
        <f>'Avg Week Kasese-Pondwe'!M87+'Avg Week Pondwe-Kasese'!M87</f>
        <v>2</v>
      </c>
      <c r="N87" s="49">
        <f>'Avg Week Kasese-Pondwe'!N87+'Avg Week Pondwe-Kasese'!N87</f>
        <v>0</v>
      </c>
      <c r="O87" s="15">
        <f t="shared" si="35"/>
        <v>0</v>
      </c>
      <c r="P87" s="15">
        <f t="shared" si="36"/>
        <v>2</v>
      </c>
      <c r="R87" s="8"/>
      <c r="T87"/>
    </row>
    <row r="88" spans="2:20" ht="23.1" customHeight="1" x14ac:dyDescent="0.25">
      <c r="B88" s="25" t="s">
        <v>128</v>
      </c>
      <c r="C88" s="49">
        <f>'Avg Week Kasese-Pondwe'!C88+'Avg Week Pondwe-Kasese'!C88</f>
        <v>4</v>
      </c>
      <c r="D88" s="49">
        <f>'Avg Week Kasese-Pondwe'!D88+'Avg Week Pondwe-Kasese'!D88</f>
        <v>0</v>
      </c>
      <c r="E88" s="49">
        <f>'Avg Week Kasese-Pondwe'!E88+'Avg Week Pondwe-Kasese'!E88</f>
        <v>0</v>
      </c>
      <c r="F88" s="49">
        <f>'Avg Week Kasese-Pondwe'!F88+'Avg Week Pondwe-Kasese'!F88</f>
        <v>1</v>
      </c>
      <c r="G88" s="49">
        <f>'Avg Week Kasese-Pondwe'!G88+'Avg Week Pondwe-Kasese'!G88</f>
        <v>0</v>
      </c>
      <c r="H88" s="49">
        <f>'Avg Week Kasese-Pondwe'!H88+'Avg Week Pondwe-Kasese'!H88</f>
        <v>0</v>
      </c>
      <c r="I88" s="49">
        <f>'Avg Week Kasese-Pondwe'!I88+'Avg Week Pondwe-Kasese'!I88</f>
        <v>0</v>
      </c>
      <c r="J88" s="49">
        <f>'Avg Week Kasese-Pondwe'!J88+'Avg Week Pondwe-Kasese'!J88</f>
        <v>0</v>
      </c>
      <c r="K88" s="49">
        <f>'Avg Week Kasese-Pondwe'!K88+'Avg Week Pondwe-Kasese'!K88</f>
        <v>0</v>
      </c>
      <c r="L88" s="49">
        <f>'Avg Week Kasese-Pondwe'!L88+'Avg Week Pondwe-Kasese'!L88</f>
        <v>0</v>
      </c>
      <c r="M88" s="49">
        <f>'Avg Week Kasese-Pondwe'!M88+'Avg Week Pondwe-Kasese'!M88</f>
        <v>1</v>
      </c>
      <c r="N88" s="49">
        <f>'Avg Week Kasese-Pondwe'!N88+'Avg Week Pondwe-Kasese'!N88</f>
        <v>0</v>
      </c>
      <c r="O88" s="15">
        <f t="shared" si="35"/>
        <v>5</v>
      </c>
      <c r="P88" s="15">
        <f t="shared" si="36"/>
        <v>6</v>
      </c>
      <c r="R88" s="8"/>
      <c r="T88"/>
    </row>
    <row r="89" spans="2:20" ht="23.1" customHeight="1" x14ac:dyDescent="0.25">
      <c r="B89" s="23" t="s">
        <v>129</v>
      </c>
      <c r="C89" s="49">
        <f>'Avg Week Kasese-Pondwe'!C89+'Avg Week Pondwe-Kasese'!C89</f>
        <v>0</v>
      </c>
      <c r="D89" s="49">
        <f>'Avg Week Kasese-Pondwe'!D89+'Avg Week Pondwe-Kasese'!D89</f>
        <v>0</v>
      </c>
      <c r="E89" s="49">
        <f>'Avg Week Kasese-Pondwe'!E89+'Avg Week Pondwe-Kasese'!E89</f>
        <v>0</v>
      </c>
      <c r="F89" s="49">
        <f>'Avg Week Kasese-Pondwe'!F89+'Avg Week Pondwe-Kasese'!F89</f>
        <v>0</v>
      </c>
      <c r="G89" s="49">
        <f>'Avg Week Kasese-Pondwe'!G89+'Avg Week Pondwe-Kasese'!G89</f>
        <v>0</v>
      </c>
      <c r="H89" s="49">
        <f>'Avg Week Kasese-Pondwe'!H89+'Avg Week Pondwe-Kasese'!H89</f>
        <v>0</v>
      </c>
      <c r="I89" s="49">
        <f>'Avg Week Kasese-Pondwe'!I89+'Avg Week Pondwe-Kasese'!I89</f>
        <v>0</v>
      </c>
      <c r="J89" s="49">
        <f>'Avg Week Kasese-Pondwe'!J89+'Avg Week Pondwe-Kasese'!J89</f>
        <v>0</v>
      </c>
      <c r="K89" s="49">
        <f>'Avg Week Kasese-Pondwe'!K89+'Avg Week Pondwe-Kasese'!K89</f>
        <v>0</v>
      </c>
      <c r="L89" s="49">
        <f>'Avg Week Kasese-Pondwe'!L89+'Avg Week Pondwe-Kasese'!L89</f>
        <v>0</v>
      </c>
      <c r="M89" s="49">
        <f>'Avg Week Kasese-Pondwe'!M89+'Avg Week Pondwe-Kasese'!M89</f>
        <v>3</v>
      </c>
      <c r="N89" s="49">
        <f>'Avg Week Kasese-Pondwe'!N89+'Avg Week Pondwe-Kasese'!N89</f>
        <v>0</v>
      </c>
      <c r="O89" s="15">
        <f t="shared" si="35"/>
        <v>0</v>
      </c>
      <c r="P89" s="15">
        <f t="shared" si="36"/>
        <v>3</v>
      </c>
      <c r="R89" s="8"/>
      <c r="T89"/>
    </row>
    <row r="90" spans="2:20" ht="23.1" customHeight="1" x14ac:dyDescent="0.25">
      <c r="B90" s="24" t="s">
        <v>130</v>
      </c>
      <c r="C90" s="49">
        <f>'Avg Week Kasese-Pondwe'!C90+'Avg Week Pondwe-Kasese'!C90</f>
        <v>1</v>
      </c>
      <c r="D90" s="49">
        <f>'Avg Week Kasese-Pondwe'!D90+'Avg Week Pondwe-Kasese'!D90</f>
        <v>0</v>
      </c>
      <c r="E90" s="49">
        <f>'Avg Week Kasese-Pondwe'!E90+'Avg Week Pondwe-Kasese'!E90</f>
        <v>0</v>
      </c>
      <c r="F90" s="49">
        <f>'Avg Week Kasese-Pondwe'!F90+'Avg Week Pondwe-Kasese'!F90</f>
        <v>0</v>
      </c>
      <c r="G90" s="49">
        <f>'Avg Week Kasese-Pondwe'!G90+'Avg Week Pondwe-Kasese'!G90</f>
        <v>0</v>
      </c>
      <c r="H90" s="49">
        <f>'Avg Week Kasese-Pondwe'!H90+'Avg Week Pondwe-Kasese'!H90</f>
        <v>0</v>
      </c>
      <c r="I90" s="49">
        <f>'Avg Week Kasese-Pondwe'!I90+'Avg Week Pondwe-Kasese'!I90</f>
        <v>0</v>
      </c>
      <c r="J90" s="49">
        <f>'Avg Week Kasese-Pondwe'!J90+'Avg Week Pondwe-Kasese'!J90</f>
        <v>0</v>
      </c>
      <c r="K90" s="49">
        <f>'Avg Week Kasese-Pondwe'!K90+'Avg Week Pondwe-Kasese'!K90</f>
        <v>0</v>
      </c>
      <c r="L90" s="49">
        <f>'Avg Week Kasese-Pondwe'!L90+'Avg Week Pondwe-Kasese'!L90</f>
        <v>0</v>
      </c>
      <c r="M90" s="49">
        <f>'Avg Week Kasese-Pondwe'!M90+'Avg Week Pondwe-Kasese'!M90</f>
        <v>19</v>
      </c>
      <c r="N90" s="49">
        <f>'Avg Week Kasese-Pondwe'!N90+'Avg Week Pondwe-Kasese'!N90</f>
        <v>0</v>
      </c>
      <c r="O90" s="15">
        <f t="shared" si="35"/>
        <v>1</v>
      </c>
      <c r="P90" s="15">
        <f t="shared" si="36"/>
        <v>20</v>
      </c>
      <c r="R90" s="8"/>
      <c r="T90"/>
    </row>
    <row r="91" spans="2:20" ht="23.1" customHeight="1" x14ac:dyDescent="0.25">
      <c r="B91" s="23" t="s">
        <v>131</v>
      </c>
      <c r="C91" s="49">
        <f>'Avg Week Kasese-Pondwe'!C91+'Avg Week Pondwe-Kasese'!C91</f>
        <v>1</v>
      </c>
      <c r="D91" s="49">
        <f>'Avg Week Kasese-Pondwe'!D91+'Avg Week Pondwe-Kasese'!D91</f>
        <v>0</v>
      </c>
      <c r="E91" s="49">
        <f>'Avg Week Kasese-Pondwe'!E91+'Avg Week Pondwe-Kasese'!E91</f>
        <v>0</v>
      </c>
      <c r="F91" s="49">
        <f>'Avg Week Kasese-Pondwe'!F91+'Avg Week Pondwe-Kasese'!F91</f>
        <v>0</v>
      </c>
      <c r="G91" s="49">
        <f>'Avg Week Kasese-Pondwe'!G91+'Avg Week Pondwe-Kasese'!G91</f>
        <v>0</v>
      </c>
      <c r="H91" s="49">
        <f>'Avg Week Kasese-Pondwe'!H91+'Avg Week Pondwe-Kasese'!H91</f>
        <v>0</v>
      </c>
      <c r="I91" s="49">
        <f>'Avg Week Kasese-Pondwe'!I91+'Avg Week Pondwe-Kasese'!I91</f>
        <v>0</v>
      </c>
      <c r="J91" s="49">
        <f>'Avg Week Kasese-Pondwe'!J91+'Avg Week Pondwe-Kasese'!J91</f>
        <v>0</v>
      </c>
      <c r="K91" s="49">
        <f>'Avg Week Kasese-Pondwe'!K91+'Avg Week Pondwe-Kasese'!K91</f>
        <v>0</v>
      </c>
      <c r="L91" s="49">
        <f>'Avg Week Kasese-Pondwe'!L91+'Avg Week Pondwe-Kasese'!L91</f>
        <v>0</v>
      </c>
      <c r="M91" s="49">
        <f>'Avg Week Kasese-Pondwe'!M91+'Avg Week Pondwe-Kasese'!M91</f>
        <v>6</v>
      </c>
      <c r="N91" s="49">
        <f>'Avg Week Kasese-Pondwe'!N91+'Avg Week Pondwe-Kasese'!N91</f>
        <v>0</v>
      </c>
      <c r="O91" s="15">
        <f t="shared" si="35"/>
        <v>1</v>
      </c>
      <c r="P91" s="15">
        <f t="shared" si="36"/>
        <v>7</v>
      </c>
      <c r="R91" s="8"/>
      <c r="T91"/>
    </row>
    <row r="92" spans="2:20" ht="23.1" customHeight="1" x14ac:dyDescent="0.25">
      <c r="B92" s="25" t="s">
        <v>132</v>
      </c>
      <c r="C92" s="49">
        <f>'Avg Week Kasese-Pondwe'!C92+'Avg Week Pondwe-Kasese'!C92</f>
        <v>0</v>
      </c>
      <c r="D92" s="49">
        <f>'Avg Week Kasese-Pondwe'!D92+'Avg Week Pondwe-Kasese'!D92</f>
        <v>0</v>
      </c>
      <c r="E92" s="49">
        <f>'Avg Week Kasese-Pondwe'!E92+'Avg Week Pondwe-Kasese'!E92</f>
        <v>1</v>
      </c>
      <c r="F92" s="49">
        <f>'Avg Week Kasese-Pondwe'!F92+'Avg Week Pondwe-Kasese'!F92</f>
        <v>0</v>
      </c>
      <c r="G92" s="49">
        <f>'Avg Week Kasese-Pondwe'!G92+'Avg Week Pondwe-Kasese'!G92</f>
        <v>0</v>
      </c>
      <c r="H92" s="49">
        <f>'Avg Week Kasese-Pondwe'!H92+'Avg Week Pondwe-Kasese'!H92</f>
        <v>0</v>
      </c>
      <c r="I92" s="49">
        <f>'Avg Week Kasese-Pondwe'!I92+'Avg Week Pondwe-Kasese'!I92</f>
        <v>0</v>
      </c>
      <c r="J92" s="49">
        <f>'Avg Week Kasese-Pondwe'!J92+'Avg Week Pondwe-Kasese'!J92</f>
        <v>0</v>
      </c>
      <c r="K92" s="49">
        <f>'Avg Week Kasese-Pondwe'!K92+'Avg Week Pondwe-Kasese'!K92</f>
        <v>0</v>
      </c>
      <c r="L92" s="49">
        <f>'Avg Week Kasese-Pondwe'!L92+'Avg Week Pondwe-Kasese'!L92</f>
        <v>0</v>
      </c>
      <c r="M92" s="49">
        <f>'Avg Week Kasese-Pondwe'!M92+'Avg Week Pondwe-Kasese'!M92</f>
        <v>8</v>
      </c>
      <c r="N92" s="49">
        <f>'Avg Week Kasese-Pondwe'!N92+'Avg Week Pondwe-Kasese'!N92</f>
        <v>0</v>
      </c>
      <c r="O92" s="15">
        <f t="shared" si="35"/>
        <v>1</v>
      </c>
      <c r="P92" s="15">
        <f t="shared" si="36"/>
        <v>9</v>
      </c>
      <c r="R92" s="8"/>
      <c r="T92"/>
    </row>
    <row r="93" spans="2:20" ht="23.1" customHeight="1" x14ac:dyDescent="0.25">
      <c r="B93" s="23" t="s">
        <v>133</v>
      </c>
      <c r="C93" s="49">
        <f>'Avg Week Kasese-Pondwe'!C93+'Avg Week Pondwe-Kasese'!C93</f>
        <v>0</v>
      </c>
      <c r="D93" s="49">
        <f>'Avg Week Kasese-Pondwe'!D93+'Avg Week Pondwe-Kasese'!D93</f>
        <v>0</v>
      </c>
      <c r="E93" s="49">
        <f>'Avg Week Kasese-Pondwe'!E93+'Avg Week Pondwe-Kasese'!E93</f>
        <v>0</v>
      </c>
      <c r="F93" s="49">
        <f>'Avg Week Kasese-Pondwe'!F93+'Avg Week Pondwe-Kasese'!F93</f>
        <v>0</v>
      </c>
      <c r="G93" s="49">
        <f>'Avg Week Kasese-Pondwe'!G93+'Avg Week Pondwe-Kasese'!G93</f>
        <v>0</v>
      </c>
      <c r="H93" s="49">
        <f>'Avg Week Kasese-Pondwe'!H93+'Avg Week Pondwe-Kasese'!H93</f>
        <v>0</v>
      </c>
      <c r="I93" s="49">
        <f>'Avg Week Kasese-Pondwe'!I93+'Avg Week Pondwe-Kasese'!I93</f>
        <v>0</v>
      </c>
      <c r="J93" s="49">
        <f>'Avg Week Kasese-Pondwe'!J93+'Avg Week Pondwe-Kasese'!J93</f>
        <v>0</v>
      </c>
      <c r="K93" s="49">
        <f>'Avg Week Kasese-Pondwe'!K93+'Avg Week Pondwe-Kasese'!K93</f>
        <v>0</v>
      </c>
      <c r="L93" s="49">
        <f>'Avg Week Kasese-Pondwe'!L93+'Avg Week Pondwe-Kasese'!L93</f>
        <v>0</v>
      </c>
      <c r="M93" s="49">
        <f>'Avg Week Kasese-Pondwe'!M93+'Avg Week Pondwe-Kasese'!M93</f>
        <v>6</v>
      </c>
      <c r="N93" s="49">
        <f>'Avg Week Kasese-Pondwe'!N93+'Avg Week Pondwe-Kasese'!N93</f>
        <v>0</v>
      </c>
      <c r="O93" s="15">
        <f t="shared" si="35"/>
        <v>0</v>
      </c>
      <c r="P93" s="15">
        <f t="shared" si="36"/>
        <v>6</v>
      </c>
      <c r="R93" s="8"/>
      <c r="T93"/>
    </row>
    <row r="94" spans="2:20" ht="23.1" customHeight="1" x14ac:dyDescent="0.25">
      <c r="B94" s="24" t="s">
        <v>134</v>
      </c>
      <c r="C94" s="49">
        <f>'Avg Week Kasese-Pondwe'!C94+'Avg Week Pondwe-Kasese'!C94</f>
        <v>0</v>
      </c>
      <c r="D94" s="49">
        <f>'Avg Week Kasese-Pondwe'!D94+'Avg Week Pondwe-Kasese'!D94</f>
        <v>0</v>
      </c>
      <c r="E94" s="49">
        <f>'Avg Week Kasese-Pondwe'!E94+'Avg Week Pondwe-Kasese'!E94</f>
        <v>1</v>
      </c>
      <c r="F94" s="49">
        <f>'Avg Week Kasese-Pondwe'!F94+'Avg Week Pondwe-Kasese'!F94</f>
        <v>0</v>
      </c>
      <c r="G94" s="49">
        <f>'Avg Week Kasese-Pondwe'!G94+'Avg Week Pondwe-Kasese'!G94</f>
        <v>0</v>
      </c>
      <c r="H94" s="49">
        <f>'Avg Week Kasese-Pondwe'!H94+'Avg Week Pondwe-Kasese'!H94</f>
        <v>0</v>
      </c>
      <c r="I94" s="49">
        <f>'Avg Week Kasese-Pondwe'!I94+'Avg Week Pondwe-Kasese'!I94</f>
        <v>0</v>
      </c>
      <c r="J94" s="49">
        <f>'Avg Week Kasese-Pondwe'!J94+'Avg Week Pondwe-Kasese'!J94</f>
        <v>0</v>
      </c>
      <c r="K94" s="49">
        <f>'Avg Week Kasese-Pondwe'!K94+'Avg Week Pondwe-Kasese'!K94</f>
        <v>0</v>
      </c>
      <c r="L94" s="49">
        <f>'Avg Week Kasese-Pondwe'!L94+'Avg Week Pondwe-Kasese'!L94</f>
        <v>0</v>
      </c>
      <c r="M94" s="49">
        <f>'Avg Week Kasese-Pondwe'!M94+'Avg Week Pondwe-Kasese'!M94</f>
        <v>4</v>
      </c>
      <c r="N94" s="49">
        <f>'Avg Week Kasese-Pondwe'!N94+'Avg Week Pondwe-Kasese'!N94</f>
        <v>0</v>
      </c>
      <c r="O94" s="15">
        <f t="shared" si="35"/>
        <v>1</v>
      </c>
      <c r="P94" s="15">
        <f t="shared" si="36"/>
        <v>5</v>
      </c>
      <c r="R94" s="8"/>
      <c r="T94"/>
    </row>
    <row r="95" spans="2:20" ht="23.1" customHeight="1" x14ac:dyDescent="0.25">
      <c r="B95" s="23" t="s">
        <v>135</v>
      </c>
      <c r="C95" s="49">
        <f>'Avg Week Kasese-Pondwe'!C95+'Avg Week Pondwe-Kasese'!C95</f>
        <v>1</v>
      </c>
      <c r="D95" s="49">
        <f>'Avg Week Kasese-Pondwe'!D95+'Avg Week Pondwe-Kasese'!D95</f>
        <v>0</v>
      </c>
      <c r="E95" s="49">
        <f>'Avg Week Kasese-Pondwe'!E95+'Avg Week Pondwe-Kasese'!E95</f>
        <v>0</v>
      </c>
      <c r="F95" s="49">
        <f>'Avg Week Kasese-Pondwe'!F95+'Avg Week Pondwe-Kasese'!F95</f>
        <v>0</v>
      </c>
      <c r="G95" s="49">
        <f>'Avg Week Kasese-Pondwe'!G95+'Avg Week Pondwe-Kasese'!G95</f>
        <v>0</v>
      </c>
      <c r="H95" s="49">
        <f>'Avg Week Kasese-Pondwe'!H95+'Avg Week Pondwe-Kasese'!H95</f>
        <v>0</v>
      </c>
      <c r="I95" s="49">
        <f>'Avg Week Kasese-Pondwe'!I95+'Avg Week Pondwe-Kasese'!I95</f>
        <v>0</v>
      </c>
      <c r="J95" s="49">
        <f>'Avg Week Kasese-Pondwe'!J95+'Avg Week Pondwe-Kasese'!J95</f>
        <v>0</v>
      </c>
      <c r="K95" s="49">
        <f>'Avg Week Kasese-Pondwe'!K95+'Avg Week Pondwe-Kasese'!K95</f>
        <v>0</v>
      </c>
      <c r="L95" s="49">
        <f>'Avg Week Kasese-Pondwe'!L95+'Avg Week Pondwe-Kasese'!L95</f>
        <v>0</v>
      </c>
      <c r="M95" s="49">
        <f>'Avg Week Kasese-Pondwe'!M95+'Avg Week Pondwe-Kasese'!M95</f>
        <v>1</v>
      </c>
      <c r="N95" s="49">
        <f>'Avg Week Kasese-Pondwe'!N95+'Avg Week Pondwe-Kasese'!N95</f>
        <v>0</v>
      </c>
      <c r="O95" s="15">
        <f t="shared" si="35"/>
        <v>1</v>
      </c>
      <c r="P95" s="15">
        <f t="shared" si="36"/>
        <v>2</v>
      </c>
      <c r="R95" s="8"/>
      <c r="T95"/>
    </row>
    <row r="96" spans="2:20" ht="23.1" customHeight="1" x14ac:dyDescent="0.25">
      <c r="B96" s="25" t="s">
        <v>136</v>
      </c>
      <c r="C96" s="49">
        <f>'Avg Week Kasese-Pondwe'!C96+'Avg Week Pondwe-Kasese'!C96</f>
        <v>0</v>
      </c>
      <c r="D96" s="49">
        <f>'Avg Week Kasese-Pondwe'!D96+'Avg Week Pondwe-Kasese'!D96</f>
        <v>0</v>
      </c>
      <c r="E96" s="49">
        <f>'Avg Week Kasese-Pondwe'!E96+'Avg Week Pondwe-Kasese'!E96</f>
        <v>1</v>
      </c>
      <c r="F96" s="49">
        <f>'Avg Week Kasese-Pondwe'!F96+'Avg Week Pondwe-Kasese'!F96</f>
        <v>0</v>
      </c>
      <c r="G96" s="49">
        <f>'Avg Week Kasese-Pondwe'!G96+'Avg Week Pondwe-Kasese'!G96</f>
        <v>0</v>
      </c>
      <c r="H96" s="49">
        <f>'Avg Week Kasese-Pondwe'!H96+'Avg Week Pondwe-Kasese'!H96</f>
        <v>0</v>
      </c>
      <c r="I96" s="49">
        <f>'Avg Week Kasese-Pondwe'!I96+'Avg Week Pondwe-Kasese'!I96</f>
        <v>0</v>
      </c>
      <c r="J96" s="49">
        <f>'Avg Week Kasese-Pondwe'!J96+'Avg Week Pondwe-Kasese'!J96</f>
        <v>0</v>
      </c>
      <c r="K96" s="49">
        <f>'Avg Week Kasese-Pondwe'!K96+'Avg Week Pondwe-Kasese'!K96</f>
        <v>0</v>
      </c>
      <c r="L96" s="49">
        <f>'Avg Week Kasese-Pondwe'!L96+'Avg Week Pondwe-Kasese'!L96</f>
        <v>0</v>
      </c>
      <c r="M96" s="49">
        <f>'Avg Week Kasese-Pondwe'!M96+'Avg Week Pondwe-Kasese'!M96</f>
        <v>3</v>
      </c>
      <c r="N96" s="49">
        <f>'Avg Week Kasese-Pondwe'!N96+'Avg Week Pondwe-Kasese'!N96</f>
        <v>0</v>
      </c>
      <c r="O96" s="15">
        <f t="shared" si="35"/>
        <v>1</v>
      </c>
      <c r="P96" s="15">
        <f t="shared" si="36"/>
        <v>4</v>
      </c>
      <c r="R96" s="8"/>
      <c r="T96"/>
    </row>
    <row r="97" spans="2:20" ht="23.1" customHeight="1" x14ac:dyDescent="0.25">
      <c r="B97" s="23" t="s">
        <v>137</v>
      </c>
      <c r="C97" s="49">
        <f>'Avg Week Kasese-Pondwe'!C97+'Avg Week Pondwe-Kasese'!C97</f>
        <v>1</v>
      </c>
      <c r="D97" s="49">
        <f>'Avg Week Kasese-Pondwe'!D97+'Avg Week Pondwe-Kasese'!D97</f>
        <v>1</v>
      </c>
      <c r="E97" s="49">
        <f>'Avg Week Kasese-Pondwe'!E97+'Avg Week Pondwe-Kasese'!E97</f>
        <v>0</v>
      </c>
      <c r="F97" s="49">
        <f>'Avg Week Kasese-Pondwe'!F97+'Avg Week Pondwe-Kasese'!F97</f>
        <v>0</v>
      </c>
      <c r="G97" s="49">
        <f>'Avg Week Kasese-Pondwe'!G97+'Avg Week Pondwe-Kasese'!G97</f>
        <v>0</v>
      </c>
      <c r="H97" s="49">
        <f>'Avg Week Kasese-Pondwe'!H97+'Avg Week Pondwe-Kasese'!H97</f>
        <v>0</v>
      </c>
      <c r="I97" s="49">
        <f>'Avg Week Kasese-Pondwe'!I97+'Avg Week Pondwe-Kasese'!I97</f>
        <v>0</v>
      </c>
      <c r="J97" s="49">
        <f>'Avg Week Kasese-Pondwe'!J97+'Avg Week Pondwe-Kasese'!J97</f>
        <v>0</v>
      </c>
      <c r="K97" s="49">
        <f>'Avg Week Kasese-Pondwe'!K97+'Avg Week Pondwe-Kasese'!K97</f>
        <v>0</v>
      </c>
      <c r="L97" s="49">
        <f>'Avg Week Kasese-Pondwe'!L97+'Avg Week Pondwe-Kasese'!L97</f>
        <v>0</v>
      </c>
      <c r="M97" s="49">
        <f>'Avg Week Kasese-Pondwe'!M97+'Avg Week Pondwe-Kasese'!M97</f>
        <v>1</v>
      </c>
      <c r="N97" s="49">
        <f>'Avg Week Kasese-Pondwe'!N97+'Avg Week Pondwe-Kasese'!N97</f>
        <v>0</v>
      </c>
      <c r="O97" s="15">
        <f t="shared" si="35"/>
        <v>2</v>
      </c>
      <c r="P97" s="15">
        <f t="shared" si="36"/>
        <v>3</v>
      </c>
      <c r="R97" s="8"/>
      <c r="T97"/>
    </row>
    <row r="98" spans="2:20" ht="23.1" customHeight="1" x14ac:dyDescent="0.25">
      <c r="B98" s="24" t="s">
        <v>138</v>
      </c>
      <c r="C98" s="49">
        <f>'Avg Week Kasese-Pondwe'!C98+'Avg Week Pondwe-Kasese'!C98</f>
        <v>2</v>
      </c>
      <c r="D98" s="49">
        <f>'Avg Week Kasese-Pondwe'!D98+'Avg Week Pondwe-Kasese'!D98</f>
        <v>0</v>
      </c>
      <c r="E98" s="49">
        <f>'Avg Week Kasese-Pondwe'!E98+'Avg Week Pondwe-Kasese'!E98</f>
        <v>3</v>
      </c>
      <c r="F98" s="49">
        <f>'Avg Week Kasese-Pondwe'!F98+'Avg Week Pondwe-Kasese'!F98</f>
        <v>0</v>
      </c>
      <c r="G98" s="49">
        <f>'Avg Week Kasese-Pondwe'!G98+'Avg Week Pondwe-Kasese'!G98</f>
        <v>0</v>
      </c>
      <c r="H98" s="49">
        <f>'Avg Week Kasese-Pondwe'!H98+'Avg Week Pondwe-Kasese'!H98</f>
        <v>0</v>
      </c>
      <c r="I98" s="49">
        <f>'Avg Week Kasese-Pondwe'!I98+'Avg Week Pondwe-Kasese'!I98</f>
        <v>1</v>
      </c>
      <c r="J98" s="49">
        <f>'Avg Week Kasese-Pondwe'!J98+'Avg Week Pondwe-Kasese'!J98</f>
        <v>0</v>
      </c>
      <c r="K98" s="49">
        <f>'Avg Week Kasese-Pondwe'!K98+'Avg Week Pondwe-Kasese'!K98</f>
        <v>0</v>
      </c>
      <c r="L98" s="49">
        <f>'Avg Week Kasese-Pondwe'!L98+'Avg Week Pondwe-Kasese'!L98</f>
        <v>0</v>
      </c>
      <c r="M98" s="49">
        <f>'Avg Week Kasese-Pondwe'!M98+'Avg Week Pondwe-Kasese'!M98</f>
        <v>8</v>
      </c>
      <c r="N98" s="49">
        <f>'Avg Week Kasese-Pondwe'!N98+'Avg Week Pondwe-Kasese'!N98</f>
        <v>0</v>
      </c>
      <c r="O98" s="15">
        <f t="shared" si="35"/>
        <v>6</v>
      </c>
      <c r="P98" s="15">
        <f t="shared" si="36"/>
        <v>14</v>
      </c>
      <c r="R98" s="8"/>
      <c r="T98"/>
    </row>
    <row r="99" spans="2:20" ht="23.1" customHeight="1" x14ac:dyDescent="0.25">
      <c r="B99" s="23" t="s">
        <v>139</v>
      </c>
      <c r="C99" s="49">
        <f>'Avg Week Kasese-Pondwe'!C99+'Avg Week Pondwe-Kasese'!C99</f>
        <v>3</v>
      </c>
      <c r="D99" s="49">
        <f>'Avg Week Kasese-Pondwe'!D99+'Avg Week Pondwe-Kasese'!D99</f>
        <v>0</v>
      </c>
      <c r="E99" s="49">
        <f>'Avg Week Kasese-Pondwe'!E99+'Avg Week Pondwe-Kasese'!E99</f>
        <v>0</v>
      </c>
      <c r="F99" s="49">
        <f>'Avg Week Kasese-Pondwe'!F99+'Avg Week Pondwe-Kasese'!F99</f>
        <v>1</v>
      </c>
      <c r="G99" s="49">
        <f>'Avg Week Kasese-Pondwe'!G99+'Avg Week Pondwe-Kasese'!G99</f>
        <v>0</v>
      </c>
      <c r="H99" s="49">
        <f>'Avg Week Kasese-Pondwe'!H99+'Avg Week Pondwe-Kasese'!H99</f>
        <v>0</v>
      </c>
      <c r="I99" s="49">
        <f>'Avg Week Kasese-Pondwe'!I99+'Avg Week Pondwe-Kasese'!I99</f>
        <v>0</v>
      </c>
      <c r="J99" s="49">
        <f>'Avg Week Kasese-Pondwe'!J99+'Avg Week Pondwe-Kasese'!J99</f>
        <v>0</v>
      </c>
      <c r="K99" s="49">
        <f>'Avg Week Kasese-Pondwe'!K99+'Avg Week Pondwe-Kasese'!K99</f>
        <v>0</v>
      </c>
      <c r="L99" s="49">
        <f>'Avg Week Kasese-Pondwe'!L99+'Avg Week Pondwe-Kasese'!L99</f>
        <v>0</v>
      </c>
      <c r="M99" s="49">
        <f>'Avg Week Kasese-Pondwe'!M99+'Avg Week Pondwe-Kasese'!M99</f>
        <v>11</v>
      </c>
      <c r="N99" s="49">
        <f>'Avg Week Kasese-Pondwe'!N99+'Avg Week Pondwe-Kasese'!N99</f>
        <v>0</v>
      </c>
      <c r="O99" s="15">
        <f t="shared" si="35"/>
        <v>4</v>
      </c>
      <c r="P99" s="15">
        <f t="shared" si="36"/>
        <v>15</v>
      </c>
      <c r="R99" s="8"/>
      <c r="T99"/>
    </row>
    <row r="100" spans="2:20" ht="23.1" customHeight="1" x14ac:dyDescent="0.25">
      <c r="B100" s="25" t="s">
        <v>140</v>
      </c>
      <c r="C100" s="49">
        <f>'Avg Week Kasese-Pondwe'!C100+'Avg Week Pondwe-Kasese'!C100</f>
        <v>4</v>
      </c>
      <c r="D100" s="49">
        <f>'Avg Week Kasese-Pondwe'!D100+'Avg Week Pondwe-Kasese'!D100</f>
        <v>0</v>
      </c>
      <c r="E100" s="49">
        <f>'Avg Week Kasese-Pondwe'!E100+'Avg Week Pondwe-Kasese'!E100</f>
        <v>0</v>
      </c>
      <c r="F100" s="49">
        <f>'Avg Week Kasese-Pondwe'!F100+'Avg Week Pondwe-Kasese'!F100</f>
        <v>0</v>
      </c>
      <c r="G100" s="49">
        <f>'Avg Week Kasese-Pondwe'!G100+'Avg Week Pondwe-Kasese'!G100</f>
        <v>0</v>
      </c>
      <c r="H100" s="49">
        <f>'Avg Week Kasese-Pondwe'!H100+'Avg Week Pondwe-Kasese'!H100</f>
        <v>0</v>
      </c>
      <c r="I100" s="49">
        <f>'Avg Week Kasese-Pondwe'!I100+'Avg Week Pondwe-Kasese'!I100</f>
        <v>0</v>
      </c>
      <c r="J100" s="49">
        <f>'Avg Week Kasese-Pondwe'!J100+'Avg Week Pondwe-Kasese'!J100</f>
        <v>0</v>
      </c>
      <c r="K100" s="49">
        <f>'Avg Week Kasese-Pondwe'!K100+'Avg Week Pondwe-Kasese'!K100</f>
        <v>0</v>
      </c>
      <c r="L100" s="49">
        <f>'Avg Week Kasese-Pondwe'!L100+'Avg Week Pondwe-Kasese'!L100</f>
        <v>0</v>
      </c>
      <c r="M100" s="49">
        <f>'Avg Week Kasese-Pondwe'!M100+'Avg Week Pondwe-Kasese'!M100</f>
        <v>6</v>
      </c>
      <c r="N100" s="49">
        <f>'Avg Week Kasese-Pondwe'!N100+'Avg Week Pondwe-Kasese'!N100</f>
        <v>0</v>
      </c>
      <c r="O100" s="15">
        <f t="shared" si="35"/>
        <v>4</v>
      </c>
      <c r="P100" s="15">
        <f t="shared" si="36"/>
        <v>10</v>
      </c>
      <c r="R100" s="8"/>
      <c r="T100"/>
    </row>
    <row r="101" spans="2:20" ht="23.1" customHeight="1" x14ac:dyDescent="0.25">
      <c r="B101" s="23" t="s">
        <v>141</v>
      </c>
      <c r="C101" s="49">
        <f>'Avg Week Kasese-Pondwe'!C101+'Avg Week Pondwe-Kasese'!C101</f>
        <v>2</v>
      </c>
      <c r="D101" s="49">
        <f>'Avg Week Kasese-Pondwe'!D101+'Avg Week Pondwe-Kasese'!D101</f>
        <v>0</v>
      </c>
      <c r="E101" s="49">
        <f>'Avg Week Kasese-Pondwe'!E101+'Avg Week Pondwe-Kasese'!E101</f>
        <v>0</v>
      </c>
      <c r="F101" s="49">
        <f>'Avg Week Kasese-Pondwe'!F101+'Avg Week Pondwe-Kasese'!F101</f>
        <v>3</v>
      </c>
      <c r="G101" s="49">
        <f>'Avg Week Kasese-Pondwe'!G101+'Avg Week Pondwe-Kasese'!G101</f>
        <v>0</v>
      </c>
      <c r="H101" s="49">
        <f>'Avg Week Kasese-Pondwe'!H101+'Avg Week Pondwe-Kasese'!H101</f>
        <v>0</v>
      </c>
      <c r="I101" s="49">
        <f>'Avg Week Kasese-Pondwe'!I101+'Avg Week Pondwe-Kasese'!I101</f>
        <v>0</v>
      </c>
      <c r="J101" s="49">
        <f>'Avg Week Kasese-Pondwe'!J101+'Avg Week Pondwe-Kasese'!J101</f>
        <v>0</v>
      </c>
      <c r="K101" s="49">
        <f>'Avg Week Kasese-Pondwe'!K101+'Avg Week Pondwe-Kasese'!K101</f>
        <v>0</v>
      </c>
      <c r="L101" s="49">
        <f>'Avg Week Kasese-Pondwe'!L101+'Avg Week Pondwe-Kasese'!L101</f>
        <v>0</v>
      </c>
      <c r="M101" s="49">
        <f>'Avg Week Kasese-Pondwe'!M101+'Avg Week Pondwe-Kasese'!M101</f>
        <v>2</v>
      </c>
      <c r="N101" s="49">
        <f>'Avg Week Kasese-Pondwe'!N101+'Avg Week Pondwe-Kasese'!N101</f>
        <v>0</v>
      </c>
      <c r="O101" s="15">
        <f t="shared" si="35"/>
        <v>5</v>
      </c>
      <c r="P101" s="15">
        <f t="shared" si="36"/>
        <v>7</v>
      </c>
      <c r="R101" s="8"/>
      <c r="T101"/>
    </row>
    <row r="102" spans="2:20" ht="23.1" customHeight="1" x14ac:dyDescent="0.25">
      <c r="B102" s="24" t="s">
        <v>142</v>
      </c>
      <c r="C102" s="49">
        <f>'Avg Week Kasese-Pondwe'!C102+'Avg Week Pondwe-Kasese'!C102</f>
        <v>4</v>
      </c>
      <c r="D102" s="49">
        <f>'Avg Week Kasese-Pondwe'!D102+'Avg Week Pondwe-Kasese'!D102</f>
        <v>0</v>
      </c>
      <c r="E102" s="49">
        <f>'Avg Week Kasese-Pondwe'!E102+'Avg Week Pondwe-Kasese'!E102</f>
        <v>0</v>
      </c>
      <c r="F102" s="49">
        <f>'Avg Week Kasese-Pondwe'!F102+'Avg Week Pondwe-Kasese'!F102</f>
        <v>0</v>
      </c>
      <c r="G102" s="49">
        <f>'Avg Week Kasese-Pondwe'!G102+'Avg Week Pondwe-Kasese'!G102</f>
        <v>0</v>
      </c>
      <c r="H102" s="49">
        <f>'Avg Week Kasese-Pondwe'!H102+'Avg Week Pondwe-Kasese'!H102</f>
        <v>0</v>
      </c>
      <c r="I102" s="49">
        <f>'Avg Week Kasese-Pondwe'!I102+'Avg Week Pondwe-Kasese'!I102</f>
        <v>0</v>
      </c>
      <c r="J102" s="49">
        <f>'Avg Week Kasese-Pondwe'!J102+'Avg Week Pondwe-Kasese'!J102</f>
        <v>1</v>
      </c>
      <c r="K102" s="49">
        <f>'Avg Week Kasese-Pondwe'!K102+'Avg Week Pondwe-Kasese'!K102</f>
        <v>0</v>
      </c>
      <c r="L102" s="49">
        <f>'Avg Week Kasese-Pondwe'!L102+'Avg Week Pondwe-Kasese'!L102</f>
        <v>0</v>
      </c>
      <c r="M102" s="49">
        <f>'Avg Week Kasese-Pondwe'!M102+'Avg Week Pondwe-Kasese'!M102</f>
        <v>7</v>
      </c>
      <c r="N102" s="49">
        <f>'Avg Week Kasese-Pondwe'!N102+'Avg Week Pondwe-Kasese'!N102</f>
        <v>0</v>
      </c>
      <c r="O102" s="15">
        <f t="shared" si="35"/>
        <v>5</v>
      </c>
      <c r="P102" s="15">
        <f t="shared" si="36"/>
        <v>12</v>
      </c>
      <c r="R102" s="8"/>
      <c r="T102"/>
    </row>
    <row r="103" spans="2:20" ht="23.1" customHeight="1" x14ac:dyDescent="0.25">
      <c r="B103" s="23" t="s">
        <v>143</v>
      </c>
      <c r="C103" s="49">
        <f>'Avg Week Kasese-Pondwe'!C103+'Avg Week Pondwe-Kasese'!C103</f>
        <v>5</v>
      </c>
      <c r="D103" s="49">
        <f>'Avg Week Kasese-Pondwe'!D103+'Avg Week Pondwe-Kasese'!D103</f>
        <v>1</v>
      </c>
      <c r="E103" s="49">
        <f>'Avg Week Kasese-Pondwe'!E103+'Avg Week Pondwe-Kasese'!E103</f>
        <v>0</v>
      </c>
      <c r="F103" s="49">
        <f>'Avg Week Kasese-Pondwe'!F103+'Avg Week Pondwe-Kasese'!F103</f>
        <v>0</v>
      </c>
      <c r="G103" s="49">
        <f>'Avg Week Kasese-Pondwe'!G103+'Avg Week Pondwe-Kasese'!G103</f>
        <v>0</v>
      </c>
      <c r="H103" s="49">
        <f>'Avg Week Kasese-Pondwe'!H103+'Avg Week Pondwe-Kasese'!H103</f>
        <v>0</v>
      </c>
      <c r="I103" s="49">
        <f>'Avg Week Kasese-Pondwe'!I103+'Avg Week Pondwe-Kasese'!I103</f>
        <v>2</v>
      </c>
      <c r="J103" s="49">
        <f>'Avg Week Kasese-Pondwe'!J103+'Avg Week Pondwe-Kasese'!J103</f>
        <v>2</v>
      </c>
      <c r="K103" s="49">
        <f>'Avg Week Kasese-Pondwe'!K103+'Avg Week Pondwe-Kasese'!K103</f>
        <v>1</v>
      </c>
      <c r="L103" s="49">
        <f>'Avg Week Kasese-Pondwe'!L103+'Avg Week Pondwe-Kasese'!L103</f>
        <v>0</v>
      </c>
      <c r="M103" s="49">
        <f>'Avg Week Kasese-Pondwe'!M103+'Avg Week Pondwe-Kasese'!M103</f>
        <v>10</v>
      </c>
      <c r="N103" s="49">
        <f>'Avg Week Kasese-Pondwe'!N103+'Avg Week Pondwe-Kasese'!N103</f>
        <v>0</v>
      </c>
      <c r="O103" s="15">
        <f t="shared" si="35"/>
        <v>11</v>
      </c>
      <c r="P103" s="15">
        <f t="shared" si="36"/>
        <v>21</v>
      </c>
      <c r="R103" s="8"/>
      <c r="T103"/>
    </row>
    <row r="104" spans="2:20" ht="23.1" customHeight="1" x14ac:dyDescent="0.25">
      <c r="B104" s="25" t="s">
        <v>144</v>
      </c>
      <c r="C104" s="49">
        <f>'Avg Week Kasese-Pondwe'!C104+'Avg Week Pondwe-Kasese'!C104</f>
        <v>1</v>
      </c>
      <c r="D104" s="49">
        <f>'Avg Week Kasese-Pondwe'!D104+'Avg Week Pondwe-Kasese'!D104</f>
        <v>1</v>
      </c>
      <c r="E104" s="49">
        <f>'Avg Week Kasese-Pondwe'!E104+'Avg Week Pondwe-Kasese'!E104</f>
        <v>1</v>
      </c>
      <c r="F104" s="49">
        <f>'Avg Week Kasese-Pondwe'!F104+'Avg Week Pondwe-Kasese'!F104</f>
        <v>0</v>
      </c>
      <c r="G104" s="49">
        <f>'Avg Week Kasese-Pondwe'!G104+'Avg Week Pondwe-Kasese'!G104</f>
        <v>0</v>
      </c>
      <c r="H104" s="49">
        <f>'Avg Week Kasese-Pondwe'!H104+'Avg Week Pondwe-Kasese'!H104</f>
        <v>0</v>
      </c>
      <c r="I104" s="49">
        <f>'Avg Week Kasese-Pondwe'!I104+'Avg Week Pondwe-Kasese'!I104</f>
        <v>0</v>
      </c>
      <c r="J104" s="49">
        <f>'Avg Week Kasese-Pondwe'!J104+'Avg Week Pondwe-Kasese'!J104</f>
        <v>0</v>
      </c>
      <c r="K104" s="49">
        <f>'Avg Week Kasese-Pondwe'!K104+'Avg Week Pondwe-Kasese'!K104</f>
        <v>2</v>
      </c>
      <c r="L104" s="49">
        <f>'Avg Week Kasese-Pondwe'!L104+'Avg Week Pondwe-Kasese'!L104</f>
        <v>1</v>
      </c>
      <c r="M104" s="49">
        <f>'Avg Week Kasese-Pondwe'!M104+'Avg Week Pondwe-Kasese'!M104</f>
        <v>2</v>
      </c>
      <c r="N104" s="49">
        <f>'Avg Week Kasese-Pondwe'!N104+'Avg Week Pondwe-Kasese'!N104</f>
        <v>0</v>
      </c>
      <c r="O104" s="15">
        <f t="shared" si="35"/>
        <v>6</v>
      </c>
      <c r="P104" s="15">
        <f t="shared" si="36"/>
        <v>8</v>
      </c>
      <c r="R104" s="8"/>
      <c r="T104"/>
    </row>
    <row r="105" spans="2:20" ht="23.1" customHeight="1" x14ac:dyDescent="0.25">
      <c r="B105" s="23" t="s">
        <v>145</v>
      </c>
      <c r="C105" s="49">
        <f>'Avg Week Kasese-Pondwe'!C105+'Avg Week Pondwe-Kasese'!C105</f>
        <v>3</v>
      </c>
      <c r="D105" s="49">
        <f>'Avg Week Kasese-Pondwe'!D105+'Avg Week Pondwe-Kasese'!D105</f>
        <v>0</v>
      </c>
      <c r="E105" s="49">
        <f>'Avg Week Kasese-Pondwe'!E105+'Avg Week Pondwe-Kasese'!E105</f>
        <v>0</v>
      </c>
      <c r="F105" s="49">
        <f>'Avg Week Kasese-Pondwe'!F105+'Avg Week Pondwe-Kasese'!F105</f>
        <v>0</v>
      </c>
      <c r="G105" s="49">
        <f>'Avg Week Kasese-Pondwe'!G105+'Avg Week Pondwe-Kasese'!G105</f>
        <v>0</v>
      </c>
      <c r="H105" s="49">
        <f>'Avg Week Kasese-Pondwe'!H105+'Avg Week Pondwe-Kasese'!H105</f>
        <v>0</v>
      </c>
      <c r="I105" s="49">
        <f>'Avg Week Kasese-Pondwe'!I105+'Avg Week Pondwe-Kasese'!I105</f>
        <v>1</v>
      </c>
      <c r="J105" s="49">
        <f>'Avg Week Kasese-Pondwe'!J105+'Avg Week Pondwe-Kasese'!J105</f>
        <v>0</v>
      </c>
      <c r="K105" s="49">
        <f>'Avg Week Kasese-Pondwe'!K105+'Avg Week Pondwe-Kasese'!K105</f>
        <v>0</v>
      </c>
      <c r="L105" s="49">
        <f>'Avg Week Kasese-Pondwe'!L105+'Avg Week Pondwe-Kasese'!L105</f>
        <v>0</v>
      </c>
      <c r="M105" s="49">
        <f>'Avg Week Kasese-Pondwe'!M105+'Avg Week Pondwe-Kasese'!M105</f>
        <v>5</v>
      </c>
      <c r="N105" s="49">
        <f>'Avg Week Kasese-Pondwe'!N105+'Avg Week Pondwe-Kasese'!N105</f>
        <v>0</v>
      </c>
      <c r="O105" s="15">
        <f t="shared" si="35"/>
        <v>4</v>
      </c>
      <c r="P105" s="15">
        <f t="shared" si="36"/>
        <v>9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627.33333333333326</v>
      </c>
      <c r="D106" s="16">
        <f t="shared" ref="D106:P106" si="37">SUM(D10:D105)</f>
        <v>45.333333333333336</v>
      </c>
      <c r="E106" s="16">
        <f t="shared" si="37"/>
        <v>43.666666666666664</v>
      </c>
      <c r="F106" s="16">
        <f t="shared" si="37"/>
        <v>100.66666666666667</v>
      </c>
      <c r="G106" s="16">
        <f t="shared" si="37"/>
        <v>3.333333333333333</v>
      </c>
      <c r="H106" s="16">
        <f t="shared" si="37"/>
        <v>28</v>
      </c>
      <c r="I106" s="16">
        <f t="shared" si="37"/>
        <v>75.666666666666657</v>
      </c>
      <c r="J106" s="16">
        <f t="shared" si="37"/>
        <v>56.33333333333335</v>
      </c>
      <c r="K106" s="16">
        <f t="shared" si="37"/>
        <v>16</v>
      </c>
      <c r="L106" s="16">
        <f t="shared" si="37"/>
        <v>57.333333333333321</v>
      </c>
      <c r="M106" s="16">
        <f t="shared" si="37"/>
        <v>6526.333333333333</v>
      </c>
      <c r="N106" s="16">
        <f t="shared" si="37"/>
        <v>0</v>
      </c>
      <c r="O106" s="16">
        <f t="shared" si="37"/>
        <v>1053.6666666666667</v>
      </c>
      <c r="P106" s="16">
        <f t="shared" si="37"/>
        <v>7580.0000000000009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8.2761653474054508E-2</v>
      </c>
      <c r="D107" s="43">
        <f t="shared" si="38"/>
        <v>5.9806508355321015E-3</v>
      </c>
      <c r="E107" s="43">
        <f t="shared" si="38"/>
        <v>5.7607739665787149E-3</v>
      </c>
      <c r="F107" s="43">
        <f t="shared" si="38"/>
        <v>1.3280562884784519E-2</v>
      </c>
      <c r="G107" s="43">
        <f t="shared" si="38"/>
        <v>4.3975373790677212E-4</v>
      </c>
      <c r="H107" s="43">
        <f t="shared" si="38"/>
        <v>3.693931398416886E-3</v>
      </c>
      <c r="I107" s="43">
        <f t="shared" si="38"/>
        <v>9.9824098504837262E-3</v>
      </c>
      <c r="J107" s="43">
        <f t="shared" si="38"/>
        <v>7.4318381706244517E-3</v>
      </c>
      <c r="K107" s="43">
        <f t="shared" si="38"/>
        <v>2.1108179419525065E-3</v>
      </c>
      <c r="L107" s="43">
        <f t="shared" si="38"/>
        <v>7.5637642919964797E-3</v>
      </c>
      <c r="M107" s="43">
        <f t="shared" si="38"/>
        <v>0.86099384344766916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0.59538120847832954</v>
      </c>
      <c r="D108" s="44">
        <f t="shared" ref="D108:N108" si="39">D106/$O$106</f>
        <v>4.3024359379943054E-2</v>
      </c>
      <c r="E108" s="44">
        <f t="shared" si="39"/>
        <v>4.1442581461562794E-2</v>
      </c>
      <c r="F108" s="44">
        <f t="shared" si="39"/>
        <v>9.553938627016767E-2</v>
      </c>
      <c r="G108" s="44">
        <f t="shared" si="39"/>
        <v>3.1635558367605183E-3</v>
      </c>
      <c r="H108" s="44">
        <f t="shared" si="39"/>
        <v>2.6573869028788357E-2</v>
      </c>
      <c r="I108" s="44">
        <f t="shared" si="39"/>
        <v>7.181271749446376E-2</v>
      </c>
      <c r="J108" s="44">
        <f t="shared" si="39"/>
        <v>5.3464093641252777E-2</v>
      </c>
      <c r="K108" s="44">
        <f t="shared" si="39"/>
        <v>1.518506801645049E-2</v>
      </c>
      <c r="L108" s="44">
        <f t="shared" si="39"/>
        <v>5.4413160392280911E-2</v>
      </c>
      <c r="M108" s="44"/>
      <c r="N108" s="44">
        <f t="shared" si="39"/>
        <v>0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HeadingPairs>
  <TitlesOfParts>
    <vt:vector size="27" baseType="lpstr">
      <vt:lpstr>26.10 KASESE-PONDWE</vt:lpstr>
      <vt:lpstr>26.10.PONDWE-KASESE</vt:lpstr>
      <vt:lpstr>27.10 KASESE-PONDWE</vt:lpstr>
      <vt:lpstr>27.10 PONDWE-KASESE</vt:lpstr>
      <vt:lpstr>25.10.19 PONDWE-KASESE-24h</vt:lpstr>
      <vt:lpstr>25.10.19 KASESE- PONDWE-24h</vt:lpstr>
      <vt:lpstr>Avg Week Kasese-Pondwe</vt:lpstr>
      <vt:lpstr>Avg Week Pondwe-Kasese</vt:lpstr>
      <vt:lpstr>Avg Week Pondwe-Kasese-2Dir</vt:lpstr>
      <vt:lpstr>'25.10.19 KASESE- PONDWE-24h'!Print_Area</vt:lpstr>
      <vt:lpstr>'25.10.19 PONDWE-KASESE-24h'!Print_Area</vt:lpstr>
      <vt:lpstr>'26.10 KASESE-PONDWE'!Print_Area</vt:lpstr>
      <vt:lpstr>'26.10.PONDWE-KASESE'!Print_Area</vt:lpstr>
      <vt:lpstr>'27.10 KASESE-PONDWE'!Print_Area</vt:lpstr>
      <vt:lpstr>'27.10 PONDWE-KASESE'!Print_Area</vt:lpstr>
      <vt:lpstr>'Avg Week Kasese-Pondwe'!Print_Area</vt:lpstr>
      <vt:lpstr>'Avg Week Pondwe-Kasese'!Print_Area</vt:lpstr>
      <vt:lpstr>'Avg Week Pondwe-Kasese-2Dir'!Print_Area</vt:lpstr>
      <vt:lpstr>'25.10.19 KASESE- PONDWE-24h'!Print_Titles</vt:lpstr>
      <vt:lpstr>'25.10.19 PONDWE-KASESE-24h'!Print_Titles</vt:lpstr>
      <vt:lpstr>'26.10 KASESE-PONDWE'!Print_Titles</vt:lpstr>
      <vt:lpstr>'26.10.PONDWE-KASESE'!Print_Titles</vt:lpstr>
      <vt:lpstr>'27.10 KASESE-PONDWE'!Print_Titles</vt:lpstr>
      <vt:lpstr>'27.10 PONDWE-KASESE'!Print_Titles</vt:lpstr>
      <vt:lpstr>'Avg Week Kasese-Pondwe'!Print_Titles</vt:lpstr>
      <vt:lpstr>'Avg Week Pondwe-Kasese'!Print_Titles</vt:lpstr>
      <vt:lpstr>'Avg Week Pondwe-Kasese-2Dir'!Print_Titles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STEWARD CONSULTANCY</cp:lastModifiedBy>
  <cp:lastPrinted>2019-07-25T18:18:41Z</cp:lastPrinted>
  <dcterms:created xsi:type="dcterms:W3CDTF">2010-07-06T07:39:49Z</dcterms:created>
  <dcterms:modified xsi:type="dcterms:W3CDTF">2020-01-16T15:08:10Z</dcterms:modified>
</cp:coreProperties>
</file>