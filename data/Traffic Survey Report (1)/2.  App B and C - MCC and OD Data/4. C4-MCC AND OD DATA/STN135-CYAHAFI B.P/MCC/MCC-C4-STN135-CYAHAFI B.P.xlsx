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MCC-OD\C-4 Analysis Complete\STN135-CYAHAFI B.P\MCC\"/>
    </mc:Choice>
  </mc:AlternateContent>
  <xr:revisionPtr revIDLastSave="0" documentId="13_ncr:1_{854EE420-F75A-4160-83A1-65715E744C50}" xr6:coauthVersionLast="45" xr6:coauthVersionMax="45" xr10:uidLastSave="{00000000-0000-0000-0000-000000000000}"/>
  <bookViews>
    <workbookView xWindow="-120" yWindow="-120" windowWidth="20730" windowHeight="11160" tabRatio="940" firstSheet="5" activeTab="8" xr2:uid="{00000000-000D-0000-FFFF-FFFF00000000}"/>
  </bookViews>
  <sheets>
    <sheet name="25.10.19 CYANIKA-KISORO-24h" sheetId="109" r:id="rId1"/>
    <sheet name="25.10.19 KISORO-CYANIKA-24h" sheetId="101" r:id="rId2"/>
    <sheet name="26.10 CYANIKA-KISORO" sheetId="95" r:id="rId3"/>
    <sheet name="26.10 KISORO-CYANIKA" sheetId="96" r:id="rId4"/>
    <sheet name="27.10 CYANIKA-KISORO" sheetId="93" r:id="rId5"/>
    <sheet name="27.10 KISORO-CYANIKA" sheetId="94" r:id="rId6"/>
    <sheet name="Avg Week Cyanika-Kisoro" sheetId="107" r:id="rId7"/>
    <sheet name="Avg Week Kisoro-Cyanika" sheetId="108" r:id="rId8"/>
    <sheet name="Avg Week Kisoro-Cyanika-2Dir" sheetId="111" r:id="rId9"/>
  </sheets>
  <definedNames>
    <definedName name="_xlnm.Print_Area" localSheetId="0">'25.10.19 CYANIKA-KISORO-24h'!$A$1:$AF$108</definedName>
    <definedName name="_xlnm.Print_Area" localSheetId="1">'25.10.19 KISORO-CYANIKA-24h'!$A$1:$AF$108</definedName>
    <definedName name="_xlnm.Print_Area" localSheetId="2">'26.10 CYANIKA-KISORO'!$A$1:$AF$60</definedName>
    <definedName name="_xlnm.Print_Area" localSheetId="3">'26.10 KISORO-CYANIKA'!$A$1:$AF$60</definedName>
    <definedName name="_xlnm.Print_Area" localSheetId="4">'27.10 CYANIKA-KISORO'!$A$1:$AF$60</definedName>
    <definedName name="_xlnm.Print_Area" localSheetId="5">'27.10 KISORO-CYANIKA'!$A$1:$AF$60</definedName>
    <definedName name="_xlnm.Print_Area" localSheetId="6">'Avg Week Cyanika-Kisoro'!$A$1:$AF$108</definedName>
    <definedName name="_xlnm.Print_Area" localSheetId="7">'Avg Week Kisoro-Cyanika'!$A$1:$AF$108</definedName>
    <definedName name="_xlnm.Print_Area" localSheetId="8">'Avg Week Kisoro-Cyanika-2Dir'!$A$1:$AF$108</definedName>
    <definedName name="_xlnm.Print_Titles" localSheetId="0">'25.10.19 CYANIKA-KISORO-24h'!$1:$8</definedName>
    <definedName name="_xlnm.Print_Titles" localSheetId="1">'25.10.19 KISORO-CYANIKA-24h'!$1:$8</definedName>
    <definedName name="_xlnm.Print_Titles" localSheetId="2">'26.10 CYANIKA-KISORO'!$1:$8</definedName>
    <definedName name="_xlnm.Print_Titles" localSheetId="3">'26.10 KISORO-CYANIKA'!$1:$8</definedName>
    <definedName name="_xlnm.Print_Titles" localSheetId="4">'27.10 CYANIKA-KISORO'!$1:$8</definedName>
    <definedName name="_xlnm.Print_Titles" localSheetId="5">'27.10 KISORO-CYANIKA'!$1:$8</definedName>
    <definedName name="_xlnm.Print_Titles" localSheetId="6">'Avg Week Cyanika-Kisoro'!$1:$8</definedName>
    <definedName name="_xlnm.Print_Titles" localSheetId="7">'Avg Week Kisoro-Cyanika'!$1:$8</definedName>
    <definedName name="_xlnm.Print_Titles" localSheetId="8">'Avg Week Kisoro-Cyanika-2Dir'!$1:$8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4" i="107" l="1"/>
  <c r="M103" i="107"/>
  <c r="M102" i="107"/>
  <c r="M101" i="107"/>
  <c r="M100" i="107"/>
  <c r="M99" i="107"/>
  <c r="M98" i="107"/>
  <c r="M97" i="107"/>
  <c r="M96" i="107"/>
  <c r="M95" i="107"/>
  <c r="M94" i="107"/>
  <c r="M93" i="107"/>
  <c r="M92" i="107"/>
  <c r="M91" i="107"/>
  <c r="M90" i="107"/>
  <c r="M89" i="107"/>
  <c r="M88" i="107"/>
  <c r="M87" i="107"/>
  <c r="M86" i="107"/>
  <c r="M85" i="107"/>
  <c r="M84" i="107"/>
  <c r="M83" i="107"/>
  <c r="M82" i="107"/>
  <c r="M81" i="107"/>
  <c r="M80" i="107"/>
  <c r="M79" i="107"/>
  <c r="M78" i="107"/>
  <c r="M77" i="107"/>
  <c r="M76" i="107"/>
  <c r="M75" i="107"/>
  <c r="M74" i="107"/>
  <c r="M73" i="107"/>
  <c r="M72" i="107"/>
  <c r="M71" i="107"/>
  <c r="M70" i="107"/>
  <c r="M69" i="107"/>
  <c r="M67" i="107"/>
  <c r="M66" i="107"/>
  <c r="M65" i="107"/>
  <c r="M64" i="107"/>
  <c r="P104" i="108" l="1"/>
  <c r="D58" i="108"/>
  <c r="E58" i="108"/>
  <c r="F58" i="108"/>
  <c r="G58" i="108"/>
  <c r="H58" i="108"/>
  <c r="I58" i="108"/>
  <c r="J58" i="108"/>
  <c r="K58" i="108"/>
  <c r="L58" i="108"/>
  <c r="M58" i="108"/>
  <c r="N58" i="108"/>
  <c r="D59" i="108"/>
  <c r="E59" i="108"/>
  <c r="F59" i="108"/>
  <c r="G59" i="108"/>
  <c r="H59" i="108"/>
  <c r="X22" i="108" s="1"/>
  <c r="I59" i="108"/>
  <c r="J59" i="108"/>
  <c r="K59" i="108"/>
  <c r="L59" i="108"/>
  <c r="M59" i="108"/>
  <c r="N59" i="108"/>
  <c r="D60" i="108"/>
  <c r="T22" i="108" s="1"/>
  <c r="E60" i="108"/>
  <c r="U22" i="108" s="1"/>
  <c r="F60" i="108"/>
  <c r="G60" i="108"/>
  <c r="H60" i="108"/>
  <c r="I60" i="108"/>
  <c r="J60" i="108"/>
  <c r="K60" i="108"/>
  <c r="L60" i="108"/>
  <c r="M60" i="108"/>
  <c r="AC22" i="108" s="1"/>
  <c r="N60" i="108"/>
  <c r="D61" i="108"/>
  <c r="E61" i="108"/>
  <c r="F61" i="108"/>
  <c r="G61" i="108"/>
  <c r="H61" i="108"/>
  <c r="I61" i="108"/>
  <c r="Y22" i="108" s="1"/>
  <c r="J61" i="108"/>
  <c r="K61" i="108"/>
  <c r="L61" i="108"/>
  <c r="M61" i="108"/>
  <c r="N61" i="108"/>
  <c r="D62" i="108"/>
  <c r="E62" i="108"/>
  <c r="F62" i="108"/>
  <c r="G62" i="108"/>
  <c r="W23" i="108" s="1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P64" i="108" s="1"/>
  <c r="I64" i="108"/>
  <c r="Y23" i="108" s="1"/>
  <c r="J64" i="108"/>
  <c r="K64" i="108"/>
  <c r="L64" i="108"/>
  <c r="M64" i="108"/>
  <c r="N64" i="108"/>
  <c r="D65" i="108"/>
  <c r="E65" i="108"/>
  <c r="U23" i="108" s="1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AA24" i="108" s="1"/>
  <c r="L66" i="108"/>
  <c r="M66" i="108"/>
  <c r="N66" i="108"/>
  <c r="D67" i="108"/>
  <c r="E67" i="108"/>
  <c r="F67" i="108"/>
  <c r="G67" i="108"/>
  <c r="H67" i="108"/>
  <c r="X24" i="108" s="1"/>
  <c r="I67" i="108"/>
  <c r="J67" i="108"/>
  <c r="K67" i="108"/>
  <c r="L67" i="108"/>
  <c r="M67" i="108"/>
  <c r="N67" i="108"/>
  <c r="D68" i="108"/>
  <c r="T24" i="108" s="1"/>
  <c r="E68" i="108"/>
  <c r="U24" i="108" s="1"/>
  <c r="F68" i="108"/>
  <c r="G68" i="108"/>
  <c r="H68" i="108"/>
  <c r="I68" i="108"/>
  <c r="J68" i="108"/>
  <c r="K68" i="108"/>
  <c r="L68" i="108"/>
  <c r="M68" i="108"/>
  <c r="AC24" i="108" s="1"/>
  <c r="N68" i="108"/>
  <c r="D69" i="108"/>
  <c r="E69" i="108"/>
  <c r="F69" i="108"/>
  <c r="G69" i="108"/>
  <c r="H69" i="108"/>
  <c r="I69" i="108"/>
  <c r="Y24" i="108" s="1"/>
  <c r="J69" i="108"/>
  <c r="K69" i="108"/>
  <c r="L69" i="108"/>
  <c r="M69" i="108"/>
  <c r="N69" i="108"/>
  <c r="D70" i="108"/>
  <c r="E70" i="108"/>
  <c r="F70" i="108"/>
  <c r="G70" i="108"/>
  <c r="W25" i="108" s="1"/>
  <c r="H70" i="108"/>
  <c r="I70" i="108"/>
  <c r="J70" i="108"/>
  <c r="K70" i="108"/>
  <c r="L70" i="108"/>
  <c r="M70" i="108"/>
  <c r="N70" i="108"/>
  <c r="D71" i="108"/>
  <c r="T25" i="108" s="1"/>
  <c r="E71" i="108"/>
  <c r="F71" i="108"/>
  <c r="G71" i="108"/>
  <c r="H71" i="108"/>
  <c r="I71" i="108"/>
  <c r="J71" i="108"/>
  <c r="K71" i="108"/>
  <c r="L71" i="108"/>
  <c r="AB25" i="108" s="1"/>
  <c r="M71" i="108"/>
  <c r="N71" i="108"/>
  <c r="D72" i="108"/>
  <c r="E72" i="108"/>
  <c r="F72" i="108"/>
  <c r="G72" i="108"/>
  <c r="H72" i="108"/>
  <c r="X25" i="108" s="1"/>
  <c r="I72" i="108"/>
  <c r="J72" i="108"/>
  <c r="K72" i="108"/>
  <c r="L72" i="108"/>
  <c r="M72" i="108"/>
  <c r="N72" i="108"/>
  <c r="D73" i="108"/>
  <c r="E73" i="108"/>
  <c r="U25" i="108" s="1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W26" i="108" s="1"/>
  <c r="H75" i="108"/>
  <c r="X26" i="108" s="1"/>
  <c r="I75" i="108"/>
  <c r="J75" i="108"/>
  <c r="K75" i="108"/>
  <c r="L75" i="108"/>
  <c r="M75" i="108"/>
  <c r="N75" i="108"/>
  <c r="D76" i="108"/>
  <c r="E76" i="108"/>
  <c r="U26" i="108" s="1"/>
  <c r="F76" i="108"/>
  <c r="G76" i="108"/>
  <c r="H76" i="108"/>
  <c r="I76" i="108"/>
  <c r="J76" i="108"/>
  <c r="K76" i="108"/>
  <c r="L76" i="108"/>
  <c r="M76" i="108"/>
  <c r="AC26" i="108" s="1"/>
  <c r="N76" i="108"/>
  <c r="D77" i="108"/>
  <c r="E77" i="108"/>
  <c r="F77" i="108"/>
  <c r="G77" i="108"/>
  <c r="H77" i="108"/>
  <c r="I77" i="108"/>
  <c r="Y26" i="108" s="1"/>
  <c r="J77" i="108"/>
  <c r="K77" i="108"/>
  <c r="L77" i="108"/>
  <c r="M77" i="108"/>
  <c r="N77" i="108"/>
  <c r="D78" i="108"/>
  <c r="E78" i="108"/>
  <c r="F78" i="108"/>
  <c r="V27" i="108" s="1"/>
  <c r="G78" i="108"/>
  <c r="W27" i="108" s="1"/>
  <c r="H78" i="108"/>
  <c r="I78" i="108"/>
  <c r="J78" i="108"/>
  <c r="K78" i="108"/>
  <c r="L78" i="108"/>
  <c r="M78" i="108"/>
  <c r="N78" i="108"/>
  <c r="D79" i="108"/>
  <c r="T27" i="108" s="1"/>
  <c r="E79" i="108"/>
  <c r="F79" i="108"/>
  <c r="G79" i="108"/>
  <c r="H79" i="108"/>
  <c r="I79" i="108"/>
  <c r="J79" i="108"/>
  <c r="K79" i="108"/>
  <c r="L79" i="108"/>
  <c r="AB27" i="108" s="1"/>
  <c r="M79" i="108"/>
  <c r="N79" i="108"/>
  <c r="D80" i="108"/>
  <c r="E80" i="108"/>
  <c r="F80" i="108"/>
  <c r="G80" i="108"/>
  <c r="H80" i="108"/>
  <c r="X27" i="108" s="1"/>
  <c r="I80" i="108"/>
  <c r="Y27" i="108" s="1"/>
  <c r="J80" i="108"/>
  <c r="K80" i="108"/>
  <c r="L80" i="108"/>
  <c r="M80" i="108"/>
  <c r="N80" i="108"/>
  <c r="D81" i="108"/>
  <c r="E81" i="108"/>
  <c r="U27" i="108" s="1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AA28" i="108" s="1"/>
  <c r="L82" i="108"/>
  <c r="M82" i="108"/>
  <c r="N82" i="108"/>
  <c r="D83" i="108"/>
  <c r="E83" i="108"/>
  <c r="F83" i="108"/>
  <c r="G83" i="108"/>
  <c r="W28" i="108" s="1"/>
  <c r="H83" i="108"/>
  <c r="I83" i="108"/>
  <c r="J83" i="108"/>
  <c r="K83" i="108"/>
  <c r="L83" i="108"/>
  <c r="M83" i="108"/>
  <c r="N83" i="108"/>
  <c r="D84" i="108"/>
  <c r="T28" i="108" s="1"/>
  <c r="E84" i="108"/>
  <c r="U28" i="108" s="1"/>
  <c r="F84" i="108"/>
  <c r="G84" i="108"/>
  <c r="H84" i="108"/>
  <c r="I84" i="108"/>
  <c r="J84" i="108"/>
  <c r="K84" i="108"/>
  <c r="L84" i="108"/>
  <c r="M84" i="108"/>
  <c r="AC28" i="108" s="1"/>
  <c r="N84" i="108"/>
  <c r="D85" i="108"/>
  <c r="E85" i="108"/>
  <c r="F85" i="108"/>
  <c r="G85" i="108"/>
  <c r="H85" i="108"/>
  <c r="I85" i="108"/>
  <c r="Y28" i="108" s="1"/>
  <c r="J85" i="108"/>
  <c r="K85" i="108"/>
  <c r="L85" i="108"/>
  <c r="M85" i="108"/>
  <c r="N85" i="108"/>
  <c r="D86" i="108"/>
  <c r="E86" i="108"/>
  <c r="F86" i="108"/>
  <c r="G86" i="108"/>
  <c r="W29" i="108" s="1"/>
  <c r="H86" i="108"/>
  <c r="I86" i="108"/>
  <c r="J86" i="108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AB29" i="108" s="1"/>
  <c r="M87" i="108"/>
  <c r="N87" i="108"/>
  <c r="D88" i="108"/>
  <c r="E88" i="108"/>
  <c r="F88" i="108"/>
  <c r="G88" i="108"/>
  <c r="H88" i="108"/>
  <c r="X29" i="108" s="1"/>
  <c r="I88" i="108"/>
  <c r="Y29" i="108" s="1"/>
  <c r="J88" i="108"/>
  <c r="K88" i="108"/>
  <c r="L88" i="108"/>
  <c r="M88" i="108"/>
  <c r="N88" i="108"/>
  <c r="D89" i="108"/>
  <c r="E89" i="108"/>
  <c r="U29" i="108" s="1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J90" i="108"/>
  <c r="K90" i="108"/>
  <c r="AA30" i="108" s="1"/>
  <c r="L90" i="108"/>
  <c r="M90" i="108"/>
  <c r="N90" i="108"/>
  <c r="D91" i="108"/>
  <c r="E91" i="108"/>
  <c r="F91" i="108"/>
  <c r="G91" i="108"/>
  <c r="W30" i="108" s="1"/>
  <c r="H91" i="108"/>
  <c r="X30" i="108" s="1"/>
  <c r="I91" i="108"/>
  <c r="J91" i="108"/>
  <c r="K91" i="108"/>
  <c r="L91" i="108"/>
  <c r="M91" i="108"/>
  <c r="N91" i="108"/>
  <c r="D92" i="108"/>
  <c r="T30" i="108" s="1"/>
  <c r="E92" i="108"/>
  <c r="F92" i="108"/>
  <c r="G92" i="108"/>
  <c r="H92" i="108"/>
  <c r="I92" i="108"/>
  <c r="J92" i="108"/>
  <c r="K92" i="108"/>
  <c r="L92" i="108"/>
  <c r="AB30" i="108" s="1"/>
  <c r="M92" i="108"/>
  <c r="N92" i="108"/>
  <c r="D93" i="108"/>
  <c r="E93" i="108"/>
  <c r="F93" i="108"/>
  <c r="G93" i="108"/>
  <c r="H93" i="108"/>
  <c r="I93" i="108"/>
  <c r="Y30" i="108" s="1"/>
  <c r="J93" i="108"/>
  <c r="K93" i="108"/>
  <c r="L93" i="108"/>
  <c r="M93" i="108"/>
  <c r="N93" i="108"/>
  <c r="D94" i="108"/>
  <c r="E94" i="108"/>
  <c r="F94" i="108"/>
  <c r="G94" i="108"/>
  <c r="W31" i="108" s="1"/>
  <c r="H94" i="108"/>
  <c r="I94" i="108"/>
  <c r="J94" i="108"/>
  <c r="K94" i="108"/>
  <c r="L94" i="108"/>
  <c r="M94" i="108"/>
  <c r="N94" i="108"/>
  <c r="D95" i="108"/>
  <c r="T31" i="108" s="1"/>
  <c r="E95" i="108"/>
  <c r="F95" i="108"/>
  <c r="G95" i="108"/>
  <c r="H95" i="108"/>
  <c r="I95" i="108"/>
  <c r="J95" i="108"/>
  <c r="K95" i="108"/>
  <c r="AA31" i="108" s="1"/>
  <c r="L95" i="108"/>
  <c r="AB31" i="108" s="1"/>
  <c r="M95" i="108"/>
  <c r="N95" i="108"/>
  <c r="D96" i="108"/>
  <c r="E96" i="108"/>
  <c r="F96" i="108"/>
  <c r="G96" i="108"/>
  <c r="H96" i="108"/>
  <c r="X31" i="108" s="1"/>
  <c r="I96" i="108"/>
  <c r="Y31" i="108" s="1"/>
  <c r="J96" i="108"/>
  <c r="K96" i="108"/>
  <c r="L96" i="108"/>
  <c r="M96" i="108"/>
  <c r="N96" i="108"/>
  <c r="D97" i="108"/>
  <c r="E97" i="108"/>
  <c r="U31" i="108" s="1"/>
  <c r="F97" i="108"/>
  <c r="G97" i="108"/>
  <c r="H97" i="108"/>
  <c r="I97" i="108"/>
  <c r="J97" i="108"/>
  <c r="K97" i="108"/>
  <c r="L97" i="108"/>
  <c r="M97" i="108"/>
  <c r="AC31" i="108" s="1"/>
  <c r="N97" i="108"/>
  <c r="D98" i="108"/>
  <c r="E98" i="108"/>
  <c r="F98" i="108"/>
  <c r="G98" i="108"/>
  <c r="H98" i="108"/>
  <c r="I98" i="108"/>
  <c r="J98" i="108"/>
  <c r="Z32" i="108" s="1"/>
  <c r="K98" i="108"/>
  <c r="L98" i="108"/>
  <c r="M98" i="108"/>
  <c r="N98" i="108"/>
  <c r="D99" i="108"/>
  <c r="E99" i="108"/>
  <c r="F99" i="108"/>
  <c r="G99" i="108"/>
  <c r="W32" i="108" s="1"/>
  <c r="H99" i="108"/>
  <c r="X32" i="108" s="1"/>
  <c r="I99" i="108"/>
  <c r="J99" i="108"/>
  <c r="K99" i="108"/>
  <c r="L99" i="108"/>
  <c r="M99" i="108"/>
  <c r="N99" i="108"/>
  <c r="D100" i="108"/>
  <c r="T32" i="108" s="1"/>
  <c r="E100" i="108"/>
  <c r="U32" i="108" s="1"/>
  <c r="F100" i="108"/>
  <c r="G100" i="108"/>
  <c r="H100" i="108"/>
  <c r="I100" i="108"/>
  <c r="J100" i="108"/>
  <c r="K100" i="108"/>
  <c r="L100" i="108"/>
  <c r="AB32" i="108" s="1"/>
  <c r="M100" i="108"/>
  <c r="AC32" i="108" s="1"/>
  <c r="N100" i="108"/>
  <c r="D101" i="108"/>
  <c r="E101" i="108"/>
  <c r="F101" i="108"/>
  <c r="G101" i="108"/>
  <c r="H101" i="108"/>
  <c r="I101" i="108"/>
  <c r="Y32" i="108" s="1"/>
  <c r="J101" i="108"/>
  <c r="K101" i="108"/>
  <c r="L101" i="108"/>
  <c r="M101" i="108"/>
  <c r="N101" i="108"/>
  <c r="D102" i="108"/>
  <c r="E102" i="108"/>
  <c r="F102" i="108"/>
  <c r="G102" i="108"/>
  <c r="W33" i="108" s="1"/>
  <c r="H102" i="108"/>
  <c r="I102" i="108"/>
  <c r="J102" i="108"/>
  <c r="K102" i="108"/>
  <c r="L102" i="108"/>
  <c r="M102" i="108"/>
  <c r="N102" i="108"/>
  <c r="D103" i="108"/>
  <c r="T33" i="108" s="1"/>
  <c r="E103" i="108"/>
  <c r="F103" i="108"/>
  <c r="G103" i="108"/>
  <c r="H103" i="108"/>
  <c r="I103" i="108"/>
  <c r="J103" i="108"/>
  <c r="K103" i="108"/>
  <c r="L103" i="108"/>
  <c r="AB33" i="108" s="1"/>
  <c r="M103" i="108"/>
  <c r="N103" i="108"/>
  <c r="D104" i="108"/>
  <c r="E104" i="108"/>
  <c r="F104" i="108"/>
  <c r="G104" i="108"/>
  <c r="H104" i="108"/>
  <c r="X33" i="108" s="1"/>
  <c r="I104" i="108"/>
  <c r="Y33" i="108" s="1"/>
  <c r="J104" i="108"/>
  <c r="K104" i="108"/>
  <c r="L104" i="108"/>
  <c r="M104" i="108"/>
  <c r="N104" i="108"/>
  <c r="D105" i="108"/>
  <c r="E105" i="108"/>
  <c r="U33" i="108" s="1"/>
  <c r="F105" i="108"/>
  <c r="G105" i="108"/>
  <c r="H105" i="108"/>
  <c r="I105" i="108"/>
  <c r="J105" i="108"/>
  <c r="K105" i="108"/>
  <c r="L105" i="108"/>
  <c r="M105" i="108"/>
  <c r="AC33" i="108" s="1"/>
  <c r="N105" i="108"/>
  <c r="C59" i="108"/>
  <c r="C60" i="108"/>
  <c r="P60" i="108" s="1"/>
  <c r="C61" i="108"/>
  <c r="C62" i="108"/>
  <c r="P62" i="108" s="1"/>
  <c r="C63" i="108"/>
  <c r="C64" i="108"/>
  <c r="C65" i="108"/>
  <c r="C66" i="108"/>
  <c r="C67" i="108"/>
  <c r="C68" i="108"/>
  <c r="P68" i="108" s="1"/>
  <c r="C69" i="108"/>
  <c r="C70" i="108"/>
  <c r="C71" i="108"/>
  <c r="C72" i="108"/>
  <c r="C73" i="108"/>
  <c r="C73" i="111" s="1"/>
  <c r="C74" i="108"/>
  <c r="C75" i="108"/>
  <c r="C76" i="108"/>
  <c r="P76" i="108" s="1"/>
  <c r="C77" i="108"/>
  <c r="C78" i="108"/>
  <c r="C79" i="108"/>
  <c r="C80" i="108"/>
  <c r="C81" i="108"/>
  <c r="C82" i="108"/>
  <c r="C83" i="108"/>
  <c r="C84" i="108"/>
  <c r="P84" i="108" s="1"/>
  <c r="C85" i="108"/>
  <c r="C86" i="108"/>
  <c r="C87" i="108"/>
  <c r="C88" i="108"/>
  <c r="C89" i="108"/>
  <c r="C90" i="108"/>
  <c r="C91" i="108"/>
  <c r="C92" i="108"/>
  <c r="P92" i="108" s="1"/>
  <c r="C93" i="108"/>
  <c r="C94" i="108"/>
  <c r="C95" i="108"/>
  <c r="C96" i="108"/>
  <c r="C97" i="108"/>
  <c r="C98" i="108"/>
  <c r="C99" i="108"/>
  <c r="C100" i="108"/>
  <c r="P100" i="108" s="1"/>
  <c r="C101" i="108"/>
  <c r="C102" i="108"/>
  <c r="C103" i="108"/>
  <c r="C104" i="108"/>
  <c r="C105" i="108"/>
  <c r="C58" i="108"/>
  <c r="P58" i="108" s="1"/>
  <c r="D58" i="107"/>
  <c r="E58" i="107"/>
  <c r="F58" i="107"/>
  <c r="G58" i="107"/>
  <c r="H58" i="107"/>
  <c r="I58" i="107"/>
  <c r="Y22" i="107" s="1"/>
  <c r="J58" i="107"/>
  <c r="K58" i="107"/>
  <c r="L58" i="107"/>
  <c r="N58" i="107"/>
  <c r="D59" i="107"/>
  <c r="E59" i="107"/>
  <c r="F59" i="107"/>
  <c r="G59" i="107"/>
  <c r="H59" i="107"/>
  <c r="I59" i="107"/>
  <c r="J59" i="107"/>
  <c r="K59" i="107"/>
  <c r="L59" i="107"/>
  <c r="N59" i="107"/>
  <c r="D60" i="107"/>
  <c r="E60" i="107"/>
  <c r="F60" i="107"/>
  <c r="G60" i="107"/>
  <c r="H60" i="107"/>
  <c r="I60" i="107"/>
  <c r="J60" i="107"/>
  <c r="K60" i="107"/>
  <c r="K60" i="111" s="1"/>
  <c r="L60" i="107"/>
  <c r="N60" i="107"/>
  <c r="D61" i="107"/>
  <c r="E61" i="107"/>
  <c r="F61" i="107"/>
  <c r="G61" i="107"/>
  <c r="H61" i="107"/>
  <c r="I61" i="107"/>
  <c r="J61" i="107"/>
  <c r="K61" i="107"/>
  <c r="L61" i="107"/>
  <c r="N61" i="107"/>
  <c r="D62" i="107"/>
  <c r="E62" i="107"/>
  <c r="F62" i="107"/>
  <c r="G62" i="107"/>
  <c r="H62" i="107"/>
  <c r="I62" i="107"/>
  <c r="J62" i="107"/>
  <c r="K62" i="107"/>
  <c r="L62" i="107"/>
  <c r="M62" i="111"/>
  <c r="N62" i="107"/>
  <c r="D63" i="107"/>
  <c r="E63" i="107"/>
  <c r="F63" i="107"/>
  <c r="G63" i="107"/>
  <c r="H63" i="107"/>
  <c r="I63" i="107"/>
  <c r="J63" i="107"/>
  <c r="K63" i="107"/>
  <c r="L63" i="107"/>
  <c r="N63" i="107"/>
  <c r="D64" i="107"/>
  <c r="E64" i="107"/>
  <c r="F64" i="107"/>
  <c r="G64" i="107"/>
  <c r="G64" i="111" s="1"/>
  <c r="H64" i="107"/>
  <c r="I64" i="107"/>
  <c r="J64" i="107"/>
  <c r="K64" i="107"/>
  <c r="L64" i="107"/>
  <c r="N64" i="107"/>
  <c r="D65" i="107"/>
  <c r="E65" i="107"/>
  <c r="F65" i="107"/>
  <c r="G65" i="107"/>
  <c r="H65" i="107"/>
  <c r="I65" i="107"/>
  <c r="J65" i="107"/>
  <c r="K65" i="107"/>
  <c r="L65" i="107"/>
  <c r="L65" i="111" s="1"/>
  <c r="N65" i="107"/>
  <c r="D66" i="107"/>
  <c r="E66" i="107"/>
  <c r="F66" i="107"/>
  <c r="G66" i="107"/>
  <c r="H66" i="107"/>
  <c r="I66" i="107"/>
  <c r="I66" i="111" s="1"/>
  <c r="J66" i="107"/>
  <c r="K66" i="107"/>
  <c r="L66" i="107"/>
  <c r="N66" i="107"/>
  <c r="D67" i="107"/>
  <c r="E67" i="107"/>
  <c r="F67" i="107"/>
  <c r="G67" i="107"/>
  <c r="H67" i="107"/>
  <c r="I67" i="107"/>
  <c r="J67" i="107"/>
  <c r="K67" i="107"/>
  <c r="L67" i="107"/>
  <c r="N67" i="107"/>
  <c r="D68" i="107"/>
  <c r="E68" i="107"/>
  <c r="F68" i="107"/>
  <c r="G68" i="107"/>
  <c r="H68" i="107"/>
  <c r="I68" i="107"/>
  <c r="J68" i="107"/>
  <c r="K68" i="107"/>
  <c r="L68" i="107"/>
  <c r="N68" i="107"/>
  <c r="D69" i="107"/>
  <c r="E69" i="107"/>
  <c r="F69" i="107"/>
  <c r="G69" i="107"/>
  <c r="H69" i="107"/>
  <c r="H69" i="111" s="1"/>
  <c r="I69" i="107"/>
  <c r="J69" i="107"/>
  <c r="K69" i="107"/>
  <c r="L69" i="107"/>
  <c r="N69" i="107"/>
  <c r="D70" i="107"/>
  <c r="E70" i="107"/>
  <c r="F70" i="107"/>
  <c r="G70" i="107"/>
  <c r="H70" i="107"/>
  <c r="I70" i="107"/>
  <c r="J70" i="107"/>
  <c r="K70" i="107"/>
  <c r="L70" i="107"/>
  <c r="N70" i="107"/>
  <c r="D71" i="107"/>
  <c r="E71" i="107"/>
  <c r="F71" i="107"/>
  <c r="G71" i="107"/>
  <c r="H71" i="107"/>
  <c r="I71" i="107"/>
  <c r="J71" i="107"/>
  <c r="P71" i="107" s="1"/>
  <c r="K71" i="107"/>
  <c r="L71" i="107"/>
  <c r="N71" i="107"/>
  <c r="D72" i="107"/>
  <c r="E72" i="107"/>
  <c r="F72" i="107"/>
  <c r="G72" i="107"/>
  <c r="G72" i="111" s="1"/>
  <c r="H72" i="107"/>
  <c r="I72" i="107"/>
  <c r="J72" i="107"/>
  <c r="K72" i="107"/>
  <c r="L72" i="107"/>
  <c r="N72" i="107"/>
  <c r="D73" i="107"/>
  <c r="D73" i="111" s="1"/>
  <c r="E73" i="107"/>
  <c r="F73" i="107"/>
  <c r="G73" i="107"/>
  <c r="H73" i="107"/>
  <c r="I73" i="107"/>
  <c r="J73" i="107"/>
  <c r="K73" i="107"/>
  <c r="L73" i="107"/>
  <c r="L73" i="111" s="1"/>
  <c r="N73" i="107"/>
  <c r="D74" i="107"/>
  <c r="E74" i="107"/>
  <c r="F74" i="107"/>
  <c r="G74" i="107"/>
  <c r="H74" i="107"/>
  <c r="I74" i="107"/>
  <c r="J74" i="107"/>
  <c r="K74" i="107"/>
  <c r="L74" i="107"/>
  <c r="N74" i="107"/>
  <c r="D75" i="107"/>
  <c r="E75" i="107"/>
  <c r="F75" i="107"/>
  <c r="G75" i="107"/>
  <c r="H75" i="107"/>
  <c r="I75" i="107"/>
  <c r="J75" i="107"/>
  <c r="K75" i="107"/>
  <c r="L75" i="107"/>
  <c r="N75" i="107"/>
  <c r="D76" i="107"/>
  <c r="E76" i="107"/>
  <c r="U26" i="107" s="1"/>
  <c r="F76" i="107"/>
  <c r="G76" i="107"/>
  <c r="H76" i="107"/>
  <c r="I76" i="107"/>
  <c r="J76" i="107"/>
  <c r="K76" i="107"/>
  <c r="K76" i="111" s="1"/>
  <c r="L76" i="107"/>
  <c r="AC26" i="107"/>
  <c r="N76" i="107"/>
  <c r="D77" i="107"/>
  <c r="E77" i="107"/>
  <c r="F77" i="107"/>
  <c r="G77" i="107"/>
  <c r="H77" i="107"/>
  <c r="H77" i="111" s="1"/>
  <c r="I77" i="107"/>
  <c r="J77" i="107"/>
  <c r="K77" i="107"/>
  <c r="L77" i="107"/>
  <c r="N77" i="107"/>
  <c r="D78" i="107"/>
  <c r="E78" i="107"/>
  <c r="F78" i="107"/>
  <c r="G78" i="107"/>
  <c r="H78" i="107"/>
  <c r="I78" i="107"/>
  <c r="J78" i="107"/>
  <c r="K78" i="107"/>
  <c r="L78" i="107"/>
  <c r="N78" i="107"/>
  <c r="D79" i="107"/>
  <c r="E79" i="107"/>
  <c r="F79" i="107"/>
  <c r="G79" i="107"/>
  <c r="H79" i="107"/>
  <c r="I79" i="107"/>
  <c r="J79" i="107"/>
  <c r="K79" i="107"/>
  <c r="L79" i="107"/>
  <c r="N79" i="107"/>
  <c r="D80" i="107"/>
  <c r="E80" i="107"/>
  <c r="F80" i="107"/>
  <c r="G80" i="107"/>
  <c r="G80" i="111" s="1"/>
  <c r="H80" i="107"/>
  <c r="I80" i="107"/>
  <c r="Y27" i="107" s="1"/>
  <c r="J80" i="107"/>
  <c r="K80" i="107"/>
  <c r="L80" i="107"/>
  <c r="N80" i="107"/>
  <c r="D81" i="107"/>
  <c r="D81" i="111" s="1"/>
  <c r="E81" i="107"/>
  <c r="F81" i="107"/>
  <c r="G81" i="107"/>
  <c r="H81" i="107"/>
  <c r="I81" i="107"/>
  <c r="J81" i="107"/>
  <c r="K81" i="107"/>
  <c r="L81" i="107"/>
  <c r="L81" i="111" s="1"/>
  <c r="N81" i="107"/>
  <c r="D82" i="107"/>
  <c r="E82" i="107"/>
  <c r="F82" i="107"/>
  <c r="G82" i="107"/>
  <c r="H82" i="107"/>
  <c r="I82" i="107"/>
  <c r="I82" i="111" s="1"/>
  <c r="J82" i="107"/>
  <c r="K82" i="107"/>
  <c r="L82" i="107"/>
  <c r="N82" i="107"/>
  <c r="D83" i="107"/>
  <c r="E83" i="107"/>
  <c r="F83" i="107"/>
  <c r="G83" i="107"/>
  <c r="H83" i="107"/>
  <c r="I83" i="107"/>
  <c r="J83" i="107"/>
  <c r="K83" i="107"/>
  <c r="L83" i="107"/>
  <c r="N83" i="107"/>
  <c r="D84" i="107"/>
  <c r="E84" i="107"/>
  <c r="F84" i="107"/>
  <c r="G84" i="107"/>
  <c r="H84" i="107"/>
  <c r="I84" i="107"/>
  <c r="J84" i="107"/>
  <c r="K84" i="107"/>
  <c r="K84" i="111" s="1"/>
  <c r="L84" i="107"/>
  <c r="AC28" i="107"/>
  <c r="N84" i="107"/>
  <c r="D85" i="107"/>
  <c r="E85" i="107"/>
  <c r="F85" i="107"/>
  <c r="G85" i="107"/>
  <c r="H85" i="107"/>
  <c r="H85" i="111" s="1"/>
  <c r="I85" i="107"/>
  <c r="J85" i="107"/>
  <c r="K85" i="107"/>
  <c r="L85" i="107"/>
  <c r="N85" i="107"/>
  <c r="D86" i="107"/>
  <c r="E86" i="107"/>
  <c r="E86" i="111" s="1"/>
  <c r="F86" i="107"/>
  <c r="G86" i="107"/>
  <c r="H86" i="107"/>
  <c r="I86" i="107"/>
  <c r="J86" i="107"/>
  <c r="K86" i="107"/>
  <c r="L86" i="107"/>
  <c r="M86" i="111"/>
  <c r="N86" i="107"/>
  <c r="D87" i="107"/>
  <c r="E87" i="107"/>
  <c r="F87" i="107"/>
  <c r="G87" i="107"/>
  <c r="H87" i="107"/>
  <c r="I87" i="107"/>
  <c r="J87" i="107"/>
  <c r="K87" i="107"/>
  <c r="L87" i="107"/>
  <c r="N87" i="107"/>
  <c r="D88" i="107"/>
  <c r="E88" i="107"/>
  <c r="F88" i="107"/>
  <c r="G88" i="107"/>
  <c r="G88" i="111" s="1"/>
  <c r="H88" i="107"/>
  <c r="I88" i="107"/>
  <c r="Y29" i="107" s="1"/>
  <c r="J88" i="107"/>
  <c r="K88" i="107"/>
  <c r="L88" i="107"/>
  <c r="N88" i="107"/>
  <c r="D89" i="107"/>
  <c r="D89" i="111" s="1"/>
  <c r="E89" i="107"/>
  <c r="F89" i="107"/>
  <c r="G89" i="107"/>
  <c r="H89" i="107"/>
  <c r="I89" i="107"/>
  <c r="J89" i="107"/>
  <c r="K89" i="107"/>
  <c r="L89" i="107"/>
  <c r="L89" i="111" s="1"/>
  <c r="N89" i="107"/>
  <c r="D90" i="107"/>
  <c r="E90" i="107"/>
  <c r="F90" i="107"/>
  <c r="G90" i="107"/>
  <c r="H90" i="107"/>
  <c r="I90" i="107"/>
  <c r="I90" i="111" s="1"/>
  <c r="J90" i="107"/>
  <c r="K90" i="107"/>
  <c r="L90" i="107"/>
  <c r="N90" i="107"/>
  <c r="D91" i="107"/>
  <c r="E91" i="107"/>
  <c r="F91" i="107"/>
  <c r="G91" i="107"/>
  <c r="H91" i="107"/>
  <c r="I91" i="107"/>
  <c r="J91" i="107"/>
  <c r="K91" i="107"/>
  <c r="L91" i="107"/>
  <c r="N91" i="107"/>
  <c r="N91" i="111" s="1"/>
  <c r="D92" i="107"/>
  <c r="E92" i="107"/>
  <c r="F92" i="107"/>
  <c r="G92" i="107"/>
  <c r="H92" i="107"/>
  <c r="I92" i="107"/>
  <c r="J92" i="107"/>
  <c r="K92" i="107"/>
  <c r="K92" i="111" s="1"/>
  <c r="L92" i="107"/>
  <c r="N92" i="107"/>
  <c r="D93" i="107"/>
  <c r="E93" i="107"/>
  <c r="F93" i="107"/>
  <c r="G93" i="107"/>
  <c r="H93" i="107"/>
  <c r="H93" i="111" s="1"/>
  <c r="I93" i="107"/>
  <c r="J93" i="107"/>
  <c r="K93" i="107"/>
  <c r="L93" i="107"/>
  <c r="N93" i="107"/>
  <c r="D94" i="107"/>
  <c r="E94" i="107"/>
  <c r="E94" i="111" s="1"/>
  <c r="F94" i="107"/>
  <c r="G94" i="107"/>
  <c r="H94" i="107"/>
  <c r="I94" i="107"/>
  <c r="J94" i="107"/>
  <c r="K94" i="107"/>
  <c r="L94" i="107"/>
  <c r="M94" i="111"/>
  <c r="N94" i="107"/>
  <c r="D95" i="107"/>
  <c r="E95" i="107"/>
  <c r="F95" i="107"/>
  <c r="G95" i="107"/>
  <c r="H95" i="107"/>
  <c r="I95" i="107"/>
  <c r="J95" i="107"/>
  <c r="K95" i="107"/>
  <c r="L95" i="107"/>
  <c r="N95" i="107"/>
  <c r="D96" i="107"/>
  <c r="E96" i="107"/>
  <c r="F96" i="107"/>
  <c r="G96" i="107"/>
  <c r="H96" i="107"/>
  <c r="I96" i="107"/>
  <c r="Y31" i="107" s="1"/>
  <c r="J96" i="107"/>
  <c r="K96" i="107"/>
  <c r="L96" i="107"/>
  <c r="N96" i="107"/>
  <c r="D97" i="107"/>
  <c r="D97" i="111" s="1"/>
  <c r="E97" i="107"/>
  <c r="F97" i="107"/>
  <c r="G97" i="107"/>
  <c r="H97" i="107"/>
  <c r="I97" i="107"/>
  <c r="J97" i="107"/>
  <c r="K97" i="107"/>
  <c r="L97" i="107"/>
  <c r="L97" i="111" s="1"/>
  <c r="N97" i="107"/>
  <c r="D98" i="107"/>
  <c r="E98" i="107"/>
  <c r="F98" i="107"/>
  <c r="G98" i="107"/>
  <c r="H98" i="107"/>
  <c r="I98" i="107"/>
  <c r="I98" i="111" s="1"/>
  <c r="J98" i="107"/>
  <c r="K98" i="107"/>
  <c r="L98" i="107"/>
  <c r="N98" i="107"/>
  <c r="D99" i="107"/>
  <c r="E99" i="107"/>
  <c r="F99" i="107"/>
  <c r="G99" i="107"/>
  <c r="W32" i="107" s="1"/>
  <c r="H99" i="107"/>
  <c r="I99" i="107"/>
  <c r="J99" i="107"/>
  <c r="K99" i="107"/>
  <c r="L99" i="107"/>
  <c r="N99" i="107"/>
  <c r="D100" i="107"/>
  <c r="E100" i="107"/>
  <c r="U32" i="107" s="1"/>
  <c r="F100" i="107"/>
  <c r="G100" i="107"/>
  <c r="H100" i="107"/>
  <c r="I100" i="107"/>
  <c r="J100" i="107"/>
  <c r="K100" i="107"/>
  <c r="K100" i="111" s="1"/>
  <c r="L100" i="107"/>
  <c r="AC32" i="107"/>
  <c r="N100" i="107"/>
  <c r="D101" i="107"/>
  <c r="E101" i="107"/>
  <c r="F101" i="107"/>
  <c r="G101" i="107"/>
  <c r="H101" i="107"/>
  <c r="H101" i="111" s="1"/>
  <c r="I101" i="107"/>
  <c r="J101" i="107"/>
  <c r="K101" i="107"/>
  <c r="L101" i="107"/>
  <c r="N101" i="107"/>
  <c r="D102" i="107"/>
  <c r="E102" i="107"/>
  <c r="E102" i="111" s="1"/>
  <c r="F102" i="107"/>
  <c r="G102" i="107"/>
  <c r="H102" i="107"/>
  <c r="I102" i="107"/>
  <c r="J102" i="107"/>
  <c r="K102" i="107"/>
  <c r="L102" i="107"/>
  <c r="M102" i="111"/>
  <c r="N102" i="107"/>
  <c r="D103" i="107"/>
  <c r="E103" i="107"/>
  <c r="F103" i="107"/>
  <c r="G103" i="107"/>
  <c r="H103" i="107"/>
  <c r="I103" i="107"/>
  <c r="J103" i="107"/>
  <c r="K103" i="107"/>
  <c r="L103" i="107"/>
  <c r="N103" i="107"/>
  <c r="D104" i="107"/>
  <c r="E104" i="107"/>
  <c r="F104" i="107"/>
  <c r="G104" i="107"/>
  <c r="G104" i="111" s="1"/>
  <c r="H104" i="107"/>
  <c r="I104" i="107"/>
  <c r="Y33" i="107" s="1"/>
  <c r="J104" i="107"/>
  <c r="K104" i="107"/>
  <c r="L104" i="107"/>
  <c r="N104" i="107"/>
  <c r="D105" i="107"/>
  <c r="T33" i="107" s="1"/>
  <c r="E105" i="107"/>
  <c r="F105" i="107"/>
  <c r="G105" i="107"/>
  <c r="H105" i="107"/>
  <c r="I105" i="107"/>
  <c r="J105" i="107"/>
  <c r="K105" i="107"/>
  <c r="L105" i="107"/>
  <c r="L105" i="111" s="1"/>
  <c r="N105" i="107"/>
  <c r="C59" i="107"/>
  <c r="C60" i="107"/>
  <c r="C61" i="107"/>
  <c r="C62" i="107"/>
  <c r="C63" i="107"/>
  <c r="C64" i="107"/>
  <c r="C65" i="107"/>
  <c r="C66" i="107"/>
  <c r="C67" i="107"/>
  <c r="C68" i="107"/>
  <c r="C69" i="107"/>
  <c r="C70" i="107"/>
  <c r="C71" i="107"/>
  <c r="C72" i="107"/>
  <c r="C73" i="107"/>
  <c r="C74" i="107"/>
  <c r="C74" i="111" s="1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0" i="111" s="1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5" i="107"/>
  <c r="C58" i="107"/>
  <c r="C58" i="111" s="1"/>
  <c r="D58" i="111"/>
  <c r="E58" i="111"/>
  <c r="F58" i="111"/>
  <c r="G58" i="111"/>
  <c r="H58" i="111"/>
  <c r="I58" i="111"/>
  <c r="L58" i="111"/>
  <c r="M58" i="111"/>
  <c r="N58" i="111"/>
  <c r="D59" i="111"/>
  <c r="E59" i="111"/>
  <c r="I59" i="111"/>
  <c r="J59" i="111"/>
  <c r="K59" i="111"/>
  <c r="L59" i="111"/>
  <c r="M59" i="111"/>
  <c r="F60" i="111"/>
  <c r="G60" i="111"/>
  <c r="H60" i="111"/>
  <c r="I60" i="111"/>
  <c r="J60" i="111"/>
  <c r="N60" i="111"/>
  <c r="D61" i="111"/>
  <c r="E61" i="111"/>
  <c r="F61" i="111"/>
  <c r="G61" i="111"/>
  <c r="K61" i="111"/>
  <c r="L61" i="111"/>
  <c r="M61" i="111"/>
  <c r="N61" i="111"/>
  <c r="D62" i="111"/>
  <c r="H62" i="111"/>
  <c r="I62" i="111"/>
  <c r="J62" i="111"/>
  <c r="K62" i="111"/>
  <c r="L62" i="111"/>
  <c r="E63" i="111"/>
  <c r="F63" i="111"/>
  <c r="G63" i="111"/>
  <c r="H63" i="111"/>
  <c r="I63" i="111"/>
  <c r="M63" i="111"/>
  <c r="N63" i="111"/>
  <c r="D64" i="111"/>
  <c r="E64" i="111"/>
  <c r="F64" i="111"/>
  <c r="J64" i="111"/>
  <c r="K64" i="111"/>
  <c r="L64" i="111"/>
  <c r="M64" i="111"/>
  <c r="N64" i="111"/>
  <c r="G65" i="111"/>
  <c r="H65" i="111"/>
  <c r="I65" i="111"/>
  <c r="J65" i="111"/>
  <c r="K65" i="111"/>
  <c r="D66" i="111"/>
  <c r="E66" i="111"/>
  <c r="F66" i="111"/>
  <c r="G66" i="111"/>
  <c r="H66" i="111"/>
  <c r="L66" i="111"/>
  <c r="M66" i="111"/>
  <c r="N66" i="111"/>
  <c r="D67" i="111"/>
  <c r="E67" i="111"/>
  <c r="I67" i="111"/>
  <c r="J67" i="111"/>
  <c r="K67" i="111"/>
  <c r="L67" i="111"/>
  <c r="M67" i="111"/>
  <c r="F68" i="111"/>
  <c r="G68" i="111"/>
  <c r="H68" i="111"/>
  <c r="I68" i="111"/>
  <c r="J68" i="111"/>
  <c r="N68" i="111"/>
  <c r="D69" i="111"/>
  <c r="E69" i="111"/>
  <c r="F69" i="111"/>
  <c r="G69" i="111"/>
  <c r="K69" i="111"/>
  <c r="L69" i="111"/>
  <c r="M69" i="111"/>
  <c r="N69" i="111"/>
  <c r="D70" i="111"/>
  <c r="H70" i="111"/>
  <c r="I70" i="111"/>
  <c r="J70" i="111"/>
  <c r="K70" i="111"/>
  <c r="L70" i="111"/>
  <c r="E71" i="111"/>
  <c r="F71" i="111"/>
  <c r="G71" i="111"/>
  <c r="H71" i="111"/>
  <c r="I71" i="111"/>
  <c r="M71" i="111"/>
  <c r="N71" i="111"/>
  <c r="D72" i="111"/>
  <c r="E72" i="111"/>
  <c r="F72" i="111"/>
  <c r="J72" i="111"/>
  <c r="K72" i="111"/>
  <c r="L72" i="111"/>
  <c r="M72" i="111"/>
  <c r="N72" i="111"/>
  <c r="G73" i="111"/>
  <c r="H73" i="111"/>
  <c r="I73" i="111"/>
  <c r="J73" i="111"/>
  <c r="K73" i="111"/>
  <c r="D74" i="111"/>
  <c r="E74" i="111"/>
  <c r="F74" i="111"/>
  <c r="G74" i="111"/>
  <c r="H74" i="111"/>
  <c r="L74" i="111"/>
  <c r="M74" i="111"/>
  <c r="N74" i="111"/>
  <c r="D75" i="111"/>
  <c r="E75" i="111"/>
  <c r="I75" i="111"/>
  <c r="J75" i="111"/>
  <c r="K75" i="111"/>
  <c r="L75" i="111"/>
  <c r="M75" i="111"/>
  <c r="F76" i="111"/>
  <c r="G76" i="111"/>
  <c r="H76" i="111"/>
  <c r="I76" i="111"/>
  <c r="J76" i="111"/>
  <c r="N76" i="111"/>
  <c r="D77" i="111"/>
  <c r="E77" i="111"/>
  <c r="F77" i="111"/>
  <c r="G77" i="111"/>
  <c r="K77" i="111"/>
  <c r="L77" i="111"/>
  <c r="M77" i="111"/>
  <c r="N77" i="111"/>
  <c r="D78" i="111"/>
  <c r="H78" i="111"/>
  <c r="I78" i="111"/>
  <c r="J78" i="111"/>
  <c r="K78" i="111"/>
  <c r="L78" i="111"/>
  <c r="E79" i="111"/>
  <c r="F79" i="111"/>
  <c r="G79" i="111"/>
  <c r="H79" i="111"/>
  <c r="I79" i="111"/>
  <c r="M79" i="111"/>
  <c r="N79" i="111"/>
  <c r="D80" i="111"/>
  <c r="E80" i="111"/>
  <c r="F80" i="111"/>
  <c r="J80" i="111"/>
  <c r="K80" i="111"/>
  <c r="L80" i="111"/>
  <c r="M80" i="111"/>
  <c r="N80" i="111"/>
  <c r="G81" i="111"/>
  <c r="H81" i="111"/>
  <c r="I81" i="111"/>
  <c r="J81" i="111"/>
  <c r="K81" i="111"/>
  <c r="D82" i="111"/>
  <c r="E82" i="111"/>
  <c r="F82" i="111"/>
  <c r="G82" i="111"/>
  <c r="H82" i="111"/>
  <c r="L82" i="111"/>
  <c r="M82" i="111"/>
  <c r="N82" i="111"/>
  <c r="D83" i="111"/>
  <c r="E83" i="111"/>
  <c r="I83" i="111"/>
  <c r="J83" i="111"/>
  <c r="K83" i="111"/>
  <c r="L83" i="111"/>
  <c r="M83" i="111"/>
  <c r="F84" i="111"/>
  <c r="G84" i="111"/>
  <c r="H84" i="111"/>
  <c r="I84" i="111"/>
  <c r="J84" i="111"/>
  <c r="N84" i="111"/>
  <c r="D85" i="111"/>
  <c r="E85" i="111"/>
  <c r="F85" i="111"/>
  <c r="G85" i="111"/>
  <c r="K85" i="111"/>
  <c r="L85" i="111"/>
  <c r="M85" i="111"/>
  <c r="N85" i="111"/>
  <c r="D86" i="111"/>
  <c r="H86" i="111"/>
  <c r="I86" i="111"/>
  <c r="J86" i="111"/>
  <c r="K86" i="111"/>
  <c r="L86" i="111"/>
  <c r="E87" i="111"/>
  <c r="F87" i="111"/>
  <c r="G87" i="111"/>
  <c r="H87" i="111"/>
  <c r="I87" i="111"/>
  <c r="M87" i="111"/>
  <c r="N87" i="111"/>
  <c r="D88" i="111"/>
  <c r="E88" i="111"/>
  <c r="F88" i="111"/>
  <c r="J88" i="111"/>
  <c r="K88" i="111"/>
  <c r="L88" i="111"/>
  <c r="M88" i="111"/>
  <c r="N88" i="111"/>
  <c r="G89" i="111"/>
  <c r="H89" i="111"/>
  <c r="I89" i="111"/>
  <c r="J89" i="111"/>
  <c r="K89" i="111"/>
  <c r="D90" i="111"/>
  <c r="E90" i="111"/>
  <c r="F90" i="111"/>
  <c r="G90" i="111"/>
  <c r="H90" i="111"/>
  <c r="L90" i="111"/>
  <c r="M90" i="111"/>
  <c r="N90" i="111"/>
  <c r="D91" i="111"/>
  <c r="E91" i="111"/>
  <c r="I91" i="111"/>
  <c r="J91" i="111"/>
  <c r="K91" i="111"/>
  <c r="L91" i="111"/>
  <c r="M91" i="111"/>
  <c r="F92" i="111"/>
  <c r="G92" i="111"/>
  <c r="H92" i="111"/>
  <c r="I92" i="111"/>
  <c r="J92" i="111"/>
  <c r="N92" i="111"/>
  <c r="D93" i="111"/>
  <c r="E93" i="111"/>
  <c r="F93" i="111"/>
  <c r="G93" i="111"/>
  <c r="K93" i="111"/>
  <c r="L93" i="111"/>
  <c r="M93" i="111"/>
  <c r="N93" i="111"/>
  <c r="D94" i="111"/>
  <c r="H94" i="111"/>
  <c r="I94" i="111"/>
  <c r="J94" i="111"/>
  <c r="K94" i="111"/>
  <c r="L94" i="111"/>
  <c r="E95" i="111"/>
  <c r="F95" i="111"/>
  <c r="G95" i="111"/>
  <c r="H95" i="111"/>
  <c r="I95" i="111"/>
  <c r="M95" i="111"/>
  <c r="N95" i="111"/>
  <c r="D96" i="111"/>
  <c r="E96" i="111"/>
  <c r="F96" i="111"/>
  <c r="J96" i="111"/>
  <c r="K96" i="111"/>
  <c r="L96" i="111"/>
  <c r="M96" i="111"/>
  <c r="N96" i="111"/>
  <c r="G97" i="111"/>
  <c r="H97" i="111"/>
  <c r="I97" i="111"/>
  <c r="J97" i="111"/>
  <c r="K97" i="111"/>
  <c r="D98" i="111"/>
  <c r="E98" i="111"/>
  <c r="F98" i="111"/>
  <c r="G98" i="111"/>
  <c r="H98" i="111"/>
  <c r="L98" i="111"/>
  <c r="M98" i="111"/>
  <c r="N98" i="111"/>
  <c r="D99" i="111"/>
  <c r="E99" i="111"/>
  <c r="I99" i="111"/>
  <c r="J99" i="111"/>
  <c r="K99" i="111"/>
  <c r="L99" i="111"/>
  <c r="M99" i="111"/>
  <c r="F100" i="111"/>
  <c r="G100" i="111"/>
  <c r="H100" i="111"/>
  <c r="I100" i="111"/>
  <c r="J100" i="111"/>
  <c r="N100" i="111"/>
  <c r="D101" i="111"/>
  <c r="E101" i="111"/>
  <c r="F101" i="111"/>
  <c r="G101" i="111"/>
  <c r="K101" i="111"/>
  <c r="L101" i="111"/>
  <c r="M101" i="111"/>
  <c r="N101" i="111"/>
  <c r="D102" i="111"/>
  <c r="H102" i="111"/>
  <c r="I102" i="111"/>
  <c r="J102" i="111"/>
  <c r="K102" i="111"/>
  <c r="L102" i="111"/>
  <c r="E103" i="111"/>
  <c r="F103" i="111"/>
  <c r="G103" i="111"/>
  <c r="H103" i="111"/>
  <c r="I103" i="111"/>
  <c r="M103" i="111"/>
  <c r="N103" i="111"/>
  <c r="D104" i="111"/>
  <c r="E104" i="111"/>
  <c r="F104" i="111"/>
  <c r="J104" i="111"/>
  <c r="K104" i="111"/>
  <c r="L104" i="111"/>
  <c r="M104" i="111"/>
  <c r="N104" i="111"/>
  <c r="G105" i="111"/>
  <c r="H105" i="111"/>
  <c r="I105" i="111"/>
  <c r="J105" i="111"/>
  <c r="K105" i="111"/>
  <c r="C59" i="111"/>
  <c r="C60" i="111"/>
  <c r="C61" i="111"/>
  <c r="C62" i="111"/>
  <c r="C67" i="111"/>
  <c r="C68" i="111"/>
  <c r="C69" i="111"/>
  <c r="C70" i="111"/>
  <c r="C71" i="111"/>
  <c r="C75" i="111"/>
  <c r="C76" i="111"/>
  <c r="C77" i="111"/>
  <c r="C78" i="111"/>
  <c r="C79" i="111"/>
  <c r="C81" i="111"/>
  <c r="C83" i="111"/>
  <c r="C84" i="111"/>
  <c r="C85" i="111"/>
  <c r="C86" i="111"/>
  <c r="C91" i="111"/>
  <c r="C92" i="111"/>
  <c r="C93" i="111"/>
  <c r="C94" i="111"/>
  <c r="C99" i="111"/>
  <c r="C100" i="111"/>
  <c r="C101" i="111"/>
  <c r="C102" i="111"/>
  <c r="AC30" i="107"/>
  <c r="W28" i="107"/>
  <c r="AA27" i="107"/>
  <c r="X25" i="107"/>
  <c r="AB24" i="107"/>
  <c r="U24" i="107"/>
  <c r="T24" i="107"/>
  <c r="AA23" i="107"/>
  <c r="Y23" i="107"/>
  <c r="X23" i="107"/>
  <c r="V23" i="107"/>
  <c r="AB22" i="107"/>
  <c r="AA22" i="107"/>
  <c r="Z22" i="107"/>
  <c r="W22" i="107"/>
  <c r="T22" i="107"/>
  <c r="S22" i="107"/>
  <c r="AA33" i="108"/>
  <c r="Z33" i="108"/>
  <c r="AD32" i="108"/>
  <c r="V32" i="108"/>
  <c r="S32" i="108"/>
  <c r="Z31" i="108"/>
  <c r="AD30" i="108"/>
  <c r="AC30" i="108"/>
  <c r="V30" i="108"/>
  <c r="U30" i="108"/>
  <c r="S30" i="108"/>
  <c r="AC29" i="108"/>
  <c r="AA29" i="108"/>
  <c r="Z29" i="108"/>
  <c r="AD28" i="108"/>
  <c r="AB28" i="108"/>
  <c r="X28" i="108"/>
  <c r="V28" i="108"/>
  <c r="S28" i="108"/>
  <c r="AD27" i="108"/>
  <c r="AC27" i="108"/>
  <c r="AA27" i="108"/>
  <c r="Z27" i="108"/>
  <c r="AD26" i="108"/>
  <c r="AB26" i="108"/>
  <c r="AA26" i="108"/>
  <c r="V26" i="108"/>
  <c r="T26" i="108"/>
  <c r="S26" i="108"/>
  <c r="AC25" i="108"/>
  <c r="AA25" i="108"/>
  <c r="Z25" i="108"/>
  <c r="Y25" i="108"/>
  <c r="AD24" i="108"/>
  <c r="AB24" i="108"/>
  <c r="W24" i="108"/>
  <c r="V24" i="108"/>
  <c r="S24" i="108"/>
  <c r="AC23" i="108"/>
  <c r="AB23" i="108"/>
  <c r="AA23" i="108"/>
  <c r="Z23" i="108"/>
  <c r="X23" i="108"/>
  <c r="T23" i="108"/>
  <c r="AD22" i="108"/>
  <c r="AB22" i="108"/>
  <c r="W22" i="108"/>
  <c r="V22" i="108"/>
  <c r="S22" i="108"/>
  <c r="P104" i="107" l="1"/>
  <c r="O104" i="107"/>
  <c r="S33" i="107"/>
  <c r="P80" i="107"/>
  <c r="O80" i="107"/>
  <c r="C80" i="111"/>
  <c r="S27" i="111" s="1"/>
  <c r="S27" i="107"/>
  <c r="V30" i="107"/>
  <c r="F91" i="111"/>
  <c r="J79" i="111"/>
  <c r="Z27" i="111" s="1"/>
  <c r="Z27" i="107"/>
  <c r="O79" i="107"/>
  <c r="P79" i="107"/>
  <c r="P96" i="107"/>
  <c r="O96" i="107"/>
  <c r="S31" i="107"/>
  <c r="P72" i="107"/>
  <c r="O72" i="107"/>
  <c r="S25" i="107"/>
  <c r="Z29" i="107"/>
  <c r="P87" i="107"/>
  <c r="J87" i="111"/>
  <c r="E78" i="111"/>
  <c r="U27" i="107"/>
  <c r="N99" i="111"/>
  <c r="AD32" i="107"/>
  <c r="F99" i="111"/>
  <c r="V32" i="111" s="1"/>
  <c r="V32" i="107"/>
  <c r="AD30" i="107"/>
  <c r="D105" i="111"/>
  <c r="O87" i="107"/>
  <c r="AD28" i="111"/>
  <c r="P88" i="107"/>
  <c r="O88" i="107"/>
  <c r="S29" i="107"/>
  <c r="P64" i="107"/>
  <c r="O64" i="107"/>
  <c r="S23" i="107"/>
  <c r="J103" i="111"/>
  <c r="Z33" i="107"/>
  <c r="P103" i="107"/>
  <c r="O103" i="107"/>
  <c r="W31" i="107"/>
  <c r="G96" i="111"/>
  <c r="J95" i="111"/>
  <c r="P95" i="107"/>
  <c r="Z31" i="107"/>
  <c r="O95" i="107"/>
  <c r="N83" i="111"/>
  <c r="AD28" i="107"/>
  <c r="V28" i="107"/>
  <c r="F83" i="111"/>
  <c r="V28" i="111" s="1"/>
  <c r="AC27" i="107"/>
  <c r="M78" i="111"/>
  <c r="N75" i="111"/>
  <c r="AD26" i="107"/>
  <c r="F75" i="111"/>
  <c r="V26" i="107"/>
  <c r="I74" i="111"/>
  <c r="Y26" i="107"/>
  <c r="J71" i="111"/>
  <c r="Z25" i="111" s="1"/>
  <c r="O71" i="107"/>
  <c r="Z25" i="107"/>
  <c r="M70" i="111"/>
  <c r="P70" i="111" s="1"/>
  <c r="AC25" i="107"/>
  <c r="U25" i="107"/>
  <c r="E70" i="111"/>
  <c r="K68" i="111"/>
  <c r="AA24" i="107"/>
  <c r="N67" i="111"/>
  <c r="AD24" i="111" s="1"/>
  <c r="AD24" i="107"/>
  <c r="F67" i="111"/>
  <c r="V24" i="111" s="1"/>
  <c r="V24" i="107"/>
  <c r="D65" i="111"/>
  <c r="T23" i="107"/>
  <c r="J63" i="111"/>
  <c r="Z23" i="107"/>
  <c r="O63" i="107"/>
  <c r="P63" i="107"/>
  <c r="U23" i="107"/>
  <c r="E62" i="111"/>
  <c r="X22" i="107"/>
  <c r="H61" i="111"/>
  <c r="N59" i="111"/>
  <c r="AD22" i="111" s="1"/>
  <c r="AD22" i="107"/>
  <c r="F59" i="111"/>
  <c r="V22" i="111" s="1"/>
  <c r="V22" i="107"/>
  <c r="P69" i="107"/>
  <c r="P98" i="107"/>
  <c r="P82" i="107"/>
  <c r="P66" i="107"/>
  <c r="P102" i="108"/>
  <c r="P94" i="108"/>
  <c r="P86" i="108"/>
  <c r="P78" i="108"/>
  <c r="P70" i="108"/>
  <c r="O72" i="108"/>
  <c r="P77" i="107"/>
  <c r="P105" i="107"/>
  <c r="P97" i="107"/>
  <c r="P89" i="107"/>
  <c r="P81" i="107"/>
  <c r="P73" i="107"/>
  <c r="P65" i="107"/>
  <c r="P101" i="108"/>
  <c r="P93" i="108"/>
  <c r="P85" i="108"/>
  <c r="P77" i="108"/>
  <c r="P69" i="108"/>
  <c r="P61" i="108"/>
  <c r="O64" i="108"/>
  <c r="P99" i="108"/>
  <c r="P91" i="108"/>
  <c r="P83" i="108"/>
  <c r="P75" i="108"/>
  <c r="P67" i="108"/>
  <c r="P59" i="108"/>
  <c r="AF22" i="108" s="1"/>
  <c r="P96" i="108"/>
  <c r="P102" i="107"/>
  <c r="P94" i="107"/>
  <c r="AF31" i="107" s="1"/>
  <c r="P86" i="107"/>
  <c r="P78" i="107"/>
  <c r="P70" i="107"/>
  <c r="P62" i="107"/>
  <c r="P98" i="108"/>
  <c r="P90" i="108"/>
  <c r="AF30" i="108" s="1"/>
  <c r="P82" i="108"/>
  <c r="AF28" i="108" s="1"/>
  <c r="P74" i="108"/>
  <c r="AF26" i="108" s="1"/>
  <c r="P66" i="108"/>
  <c r="O104" i="108"/>
  <c r="P88" i="108"/>
  <c r="P101" i="107"/>
  <c r="P93" i="107"/>
  <c r="P61" i="107"/>
  <c r="P105" i="108"/>
  <c r="O105" i="108"/>
  <c r="P97" i="108"/>
  <c r="O97" i="108"/>
  <c r="C97" i="111"/>
  <c r="P81" i="108"/>
  <c r="O81" i="108"/>
  <c r="P73" i="108"/>
  <c r="O73" i="108"/>
  <c r="P65" i="108"/>
  <c r="AF23" i="108" s="1"/>
  <c r="O65" i="108"/>
  <c r="C65" i="111"/>
  <c r="O96" i="108"/>
  <c r="P80" i="108"/>
  <c r="P89" i="108"/>
  <c r="AF29" i="108" s="1"/>
  <c r="O89" i="108"/>
  <c r="P100" i="107"/>
  <c r="P92" i="107"/>
  <c r="P84" i="107"/>
  <c r="P76" i="107"/>
  <c r="P68" i="107"/>
  <c r="P60" i="107"/>
  <c r="O88" i="108"/>
  <c r="P72" i="108"/>
  <c r="P85" i="107"/>
  <c r="P99" i="107"/>
  <c r="P91" i="107"/>
  <c r="P83" i="107"/>
  <c r="P75" i="107"/>
  <c r="P67" i="107"/>
  <c r="P59" i="107"/>
  <c r="P103" i="108"/>
  <c r="P95" i="108"/>
  <c r="P87" i="108"/>
  <c r="P79" i="108"/>
  <c r="P71" i="108"/>
  <c r="P63" i="108"/>
  <c r="O80" i="108"/>
  <c r="C105" i="111"/>
  <c r="S25" i="111"/>
  <c r="AD26" i="111"/>
  <c r="O102" i="107"/>
  <c r="O94" i="107"/>
  <c r="O86" i="107"/>
  <c r="O78" i="107"/>
  <c r="O70" i="107"/>
  <c r="O62" i="107"/>
  <c r="C104" i="111"/>
  <c r="C96" i="111"/>
  <c r="C88" i="111"/>
  <c r="C72" i="111"/>
  <c r="O103" i="108"/>
  <c r="O95" i="108"/>
  <c r="O87" i="108"/>
  <c r="O79" i="108"/>
  <c r="AE27" i="108" s="1"/>
  <c r="O71" i="108"/>
  <c r="AE25" i="108" s="1"/>
  <c r="O63" i="108"/>
  <c r="O101" i="107"/>
  <c r="O93" i="107"/>
  <c r="O85" i="107"/>
  <c r="O77" i="107"/>
  <c r="O69" i="107"/>
  <c r="O61" i="107"/>
  <c r="C103" i="111"/>
  <c r="S33" i="111" s="1"/>
  <c r="C95" i="111"/>
  <c r="S29" i="108"/>
  <c r="S27" i="108"/>
  <c r="S25" i="108"/>
  <c r="C63" i="111"/>
  <c r="O102" i="108"/>
  <c r="O94" i="108"/>
  <c r="AE31" i="108" s="1"/>
  <c r="O86" i="108"/>
  <c r="AE29" i="108" s="1"/>
  <c r="O78" i="108"/>
  <c r="O70" i="108"/>
  <c r="O62" i="108"/>
  <c r="AE23" i="108" s="1"/>
  <c r="C89" i="111"/>
  <c r="O100" i="107"/>
  <c r="O92" i="107"/>
  <c r="O84" i="107"/>
  <c r="O76" i="107"/>
  <c r="O68" i="107"/>
  <c r="O60" i="107"/>
  <c r="O101" i="108"/>
  <c r="O93" i="108"/>
  <c r="O85" i="108"/>
  <c r="O77" i="108"/>
  <c r="O69" i="108"/>
  <c r="O61" i="108"/>
  <c r="O99" i="107"/>
  <c r="O91" i="107"/>
  <c r="O83" i="107"/>
  <c r="O75" i="107"/>
  <c r="O67" i="107"/>
  <c r="O59" i="107"/>
  <c r="O100" i="108"/>
  <c r="O92" i="108"/>
  <c r="O84" i="108"/>
  <c r="O76" i="108"/>
  <c r="O68" i="108"/>
  <c r="O60" i="108"/>
  <c r="O98" i="107"/>
  <c r="AE32" i="107" s="1"/>
  <c r="O90" i="107"/>
  <c r="AE30" i="107" s="1"/>
  <c r="O82" i="107"/>
  <c r="AE28" i="107" s="1"/>
  <c r="O74" i="107"/>
  <c r="AE26" i="107" s="1"/>
  <c r="O66" i="107"/>
  <c r="O58" i="107"/>
  <c r="P90" i="107"/>
  <c r="AF30" i="107" s="1"/>
  <c r="P74" i="107"/>
  <c r="P58" i="107"/>
  <c r="O99" i="108"/>
  <c r="O91" i="108"/>
  <c r="O83" i="108"/>
  <c r="O75" i="108"/>
  <c r="O67" i="108"/>
  <c r="O59" i="108"/>
  <c r="S32" i="107"/>
  <c r="S28" i="107"/>
  <c r="S24" i="107"/>
  <c r="W33" i="107"/>
  <c r="AA32" i="107"/>
  <c r="T31" i="107"/>
  <c r="X30" i="107"/>
  <c r="AA30" i="107"/>
  <c r="AB29" i="107"/>
  <c r="T29" i="107"/>
  <c r="X28" i="107"/>
  <c r="AA28" i="107"/>
  <c r="AB27" i="107"/>
  <c r="W27" i="107"/>
  <c r="Z26" i="107"/>
  <c r="O105" i="107"/>
  <c r="AE33" i="107" s="1"/>
  <c r="O97" i="107"/>
  <c r="O89" i="107"/>
  <c r="AE29" i="107" s="1"/>
  <c r="O81" i="107"/>
  <c r="AE27" i="107" s="1"/>
  <c r="O73" i="107"/>
  <c r="AE25" i="107" s="1"/>
  <c r="O65" i="107"/>
  <c r="O98" i="108"/>
  <c r="O90" i="108"/>
  <c r="O82" i="108"/>
  <c r="O74" i="108"/>
  <c r="AE26" i="108" s="1"/>
  <c r="O66" i="108"/>
  <c r="AE24" i="108" s="1"/>
  <c r="O58" i="108"/>
  <c r="V26" i="111"/>
  <c r="Z23" i="111"/>
  <c r="K103" i="111"/>
  <c r="I101" i="111"/>
  <c r="G99" i="111"/>
  <c r="J98" i="111"/>
  <c r="M97" i="111"/>
  <c r="AC31" i="111" s="1"/>
  <c r="E97" i="111"/>
  <c r="N94" i="111"/>
  <c r="F94" i="111"/>
  <c r="L92" i="111"/>
  <c r="AB30" i="111" s="1"/>
  <c r="D92" i="111"/>
  <c r="T30" i="111" s="1"/>
  <c r="J90" i="111"/>
  <c r="H88" i="111"/>
  <c r="X29" i="111" s="1"/>
  <c r="G83" i="111"/>
  <c r="W28" i="111" s="1"/>
  <c r="M81" i="111"/>
  <c r="AC27" i="111" s="1"/>
  <c r="E81" i="111"/>
  <c r="U27" i="111" s="1"/>
  <c r="K79" i="111"/>
  <c r="AA27" i="111" s="1"/>
  <c r="I77" i="111"/>
  <c r="Y26" i="111" s="1"/>
  <c r="J74" i="111"/>
  <c r="M73" i="111"/>
  <c r="P73" i="111" s="1"/>
  <c r="E73" i="111"/>
  <c r="H72" i="111"/>
  <c r="X25" i="111" s="1"/>
  <c r="N70" i="111"/>
  <c r="O70" i="111" s="1"/>
  <c r="F70" i="111"/>
  <c r="L68" i="111"/>
  <c r="AB24" i="111" s="1"/>
  <c r="D68" i="111"/>
  <c r="T24" i="111" s="1"/>
  <c r="E65" i="111"/>
  <c r="U23" i="111" s="1"/>
  <c r="H64" i="111"/>
  <c r="X23" i="111" s="1"/>
  <c r="K63" i="111"/>
  <c r="F62" i="111"/>
  <c r="I61" i="111"/>
  <c r="L60" i="111"/>
  <c r="AB22" i="111" s="1"/>
  <c r="D60" i="111"/>
  <c r="T22" i="111" s="1"/>
  <c r="G59" i="111"/>
  <c r="W22" i="111" s="1"/>
  <c r="J58" i="111"/>
  <c r="AD33" i="108"/>
  <c r="V33" i="108"/>
  <c r="K98" i="111"/>
  <c r="AA32" i="111" s="1"/>
  <c r="AD31" i="108"/>
  <c r="V31" i="108"/>
  <c r="Z30" i="108"/>
  <c r="M92" i="111"/>
  <c r="AC30" i="111" s="1"/>
  <c r="AD29" i="108"/>
  <c r="V29" i="108"/>
  <c r="D87" i="111"/>
  <c r="T29" i="111" s="1"/>
  <c r="Z28" i="108"/>
  <c r="F81" i="111"/>
  <c r="P81" i="111" s="1"/>
  <c r="Z26" i="108"/>
  <c r="AD25" i="108"/>
  <c r="V25" i="108"/>
  <c r="Z24" i="108"/>
  <c r="D106" i="108"/>
  <c r="Y23" i="111"/>
  <c r="Z22" i="108"/>
  <c r="T29" i="108"/>
  <c r="AA32" i="108"/>
  <c r="AA22" i="108"/>
  <c r="V23" i="108"/>
  <c r="AD23" i="108"/>
  <c r="I104" i="111"/>
  <c r="Y33" i="111" s="1"/>
  <c r="Z33" i="111"/>
  <c r="V30" i="111"/>
  <c r="Y32" i="111"/>
  <c r="AD30" i="111"/>
  <c r="W32" i="111"/>
  <c r="AD32" i="111"/>
  <c r="AA33" i="111"/>
  <c r="AA23" i="111"/>
  <c r="N105" i="111"/>
  <c r="F105" i="111"/>
  <c r="L103" i="111"/>
  <c r="AB33" i="111" s="1"/>
  <c r="D103" i="111"/>
  <c r="T33" i="111" s="1"/>
  <c r="J101" i="111"/>
  <c r="H99" i="111"/>
  <c r="X32" i="111" s="1"/>
  <c r="N97" i="111"/>
  <c r="F97" i="111"/>
  <c r="V31" i="111" s="1"/>
  <c r="L95" i="111"/>
  <c r="AB31" i="111" s="1"/>
  <c r="G94" i="111"/>
  <c r="W31" i="111" s="1"/>
  <c r="J93" i="111"/>
  <c r="Z30" i="111" s="1"/>
  <c r="E92" i="111"/>
  <c r="U30" i="111" s="1"/>
  <c r="N89" i="111"/>
  <c r="F89" i="111"/>
  <c r="G86" i="111"/>
  <c r="W29" i="111" s="1"/>
  <c r="J85" i="111"/>
  <c r="E84" i="111"/>
  <c r="U28" i="111" s="1"/>
  <c r="N81" i="111"/>
  <c r="D79" i="111"/>
  <c r="H75" i="111"/>
  <c r="X26" i="111" s="1"/>
  <c r="K74" i="111"/>
  <c r="AA26" i="111" s="1"/>
  <c r="N73" i="111"/>
  <c r="F73" i="111"/>
  <c r="V25" i="111" s="1"/>
  <c r="G70" i="111"/>
  <c r="W25" i="111" s="1"/>
  <c r="J69" i="111"/>
  <c r="M68" i="111"/>
  <c r="AC24" i="111" s="1"/>
  <c r="E68" i="111"/>
  <c r="K66" i="111"/>
  <c r="AA24" i="111" s="1"/>
  <c r="N65" i="111"/>
  <c r="F65" i="111"/>
  <c r="I64" i="111"/>
  <c r="D63" i="111"/>
  <c r="T23" i="111" s="1"/>
  <c r="J61" i="111"/>
  <c r="Z22" i="111" s="1"/>
  <c r="H59" i="111"/>
  <c r="X22" i="111" s="1"/>
  <c r="K58" i="111"/>
  <c r="C64" i="111"/>
  <c r="S23" i="111" s="1"/>
  <c r="S23" i="108"/>
  <c r="S31" i="108"/>
  <c r="C87" i="111"/>
  <c r="S29" i="111" s="1"/>
  <c r="S33" i="108"/>
  <c r="S22" i="111"/>
  <c r="AE23" i="107"/>
  <c r="AD31" i="111"/>
  <c r="X24" i="107"/>
  <c r="H67" i="111"/>
  <c r="X24" i="111" s="1"/>
  <c r="AB23" i="107"/>
  <c r="L63" i="111"/>
  <c r="AB23" i="111" s="1"/>
  <c r="W23" i="107"/>
  <c r="G62" i="111"/>
  <c r="AC22" i="107"/>
  <c r="M60" i="111"/>
  <c r="AC22" i="111" s="1"/>
  <c r="U22" i="107"/>
  <c r="E60" i="111"/>
  <c r="M105" i="111"/>
  <c r="AC33" i="107"/>
  <c r="E105" i="111"/>
  <c r="U33" i="107"/>
  <c r="X33" i="107"/>
  <c r="H104" i="111"/>
  <c r="X33" i="111" s="1"/>
  <c r="AD33" i="107"/>
  <c r="N102" i="111"/>
  <c r="AD33" i="111" s="1"/>
  <c r="V33" i="107"/>
  <c r="F102" i="111"/>
  <c r="AB32" i="107"/>
  <c r="L100" i="111"/>
  <c r="H96" i="111"/>
  <c r="X31" i="111" s="1"/>
  <c r="X31" i="107"/>
  <c r="AA31" i="107"/>
  <c r="K95" i="111"/>
  <c r="AA31" i="111" s="1"/>
  <c r="W30" i="107"/>
  <c r="G91" i="111"/>
  <c r="W30" i="111" s="1"/>
  <c r="AC29" i="107"/>
  <c r="M89" i="111"/>
  <c r="AC29" i="111" s="1"/>
  <c r="U29" i="107"/>
  <c r="E89" i="111"/>
  <c r="U29" i="111" s="1"/>
  <c r="K87" i="111"/>
  <c r="AA29" i="111" s="1"/>
  <c r="AA29" i="107"/>
  <c r="AD29" i="107"/>
  <c r="N86" i="111"/>
  <c r="AD29" i="111" s="1"/>
  <c r="V29" i="107"/>
  <c r="F86" i="111"/>
  <c r="V29" i="111" s="1"/>
  <c r="I85" i="111"/>
  <c r="Y28" i="111" s="1"/>
  <c r="Y28" i="107"/>
  <c r="AB28" i="107"/>
  <c r="L84" i="111"/>
  <c r="AB28" i="111" s="1"/>
  <c r="T28" i="107"/>
  <c r="D84" i="111"/>
  <c r="T28" i="111" s="1"/>
  <c r="Z28" i="107"/>
  <c r="J82" i="111"/>
  <c r="Z28" i="111" s="1"/>
  <c r="X27" i="107"/>
  <c r="H80" i="111"/>
  <c r="X27" i="111" s="1"/>
  <c r="N78" i="111"/>
  <c r="AD27" i="111" s="1"/>
  <c r="AD27" i="107"/>
  <c r="F78" i="111"/>
  <c r="V27" i="111" s="1"/>
  <c r="V27" i="107"/>
  <c r="L76" i="111"/>
  <c r="AB26" i="111" s="1"/>
  <c r="AB26" i="107"/>
  <c r="D76" i="111"/>
  <c r="T26" i="111" s="1"/>
  <c r="T26" i="107"/>
  <c r="W26" i="107"/>
  <c r="G75" i="111"/>
  <c r="W26" i="111" s="1"/>
  <c r="AA25" i="107"/>
  <c r="K71" i="111"/>
  <c r="AA25" i="111" s="1"/>
  <c r="Y24" i="107"/>
  <c r="I69" i="111"/>
  <c r="G67" i="111"/>
  <c r="W24" i="111" s="1"/>
  <c r="W24" i="107"/>
  <c r="Z24" i="107"/>
  <c r="J66" i="111"/>
  <c r="Z24" i="111" s="1"/>
  <c r="AC23" i="107"/>
  <c r="M65" i="111"/>
  <c r="AC23" i="111" s="1"/>
  <c r="AD23" i="107"/>
  <c r="N62" i="111"/>
  <c r="L87" i="111"/>
  <c r="AB29" i="111" s="1"/>
  <c r="Y30" i="107"/>
  <c r="I93" i="111"/>
  <c r="Y30" i="111" s="1"/>
  <c r="V25" i="107"/>
  <c r="T30" i="107"/>
  <c r="AB31" i="107"/>
  <c r="Y32" i="107"/>
  <c r="O94" i="111"/>
  <c r="O85" i="111"/>
  <c r="E100" i="111"/>
  <c r="U32" i="111" s="1"/>
  <c r="I88" i="111"/>
  <c r="Y29" i="111" s="1"/>
  <c r="K82" i="111"/>
  <c r="AA28" i="111" s="1"/>
  <c r="M76" i="111"/>
  <c r="AC26" i="111" s="1"/>
  <c r="AB25" i="107"/>
  <c r="L71" i="111"/>
  <c r="AB25" i="111" s="1"/>
  <c r="W25" i="107"/>
  <c r="X26" i="107"/>
  <c r="T27" i="107"/>
  <c r="U28" i="107"/>
  <c r="U30" i="107"/>
  <c r="AC31" i="107"/>
  <c r="Z32" i="107"/>
  <c r="AA33" i="107"/>
  <c r="M100" i="111"/>
  <c r="AC32" i="111" s="1"/>
  <c r="D95" i="111"/>
  <c r="T31" i="111" s="1"/>
  <c r="H83" i="111"/>
  <c r="X28" i="111" s="1"/>
  <c r="J77" i="111"/>
  <c r="T25" i="107"/>
  <c r="D71" i="111"/>
  <c r="AC24" i="107"/>
  <c r="W29" i="107"/>
  <c r="AD31" i="107"/>
  <c r="AB33" i="107"/>
  <c r="O99" i="111"/>
  <c r="Z29" i="111"/>
  <c r="G78" i="111"/>
  <c r="W27" i="111" s="1"/>
  <c r="O104" i="111"/>
  <c r="T32" i="107"/>
  <c r="D100" i="111"/>
  <c r="X29" i="107"/>
  <c r="Z30" i="107"/>
  <c r="G102" i="111"/>
  <c r="W33" i="111" s="1"/>
  <c r="I96" i="111"/>
  <c r="Y31" i="111" s="1"/>
  <c r="K90" i="111"/>
  <c r="AA30" i="111" s="1"/>
  <c r="M84" i="111"/>
  <c r="AC28" i="111" s="1"/>
  <c r="O60" i="111"/>
  <c r="L106" i="107"/>
  <c r="X32" i="107"/>
  <c r="E76" i="111"/>
  <c r="U26" i="111" s="1"/>
  <c r="AA26" i="107"/>
  <c r="U31" i="107"/>
  <c r="AC33" i="111"/>
  <c r="T32" i="111"/>
  <c r="H91" i="111"/>
  <c r="X30" i="111" s="1"/>
  <c r="L79" i="111"/>
  <c r="AB27" i="111" s="1"/>
  <c r="Y25" i="107"/>
  <c r="I72" i="111"/>
  <c r="Y25" i="111" s="1"/>
  <c r="AD25" i="107"/>
  <c r="AB30" i="107"/>
  <c r="V31" i="107"/>
  <c r="O88" i="111"/>
  <c r="AB32" i="111"/>
  <c r="Z31" i="111"/>
  <c r="I80" i="111"/>
  <c r="Y27" i="111" s="1"/>
  <c r="P75" i="111"/>
  <c r="O65" i="111"/>
  <c r="O101" i="111"/>
  <c r="O73" i="111"/>
  <c r="O64" i="111"/>
  <c r="O100" i="111"/>
  <c r="O81" i="111"/>
  <c r="O63" i="111"/>
  <c r="P99" i="111"/>
  <c r="O89" i="111"/>
  <c r="S30" i="111"/>
  <c r="S26" i="111"/>
  <c r="P74" i="111"/>
  <c r="O74" i="111"/>
  <c r="P89" i="111"/>
  <c r="S26" i="107"/>
  <c r="S30" i="107"/>
  <c r="C98" i="111"/>
  <c r="C82" i="111"/>
  <c r="C66" i="111"/>
  <c r="S24" i="111" s="1"/>
  <c r="P104" i="111"/>
  <c r="P88" i="111"/>
  <c r="P64" i="111"/>
  <c r="P87" i="111"/>
  <c r="P94" i="111"/>
  <c r="P101" i="111"/>
  <c r="P85" i="111"/>
  <c r="P69" i="111"/>
  <c r="P92" i="111"/>
  <c r="V23" i="111"/>
  <c r="AD23" i="111"/>
  <c r="C11" i="108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Y11" i="108" s="1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T10" i="108" s="1"/>
  <c r="E10" i="108"/>
  <c r="F10" i="108"/>
  <c r="V10" i="108" s="1"/>
  <c r="G10" i="108"/>
  <c r="W10" i="108" s="1"/>
  <c r="H10" i="108"/>
  <c r="X10" i="108" s="1"/>
  <c r="I10" i="108"/>
  <c r="J10" i="108"/>
  <c r="K10" i="108"/>
  <c r="AA10" i="108" s="1"/>
  <c r="L10" i="108"/>
  <c r="AB10" i="108" s="1"/>
  <c r="M10" i="108"/>
  <c r="N10" i="108"/>
  <c r="AD10" i="108" s="1"/>
  <c r="C10" i="108"/>
  <c r="S10" i="108" s="1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T10" i="107" s="1"/>
  <c r="E10" i="107"/>
  <c r="F10" i="107"/>
  <c r="V10" i="107" s="1"/>
  <c r="G10" i="107"/>
  <c r="W10" i="107" s="1"/>
  <c r="H10" i="107"/>
  <c r="X10" i="107" s="1"/>
  <c r="I10" i="107"/>
  <c r="J10" i="107"/>
  <c r="K10" i="107"/>
  <c r="AA10" i="107" s="1"/>
  <c r="L10" i="107"/>
  <c r="AB10" i="107" s="1"/>
  <c r="M10" i="107"/>
  <c r="N10" i="107"/>
  <c r="AD10" i="107" s="1"/>
  <c r="C10" i="107"/>
  <c r="S10" i="107" s="1"/>
  <c r="AF33" i="107" l="1"/>
  <c r="AF22" i="107"/>
  <c r="AF26" i="107"/>
  <c r="Y19" i="107"/>
  <c r="M106" i="107"/>
  <c r="Y21" i="107"/>
  <c r="Y18" i="107"/>
  <c r="Y15" i="107"/>
  <c r="Z26" i="111"/>
  <c r="P77" i="111"/>
  <c r="Y16" i="107"/>
  <c r="Y12" i="107"/>
  <c r="AB34" i="108"/>
  <c r="Z10" i="107"/>
  <c r="J106" i="107"/>
  <c r="Y17" i="107"/>
  <c r="Y21" i="108"/>
  <c r="Y17" i="108"/>
  <c r="Y16" i="108"/>
  <c r="Y14" i="108"/>
  <c r="Y12" i="108"/>
  <c r="O58" i="111"/>
  <c r="P58" i="111"/>
  <c r="AA22" i="111"/>
  <c r="U24" i="111"/>
  <c r="P68" i="111"/>
  <c r="T27" i="111"/>
  <c r="O79" i="111"/>
  <c r="P79" i="111"/>
  <c r="Y22" i="111"/>
  <c r="O61" i="111"/>
  <c r="P61" i="111"/>
  <c r="U31" i="111"/>
  <c r="P97" i="111"/>
  <c r="O97" i="111"/>
  <c r="Y20" i="107"/>
  <c r="Y36" i="107" s="1"/>
  <c r="Y20" i="108"/>
  <c r="Y19" i="108"/>
  <c r="Y18" i="108"/>
  <c r="Y13" i="108"/>
  <c r="P62" i="111"/>
  <c r="O62" i="111"/>
  <c r="Y13" i="107"/>
  <c r="Y11" i="107"/>
  <c r="X37" i="107"/>
  <c r="Y14" i="107"/>
  <c r="Z10" i="108"/>
  <c r="J106" i="108"/>
  <c r="Y15" i="108"/>
  <c r="S34" i="107"/>
  <c r="Y10" i="107"/>
  <c r="X21" i="107"/>
  <c r="X20" i="107"/>
  <c r="X19" i="107"/>
  <c r="X18" i="107"/>
  <c r="X17" i="107"/>
  <c r="X16" i="107"/>
  <c r="X15" i="107"/>
  <c r="X41" i="107" s="1"/>
  <c r="X14" i="107"/>
  <c r="X13" i="107"/>
  <c r="X12" i="107"/>
  <c r="X11" i="107"/>
  <c r="Y10" i="108"/>
  <c r="I106" i="108"/>
  <c r="X21" i="108"/>
  <c r="X20" i="108"/>
  <c r="X19" i="108"/>
  <c r="X18" i="108"/>
  <c r="X17" i="108"/>
  <c r="X16" i="108"/>
  <c r="X15" i="108"/>
  <c r="X14" i="108"/>
  <c r="X13" i="108"/>
  <c r="X12" i="108"/>
  <c r="X34" i="108" s="1"/>
  <c r="X11" i="108"/>
  <c r="X41" i="108" s="1"/>
  <c r="X42" i="108" s="1"/>
  <c r="C106" i="107"/>
  <c r="H106" i="107"/>
  <c r="L106" i="108"/>
  <c r="AE22" i="108"/>
  <c r="X34" i="107"/>
  <c r="W21" i="107"/>
  <c r="W20" i="107"/>
  <c r="W19" i="107"/>
  <c r="W39" i="107" s="1"/>
  <c r="W18" i="107"/>
  <c r="W17" i="107"/>
  <c r="W16" i="107"/>
  <c r="W15" i="107"/>
  <c r="W41" i="107" s="1"/>
  <c r="W14" i="107"/>
  <c r="W13" i="107"/>
  <c r="W12" i="107"/>
  <c r="W11" i="107"/>
  <c r="W21" i="108"/>
  <c r="W20" i="108"/>
  <c r="W19" i="108"/>
  <c r="W39" i="108" s="1"/>
  <c r="W18" i="108"/>
  <c r="W17" i="108"/>
  <c r="W16" i="108"/>
  <c r="W15" i="108"/>
  <c r="W14" i="108"/>
  <c r="W13" i="108"/>
  <c r="W12" i="108"/>
  <c r="W11" i="108"/>
  <c r="W41" i="108" s="1"/>
  <c r="F106" i="107"/>
  <c r="H106" i="108"/>
  <c r="F106" i="108"/>
  <c r="AE33" i="108"/>
  <c r="AF25" i="108"/>
  <c r="W34" i="107"/>
  <c r="AD21" i="107"/>
  <c r="V21" i="107"/>
  <c r="AD20" i="107"/>
  <c r="V20" i="107"/>
  <c r="AD19" i="107"/>
  <c r="V19" i="107"/>
  <c r="AD18" i="107"/>
  <c r="V18" i="107"/>
  <c r="AD17" i="107"/>
  <c r="V17" i="107"/>
  <c r="AD16" i="107"/>
  <c r="V16" i="107"/>
  <c r="AD15" i="107"/>
  <c r="V15" i="107"/>
  <c r="AD14" i="107"/>
  <c r="V14" i="107"/>
  <c r="AD13" i="107"/>
  <c r="V13" i="107"/>
  <c r="AD12" i="107"/>
  <c r="AD41" i="107" s="1"/>
  <c r="V12" i="107"/>
  <c r="V37" i="107" s="1"/>
  <c r="AD11" i="107"/>
  <c r="AD34" i="107" s="1"/>
  <c r="V11" i="107"/>
  <c r="AD21" i="108"/>
  <c r="V21" i="108"/>
  <c r="AD20" i="108"/>
  <c r="V20" i="108"/>
  <c r="AD19" i="108"/>
  <c r="V19" i="108"/>
  <c r="AD18" i="108"/>
  <c r="V18" i="108"/>
  <c r="AD17" i="108"/>
  <c r="V17" i="108"/>
  <c r="AD16" i="108"/>
  <c r="V16" i="108"/>
  <c r="AD15" i="108"/>
  <c r="V15" i="108"/>
  <c r="AD14" i="108"/>
  <c r="V14" i="108"/>
  <c r="AD13" i="108"/>
  <c r="V13" i="108"/>
  <c r="AD12" i="108"/>
  <c r="AD37" i="108" s="1"/>
  <c r="V12" i="108"/>
  <c r="V41" i="108" s="1"/>
  <c r="AD11" i="108"/>
  <c r="AD34" i="108" s="1"/>
  <c r="V11" i="108"/>
  <c r="V37" i="108" s="1"/>
  <c r="N106" i="107"/>
  <c r="N106" i="108"/>
  <c r="AC25" i="111"/>
  <c r="AF32" i="108"/>
  <c r="AF31" i="108"/>
  <c r="AC21" i="107"/>
  <c r="U21" i="107"/>
  <c r="AC20" i="107"/>
  <c r="U20" i="107"/>
  <c r="AC19" i="107"/>
  <c r="U19" i="107"/>
  <c r="AC18" i="107"/>
  <c r="U18" i="107"/>
  <c r="AC17" i="107"/>
  <c r="U17" i="107"/>
  <c r="AC16" i="107"/>
  <c r="U16" i="107"/>
  <c r="AC15" i="107"/>
  <c r="U15" i="107"/>
  <c r="AC14" i="107"/>
  <c r="U14" i="107"/>
  <c r="AC13" i="107"/>
  <c r="U13" i="107"/>
  <c r="U41" i="107" s="1"/>
  <c r="AC12" i="107"/>
  <c r="U12" i="107"/>
  <c r="AC11" i="107"/>
  <c r="U11" i="107"/>
  <c r="AC21" i="108"/>
  <c r="U21" i="108"/>
  <c r="AC20" i="108"/>
  <c r="U20" i="108"/>
  <c r="AC19" i="108"/>
  <c r="U19" i="108"/>
  <c r="AC18" i="108"/>
  <c r="U18" i="108"/>
  <c r="AC17" i="108"/>
  <c r="U17" i="108"/>
  <c r="AC16" i="108"/>
  <c r="U16" i="108"/>
  <c r="AC15" i="108"/>
  <c r="AC35" i="108" s="1"/>
  <c r="U15" i="108"/>
  <c r="AC14" i="108"/>
  <c r="U14" i="108"/>
  <c r="AC13" i="108"/>
  <c r="U13" i="108"/>
  <c r="AC12" i="108"/>
  <c r="U12" i="108"/>
  <c r="AC11" i="108"/>
  <c r="AC40" i="108" s="1"/>
  <c r="U11" i="108"/>
  <c r="W37" i="107"/>
  <c r="G106" i="107"/>
  <c r="P67" i="111"/>
  <c r="AE28" i="108"/>
  <c r="AF27" i="108"/>
  <c r="AF23" i="107"/>
  <c r="AF33" i="108"/>
  <c r="AC10" i="107"/>
  <c r="U10" i="107"/>
  <c r="E106" i="107"/>
  <c r="AB21" i="107"/>
  <c r="T21" i="107"/>
  <c r="AB20" i="107"/>
  <c r="T20" i="107"/>
  <c r="AB19" i="107"/>
  <c r="T19" i="107"/>
  <c r="AB18" i="107"/>
  <c r="T18" i="107"/>
  <c r="AB17" i="107"/>
  <c r="T17" i="107"/>
  <c r="AB16" i="107"/>
  <c r="T16" i="107"/>
  <c r="AB15" i="107"/>
  <c r="T15" i="107"/>
  <c r="AB14" i="107"/>
  <c r="T14" i="107"/>
  <c r="AB13" i="107"/>
  <c r="T13" i="107"/>
  <c r="AB12" i="107"/>
  <c r="T12" i="107"/>
  <c r="AB11" i="107"/>
  <c r="AB37" i="107" s="1"/>
  <c r="T11" i="107"/>
  <c r="T40" i="107" s="1"/>
  <c r="AC10" i="108"/>
  <c r="U10" i="108"/>
  <c r="AB21" i="108"/>
  <c r="T21" i="108"/>
  <c r="AB20" i="108"/>
  <c r="T20" i="108"/>
  <c r="AB19" i="108"/>
  <c r="T19" i="108"/>
  <c r="AB18" i="108"/>
  <c r="T18" i="108"/>
  <c r="AB17" i="108"/>
  <c r="T17" i="108"/>
  <c r="AB16" i="108"/>
  <c r="T16" i="108"/>
  <c r="AB15" i="108"/>
  <c r="T15" i="108"/>
  <c r="AB14" i="108"/>
  <c r="T14" i="108"/>
  <c r="AB13" i="108"/>
  <c r="T13" i="108"/>
  <c r="AB12" i="108"/>
  <c r="T12" i="108"/>
  <c r="AB11" i="108"/>
  <c r="AB41" i="108" s="1"/>
  <c r="T11" i="108"/>
  <c r="T37" i="108" s="1"/>
  <c r="D106" i="107"/>
  <c r="O67" i="111"/>
  <c r="O71" i="111"/>
  <c r="K106" i="107"/>
  <c r="AD25" i="111"/>
  <c r="E106" i="108"/>
  <c r="AE30" i="108"/>
  <c r="I106" i="107"/>
  <c r="C106" i="108"/>
  <c r="AF25" i="107"/>
  <c r="AF24" i="107"/>
  <c r="U25" i="111"/>
  <c r="AB40" i="107"/>
  <c r="AA21" i="107"/>
  <c r="AA20" i="107"/>
  <c r="S19" i="107"/>
  <c r="AA18" i="107"/>
  <c r="S18" i="107"/>
  <c r="AA17" i="107"/>
  <c r="S17" i="107"/>
  <c r="AA16" i="107"/>
  <c r="S16" i="107"/>
  <c r="AA15" i="107"/>
  <c r="S15" i="107"/>
  <c r="AA14" i="107"/>
  <c r="S14" i="107"/>
  <c r="AA13" i="107"/>
  <c r="S13" i="107"/>
  <c r="S35" i="107" s="1"/>
  <c r="AA12" i="107"/>
  <c r="AA40" i="107" s="1"/>
  <c r="S12" i="107"/>
  <c r="AA11" i="107"/>
  <c r="AA41" i="107" s="1"/>
  <c r="AA42" i="107" s="1"/>
  <c r="S11" i="107"/>
  <c r="S37" i="107" s="1"/>
  <c r="AA21" i="108"/>
  <c r="S21" i="108"/>
  <c r="AA20" i="108"/>
  <c r="S20" i="108"/>
  <c r="AA19" i="108"/>
  <c r="S19" i="108"/>
  <c r="AA18" i="108"/>
  <c r="S18" i="108"/>
  <c r="AA17" i="108"/>
  <c r="S17" i="108"/>
  <c r="AA16" i="108"/>
  <c r="S16" i="108"/>
  <c r="AA15" i="108"/>
  <c r="S15" i="108"/>
  <c r="AA14" i="108"/>
  <c r="S14" i="108"/>
  <c r="AA13" i="108"/>
  <c r="S13" i="108"/>
  <c r="S40" i="108" s="1"/>
  <c r="S42" i="108" s="1"/>
  <c r="AA12" i="108"/>
  <c r="AA40" i="108" s="1"/>
  <c r="S12" i="108"/>
  <c r="AA11" i="108"/>
  <c r="AA37" i="108" s="1"/>
  <c r="S11" i="108"/>
  <c r="S34" i="108" s="1"/>
  <c r="S41" i="108"/>
  <c r="Z32" i="111"/>
  <c r="M106" i="108"/>
  <c r="G106" i="108"/>
  <c r="K106" i="108"/>
  <c r="AE32" i="108"/>
  <c r="AE22" i="107"/>
  <c r="AE31" i="107"/>
  <c r="AF27" i="107"/>
  <c r="AF28" i="107"/>
  <c r="S21" i="107"/>
  <c r="S20" i="107"/>
  <c r="AA19" i="107"/>
  <c r="Z21" i="107"/>
  <c r="Z20" i="107"/>
  <c r="Z19" i="107"/>
  <c r="Z18" i="107"/>
  <c r="Z17" i="107"/>
  <c r="Z16" i="107"/>
  <c r="Z15" i="107"/>
  <c r="Z14" i="107"/>
  <c r="Z13" i="107"/>
  <c r="Z12" i="107"/>
  <c r="Z41" i="107" s="1"/>
  <c r="Z11" i="107"/>
  <c r="Z21" i="108"/>
  <c r="Z20" i="108"/>
  <c r="Z19" i="108"/>
  <c r="Z18" i="108"/>
  <c r="Z17" i="108"/>
  <c r="Z16" i="108"/>
  <c r="Z15" i="108"/>
  <c r="Z14" i="108"/>
  <c r="Z13" i="108"/>
  <c r="Z12" i="108"/>
  <c r="Z11" i="108"/>
  <c r="S37" i="108"/>
  <c r="X40" i="108"/>
  <c r="AE24" i="107"/>
  <c r="S31" i="111"/>
  <c r="AF24" i="108"/>
  <c r="AF29" i="107"/>
  <c r="AF32" i="107"/>
  <c r="O84" i="111"/>
  <c r="P103" i="111"/>
  <c r="O75" i="111"/>
  <c r="O103" i="111"/>
  <c r="O59" i="111"/>
  <c r="AE22" i="111" s="1"/>
  <c r="P59" i="111"/>
  <c r="P100" i="111"/>
  <c r="P96" i="111"/>
  <c r="O92" i="111"/>
  <c r="O105" i="111"/>
  <c r="O68" i="111"/>
  <c r="P63" i="111"/>
  <c r="AE23" i="111"/>
  <c r="O91" i="111"/>
  <c r="O76" i="111"/>
  <c r="P78" i="111"/>
  <c r="P95" i="111"/>
  <c r="O80" i="111"/>
  <c r="O93" i="111"/>
  <c r="O77" i="111"/>
  <c r="O95" i="111"/>
  <c r="Y24" i="111"/>
  <c r="P91" i="111"/>
  <c r="P60" i="111"/>
  <c r="P86" i="111"/>
  <c r="AF29" i="111" s="1"/>
  <c r="O102" i="111"/>
  <c r="AE33" i="111" s="1"/>
  <c r="T25" i="111"/>
  <c r="O96" i="111"/>
  <c r="W23" i="111"/>
  <c r="P105" i="111"/>
  <c r="P83" i="111"/>
  <c r="O86" i="111"/>
  <c r="P76" i="111"/>
  <c r="AF26" i="111" s="1"/>
  <c r="P102" i="111"/>
  <c r="P72" i="111"/>
  <c r="O90" i="111"/>
  <c r="O78" i="111"/>
  <c r="O69" i="111"/>
  <c r="V33" i="111"/>
  <c r="P84" i="111"/>
  <c r="P93" i="111"/>
  <c r="P80" i="111"/>
  <c r="P90" i="111"/>
  <c r="O72" i="111"/>
  <c r="AE25" i="111" s="1"/>
  <c r="U33" i="111"/>
  <c r="O87" i="111"/>
  <c r="U22" i="111"/>
  <c r="P71" i="111"/>
  <c r="P65" i="111"/>
  <c r="O83" i="111"/>
  <c r="P66" i="111"/>
  <c r="O66" i="111"/>
  <c r="S28" i="111"/>
  <c r="P82" i="111"/>
  <c r="O82" i="111"/>
  <c r="S32" i="111"/>
  <c r="P98" i="111"/>
  <c r="O98" i="111"/>
  <c r="AE32" i="111" s="1"/>
  <c r="C3" i="94"/>
  <c r="C3" i="95" s="1"/>
  <c r="AF23" i="111" l="1"/>
  <c r="AF30" i="111"/>
  <c r="AF32" i="111"/>
  <c r="Y35" i="107"/>
  <c r="Y38" i="107"/>
  <c r="T41" i="107"/>
  <c r="T42" i="107" s="1"/>
  <c r="AA35" i="108"/>
  <c r="AA35" i="107"/>
  <c r="V40" i="107"/>
  <c r="AD40" i="107"/>
  <c r="V38" i="108"/>
  <c r="V35" i="108"/>
  <c r="V38" i="107"/>
  <c r="V35" i="107"/>
  <c r="V41" i="107"/>
  <c r="V42" i="107" s="1"/>
  <c r="W38" i="108"/>
  <c r="W35" i="108"/>
  <c r="AB36" i="107"/>
  <c r="AB39" i="107"/>
  <c r="W36" i="108"/>
  <c r="AF27" i="111"/>
  <c r="Y41" i="107"/>
  <c r="Z39" i="108"/>
  <c r="Z36" i="108"/>
  <c r="AA36" i="107"/>
  <c r="AA39" i="107"/>
  <c r="AB34" i="107"/>
  <c r="S38" i="108"/>
  <c r="T40" i="108"/>
  <c r="S38" i="107"/>
  <c r="AD37" i="107"/>
  <c r="U38" i="108"/>
  <c r="U38" i="107"/>
  <c r="V40" i="108"/>
  <c r="V42" i="108" s="1"/>
  <c r="AD38" i="108"/>
  <c r="AD35" i="108"/>
  <c r="AD38" i="107"/>
  <c r="AD35" i="107"/>
  <c r="Y37" i="108"/>
  <c r="Y41" i="108"/>
  <c r="Y42" i="108" s="1"/>
  <c r="Y40" i="108"/>
  <c r="Y34" i="108"/>
  <c r="Z40" i="108"/>
  <c r="Z34" i="108"/>
  <c r="Z41" i="108"/>
  <c r="Z37" i="108"/>
  <c r="Y35" i="108"/>
  <c r="Y38" i="108"/>
  <c r="AC40" i="107"/>
  <c r="AC37" i="107"/>
  <c r="AC34" i="107"/>
  <c r="S35" i="108"/>
  <c r="AB36" i="108"/>
  <c r="AB39" i="108"/>
  <c r="W40" i="108"/>
  <c r="W42" i="108" s="1"/>
  <c r="T34" i="108"/>
  <c r="AA38" i="108"/>
  <c r="AB40" i="108"/>
  <c r="AA38" i="107"/>
  <c r="T38" i="108"/>
  <c r="T35" i="108"/>
  <c r="T38" i="107"/>
  <c r="T35" i="107"/>
  <c r="W37" i="108"/>
  <c r="AC38" i="108"/>
  <c r="AC38" i="107"/>
  <c r="AA34" i="108"/>
  <c r="W34" i="108"/>
  <c r="X40" i="107"/>
  <c r="X42" i="107" s="1"/>
  <c r="X39" i="107"/>
  <c r="X36" i="107"/>
  <c r="T36" i="108"/>
  <c r="T39" i="108"/>
  <c r="T36" i="107"/>
  <c r="T39" i="107"/>
  <c r="AC39" i="108"/>
  <c r="AC36" i="108"/>
  <c r="T37" i="107"/>
  <c r="V34" i="107"/>
  <c r="AC41" i="107"/>
  <c r="AC42" i="107" s="1"/>
  <c r="T34" i="107"/>
  <c r="Z35" i="108"/>
  <c r="Z38" i="108"/>
  <c r="S36" i="108"/>
  <c r="S39" i="108"/>
  <c r="S36" i="107"/>
  <c r="S39" i="107"/>
  <c r="AB38" i="108"/>
  <c r="AB35" i="108"/>
  <c r="AB38" i="107"/>
  <c r="AB35" i="107"/>
  <c r="AA41" i="108"/>
  <c r="AA42" i="108" s="1"/>
  <c r="U40" i="107"/>
  <c r="U42" i="107" s="1"/>
  <c r="U35" i="107"/>
  <c r="U39" i="107"/>
  <c r="U36" i="107"/>
  <c r="T41" i="108"/>
  <c r="T42" i="108" s="1"/>
  <c r="S40" i="107"/>
  <c r="AD40" i="108"/>
  <c r="W40" i="107"/>
  <c r="W42" i="107" s="1"/>
  <c r="W36" i="107"/>
  <c r="Y39" i="108"/>
  <c r="Y36" i="108"/>
  <c r="Z40" i="107"/>
  <c r="Z42" i="107" s="1"/>
  <c r="Z34" i="107"/>
  <c r="Z37" i="107"/>
  <c r="Z35" i="107"/>
  <c r="Z38" i="107"/>
  <c r="AD41" i="108"/>
  <c r="AF24" i="111"/>
  <c r="S41" i="107"/>
  <c r="AA36" i="108"/>
  <c r="AA39" i="108"/>
  <c r="AA37" i="107"/>
  <c r="U41" i="108"/>
  <c r="U34" i="108"/>
  <c r="U37" i="108"/>
  <c r="AB37" i="108"/>
  <c r="AC35" i="107"/>
  <c r="AC39" i="107"/>
  <c r="AC36" i="107"/>
  <c r="V39" i="108"/>
  <c r="V36" i="108"/>
  <c r="V39" i="107"/>
  <c r="V36" i="107"/>
  <c r="V34" i="108"/>
  <c r="W38" i="107"/>
  <c r="W35" i="107"/>
  <c r="X38" i="107"/>
  <c r="X35" i="107"/>
  <c r="X38" i="108"/>
  <c r="X35" i="108"/>
  <c r="Z39" i="107"/>
  <c r="Z36" i="107"/>
  <c r="AC41" i="108"/>
  <c r="AC42" i="108" s="1"/>
  <c r="AC34" i="108"/>
  <c r="AC37" i="108"/>
  <c r="U37" i="107"/>
  <c r="U34" i="107"/>
  <c r="U40" i="108"/>
  <c r="U35" i="108"/>
  <c r="U39" i="108"/>
  <c r="U36" i="108"/>
  <c r="AB41" i="107"/>
  <c r="AD39" i="108"/>
  <c r="AD36" i="108"/>
  <c r="AD39" i="107"/>
  <c r="AD36" i="107"/>
  <c r="X37" i="108"/>
  <c r="X39" i="108"/>
  <c r="X36" i="108"/>
  <c r="Y40" i="107"/>
  <c r="Y34" i="107"/>
  <c r="Y37" i="107"/>
  <c r="AA34" i="107"/>
  <c r="Y39" i="107"/>
  <c r="AF31" i="111"/>
  <c r="AF25" i="111"/>
  <c r="AE27" i="111"/>
  <c r="AF22" i="111"/>
  <c r="AE30" i="111"/>
  <c r="AF33" i="111"/>
  <c r="AE31" i="111"/>
  <c r="AE26" i="111"/>
  <c r="AE28" i="111"/>
  <c r="AE29" i="111"/>
  <c r="AF28" i="111"/>
  <c r="AE24" i="111"/>
  <c r="K6" i="101"/>
  <c r="K6" i="109" s="1"/>
  <c r="G5" i="101"/>
  <c r="G5" i="109" s="1"/>
  <c r="K6" i="96"/>
  <c r="G5" i="96"/>
  <c r="K6" i="95"/>
  <c r="K5" i="95"/>
  <c r="G5" i="95"/>
  <c r="K6" i="94"/>
  <c r="G5" i="94"/>
  <c r="G6" i="96"/>
  <c r="G6" i="95"/>
  <c r="D6" i="96"/>
  <c r="D6" i="95"/>
  <c r="D5" i="96"/>
  <c r="D5" i="94"/>
  <c r="S42" i="107" l="1"/>
  <c r="U42" i="108"/>
  <c r="Y42" i="107"/>
  <c r="Z42" i="108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96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D38" i="101" l="1"/>
  <c r="AC39" i="109"/>
  <c r="AA26" i="95"/>
  <c r="S39" i="101"/>
  <c r="AA39" i="101"/>
  <c r="Z39" i="101"/>
  <c r="AB39" i="101"/>
  <c r="AD39" i="101"/>
  <c r="W26" i="95"/>
  <c r="AD26" i="95"/>
  <c r="X15" i="96"/>
  <c r="X23" i="96" s="1"/>
  <c r="AC17" i="95"/>
  <c r="AB13" i="96"/>
  <c r="AB26" i="96" s="1"/>
  <c r="AB16" i="95"/>
  <c r="T16" i="96"/>
  <c r="T26" i="96" s="1"/>
  <c r="X21" i="101"/>
  <c r="X39" i="101" s="1"/>
  <c r="U22" i="109"/>
  <c r="W20" i="96"/>
  <c r="W24" i="96" s="1"/>
  <c r="V14" i="101"/>
  <c r="V38" i="101" s="1"/>
  <c r="Y13" i="95"/>
  <c r="S17" i="101"/>
  <c r="Y16" i="96"/>
  <c r="AC32" i="109"/>
  <c r="W21" i="95"/>
  <c r="AC21" i="95"/>
  <c r="AC24" i="95" s="1"/>
  <c r="W16" i="96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AB15" i="95"/>
  <c r="AA14" i="94"/>
  <c r="AA15" i="94"/>
  <c r="AA16" i="94"/>
  <c r="AA18" i="94"/>
  <c r="Z13" i="109"/>
  <c r="V12" i="109"/>
  <c r="AD12" i="109"/>
  <c r="S11" i="109"/>
  <c r="AC17" i="109"/>
  <c r="V14" i="109"/>
  <c r="V13" i="109"/>
  <c r="AD13" i="109"/>
  <c r="V15" i="109"/>
  <c r="AD15" i="109"/>
  <c r="AA11" i="109"/>
  <c r="Z12" i="109"/>
  <c r="Z14" i="109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V19" i="95"/>
  <c r="Y14" i="101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Z17" i="101"/>
  <c r="U20" i="95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AC16" i="96"/>
  <c r="U18" i="94"/>
  <c r="AC16" i="95"/>
  <c r="U14" i="95"/>
  <c r="U26" i="95" s="1"/>
  <c r="T39" i="101"/>
  <c r="AC18" i="95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Z13" i="95"/>
  <c r="AB14" i="95"/>
  <c r="U15" i="101"/>
  <c r="P105" i="101"/>
  <c r="Y17" i="94"/>
  <c r="P77" i="101"/>
  <c r="P69" i="101"/>
  <c r="P91" i="101"/>
  <c r="U15" i="94"/>
  <c r="W17" i="96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6" i="95"/>
  <c r="AA18" i="96"/>
  <c r="AA23" i="96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AD12" i="101"/>
  <c r="U12" i="101"/>
  <c r="W12" i="101"/>
  <c r="Y12" i="101"/>
  <c r="AA12" i="101"/>
  <c r="AC12" i="101"/>
  <c r="V11" i="101"/>
  <c r="AC36" i="101"/>
  <c r="W18" i="94"/>
  <c r="T12" i="101"/>
  <c r="V12" i="101"/>
  <c r="X12" i="101"/>
  <c r="Z12" i="101"/>
  <c r="AB12" i="101"/>
  <c r="T11" i="101"/>
  <c r="X11" i="101"/>
  <c r="Z11" i="101"/>
  <c r="AB11" i="101"/>
  <c r="AD11" i="101"/>
  <c r="Y39" i="101"/>
  <c r="Y36" i="101"/>
  <c r="Z13" i="101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V12" i="94"/>
  <c r="S11" i="95"/>
  <c r="W11" i="95"/>
  <c r="AA11" i="95"/>
  <c r="Z12" i="95"/>
  <c r="T11" i="95"/>
  <c r="V11" i="95"/>
  <c r="X11" i="95"/>
  <c r="Z11" i="95"/>
  <c r="AB11" i="95"/>
  <c r="AD11" i="95"/>
  <c r="Z11" i="94"/>
  <c r="AD12" i="94"/>
  <c r="V12" i="95"/>
  <c r="AD12" i="95"/>
  <c r="T11" i="96"/>
  <c r="V11" i="96"/>
  <c r="X11" i="96"/>
  <c r="Z11" i="96"/>
  <c r="AB11" i="96"/>
  <c r="AD11" i="96"/>
  <c r="S12" i="96"/>
  <c r="W12" i="96"/>
  <c r="AA12" i="96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V39" i="109" l="1"/>
  <c r="AF33" i="101"/>
  <c r="AF25" i="101"/>
  <c r="AF28" i="101"/>
  <c r="U38" i="109"/>
  <c r="AB23" i="96"/>
  <c r="AC26" i="95"/>
  <c r="T23" i="96"/>
  <c r="W27" i="96"/>
  <c r="V35" i="101"/>
  <c r="Y26" i="95"/>
  <c r="Y26" i="96"/>
  <c r="U27" i="94"/>
  <c r="AC27" i="95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AA17" i="111" s="1"/>
  <c r="E38" i="111"/>
  <c r="U17" i="111" s="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AB21" i="111" s="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AB19" i="111" s="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AB17" i="111" s="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AB15" i="111" s="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U16" i="111" s="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U14" i="111" s="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AA12" i="111" s="1"/>
  <c r="G18" i="111"/>
  <c r="W12" i="111" s="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W26" i="96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V20" i="111" s="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V18" i="111" s="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V16" i="111" s="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V14" i="111" s="1"/>
  <c r="N25" i="111"/>
  <c r="J25" i="111"/>
  <c r="F25" i="111"/>
  <c r="N24" i="111"/>
  <c r="L24" i="111"/>
  <c r="J24" i="111"/>
  <c r="D24" i="111"/>
  <c r="H23" i="111"/>
  <c r="F23" i="111"/>
  <c r="L22" i="111"/>
  <c r="AB13" i="111" s="1"/>
  <c r="J22" i="11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L18" i="111"/>
  <c r="F18" i="111"/>
  <c r="V12" i="111" s="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AB11" i="111" s="1"/>
  <c r="J14" i="111"/>
  <c r="D14" i="111"/>
  <c r="T11" i="111" s="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U21" i="111" s="1"/>
  <c r="C54" i="111"/>
  <c r="S21" i="111" s="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AC19" i="111" s="1"/>
  <c r="K46" i="111"/>
  <c r="I46" i="111"/>
  <c r="Y19" i="111" s="1"/>
  <c r="C46" i="111"/>
  <c r="S19" i="111" s="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W17" i="111" s="1"/>
  <c r="M37" i="111"/>
  <c r="W27" i="94"/>
  <c r="S26" i="94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W16" i="111" s="1"/>
  <c r="C34" i="111"/>
  <c r="S16" i="111" s="1"/>
  <c r="M33" i="111"/>
  <c r="I33" i="111"/>
  <c r="E33" i="111"/>
  <c r="M32" i="111"/>
  <c r="I32" i="111"/>
  <c r="E32" i="111"/>
  <c r="M31" i="111"/>
  <c r="I31" i="111"/>
  <c r="E31" i="111"/>
  <c r="M30" i="111"/>
  <c r="E30" i="111"/>
  <c r="U15" i="111" s="1"/>
  <c r="C30" i="111"/>
  <c r="S15" i="111" s="1"/>
  <c r="K29" i="111"/>
  <c r="G29" i="111"/>
  <c r="C29" i="111"/>
  <c r="K28" i="111"/>
  <c r="G28" i="111"/>
  <c r="C28" i="111"/>
  <c r="K27" i="111"/>
  <c r="G27" i="111"/>
  <c r="C27" i="111"/>
  <c r="I26" i="111"/>
  <c r="Y14" i="111" s="1"/>
  <c r="G26" i="111"/>
  <c r="W14" i="111" s="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U12" i="111" s="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AC26" i="96"/>
  <c r="AC35" i="109"/>
  <c r="K10" i="111"/>
  <c r="G10" i="111"/>
  <c r="T38" i="109"/>
  <c r="AD38" i="109"/>
  <c r="Z38" i="109"/>
  <c r="AA35" i="109"/>
  <c r="V35" i="109"/>
  <c r="S35" i="109"/>
  <c r="AB38" i="109"/>
  <c r="AD36" i="109"/>
  <c r="Z39" i="109"/>
  <c r="AF12" i="109"/>
  <c r="AD39" i="109"/>
  <c r="Z36" i="109"/>
  <c r="V36" i="109"/>
  <c r="AC38" i="109"/>
  <c r="U35" i="109"/>
  <c r="V38" i="109"/>
  <c r="X35" i="109"/>
  <c r="Z35" i="109"/>
  <c r="AD35" i="109"/>
  <c r="X34" i="109"/>
  <c r="Y38" i="109"/>
  <c r="Z38" i="101"/>
  <c r="Y35" i="109"/>
  <c r="AA38" i="109"/>
  <c r="W38" i="109"/>
  <c r="AF30" i="109"/>
  <c r="X39" i="109"/>
  <c r="X37" i="109"/>
  <c r="AF15" i="109"/>
  <c r="AF14" i="109"/>
  <c r="AF13" i="109"/>
  <c r="AF17" i="109"/>
  <c r="AF16" i="10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B36" i="109"/>
  <c r="X36" i="109"/>
  <c r="X40" i="109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AF21" i="108" s="1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AF11" i="108" s="1"/>
  <c r="O41" i="108"/>
  <c r="O33" i="108"/>
  <c r="O25" i="108"/>
  <c r="O23" i="108"/>
  <c r="O19" i="108"/>
  <c r="O15" i="108"/>
  <c r="P50" i="108"/>
  <c r="P42" i="108"/>
  <c r="AF18" i="108" s="1"/>
  <c r="P34" i="108"/>
  <c r="AF16" i="108" s="1"/>
  <c r="O54" i="108"/>
  <c r="AE21" i="108" s="1"/>
  <c r="O42" i="108"/>
  <c r="O34" i="108"/>
  <c r="P18" i="108"/>
  <c r="AF12" i="108" s="1"/>
  <c r="O57" i="107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AF21" i="107" s="1"/>
  <c r="O54" i="107"/>
  <c r="P53" i="107"/>
  <c r="O53" i="107"/>
  <c r="O52" i="107"/>
  <c r="P52" i="107"/>
  <c r="O51" i="107"/>
  <c r="P51" i="107"/>
  <c r="O50" i="107"/>
  <c r="AE20" i="107" s="1"/>
  <c r="P50" i="107"/>
  <c r="P49" i="107"/>
  <c r="O49" i="107"/>
  <c r="P48" i="107"/>
  <c r="O48" i="107"/>
  <c r="P47" i="107"/>
  <c r="O47" i="107"/>
  <c r="O46" i="107"/>
  <c r="AE19" i="107" s="1"/>
  <c r="P46" i="107"/>
  <c r="P45" i="107"/>
  <c r="O45" i="107"/>
  <c r="O44" i="107"/>
  <c r="P44" i="107"/>
  <c r="O43" i="107"/>
  <c r="P43" i="107"/>
  <c r="O42" i="107"/>
  <c r="AE18" i="107" s="1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AE14" i="107" s="1"/>
  <c r="O23" i="107"/>
  <c r="O21" i="107"/>
  <c r="O18" i="107"/>
  <c r="O16" i="107"/>
  <c r="O14" i="107"/>
  <c r="AE11" i="107" s="1"/>
  <c r="O12" i="107"/>
  <c r="P26" i="107"/>
  <c r="P38" i="107"/>
  <c r="AF17" i="107" s="1"/>
  <c r="P30" i="107"/>
  <c r="AF15" i="107" s="1"/>
  <c r="P34" i="107"/>
  <c r="AF16" i="107" s="1"/>
  <c r="O30" i="107"/>
  <c r="P10" i="107"/>
  <c r="O10" i="107"/>
  <c r="AC23" i="95"/>
  <c r="U23" i="96"/>
  <c r="O106" i="101"/>
  <c r="C108" i="101" s="1"/>
  <c r="P106" i="101"/>
  <c r="U26" i="96"/>
  <c r="U26" i="94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AB26" i="95"/>
  <c r="Z24" i="95"/>
  <c r="Y27" i="94"/>
  <c r="Y23" i="96"/>
  <c r="Y26" i="94"/>
  <c r="Y23" i="95"/>
  <c r="W23" i="96"/>
  <c r="AA26" i="96"/>
  <c r="AD26" i="96"/>
  <c r="AC23" i="94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V23" i="95"/>
  <c r="W23" i="94"/>
  <c r="AA38" i="101"/>
  <c r="AC38" i="101"/>
  <c r="Y35" i="101"/>
  <c r="U38" i="101"/>
  <c r="Z35" i="101"/>
  <c r="AF15" i="101"/>
  <c r="AF14" i="101"/>
  <c r="AF13" i="101"/>
  <c r="AF12" i="101"/>
  <c r="AF11" i="101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F13" i="96"/>
  <c r="AE19" i="96"/>
  <c r="AE17" i="96"/>
  <c r="AE15" i="96"/>
  <c r="S23" i="96"/>
  <c r="T25" i="94"/>
  <c r="AE18" i="96"/>
  <c r="X25" i="94"/>
  <c r="AE16" i="96"/>
  <c r="AE21" i="96"/>
  <c r="AE20" i="96"/>
  <c r="AE14" i="96"/>
  <c r="S23" i="95"/>
  <c r="S25" i="94"/>
  <c r="AF13" i="94"/>
  <c r="S23" i="94"/>
  <c r="X22" i="94"/>
  <c r="AA25" i="94"/>
  <c r="AF12" i="95"/>
  <c r="S24" i="96"/>
  <c r="S26" i="96"/>
  <c r="AB22" i="94"/>
  <c r="T22" i="94"/>
  <c r="AF12" i="96"/>
  <c r="W25" i="94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P106" i="107" l="1"/>
  <c r="C107" i="107" s="1"/>
  <c r="AF10" i="107"/>
  <c r="AE16" i="107"/>
  <c r="AE16" i="108"/>
  <c r="AE13" i="108"/>
  <c r="Y11" i="111"/>
  <c r="Y13" i="111"/>
  <c r="AC15" i="111"/>
  <c r="AC18" i="111"/>
  <c r="AD10" i="111"/>
  <c r="N106" i="111"/>
  <c r="Z13" i="111"/>
  <c r="Z15" i="111"/>
  <c r="Z17" i="111"/>
  <c r="Z19" i="111"/>
  <c r="Z21" i="111"/>
  <c r="AA15" i="111"/>
  <c r="T15" i="111"/>
  <c r="T17" i="111"/>
  <c r="T19" i="111"/>
  <c r="T21" i="111"/>
  <c r="AA18" i="111"/>
  <c r="AA20" i="111"/>
  <c r="AB10" i="111"/>
  <c r="L106" i="111"/>
  <c r="AE15" i="108"/>
  <c r="W10" i="111"/>
  <c r="G106" i="111"/>
  <c r="AE15" i="107"/>
  <c r="AE12" i="107"/>
  <c r="AF18" i="107"/>
  <c r="AF19" i="107"/>
  <c r="AF20" i="107"/>
  <c r="AE21" i="107"/>
  <c r="AE36" i="107" s="1"/>
  <c r="AE18" i="108"/>
  <c r="AE14" i="108"/>
  <c r="AF10" i="108"/>
  <c r="P106" i="108"/>
  <c r="AC11" i="111"/>
  <c r="AC13" i="111"/>
  <c r="AD15" i="111"/>
  <c r="AD17" i="111"/>
  <c r="AD19" i="111"/>
  <c r="AD21" i="111"/>
  <c r="S12" i="111"/>
  <c r="S14" i="111"/>
  <c r="V11" i="111"/>
  <c r="X13" i="111"/>
  <c r="X15" i="111"/>
  <c r="X17" i="111"/>
  <c r="X19" i="111"/>
  <c r="X21" i="111"/>
  <c r="S17" i="111"/>
  <c r="AC20" i="111"/>
  <c r="AE39" i="107"/>
  <c r="X11" i="111"/>
  <c r="AE13" i="107"/>
  <c r="AE19" i="108"/>
  <c r="AE10" i="108"/>
  <c r="O106" i="108"/>
  <c r="AA10" i="111"/>
  <c r="K106" i="111"/>
  <c r="AA14" i="111"/>
  <c r="Y16" i="111"/>
  <c r="AD11" i="111"/>
  <c r="W19" i="111"/>
  <c r="Y21" i="111"/>
  <c r="AE17" i="107"/>
  <c r="AF13" i="107"/>
  <c r="AF17" i="108"/>
  <c r="Y12" i="111"/>
  <c r="AC16" i="111"/>
  <c r="Y17" i="111"/>
  <c r="AA19" i="111"/>
  <c r="AC21" i="111"/>
  <c r="AB12" i="111"/>
  <c r="Z14" i="111"/>
  <c r="Z16" i="111"/>
  <c r="Z18" i="111"/>
  <c r="Z20" i="111"/>
  <c r="AC14" i="111"/>
  <c r="AA16" i="111"/>
  <c r="T14" i="111"/>
  <c r="T16" i="111"/>
  <c r="T18" i="111"/>
  <c r="T38" i="111" s="1"/>
  <c r="T20" i="111"/>
  <c r="U10" i="111"/>
  <c r="E106" i="111"/>
  <c r="AA21" i="111"/>
  <c r="W21" i="111"/>
  <c r="AF14" i="107"/>
  <c r="AF12" i="107"/>
  <c r="AF20" i="108"/>
  <c r="AF15" i="108"/>
  <c r="AE20" i="108"/>
  <c r="AE36" i="108" s="1"/>
  <c r="AC12" i="111"/>
  <c r="AC17" i="111"/>
  <c r="AC39" i="111"/>
  <c r="AD12" i="111"/>
  <c r="AD14" i="111"/>
  <c r="AD16" i="111"/>
  <c r="AD18" i="111"/>
  <c r="AD20" i="111"/>
  <c r="S11" i="111"/>
  <c r="S13" i="111"/>
  <c r="X12" i="111"/>
  <c r="X14" i="111"/>
  <c r="X16" i="111"/>
  <c r="X18" i="111"/>
  <c r="X20" i="111"/>
  <c r="Y10" i="111"/>
  <c r="I106" i="111"/>
  <c r="S18" i="111"/>
  <c r="AF14" i="108"/>
  <c r="AE11" i="108"/>
  <c r="AE17" i="108"/>
  <c r="AF13" i="108"/>
  <c r="S35" i="111"/>
  <c r="W20" i="111"/>
  <c r="W36" i="111" s="1"/>
  <c r="V10" i="111"/>
  <c r="F106" i="111"/>
  <c r="W11" i="111"/>
  <c r="W13" i="111"/>
  <c r="W15" i="111"/>
  <c r="Z12" i="111"/>
  <c r="AB14" i="111"/>
  <c r="AB38" i="111" s="1"/>
  <c r="AB16" i="111"/>
  <c r="AB18" i="111"/>
  <c r="AB20" i="111"/>
  <c r="AC10" i="111"/>
  <c r="M106" i="111"/>
  <c r="U18" i="111"/>
  <c r="S20" i="111"/>
  <c r="S36" i="111" s="1"/>
  <c r="T10" i="111"/>
  <c r="D106" i="111"/>
  <c r="AF11" i="107"/>
  <c r="AD13" i="111"/>
  <c r="AB36" i="111"/>
  <c r="AB39" i="111"/>
  <c r="U19" i="111"/>
  <c r="U39" i="111" s="1"/>
  <c r="AE10" i="107"/>
  <c r="O106" i="107"/>
  <c r="AE12" i="108"/>
  <c r="AF19" i="108"/>
  <c r="U11" i="111"/>
  <c r="U13" i="111"/>
  <c r="W18" i="111"/>
  <c r="Y20" i="111"/>
  <c r="Y39" i="111" s="1"/>
  <c r="X10" i="111"/>
  <c r="H106" i="111"/>
  <c r="Z11" i="111"/>
  <c r="V13" i="111"/>
  <c r="V15" i="111"/>
  <c r="V17" i="111"/>
  <c r="V19" i="111"/>
  <c r="V21" i="111"/>
  <c r="AA11" i="111"/>
  <c r="AA13" i="111"/>
  <c r="AA38" i="111" s="1"/>
  <c r="Y15" i="111"/>
  <c r="Y38" i="111" s="1"/>
  <c r="S10" i="111"/>
  <c r="C106" i="111"/>
  <c r="Y18" i="111"/>
  <c r="U20" i="111"/>
  <c r="Z10" i="111"/>
  <c r="J106" i="111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AE14" i="111" s="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P15" i="111"/>
  <c r="O28" i="111"/>
  <c r="O35" i="111"/>
  <c r="O25" i="111"/>
  <c r="O44" i="111"/>
  <c r="O54" i="111"/>
  <c r="AE21" i="111" s="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AE17" i="111" s="1"/>
  <c r="O41" i="111"/>
  <c r="P42" i="111"/>
  <c r="P45" i="111"/>
  <c r="O46" i="111"/>
  <c r="O48" i="111"/>
  <c r="O50" i="111"/>
  <c r="AE20" i="111" s="1"/>
  <c r="O51" i="111"/>
  <c r="O53" i="111"/>
  <c r="P55" i="111"/>
  <c r="O56" i="111"/>
  <c r="P57" i="111"/>
  <c r="P14" i="11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AA42" i="109"/>
  <c r="H108" i="109"/>
  <c r="J108" i="109"/>
  <c r="AF41" i="109"/>
  <c r="AF40" i="109"/>
  <c r="AF37" i="109"/>
  <c r="AF34" i="109"/>
  <c r="V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H108" i="108"/>
  <c r="H107" i="108"/>
  <c r="H108" i="107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H60" i="94"/>
  <c r="AF35" i="101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E24" i="96"/>
  <c r="C107" i="101"/>
  <c r="AE40" i="101"/>
  <c r="AE37" i="101"/>
  <c r="AE34" i="101"/>
  <c r="AF40" i="101"/>
  <c r="AF37" i="101"/>
  <c r="AF34" i="101"/>
  <c r="AE38" i="101"/>
  <c r="AE35" i="101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E13" i="111" l="1"/>
  <c r="AD39" i="111"/>
  <c r="AD36" i="111"/>
  <c r="AF20" i="111"/>
  <c r="AF15" i="111"/>
  <c r="AE11" i="111"/>
  <c r="AE16" i="111"/>
  <c r="T40" i="111"/>
  <c r="T34" i="111"/>
  <c r="T37" i="111"/>
  <c r="T41" i="111"/>
  <c r="V40" i="111"/>
  <c r="V34" i="111"/>
  <c r="V37" i="111"/>
  <c r="V41" i="111"/>
  <c r="V42" i="111" s="1"/>
  <c r="AA40" i="111"/>
  <c r="AA37" i="111"/>
  <c r="AA34" i="111"/>
  <c r="AA41" i="111"/>
  <c r="AC40" i="111"/>
  <c r="Z39" i="111"/>
  <c r="Z36" i="111"/>
  <c r="Y35" i="111"/>
  <c r="X39" i="111"/>
  <c r="X36" i="111"/>
  <c r="X34" i="111"/>
  <c r="X40" i="111"/>
  <c r="X37" i="111"/>
  <c r="X41" i="111"/>
  <c r="X42" i="111" s="1"/>
  <c r="AE34" i="107"/>
  <c r="AE37" i="107"/>
  <c r="AE41" i="107"/>
  <c r="AE42" i="107" s="1"/>
  <c r="Y40" i="111"/>
  <c r="Y34" i="111"/>
  <c r="Y37" i="111"/>
  <c r="Y41" i="111"/>
  <c r="Y42" i="111" s="1"/>
  <c r="U37" i="111"/>
  <c r="U34" i="111"/>
  <c r="U41" i="111"/>
  <c r="W39" i="111"/>
  <c r="AE40" i="107"/>
  <c r="Z40" i="111"/>
  <c r="Z37" i="111"/>
  <c r="Z34" i="111"/>
  <c r="Z41" i="111"/>
  <c r="Z42" i="111" s="1"/>
  <c r="AE18" i="111"/>
  <c r="P106" i="111"/>
  <c r="N107" i="111" s="1"/>
  <c r="AF10" i="111"/>
  <c r="U36" i="111"/>
  <c r="V39" i="111"/>
  <c r="V36" i="111"/>
  <c r="W38" i="111"/>
  <c r="W35" i="111"/>
  <c r="AF38" i="108"/>
  <c r="AF35" i="108"/>
  <c r="AE39" i="108"/>
  <c r="T36" i="111"/>
  <c r="T39" i="111"/>
  <c r="Z35" i="111"/>
  <c r="Z38" i="111"/>
  <c r="AF11" i="111"/>
  <c r="AE19" i="111"/>
  <c r="AF16" i="111"/>
  <c r="AF19" i="111"/>
  <c r="U38" i="111"/>
  <c r="U35" i="111"/>
  <c r="AC37" i="111"/>
  <c r="AC34" i="111"/>
  <c r="AC41" i="111"/>
  <c r="AC42" i="111" s="1"/>
  <c r="AF38" i="107"/>
  <c r="AF35" i="107"/>
  <c r="AE38" i="107"/>
  <c r="AE35" i="107"/>
  <c r="W34" i="111"/>
  <c r="W37" i="111"/>
  <c r="W40" i="111"/>
  <c r="W41" i="111"/>
  <c r="W42" i="111" s="1"/>
  <c r="AE34" i="108"/>
  <c r="AE41" i="108"/>
  <c r="AE42" i="108" s="1"/>
  <c r="AE37" i="108"/>
  <c r="AF34" i="108"/>
  <c r="AF37" i="108"/>
  <c r="AF40" i="108"/>
  <c r="AF41" i="108"/>
  <c r="AF42" i="108" s="1"/>
  <c r="AF13" i="111"/>
  <c r="AF17" i="111"/>
  <c r="AF14" i="111"/>
  <c r="U40" i="111"/>
  <c r="AD38" i="111"/>
  <c r="AD35" i="111"/>
  <c r="T35" i="111"/>
  <c r="Y36" i="111"/>
  <c r="X38" i="111"/>
  <c r="X35" i="111"/>
  <c r="AB35" i="111"/>
  <c r="AD40" i="111"/>
  <c r="AD34" i="111"/>
  <c r="AD37" i="111"/>
  <c r="AD41" i="111"/>
  <c r="AF34" i="107"/>
  <c r="AF40" i="107"/>
  <c r="AF41" i="107"/>
  <c r="AF42" i="107" s="1"/>
  <c r="AF37" i="107"/>
  <c r="AF12" i="111"/>
  <c r="AF18" i="111"/>
  <c r="AE15" i="111"/>
  <c r="AE10" i="111"/>
  <c r="O106" i="111"/>
  <c r="AF21" i="111"/>
  <c r="S40" i="111"/>
  <c r="S37" i="111"/>
  <c r="S34" i="111"/>
  <c r="S41" i="111"/>
  <c r="V38" i="111"/>
  <c r="V35" i="111"/>
  <c r="AF39" i="108"/>
  <c r="AF36" i="108"/>
  <c r="AA36" i="111"/>
  <c r="AA39" i="111"/>
  <c r="S39" i="111"/>
  <c r="AA35" i="111"/>
  <c r="AE38" i="108"/>
  <c r="AE35" i="108"/>
  <c r="AE40" i="108"/>
  <c r="S38" i="111"/>
  <c r="AC36" i="111"/>
  <c r="AC38" i="111"/>
  <c r="AC35" i="111"/>
  <c r="AF39" i="107"/>
  <c r="AF36" i="107"/>
  <c r="AB40" i="111"/>
  <c r="AB37" i="111"/>
  <c r="AB34" i="111"/>
  <c r="AB41" i="111"/>
  <c r="K108" i="111"/>
  <c r="M107" i="107"/>
  <c r="F108" i="107"/>
  <c r="J107" i="108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E39" i="111" l="1"/>
  <c r="AE36" i="111"/>
  <c r="AF39" i="111"/>
  <c r="AF36" i="111"/>
  <c r="AF34" i="111"/>
  <c r="AF40" i="111"/>
  <c r="AF37" i="111"/>
  <c r="AF41" i="111"/>
  <c r="U42" i="111"/>
  <c r="AF38" i="111"/>
  <c r="AF35" i="111"/>
  <c r="AE34" i="111"/>
  <c r="AE37" i="111"/>
  <c r="AE40" i="111"/>
  <c r="AE41" i="111"/>
  <c r="AA42" i="111"/>
  <c r="T42" i="111"/>
  <c r="S42" i="111"/>
  <c r="AE38" i="111"/>
  <c r="AE35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F42" i="111" l="1"/>
  <c r="AE42" i="111"/>
</calcChain>
</file>

<file path=xl/sharedStrings.xml><?xml version="1.0" encoding="utf-8"?>
<sst xmlns="http://schemas.openxmlformats.org/spreadsheetml/2006/main" count="1343" uniqueCount="180">
  <si>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</si>
  <si>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</si>
  <si>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</si>
  <si>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</si>
  <si>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</si>
  <si>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</si>
  <si>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</si>
  <si>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</si>
  <si>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</si>
  <si>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</si>
  <si>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</si>
  <si>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</si>
  <si>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</si>
  <si>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</si>
  <si>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</si>
  <si>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</si>
  <si>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</si>
  <si>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</si>
  <si>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</si>
  <si>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</si>
  <si>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</si>
  <si>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</si>
  <si>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</si>
  <si>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</si>
  <si>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</si>
  <si>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</si>
  <si>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</si>
  <si>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</si>
  <si>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</si>
  <si>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</si>
  <si>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</si>
  <si>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</si>
  <si>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</si>
  <si>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</si>
  <si>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</si>
  <si>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</si>
  <si>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</si>
  <si>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</si>
  <si>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</si>
  <si>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</si>
  <si>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</si>
  <si>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</si>
  <si>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</si>
  <si>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</si>
  <si>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</si>
  <si>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</si>
  <si>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</si>
  <si>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</si>
  <si>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</si>
  <si>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</si>
  <si>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</si>
  <si>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</si>
  <si>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</si>
  <si>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</si>
  <si>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</si>
  <si>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</si>
  <si>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</si>
  <si>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</si>
  <si>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</si>
  <si>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</si>
  <si>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</si>
  <si>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</si>
  <si>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</si>
  <si>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</si>
  <si>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</si>
  <si>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</si>
  <si>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</si>
  <si>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</si>
  <si>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</si>
  <si>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</si>
  <si>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</si>
  <si>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</si>
  <si>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</si>
  <si>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</si>
  <si>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</si>
  <si>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</si>
  <si>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</si>
  <si>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</si>
  <si>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</si>
  <si>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</si>
  <si>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</si>
  <si>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</si>
  <si>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</si>
  <si>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</si>
  <si>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</si>
  <si>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</si>
  <si>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</si>
  <si>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</si>
  <si>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</si>
  <si>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</si>
  <si>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</si>
  <si>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</si>
  <si>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</si>
  <si>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</si>
  <si>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</si>
  <si>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</si>
  <si>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</si>
  <si>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</si>
  <si>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</si>
  <si>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</si>
  <si>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</si>
  <si>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</si>
  <si>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</si>
  <si>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</si>
  <si>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</si>
  <si>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</si>
  <si>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</si>
  <si>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</si>
  <si>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</si>
  <si>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</si>
  <si>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</si>
  <si>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</si>
  <si>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</si>
  <si>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</si>
  <si>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</si>
  <si>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</si>
  <si>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</si>
  <si>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</si>
  <si>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</si>
  <si>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</si>
  <si>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</si>
  <si>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</si>
  <si>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</si>
  <si>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</si>
  <si>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</si>
  <si>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</si>
  <si>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</si>
  <si>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</si>
  <si>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</si>
  <si>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</si>
  <si>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</si>
  <si>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</si>
  <si>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</si>
  <si>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</si>
  <si>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</si>
  <si>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</si>
  <si>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</si>
  <si>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</si>
  <si>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</si>
  <si>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</si>
  <si>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</si>
  <si>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</si>
  <si>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</si>
  <si>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</si>
  <si>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</si>
  <si>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</si>
  <si>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</si>
  <si>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</si>
  <si>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</si>
  <si>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</si>
  <si>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</si>
  <si>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</si>
  <si>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</si>
  <si>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</si>
  <si>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</si>
  <si>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</si>
  <si>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</si>
  <si>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</si>
  <si>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</si>
  <si>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</si>
  <si>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</si>
  <si>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</si>
  <si>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</si>
  <si>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27.10.2019</t>
  </si>
  <si>
    <t>CYANIKA</t>
  </si>
  <si>
    <t>STATION 135</t>
  </si>
  <si>
    <t>KISORO</t>
  </si>
  <si>
    <t>COMFORT AHEBWA</t>
  </si>
  <si>
    <t>BELLA</t>
  </si>
  <si>
    <t>KISORO ROAD</t>
  </si>
  <si>
    <t>JOVANA BELLA</t>
  </si>
  <si>
    <t>26.10.19</t>
  </si>
  <si>
    <t>25.10.19</t>
  </si>
  <si>
    <t>KISOORO ROAD</t>
  </si>
  <si>
    <t>MCC - C4 - STN135 - KISORO ROAD</t>
  </si>
  <si>
    <t>XXXXX</t>
  </si>
  <si>
    <t>CYAHAFI B.P</t>
  </si>
  <si>
    <t>XXXXXX</t>
  </si>
  <si>
    <t>XXXX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</si>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</sst>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41" fontId="1" fillId="0" borderId="8" xfId="2" applyFont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'25.10.19 CYANIKA-KISORO-24h'!$AE$9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'25.10.19 CYANIKA-KISORO-24h'!$R$10:$R$33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'25.10.19 CYANIKA-KISORO-24h'!$AE$10:$AE$33</c:f>
              <c:numCache>
                <c:formatCode>0</c:formatCode>
                <c:ptCount val="24"/>
                <c:pt idx="0">
                  <c:v>12</c:v>
                </c:pt>
                <c:pt idx="1">
                  <c:v>8</c:v>
                </c:pt>
                <c:pt idx="2">
                  <c:v>23</c:v>
                </c:pt>
                <c:pt idx="3">
                  <c:v>23</c:v>
                </c:pt>
                <c:pt idx="4">
                  <c:v>15</c:v>
                </c:pt>
                <c:pt idx="5">
                  <c:v>15</c:v>
                </c:pt>
                <c:pt idx="6">
                  <c:v>20</c:v>
                </c:pt>
                <c:pt idx="7">
                  <c:v>15</c:v>
                </c:pt>
                <c:pt idx="8">
                  <c:v>15</c:v>
                </c:pt>
                <c:pt idx="9">
                  <c:v>30</c:v>
                </c:pt>
                <c:pt idx="10">
                  <c:v>25</c:v>
                </c:pt>
                <c:pt idx="11">
                  <c:v>25</c:v>
                </c:pt>
                <c:pt idx="12">
                  <c:v>15</c:v>
                </c:pt>
                <c:pt idx="13">
                  <c:v>6</c:v>
                </c:pt>
                <c:pt idx="14">
                  <c:v>8</c:v>
                </c:pt>
                <c:pt idx="15">
                  <c:v>4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5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'25.10.19 CYANIKA-KISORO-24h'!$AF$9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'25.10.19 CYANIKA-KISORO-24h'!$R$10:$R$33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'25.10.19 CYANIKA-KISORO-24h'!$AF$10:$AF$33</c:f>
              <c:numCache>
                <c:formatCode>0</c:formatCode>
                <c:ptCount val="24"/>
                <c:pt idx="0">
                  <c:v>55</c:v>
                </c:pt>
                <c:pt idx="1">
                  <c:v>58</c:v>
                </c:pt>
                <c:pt idx="2">
                  <c:v>112</c:v>
                </c:pt>
                <c:pt idx="3">
                  <c:v>134</c:v>
                </c:pt>
                <c:pt idx="4">
                  <c:v>151</c:v>
                </c:pt>
                <c:pt idx="5">
                  <c:v>155</c:v>
                </c:pt>
                <c:pt idx="6">
                  <c:v>129</c:v>
                </c:pt>
                <c:pt idx="7">
                  <c:v>123</c:v>
                </c:pt>
                <c:pt idx="8">
                  <c:v>125</c:v>
                </c:pt>
                <c:pt idx="9">
                  <c:v>154</c:v>
                </c:pt>
                <c:pt idx="10">
                  <c:v>166</c:v>
                </c:pt>
                <c:pt idx="11">
                  <c:v>139</c:v>
                </c:pt>
                <c:pt idx="12">
                  <c:v>152</c:v>
                </c:pt>
                <c:pt idx="13">
                  <c:v>66</c:v>
                </c:pt>
                <c:pt idx="14">
                  <c:v>34</c:v>
                </c:pt>
                <c:pt idx="15">
                  <c:v>13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8</c:v>
                </c:pt>
                <c:pt idx="22">
                  <c:v>26</c:v>
                </c:pt>
                <c:pt idx="23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16712"/>
        <c:axId val="206318280"/>
      </c:lineChart>
      <c:catAx>
        <c:axId val="206316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8280"/>
        <c:crosses val="autoZero"/>
        <c:auto val="1"/>
        <c:lblAlgn val="ctr"/>
        <c:lblOffset val="100"/>
        <c:noMultiLvlLbl val="0"/>
      </c:catAx>
      <c:valAx>
        <c:axId val="206318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6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'25.10.19 CYANIKA-KISORO-24h'!$C$9:$N$9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'25.10.19 CYANIKA-KISORO-24h'!$C$107:$N$107</c:f>
              <c:numCache>
                <c:formatCode>0.0%</c:formatCode>
                <c:ptCount val="12"/>
                <c:pt idx="0">
                  <c:v>5.4801953336950621E-2</c:v>
                </c:pt>
                <c:pt idx="1">
                  <c:v>3.3640803038524146E-2</c:v>
                </c:pt>
                <c:pt idx="2">
                  <c:v>2.821486706456864E-2</c:v>
                </c:pt>
                <c:pt idx="3">
                  <c:v>3.2555615843733042E-3</c:v>
                </c:pt>
                <c:pt idx="4">
                  <c:v>0</c:v>
                </c:pt>
                <c:pt idx="5">
                  <c:v>5.4259359739555074E-4</c:v>
                </c:pt>
                <c:pt idx="6">
                  <c:v>1.1394465545306565E-2</c:v>
                </c:pt>
                <c:pt idx="7">
                  <c:v>2.278893109061313E-2</c:v>
                </c:pt>
                <c:pt idx="8">
                  <c:v>2.170374389582203E-3</c:v>
                </c:pt>
                <c:pt idx="9">
                  <c:v>0</c:v>
                </c:pt>
                <c:pt idx="10">
                  <c:v>0.84319045035268581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'25.10.19 CYANIKA-KISORO-24h'!$C$9:$N$9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'25.10.19 CYANIKA-KISORO-24h'!$C$108:$N$108</c:f>
              <c:numCache>
                <c:formatCode>0.00%</c:formatCode>
                <c:ptCount val="12"/>
                <c:pt idx="0">
                  <c:v>0.34948096885813151</c:v>
                </c:pt>
                <c:pt idx="1">
                  <c:v>0.21453287197231835</c:v>
                </c:pt>
                <c:pt idx="2">
                  <c:v>0.17993079584775087</c:v>
                </c:pt>
                <c:pt idx="3">
                  <c:v>2.0761245674740483E-2</c:v>
                </c:pt>
                <c:pt idx="4">
                  <c:v>0</c:v>
                </c:pt>
                <c:pt idx="5">
                  <c:v>3.4602076124567475E-3</c:v>
                </c:pt>
                <c:pt idx="6">
                  <c:v>7.2664359861591699E-2</c:v>
                </c:pt>
                <c:pt idx="7">
                  <c:v>0.1453287197231834</c:v>
                </c:pt>
                <c:pt idx="8">
                  <c:v>1.384083044982699E-2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'25.10.19 KISORO-CYANIKA-24h'!$AE$9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'25.10.19 KISORO-CYANIKA-24h'!$R$10:$R$33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'25.10.19 KISORO-CYANIKA-24h'!$AE$10:$AE$33</c:f>
              <c:numCache>
                <c:formatCode>0</c:formatCode>
                <c:ptCount val="24"/>
                <c:pt idx="0">
                  <c:v>7</c:v>
                </c:pt>
                <c:pt idx="1">
                  <c:v>5</c:v>
                </c:pt>
                <c:pt idx="2">
                  <c:v>11</c:v>
                </c:pt>
                <c:pt idx="3">
                  <c:v>21</c:v>
                </c:pt>
                <c:pt idx="4">
                  <c:v>22</c:v>
                </c:pt>
                <c:pt idx="5">
                  <c:v>25</c:v>
                </c:pt>
                <c:pt idx="6">
                  <c:v>23</c:v>
                </c:pt>
                <c:pt idx="7">
                  <c:v>13</c:v>
                </c:pt>
                <c:pt idx="8">
                  <c:v>34</c:v>
                </c:pt>
                <c:pt idx="9">
                  <c:v>31</c:v>
                </c:pt>
                <c:pt idx="10">
                  <c:v>22</c:v>
                </c:pt>
                <c:pt idx="11">
                  <c:v>26</c:v>
                </c:pt>
                <c:pt idx="12">
                  <c:v>31</c:v>
                </c:pt>
                <c:pt idx="13">
                  <c:v>18</c:v>
                </c:pt>
                <c:pt idx="14">
                  <c:v>28</c:v>
                </c:pt>
                <c:pt idx="15">
                  <c:v>22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'25.10.19 KISORO-CYANIKA-24h'!$AF$9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'25.10.19 KISORO-CYANIKA-24h'!$R$10:$R$33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'25.10.19 KISORO-CYANIKA-24h'!$AF$10:$AF$33</c:f>
              <c:numCache>
                <c:formatCode>0</c:formatCode>
                <c:ptCount val="24"/>
                <c:pt idx="0">
                  <c:v>63</c:v>
                </c:pt>
                <c:pt idx="1">
                  <c:v>89</c:v>
                </c:pt>
                <c:pt idx="2">
                  <c:v>133</c:v>
                </c:pt>
                <c:pt idx="3">
                  <c:v>139</c:v>
                </c:pt>
                <c:pt idx="4">
                  <c:v>179</c:v>
                </c:pt>
                <c:pt idx="5">
                  <c:v>178</c:v>
                </c:pt>
                <c:pt idx="6">
                  <c:v>150</c:v>
                </c:pt>
                <c:pt idx="7">
                  <c:v>140</c:v>
                </c:pt>
                <c:pt idx="8">
                  <c:v>178</c:v>
                </c:pt>
                <c:pt idx="9">
                  <c:v>190</c:v>
                </c:pt>
                <c:pt idx="10">
                  <c:v>206</c:v>
                </c:pt>
                <c:pt idx="11">
                  <c:v>195</c:v>
                </c:pt>
                <c:pt idx="12">
                  <c:v>243</c:v>
                </c:pt>
                <c:pt idx="13">
                  <c:v>116</c:v>
                </c:pt>
                <c:pt idx="14">
                  <c:v>79</c:v>
                </c:pt>
                <c:pt idx="15">
                  <c:v>50</c:v>
                </c:pt>
                <c:pt idx="16">
                  <c:v>15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8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18672"/>
        <c:axId val="206312008"/>
      </c:lineChart>
      <c:catAx>
        <c:axId val="2063186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2008"/>
        <c:crosses val="autoZero"/>
        <c:auto val="1"/>
        <c:lblAlgn val="ctr"/>
        <c:lblOffset val="100"/>
        <c:noMultiLvlLbl val="0"/>
      </c:catAx>
      <c:valAx>
        <c:axId val="206312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631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'25.10.19 KISORO-CYANIKA-24h'!$C$9:$N$9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'25.10.19 KISORO-CYANIKA-24h'!$C$107:$N$107</c:f>
              <c:numCache>
                <c:formatCode>0.0%</c:formatCode>
                <c:ptCount val="12"/>
                <c:pt idx="0">
                  <c:v>7.9478553406223715E-2</c:v>
                </c:pt>
                <c:pt idx="1">
                  <c:v>2.6072329688814129E-2</c:v>
                </c:pt>
                <c:pt idx="2">
                  <c:v>2.3969722455845249E-2</c:v>
                </c:pt>
                <c:pt idx="3">
                  <c:v>2.5231286795626578E-3</c:v>
                </c:pt>
                <c:pt idx="4">
                  <c:v>0</c:v>
                </c:pt>
                <c:pt idx="5">
                  <c:v>4.2052144659377626E-4</c:v>
                </c:pt>
                <c:pt idx="6">
                  <c:v>1.0092514718250631E-2</c:v>
                </c:pt>
                <c:pt idx="7">
                  <c:v>7.569386038687973E-3</c:v>
                </c:pt>
                <c:pt idx="8">
                  <c:v>0</c:v>
                </c:pt>
                <c:pt idx="9">
                  <c:v>0</c:v>
                </c:pt>
                <c:pt idx="10">
                  <c:v>0.84987384356602191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'25.10.19 KISORO-CYANIKA-24h'!$C$9:$N$9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'25.10.19 KISORO-CYANIKA-24h'!$C$108:$N$108</c:f>
              <c:numCache>
                <c:formatCode>0.00%</c:formatCode>
                <c:ptCount val="12"/>
                <c:pt idx="0">
                  <c:v>0.52941176470588236</c:v>
                </c:pt>
                <c:pt idx="1">
                  <c:v>0.17366946778711484</c:v>
                </c:pt>
                <c:pt idx="2">
                  <c:v>0.15966386554621848</c:v>
                </c:pt>
                <c:pt idx="3">
                  <c:v>1.680672268907563E-2</c:v>
                </c:pt>
                <c:pt idx="4">
                  <c:v>0</c:v>
                </c:pt>
                <c:pt idx="5">
                  <c:v>2.8011204481792717E-3</c:v>
                </c:pt>
                <c:pt idx="6">
                  <c:v>6.7226890756302518E-2</c:v>
                </c:pt>
                <c:pt idx="7">
                  <c:v>5.0420168067226892E-2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CYANIKA-KISORO'!$AE$9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CYANIKA-KISORO'!$R$10:$R$21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CYANIKA-KISORO'!$AE$10:$AE$21</c:f>
              <c:numCache>
                <c:formatCode>0</c:formatCode>
                <c:ptCount val="12"/>
                <c:pt idx="0">
                  <c:v>12</c:v>
                </c:pt>
                <c:pt idx="1">
                  <c:v>11</c:v>
                </c:pt>
                <c:pt idx="2">
                  <c:v>19</c:v>
                </c:pt>
                <c:pt idx="3">
                  <c:v>18</c:v>
                </c:pt>
                <c:pt idx="4">
                  <c:v>24</c:v>
                </c:pt>
                <c:pt idx="5">
                  <c:v>17</c:v>
                </c:pt>
                <c:pt idx="6">
                  <c:v>19</c:v>
                </c:pt>
                <c:pt idx="7">
                  <c:v>18</c:v>
                </c:pt>
                <c:pt idx="8">
                  <c:v>13</c:v>
                </c:pt>
                <c:pt idx="9">
                  <c:v>11</c:v>
                </c:pt>
                <c:pt idx="10">
                  <c:v>16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'26.10 CYANIKA-KISORO'!$AF$9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CYANIKA-KISORO'!$R$10:$R$21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CYANIKA-KISORO'!$AF$10:$AF$21</c:f>
              <c:numCache>
                <c:formatCode>0</c:formatCode>
                <c:ptCount val="12"/>
                <c:pt idx="0">
                  <c:v>53</c:v>
                </c:pt>
                <c:pt idx="1">
                  <c:v>51</c:v>
                </c:pt>
                <c:pt idx="2">
                  <c:v>92</c:v>
                </c:pt>
                <c:pt idx="3">
                  <c:v>134</c:v>
                </c:pt>
                <c:pt idx="4">
                  <c:v>152</c:v>
                </c:pt>
                <c:pt idx="5">
                  <c:v>128</c:v>
                </c:pt>
                <c:pt idx="6">
                  <c:v>138</c:v>
                </c:pt>
                <c:pt idx="7">
                  <c:v>111</c:v>
                </c:pt>
                <c:pt idx="8">
                  <c:v>130</c:v>
                </c:pt>
                <c:pt idx="9">
                  <c:v>132</c:v>
                </c:pt>
                <c:pt idx="10">
                  <c:v>138</c:v>
                </c:pt>
                <c:pt idx="11">
                  <c:v>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23712"/>
        <c:axId val="167722536"/>
      </c:lineChart>
      <c:catAx>
        <c:axId val="167723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722536"/>
        <c:crosses val="autoZero"/>
        <c:auto val="1"/>
        <c:lblAlgn val="ctr"/>
        <c:lblOffset val="100"/>
        <c:noMultiLvlLbl val="0"/>
      </c:catAx>
      <c:valAx>
        <c:axId val="1677225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72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CYANIKA-KISORO'!$C$9:$N$9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CYANIKA-KISORO'!$C$59:$N$59</c:f>
              <c:numCache>
                <c:formatCode>0.0%</c:formatCode>
                <c:ptCount val="12"/>
                <c:pt idx="0">
                  <c:v>6.3829787234042548E-2</c:v>
                </c:pt>
                <c:pt idx="1">
                  <c:v>2.4113475177304965E-2</c:v>
                </c:pt>
                <c:pt idx="2">
                  <c:v>1.9148936170212766E-2</c:v>
                </c:pt>
                <c:pt idx="3">
                  <c:v>2.8368794326241137E-3</c:v>
                </c:pt>
                <c:pt idx="4">
                  <c:v>0</c:v>
                </c:pt>
                <c:pt idx="5">
                  <c:v>0</c:v>
                </c:pt>
                <c:pt idx="6">
                  <c:v>4.2553191489361703E-3</c:v>
                </c:pt>
                <c:pt idx="7">
                  <c:v>2.4822695035460994E-2</c:v>
                </c:pt>
                <c:pt idx="8">
                  <c:v>0</c:v>
                </c:pt>
                <c:pt idx="9">
                  <c:v>0</c:v>
                </c:pt>
                <c:pt idx="10">
                  <c:v>0.86099290780141846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CYANIKA-KISORO'!$S$9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'26.10 CYANIKA-KISORO'!$R$10:$R$21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CYANIKA-KISORO'!$S$10:$S$21</c:f>
              <c:numCache>
                <c:formatCode>0</c:formatCode>
                <c:ptCount val="12"/>
                <c:pt idx="0">
                  <c:v>8</c:v>
                </c:pt>
                <c:pt idx="1">
                  <c:v>4</c:v>
                </c:pt>
                <c:pt idx="2">
                  <c:v>10</c:v>
                </c:pt>
                <c:pt idx="3">
                  <c:v>8</c:v>
                </c:pt>
                <c:pt idx="4">
                  <c:v>14</c:v>
                </c:pt>
                <c:pt idx="5">
                  <c:v>6</c:v>
                </c:pt>
                <c:pt idx="6">
                  <c:v>10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'26.10 CYANIKA-KISORO'!$T$9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'26.10 CYANIKA-KISORO'!$R$10:$R$21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CYANIKA-KISORO'!$T$10:$T$21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'26.10 CYANIKA-KISORO'!$U$9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'26.10 CYANIKA-KISORO'!$U$10:$U$21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'26.10 CYANIKA-KISORO'!$V$9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'26.10 CYANIKA-KISORO'!$V$10:$V$21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'26.10 CYANIKA-KISORO'!$W$9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'26.10 CYANIKA-KISORO'!$W$10:$W$21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'26.10 CYANIKA-KISORO'!$X$9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'26.10 CYANIKA-KISORO'!$X$10:$X$21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'26.10 CYANIKA-KISORO'!$Y$9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CYANIKA-KISORO'!$Y$10:$Y$21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'26.10 CYANIKA-KISORO'!$Z$9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CYANIKA-KISORO'!$Z$10:$Z$21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'26.10 CYANIKA-KISORO'!$AA$9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CYANIKA-KISORO'!$AA$10:$AA$21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'26.10 CYANIKA-KISORO'!$AB$9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CYANIKA-KISORO'!$AB$10:$AB$21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'26.10 CYANIKA-KISORO'!$AC$9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CYANIKA-KISORO'!$AC$10:$AC$21</c:f>
              <c:numCache>
                <c:formatCode>0</c:formatCode>
                <c:ptCount val="12"/>
                <c:pt idx="0">
                  <c:v>41</c:v>
                </c:pt>
                <c:pt idx="1">
                  <c:v>40</c:v>
                </c:pt>
                <c:pt idx="2">
                  <c:v>73</c:v>
                </c:pt>
                <c:pt idx="3">
                  <c:v>116</c:v>
                </c:pt>
                <c:pt idx="4">
                  <c:v>128</c:v>
                </c:pt>
                <c:pt idx="5">
                  <c:v>111</c:v>
                </c:pt>
                <c:pt idx="6">
                  <c:v>119</c:v>
                </c:pt>
                <c:pt idx="7">
                  <c:v>93</c:v>
                </c:pt>
                <c:pt idx="8">
                  <c:v>117</c:v>
                </c:pt>
                <c:pt idx="9">
                  <c:v>121</c:v>
                </c:pt>
                <c:pt idx="10">
                  <c:v>122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'26.10 CYANIKA-KISORO'!$AD$9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CYANIKA-KISORO'!$AD$10:$AD$21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18616"/>
        <c:axId val="167719008"/>
      </c:lineChart>
      <c:catAx>
        <c:axId val="167718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719008"/>
        <c:crosses val="autoZero"/>
        <c:auto val="1"/>
        <c:lblAlgn val="ctr"/>
        <c:lblOffset val="100"/>
        <c:noMultiLvlLbl val="0"/>
      </c:catAx>
      <c:valAx>
        <c:axId val="16771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71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CYANIKA-KISORO'!$C$9:$N$9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CYANIKA-KISORO'!$C$60:$N$60</c:f>
              <c:numCache>
                <c:formatCode>0.00%</c:formatCode>
                <c:ptCount val="12"/>
                <c:pt idx="0">
                  <c:v>0.45918367346938777</c:v>
                </c:pt>
                <c:pt idx="1">
                  <c:v>0.17346938775510204</c:v>
                </c:pt>
                <c:pt idx="2">
                  <c:v>0.13775510204081631</c:v>
                </c:pt>
                <c:pt idx="3">
                  <c:v>2.0408163265306121E-2</c:v>
                </c:pt>
                <c:pt idx="4">
                  <c:v>0</c:v>
                </c:pt>
                <c:pt idx="5">
                  <c:v>0</c:v>
                </c:pt>
                <c:pt idx="6">
                  <c:v>3.0612244897959183E-2</c:v>
                </c:pt>
                <c:pt idx="7">
                  <c:v>0.17857142857142858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KISORO-CYANIKA'!$AE$9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KISORO-CYANIKA'!$R$10:$R$21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KISORO-CYANIKA'!$AE$10:$AE$21</c:f>
              <c:numCache>
                <c:formatCode>0</c:formatCode>
                <c:ptCount val="12"/>
                <c:pt idx="0">
                  <c:v>11</c:v>
                </c:pt>
                <c:pt idx="1">
                  <c:v>14</c:v>
                </c:pt>
                <c:pt idx="2">
                  <c:v>13</c:v>
                </c:pt>
                <c:pt idx="3">
                  <c:v>21</c:v>
                </c:pt>
                <c:pt idx="4">
                  <c:v>18</c:v>
                </c:pt>
                <c:pt idx="5">
                  <c:v>19</c:v>
                </c:pt>
                <c:pt idx="6">
                  <c:v>28</c:v>
                </c:pt>
                <c:pt idx="7">
                  <c:v>22</c:v>
                </c:pt>
                <c:pt idx="8">
                  <c:v>16</c:v>
                </c:pt>
                <c:pt idx="9">
                  <c:v>26</c:v>
                </c:pt>
                <c:pt idx="10">
                  <c:v>19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'26.10 KISORO-CYANIKA'!$AF$9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KISORO-CYANIKA'!$R$10:$R$21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KISORO-CYANIKA'!$AF$10:$AF$21</c:f>
              <c:numCache>
                <c:formatCode>0</c:formatCode>
                <c:ptCount val="12"/>
                <c:pt idx="0">
                  <c:v>40</c:v>
                </c:pt>
                <c:pt idx="1">
                  <c:v>48</c:v>
                </c:pt>
                <c:pt idx="2">
                  <c:v>86</c:v>
                </c:pt>
                <c:pt idx="3">
                  <c:v>134</c:v>
                </c:pt>
                <c:pt idx="4">
                  <c:v>169</c:v>
                </c:pt>
                <c:pt idx="5">
                  <c:v>172</c:v>
                </c:pt>
                <c:pt idx="6">
                  <c:v>174</c:v>
                </c:pt>
                <c:pt idx="7">
                  <c:v>179</c:v>
                </c:pt>
                <c:pt idx="8">
                  <c:v>160</c:v>
                </c:pt>
                <c:pt idx="9">
                  <c:v>168</c:v>
                </c:pt>
                <c:pt idx="10">
                  <c:v>177</c:v>
                </c:pt>
                <c:pt idx="11">
                  <c:v>188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35672"/>
        <c:axId val="164633320"/>
      </c:lineChart>
      <c:catAx>
        <c:axId val="1646356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3320"/>
        <c:crosses val="autoZero"/>
        <c:auto val="1"/>
        <c:lblAlgn val="ctr"/>
        <c:lblOffset val="100"/>
        <c:noMultiLvlLbl val="0"/>
      </c:catAx>
      <c:valAx>
        <c:axId val="164633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5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KISORO-CYANIKA'!$C$9:$N$9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KISORO-CYANIKA'!$C$59:$N$59</c:f>
              <c:numCache>
                <c:formatCode>0.0%</c:formatCode>
                <c:ptCount val="12"/>
                <c:pt idx="0">
                  <c:v>5.0147492625368731E-2</c:v>
                </c:pt>
                <c:pt idx="1">
                  <c:v>2.831858407079646E-2</c:v>
                </c:pt>
                <c:pt idx="2">
                  <c:v>1.7699115044247787E-2</c:v>
                </c:pt>
                <c:pt idx="3">
                  <c:v>4.1297935103244837E-3</c:v>
                </c:pt>
                <c:pt idx="4">
                  <c:v>0</c:v>
                </c:pt>
                <c:pt idx="5">
                  <c:v>5.8997050147492625E-4</c:v>
                </c:pt>
                <c:pt idx="6">
                  <c:v>1.2979351032448377E-2</c:v>
                </c:pt>
                <c:pt idx="7">
                  <c:v>1.887905604719764E-2</c:v>
                </c:pt>
                <c:pt idx="8">
                  <c:v>0</c:v>
                </c:pt>
                <c:pt idx="9">
                  <c:v>0</c:v>
                </c:pt>
                <c:pt idx="10">
                  <c:v>0.86725663716814161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KISORO-CYANIKA'!$S$9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'26.10 KISORO-CYANIKA'!$R$10:$R$21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KISORO-CYANIKA'!$S$10:$S$21</c:f>
              <c:numCache>
                <c:formatCode>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9</c:v>
                </c:pt>
                <c:pt idx="10">
                  <c:v>7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'26.10 KISORO-CYANIKA'!$T$9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'26.10 KISORO-CYANIKA'!$R$10:$R$21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KISORO-CYANIKA'!$T$10:$T$21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0</c:v>
                </c:pt>
                <c:pt idx="4">
                  <c:v>6</c:v>
                </c:pt>
                <c:pt idx="5">
                  <c:v>3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11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'26.10 KISORO-CYANIKA'!$U$9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'26.10 KISORO-CYANIKA'!$U$10:$U$21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'26.10 KISORO-CYANIKA'!$V$9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'26.10 KISORO-CYANIKA'!$V$10:$V$21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'26.10 KISORO-CYANIKA'!$W$9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'26.10 KISORO-CYANIKA'!$W$10:$W$21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'26.10 KISORO-CYANIKA'!$X$9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'26.10 KISORO-CYANIKA'!$X$10:$X$21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'26.10 KISORO-CYANIKA'!$Y$9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KISORO-CYANIKA'!$Y$10:$Y$21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5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'26.10 KISORO-CYANIKA'!$Z$9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KISORO-CYANIKA'!$Z$10:$Z$21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'26.10 KISORO-CYANIKA'!$AA$9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KISORO-CYANIKA'!$AA$10:$AA$21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'26.10 KISORO-CYANIKA'!$AB$9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KISORO-CYANIKA'!$AB$10:$AB$21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'26.10 KISORO-CYANIKA'!$AC$9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KISORO-CYANIKA'!$AC$10:$AC$21</c:f>
              <c:numCache>
                <c:formatCode>0</c:formatCode>
                <c:ptCount val="12"/>
                <c:pt idx="0">
                  <c:v>29</c:v>
                </c:pt>
                <c:pt idx="1">
                  <c:v>34</c:v>
                </c:pt>
                <c:pt idx="2">
                  <c:v>73</c:v>
                </c:pt>
                <c:pt idx="3">
                  <c:v>113</c:v>
                </c:pt>
                <c:pt idx="4">
                  <c:v>151</c:v>
                </c:pt>
                <c:pt idx="5">
                  <c:v>153</c:v>
                </c:pt>
                <c:pt idx="6">
                  <c:v>146</c:v>
                </c:pt>
                <c:pt idx="7">
                  <c:v>157</c:v>
                </c:pt>
                <c:pt idx="8">
                  <c:v>144</c:v>
                </c:pt>
                <c:pt idx="9">
                  <c:v>142</c:v>
                </c:pt>
                <c:pt idx="10">
                  <c:v>158</c:v>
                </c:pt>
                <c:pt idx="11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'26.10 KISORO-CYANIKA'!$AD$9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 KISORO-CYANIKA'!$AD$10:$AD$21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634888"/>
        <c:axId val="164635280"/>
      </c:lineChart>
      <c:catAx>
        <c:axId val="164634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5280"/>
        <c:crosses val="autoZero"/>
        <c:auto val="1"/>
        <c:lblAlgn val="ctr"/>
        <c:lblOffset val="100"/>
        <c:noMultiLvlLbl val="0"/>
      </c:catAx>
      <c:valAx>
        <c:axId val="16463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4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KISORO-CYANIKA'!$C$9:$N$9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KISORO-CYANIKA'!$C$60:$N$60</c:f>
              <c:numCache>
                <c:formatCode>0.00%</c:formatCode>
                <c:ptCount val="12"/>
                <c:pt idx="0">
                  <c:v>0.37777777777777777</c:v>
                </c:pt>
                <c:pt idx="1">
                  <c:v>0.21333333333333335</c:v>
                </c:pt>
                <c:pt idx="2">
                  <c:v>0.13333333333333333</c:v>
                </c:pt>
                <c:pt idx="3">
                  <c:v>3.111111111111111E-2</c:v>
                </c:pt>
                <c:pt idx="4">
                  <c:v>0</c:v>
                </c:pt>
                <c:pt idx="5">
                  <c:v>4.4444444444444444E-3</c:v>
                </c:pt>
                <c:pt idx="6">
                  <c:v>9.7777777777777783E-2</c:v>
                </c:pt>
                <c:pt idx="7">
                  <c:v>0.14222222222222222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CYANIKA-KISORO'!$AE$9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CYANIKA-KISORO'!$R$10:$R$21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CYANIKA-KISORO'!$AE$10:$AE$21</c:f>
              <c:numCache>
                <c:formatCode>0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17</c:v>
                </c:pt>
                <c:pt idx="5">
                  <c:v>14</c:v>
                </c:pt>
                <c:pt idx="6">
                  <c:v>13</c:v>
                </c:pt>
                <c:pt idx="7">
                  <c:v>14</c:v>
                </c:pt>
                <c:pt idx="8">
                  <c:v>19</c:v>
                </c:pt>
                <c:pt idx="9">
                  <c:v>19</c:v>
                </c:pt>
                <c:pt idx="10">
                  <c:v>30</c:v>
                </c:pt>
                <c:pt idx="11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'27.10 CYANIKA-KISORO'!$AF$9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CYANIKA-KISORO'!$R$10:$R$21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CYANIKA-KISORO'!$AF$10:$AF$21</c:f>
              <c:numCache>
                <c:formatCode>0</c:formatCode>
                <c:ptCount val="12"/>
                <c:pt idx="0">
                  <c:v>45</c:v>
                </c:pt>
                <c:pt idx="1">
                  <c:v>62</c:v>
                </c:pt>
                <c:pt idx="2">
                  <c:v>110</c:v>
                </c:pt>
                <c:pt idx="3">
                  <c:v>140</c:v>
                </c:pt>
                <c:pt idx="4">
                  <c:v>145</c:v>
                </c:pt>
                <c:pt idx="5">
                  <c:v>113</c:v>
                </c:pt>
                <c:pt idx="6">
                  <c:v>140</c:v>
                </c:pt>
                <c:pt idx="7">
                  <c:v>181</c:v>
                </c:pt>
                <c:pt idx="8">
                  <c:v>223</c:v>
                </c:pt>
                <c:pt idx="9">
                  <c:v>217</c:v>
                </c:pt>
                <c:pt idx="10">
                  <c:v>192</c:v>
                </c:pt>
                <c:pt idx="11">
                  <c:v>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32144"/>
        <c:axId val="164632928"/>
      </c:lineChart>
      <c:catAx>
        <c:axId val="1646321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2928"/>
        <c:crosses val="autoZero"/>
        <c:auto val="1"/>
        <c:lblAlgn val="ctr"/>
        <c:lblOffset val="100"/>
        <c:noMultiLvlLbl val="0"/>
      </c:catAx>
      <c:valAx>
        <c:axId val="1646329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463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CYANIKA-KISORO'!$C$9:$N$9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CYANIKA-KISORO'!$C$59:$N$59</c:f>
              <c:numCache>
                <c:formatCode>0.0%</c:formatCode>
                <c:ptCount val="12"/>
                <c:pt idx="0">
                  <c:v>5.4906542056074766E-2</c:v>
                </c:pt>
                <c:pt idx="1">
                  <c:v>2.8621495327102803E-2</c:v>
                </c:pt>
                <c:pt idx="2">
                  <c:v>1.9275700934579438E-2</c:v>
                </c:pt>
                <c:pt idx="3">
                  <c:v>5.8411214953271024E-4</c:v>
                </c:pt>
                <c:pt idx="4">
                  <c:v>0</c:v>
                </c:pt>
                <c:pt idx="5">
                  <c:v>5.8411214953271024E-4</c:v>
                </c:pt>
                <c:pt idx="6">
                  <c:v>2.9205607476635513E-3</c:v>
                </c:pt>
                <c:pt idx="7">
                  <c:v>7.0093457943925233E-3</c:v>
                </c:pt>
                <c:pt idx="8">
                  <c:v>0</c:v>
                </c:pt>
                <c:pt idx="9">
                  <c:v>0</c:v>
                </c:pt>
                <c:pt idx="10">
                  <c:v>0.88726635514018692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CYANIKA-KISORO'!$C$9:$N$9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CYANIKA-KISORO'!$C$60:$N$60</c:f>
              <c:numCache>
                <c:formatCode>0.00%</c:formatCode>
                <c:ptCount val="12"/>
                <c:pt idx="0">
                  <c:v>0.48205128205128206</c:v>
                </c:pt>
                <c:pt idx="1">
                  <c:v>0.25128205128205128</c:v>
                </c:pt>
                <c:pt idx="2">
                  <c:v>0.16923076923076924</c:v>
                </c:pt>
                <c:pt idx="3">
                  <c:v>5.1282051282051282E-3</c:v>
                </c:pt>
                <c:pt idx="4">
                  <c:v>0</c:v>
                </c:pt>
                <c:pt idx="5">
                  <c:v>5.1282051282051282E-3</c:v>
                </c:pt>
                <c:pt idx="6">
                  <c:v>2.564102564102564E-2</c:v>
                </c:pt>
                <c:pt idx="7">
                  <c:v>6.1538461538461542E-2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KISORO-CYANIKA'!$AE$9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KISORO-CYANIKA'!$R$10:$R$21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KISORO-CYANIKA'!$AE$10:$AE$21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12</c:v>
                </c:pt>
                <c:pt idx="3">
                  <c:v>18</c:v>
                </c:pt>
                <c:pt idx="4">
                  <c:v>18</c:v>
                </c:pt>
                <c:pt idx="5">
                  <c:v>17</c:v>
                </c:pt>
                <c:pt idx="6">
                  <c:v>13</c:v>
                </c:pt>
                <c:pt idx="7">
                  <c:v>24</c:v>
                </c:pt>
                <c:pt idx="8">
                  <c:v>22</c:v>
                </c:pt>
                <c:pt idx="9">
                  <c:v>12</c:v>
                </c:pt>
                <c:pt idx="10">
                  <c:v>16</c:v>
                </c:pt>
                <c:pt idx="11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'27.10 KISORO-CYANIKA'!$AF$9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KISORO-CYANIKA'!$R$10:$R$21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KISORO-CYANIKA'!$AF$10:$AF$21</c:f>
              <c:numCache>
                <c:formatCode>0</c:formatCode>
                <c:ptCount val="12"/>
                <c:pt idx="0">
                  <c:v>42</c:v>
                </c:pt>
                <c:pt idx="1">
                  <c:v>84</c:v>
                </c:pt>
                <c:pt idx="2">
                  <c:v>126</c:v>
                </c:pt>
                <c:pt idx="3">
                  <c:v>182</c:v>
                </c:pt>
                <c:pt idx="4">
                  <c:v>127</c:v>
                </c:pt>
                <c:pt idx="5">
                  <c:v>104</c:v>
                </c:pt>
                <c:pt idx="6">
                  <c:v>128</c:v>
                </c:pt>
                <c:pt idx="7">
                  <c:v>179</c:v>
                </c:pt>
                <c:pt idx="8">
                  <c:v>212</c:v>
                </c:pt>
                <c:pt idx="9">
                  <c:v>226</c:v>
                </c:pt>
                <c:pt idx="10">
                  <c:v>209</c:v>
                </c:pt>
                <c:pt idx="11">
                  <c:v>236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22144"/>
        <c:axId val="167720184"/>
      </c:lineChart>
      <c:catAx>
        <c:axId val="1677221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720184"/>
        <c:crosses val="autoZero"/>
        <c:auto val="1"/>
        <c:lblAlgn val="ctr"/>
        <c:lblOffset val="100"/>
        <c:noMultiLvlLbl val="0"/>
      </c:catAx>
      <c:valAx>
        <c:axId val="167720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72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KISORO-CYANIKA'!$C$9:$N$9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KISORO-CYANIKA'!$C$59:$N$59</c:f>
              <c:numCache>
                <c:formatCode>0.0%</c:formatCode>
                <c:ptCount val="12"/>
                <c:pt idx="0">
                  <c:v>5.1212938005390833E-2</c:v>
                </c:pt>
                <c:pt idx="1">
                  <c:v>2.2102425876010783E-2</c:v>
                </c:pt>
                <c:pt idx="2">
                  <c:v>1.7250673854447441E-2</c:v>
                </c:pt>
                <c:pt idx="3">
                  <c:v>1.6172506738544475E-3</c:v>
                </c:pt>
                <c:pt idx="4">
                  <c:v>5.3908355795148253E-4</c:v>
                </c:pt>
                <c:pt idx="5">
                  <c:v>5.3908355795148253E-4</c:v>
                </c:pt>
                <c:pt idx="6">
                  <c:v>8.6253369272237205E-3</c:v>
                </c:pt>
                <c:pt idx="7">
                  <c:v>3.234501347708895E-3</c:v>
                </c:pt>
                <c:pt idx="8">
                  <c:v>5.3908355795148253E-4</c:v>
                </c:pt>
                <c:pt idx="9">
                  <c:v>0</c:v>
                </c:pt>
                <c:pt idx="10">
                  <c:v>0.89433962264150946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KISORO-CYANIKA'!$S$9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KISORO-CYANIKA'!$R$10:$R$21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KISORO-CYANIKA'!$S$10:$S$21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10</c:v>
                </c:pt>
                <c:pt idx="5">
                  <c:v>8</c:v>
                </c:pt>
                <c:pt idx="6">
                  <c:v>7</c:v>
                </c:pt>
                <c:pt idx="7">
                  <c:v>12</c:v>
                </c:pt>
                <c:pt idx="8">
                  <c:v>11</c:v>
                </c:pt>
                <c:pt idx="9">
                  <c:v>7</c:v>
                </c:pt>
                <c:pt idx="10">
                  <c:v>8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'27.10 KISORO-CYANIKA'!$T$9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KISORO-CYANIKA'!$R$10:$R$21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KISORO-CYANIKA'!$T$10:$T$21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  <c:pt idx="8">
                  <c:v>7</c:v>
                </c:pt>
                <c:pt idx="9">
                  <c:v>4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'27.10 KISORO-CYANIKA'!$U$9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KISORO-CYANIKA'!$U$10:$U$21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'27.10 KISORO-CYANIKA'!$V$9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KISORO-CYANIKA'!$V$10:$V$21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'27.10 KISORO-CYANIKA'!$W$9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KISORO-CYANIKA'!$W$10:$W$21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'27.10 KISORO-CYANIKA'!$X$9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KISORO-CYANIKA'!$X$10:$X$21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'27.10 KISORO-CYANIKA'!$Y$9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KISORO-CYANIKA'!$Y$10:$Y$21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'27.10 KISORO-CYANIKA'!$Z$9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KISORO-CYANIKA'!$Z$10:$Z$21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'27.10 KISORO-CYANIKA'!$AA$9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KISORO-CYANIKA'!$AA$10:$AA$21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'27.10 KISORO-CYANIKA'!$AB$9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KISORO-CYANIKA'!$AB$10:$AB$21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'27.10 KISORO-CYANIKA'!$AC$9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KISORO-CYANIKA'!$AC$10:$AC$21</c:f>
              <c:numCache>
                <c:formatCode>0</c:formatCode>
                <c:ptCount val="12"/>
                <c:pt idx="0">
                  <c:v>39</c:v>
                </c:pt>
                <c:pt idx="1">
                  <c:v>76</c:v>
                </c:pt>
                <c:pt idx="2">
                  <c:v>114</c:v>
                </c:pt>
                <c:pt idx="3">
                  <c:v>164</c:v>
                </c:pt>
                <c:pt idx="4">
                  <c:v>109</c:v>
                </c:pt>
                <c:pt idx="5">
                  <c:v>87</c:v>
                </c:pt>
                <c:pt idx="6">
                  <c:v>115</c:v>
                </c:pt>
                <c:pt idx="7">
                  <c:v>155</c:v>
                </c:pt>
                <c:pt idx="8">
                  <c:v>190</c:v>
                </c:pt>
                <c:pt idx="9">
                  <c:v>214</c:v>
                </c:pt>
                <c:pt idx="10">
                  <c:v>193</c:v>
                </c:pt>
                <c:pt idx="11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'27.10 KISORO-CYANIKA'!$AD$9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KISORO-CYANIKA'!$AD$10:$AD$21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13912"/>
        <c:axId val="167715088"/>
      </c:lineChart>
      <c:catAx>
        <c:axId val="167713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715088"/>
        <c:crosses val="autoZero"/>
        <c:auto val="1"/>
        <c:lblAlgn val="ctr"/>
        <c:lblOffset val="100"/>
        <c:noMultiLvlLbl val="0"/>
      </c:catAx>
      <c:valAx>
        <c:axId val="1677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7713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KISORO-CYANIKA'!$C$9:$N$9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KISORO-CYANIKA'!$C$60:$N$60</c:f>
              <c:numCache>
                <c:formatCode>0.00%</c:formatCode>
                <c:ptCount val="12"/>
                <c:pt idx="0">
                  <c:v>0.48469387755102039</c:v>
                </c:pt>
                <c:pt idx="1">
                  <c:v>0.20918367346938777</c:v>
                </c:pt>
                <c:pt idx="2">
                  <c:v>0.16326530612244897</c:v>
                </c:pt>
                <c:pt idx="3">
                  <c:v>1.5306122448979591E-2</c:v>
                </c:pt>
                <c:pt idx="4">
                  <c:v>5.1020408163265302E-3</c:v>
                </c:pt>
                <c:pt idx="5">
                  <c:v>5.1020408163265302E-3</c:v>
                </c:pt>
                <c:pt idx="6">
                  <c:v>8.1632653061224483E-2</c:v>
                </c:pt>
                <c:pt idx="7">
                  <c:v>3.0612244897959183E-2</c:v>
                </c:pt>
                <c:pt idx="8">
                  <c:v>5.1020408163265302E-3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Cyanika-Kisoro'!$AE$9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Cyanika-Kisoro'!$R$10:$R$33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Cyanika-Kisoro'!$AE$10:$AE$33</c:f>
              <c:numCache>
                <c:formatCode>0</c:formatCode>
                <c:ptCount val="24"/>
                <c:pt idx="0">
                  <c:v>11.666666666666664</c:v>
                </c:pt>
                <c:pt idx="1">
                  <c:v>9.6666666666666661</c:v>
                </c:pt>
                <c:pt idx="2">
                  <c:v>18.000000000000004</c:v>
                </c:pt>
                <c:pt idx="3">
                  <c:v>18.666666666666668</c:v>
                </c:pt>
                <c:pt idx="4">
                  <c:v>18.666666666666668</c:v>
                </c:pt>
                <c:pt idx="5">
                  <c:v>15.333333333333332</c:v>
                </c:pt>
                <c:pt idx="6">
                  <c:v>17.333333333333336</c:v>
                </c:pt>
                <c:pt idx="7">
                  <c:v>15.666666666666668</c:v>
                </c:pt>
                <c:pt idx="8">
                  <c:v>15.666666666666664</c:v>
                </c:pt>
                <c:pt idx="9">
                  <c:v>20</c:v>
                </c:pt>
                <c:pt idx="10">
                  <c:v>23.666666666666664</c:v>
                </c:pt>
                <c:pt idx="11">
                  <c:v>21.333333333333336</c:v>
                </c:pt>
                <c:pt idx="12">
                  <c:v>23</c:v>
                </c:pt>
                <c:pt idx="13">
                  <c:v>23</c:v>
                </c:pt>
                <c:pt idx="14">
                  <c:v>15</c:v>
                </c:pt>
                <c:pt idx="15">
                  <c:v>15</c:v>
                </c:pt>
                <c:pt idx="16">
                  <c:v>20</c:v>
                </c:pt>
                <c:pt idx="17">
                  <c:v>15</c:v>
                </c:pt>
                <c:pt idx="18">
                  <c:v>15</c:v>
                </c:pt>
                <c:pt idx="19">
                  <c:v>30</c:v>
                </c:pt>
                <c:pt idx="20">
                  <c:v>25</c:v>
                </c:pt>
                <c:pt idx="21">
                  <c:v>25</c:v>
                </c:pt>
                <c:pt idx="22">
                  <c:v>15</c:v>
                </c:pt>
                <c:pt idx="23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Cyanika-Kisoro'!$AF$9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Cyanika-Kisoro'!$R$10:$R$33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Cyanika-Kisoro'!$AF$10:$AF$33</c:f>
              <c:numCache>
                <c:formatCode>0</c:formatCode>
                <c:ptCount val="24"/>
                <c:pt idx="0">
                  <c:v>51</c:v>
                </c:pt>
                <c:pt idx="1">
                  <c:v>57</c:v>
                </c:pt>
                <c:pt idx="2">
                  <c:v>104.66666666666667</c:v>
                </c:pt>
                <c:pt idx="3">
                  <c:v>136</c:v>
                </c:pt>
                <c:pt idx="4">
                  <c:v>150</c:v>
                </c:pt>
                <c:pt idx="5">
                  <c:v>132</c:v>
                </c:pt>
                <c:pt idx="6">
                  <c:v>135.66666666666666</c:v>
                </c:pt>
                <c:pt idx="7">
                  <c:v>138.33333333333331</c:v>
                </c:pt>
                <c:pt idx="8">
                  <c:v>159.33333333333334</c:v>
                </c:pt>
                <c:pt idx="9">
                  <c:v>167.66666666666666</c:v>
                </c:pt>
                <c:pt idx="10">
                  <c:v>165.33333333333331</c:v>
                </c:pt>
                <c:pt idx="11">
                  <c:v>144.66666666666669</c:v>
                </c:pt>
                <c:pt idx="12">
                  <c:v>135</c:v>
                </c:pt>
                <c:pt idx="13">
                  <c:v>101</c:v>
                </c:pt>
                <c:pt idx="14">
                  <c:v>65</c:v>
                </c:pt>
                <c:pt idx="15">
                  <c:v>43</c:v>
                </c:pt>
                <c:pt idx="16">
                  <c:v>31</c:v>
                </c:pt>
                <c:pt idx="17">
                  <c:v>17</c:v>
                </c:pt>
                <c:pt idx="18">
                  <c:v>16</c:v>
                </c:pt>
                <c:pt idx="19">
                  <c:v>30</c:v>
                </c:pt>
                <c:pt idx="20">
                  <c:v>25</c:v>
                </c:pt>
                <c:pt idx="21">
                  <c:v>25</c:v>
                </c:pt>
                <c:pt idx="22">
                  <c:v>19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957272"/>
        <c:axId val="163955704"/>
      </c:lineChart>
      <c:catAx>
        <c:axId val="1639572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3955704"/>
        <c:crosses val="autoZero"/>
        <c:auto val="1"/>
        <c:lblAlgn val="ctr"/>
        <c:lblOffset val="100"/>
        <c:noMultiLvlLbl val="0"/>
      </c:catAx>
      <c:valAx>
        <c:axId val="163955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63957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Cyanika-Kisoro'!$C$9:$N$9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Cyanika-Kisoro'!$C$107:$N$107</c:f>
              <c:numCache>
                <c:formatCode>0.0%</c:formatCode>
                <c:ptCount val="12"/>
                <c:pt idx="0">
                  <c:v>8.0689321952005164E-2</c:v>
                </c:pt>
                <c:pt idx="1">
                  <c:v>4.4129489450797241E-2</c:v>
                </c:pt>
                <c:pt idx="2">
                  <c:v>3.7365115155419557E-2</c:v>
                </c:pt>
                <c:pt idx="3">
                  <c:v>3.3821871476888391E-3</c:v>
                </c:pt>
                <c:pt idx="4">
                  <c:v>0</c:v>
                </c:pt>
                <c:pt idx="5">
                  <c:v>8.0528265421162828E-4</c:v>
                </c:pt>
                <c:pt idx="6">
                  <c:v>1.0951844097278144E-2</c:v>
                </c:pt>
                <c:pt idx="7">
                  <c:v>2.915123208246095E-2</c:v>
                </c:pt>
                <c:pt idx="8">
                  <c:v>2.5769044934772106E-3</c:v>
                </c:pt>
                <c:pt idx="9">
                  <c:v>0</c:v>
                </c:pt>
                <c:pt idx="10">
                  <c:v>0.79094862296666169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Cyanika-Kisoro'!$C$9:$N$9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Cyanika-Kisoro'!$C$108:$N$108</c:f>
              <c:numCache>
                <c:formatCode>0.00%</c:formatCode>
                <c:ptCount val="12"/>
                <c:pt idx="0">
                  <c:v>0.38597842835130974</c:v>
                </c:pt>
                <c:pt idx="1">
                  <c:v>0.21109399075500773</c:v>
                </c:pt>
                <c:pt idx="2">
                  <c:v>0.17873651771956861</c:v>
                </c:pt>
                <c:pt idx="3">
                  <c:v>1.6178736517719571E-2</c:v>
                </c:pt>
                <c:pt idx="4">
                  <c:v>0</c:v>
                </c:pt>
                <c:pt idx="5">
                  <c:v>3.852080123266564E-3</c:v>
                </c:pt>
                <c:pt idx="6">
                  <c:v>5.2388289676425268E-2</c:v>
                </c:pt>
                <c:pt idx="7">
                  <c:v>0.13944530046224965</c:v>
                </c:pt>
                <c:pt idx="8">
                  <c:v>1.2326656394453005E-2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Kisoro-Cyanika'!$AE$9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Kisoro-Cyanika'!$R$10:$R$33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Kisoro-Cyanika'!$AE$10:$AE$33</c:f>
              <c:numCache>
                <c:formatCode>0</c:formatCode>
                <c:ptCount val="24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20</c:v>
                </c:pt>
                <c:pt idx="4">
                  <c:v>19.333333333333332</c:v>
                </c:pt>
                <c:pt idx="5">
                  <c:v>20.333333333333332</c:v>
                </c:pt>
                <c:pt idx="6">
                  <c:v>21.333333333333332</c:v>
                </c:pt>
                <c:pt idx="7">
                  <c:v>19.666666666666664</c:v>
                </c:pt>
                <c:pt idx="8">
                  <c:v>24</c:v>
                </c:pt>
                <c:pt idx="9">
                  <c:v>22.999999999999996</c:v>
                </c:pt>
                <c:pt idx="10">
                  <c:v>19</c:v>
                </c:pt>
                <c:pt idx="11">
                  <c:v>25.666666666666664</c:v>
                </c:pt>
                <c:pt idx="12">
                  <c:v>31</c:v>
                </c:pt>
                <c:pt idx="13">
                  <c:v>18</c:v>
                </c:pt>
                <c:pt idx="14">
                  <c:v>28</c:v>
                </c:pt>
                <c:pt idx="15">
                  <c:v>22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Kisoro-Cyanika'!$AF$9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Kisoro-Cyanika'!$R$10:$R$33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Kisoro-Cyanika'!$AF$10:$AF$33</c:f>
              <c:numCache>
                <c:formatCode>0</c:formatCode>
                <c:ptCount val="24"/>
                <c:pt idx="0">
                  <c:v>48.333333333333336</c:v>
                </c:pt>
                <c:pt idx="1">
                  <c:v>73.666666666666671</c:v>
                </c:pt>
                <c:pt idx="2">
                  <c:v>115</c:v>
                </c:pt>
                <c:pt idx="3">
                  <c:v>151.66666666666669</c:v>
                </c:pt>
                <c:pt idx="4">
                  <c:v>158.33333333333334</c:v>
                </c:pt>
                <c:pt idx="5">
                  <c:v>151.33333333333334</c:v>
                </c:pt>
                <c:pt idx="6">
                  <c:v>150.66666666666666</c:v>
                </c:pt>
                <c:pt idx="7">
                  <c:v>166</c:v>
                </c:pt>
                <c:pt idx="8">
                  <c:v>183.33333333333334</c:v>
                </c:pt>
                <c:pt idx="9">
                  <c:v>194.66666666666669</c:v>
                </c:pt>
                <c:pt idx="10">
                  <c:v>197.33333333333331</c:v>
                </c:pt>
                <c:pt idx="11">
                  <c:v>206.33333333333334</c:v>
                </c:pt>
                <c:pt idx="12">
                  <c:v>243</c:v>
                </c:pt>
                <c:pt idx="13">
                  <c:v>116</c:v>
                </c:pt>
                <c:pt idx="14">
                  <c:v>79</c:v>
                </c:pt>
                <c:pt idx="15">
                  <c:v>50</c:v>
                </c:pt>
                <c:pt idx="16">
                  <c:v>15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8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803568"/>
        <c:axId val="209509000"/>
      </c:lineChart>
      <c:catAx>
        <c:axId val="2298035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9509000"/>
        <c:crosses val="autoZero"/>
        <c:auto val="1"/>
        <c:lblAlgn val="ctr"/>
        <c:lblOffset val="100"/>
        <c:noMultiLvlLbl val="0"/>
      </c:catAx>
      <c:valAx>
        <c:axId val="209509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980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Kisoro-Cyanika'!$C$9:$N$9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Kisoro-Cyanika'!$C$107:$N$107</c:f>
              <c:numCache>
                <c:formatCode>0.0%</c:formatCode>
                <c:ptCount val="12"/>
                <c:pt idx="0">
                  <c:v>7.4957167332952587E-2</c:v>
                </c:pt>
                <c:pt idx="1">
                  <c:v>2.5842375785265558E-2</c:v>
                </c:pt>
                <c:pt idx="2">
                  <c:v>2.0416904625928038E-2</c:v>
                </c:pt>
                <c:pt idx="3">
                  <c:v>3.4266133637921182E-3</c:v>
                </c:pt>
                <c:pt idx="4">
                  <c:v>1.4277555682467159E-4</c:v>
                </c:pt>
                <c:pt idx="5">
                  <c:v>4.2832667047401477E-4</c:v>
                </c:pt>
                <c:pt idx="6">
                  <c:v>1.0279840091376356E-2</c:v>
                </c:pt>
                <c:pt idx="7">
                  <c:v>8.8520845231296417E-3</c:v>
                </c:pt>
                <c:pt idx="8">
                  <c:v>1.4277555682467159E-4</c:v>
                </c:pt>
                <c:pt idx="9">
                  <c:v>0</c:v>
                </c:pt>
                <c:pt idx="10">
                  <c:v>0.85551113649343213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Kisoro-Cyanika'!$C$9:$N$9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Kisoro-Cyanika'!$C$108:$N$108</c:f>
              <c:numCache>
                <c:formatCode>0.00%</c:formatCode>
                <c:ptCount val="12"/>
                <c:pt idx="0">
                  <c:v>0.51877470355731214</c:v>
                </c:pt>
                <c:pt idx="1">
                  <c:v>0.17885375494071143</c:v>
                </c:pt>
                <c:pt idx="2">
                  <c:v>0.14130434782608695</c:v>
                </c:pt>
                <c:pt idx="3">
                  <c:v>2.3715415019762844E-2</c:v>
                </c:pt>
                <c:pt idx="4">
                  <c:v>9.8814229249011851E-4</c:v>
                </c:pt>
                <c:pt idx="5">
                  <c:v>2.9644268774703555E-3</c:v>
                </c:pt>
                <c:pt idx="6">
                  <c:v>7.1146245059288543E-2</c:v>
                </c:pt>
                <c:pt idx="7">
                  <c:v>6.1264822134387359E-2</c:v>
                </c:pt>
                <c:pt idx="8">
                  <c:v>9.8814229249011851E-4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Kisoro-Cyanika-2Dir'!$C$9:$N$9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Kisoro-Cyanika-2Dir'!$C$107:$N$107</c:f>
              <c:numCache>
                <c:formatCode>0.0%</c:formatCode>
                <c:ptCount val="12"/>
                <c:pt idx="0">
                  <c:v>7.7650798456065984E-2</c:v>
                </c:pt>
                <c:pt idx="1">
                  <c:v>3.4435782941042922E-2</c:v>
                </c:pt>
                <c:pt idx="2">
                  <c:v>2.838113978657383E-2</c:v>
                </c:pt>
                <c:pt idx="3">
                  <c:v>3.4057367743888589E-3</c:v>
                </c:pt>
                <c:pt idx="4">
                  <c:v>7.568303943086355E-5</c:v>
                </c:pt>
                <c:pt idx="5">
                  <c:v>6.054643154469084E-4</c:v>
                </c:pt>
                <c:pt idx="6">
                  <c:v>1.0595625520320898E-2</c:v>
                </c:pt>
                <c:pt idx="7">
                  <c:v>1.8390978581699843E-2</c:v>
                </c:pt>
                <c:pt idx="8">
                  <c:v>1.2866116703246801E-3</c:v>
                </c:pt>
                <c:pt idx="9">
                  <c:v>0</c:v>
                </c:pt>
                <c:pt idx="10">
                  <c:v>0.82517217891470507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Kisoro-Cyanika-2Dir'!$C$9:$N$9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Kisoro-Cyanika-2Dir'!$C$108:$N$108</c:f>
              <c:numCache>
                <c:formatCode>0.00%</c:formatCode>
                <c:ptCount val="12"/>
                <c:pt idx="0">
                  <c:v>0.44415584415584408</c:v>
                </c:pt>
                <c:pt idx="1">
                  <c:v>0.19696969696969699</c:v>
                </c:pt>
                <c:pt idx="2">
                  <c:v>0.16233766233766234</c:v>
                </c:pt>
                <c:pt idx="3">
                  <c:v>1.9480519480519477E-2</c:v>
                </c:pt>
                <c:pt idx="4">
                  <c:v>4.329004329004329E-4</c:v>
                </c:pt>
                <c:pt idx="5">
                  <c:v>3.4632034632034632E-3</c:v>
                </c:pt>
                <c:pt idx="6">
                  <c:v>6.0606060606060615E-2</c:v>
                </c:pt>
                <c:pt idx="7">
                  <c:v>0.10519480519480519</c:v>
                </c:pt>
                <c:pt idx="8">
                  <c:v>7.3593073593073589E-3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Kisoro-Cyanika-2Dir'!$S$9:$AF$9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Kisoro-Cyanika-2Dir'!$S$41:$AF$41</c:f>
              <c:numCache>
                <c:formatCode>_(* #,##0_);_(* \(#,##0\);_(* "-"_);_(@_)</c:formatCode>
                <c:ptCount val="14"/>
                <c:pt idx="0">
                  <c:v>342</c:v>
                </c:pt>
                <c:pt idx="1">
                  <c:v>151.66666666666666</c:v>
                </c:pt>
                <c:pt idx="2">
                  <c:v>125</c:v>
                </c:pt>
                <c:pt idx="3">
                  <c:v>15</c:v>
                </c:pt>
                <c:pt idx="4">
                  <c:v>0.33333333333333331</c:v>
                </c:pt>
                <c:pt idx="5">
                  <c:v>2.6666666666666665</c:v>
                </c:pt>
                <c:pt idx="6">
                  <c:v>46.666666666666671</c:v>
                </c:pt>
                <c:pt idx="7">
                  <c:v>81</c:v>
                </c:pt>
                <c:pt idx="8">
                  <c:v>5.6666666666666661</c:v>
                </c:pt>
                <c:pt idx="9">
                  <c:v>0</c:v>
                </c:pt>
                <c:pt idx="10">
                  <c:v>3634.3333333333335</c:v>
                </c:pt>
                <c:pt idx="11">
                  <c:v>0</c:v>
                </c:pt>
                <c:pt idx="12">
                  <c:v>770</c:v>
                </c:pt>
                <c:pt idx="13">
                  <c:v>4404.333333333333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9-4BF7-8A09-52791BE0A6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Kisoro-Cyanika-2Dir'!$S$9:$AF$9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Kisoro-Cyanika-2Dir'!$S$42:$AF$42</c:f>
              <c:numCache>
                <c:formatCode>0.000</c:formatCode>
                <c:ptCount val="14"/>
                <c:pt idx="0">
                  <c:v>1.8486486486486486</c:v>
                </c:pt>
                <c:pt idx="1">
                  <c:v>1.6914498141263941</c:v>
                </c:pt>
                <c:pt idx="2">
                  <c:v>1.7857142857142858</c:v>
                </c:pt>
                <c:pt idx="3">
                  <c:v>2.1428571428571428</c:v>
                </c:pt>
                <c:pt idx="4">
                  <c:v>1</c:v>
                </c:pt>
                <c:pt idx="5">
                  <c:v>1.6</c:v>
                </c:pt>
                <c:pt idx="6">
                  <c:v>1.6867469879518073</c:v>
                </c:pt>
                <c:pt idx="7">
                  <c:v>1.8837209302325584</c:v>
                </c:pt>
                <c:pt idx="8">
                  <c:v>3.4</c:v>
                </c:pt>
                <c:pt idx="9">
                  <c:v>0</c:v>
                </c:pt>
                <c:pt idx="10">
                  <c:v>1.2479111823280302</c:v>
                </c:pt>
                <c:pt idx="11">
                  <c:v>0</c:v>
                </c:pt>
                <c:pt idx="12">
                  <c:v>1.807511737089202</c:v>
                </c:pt>
                <c:pt idx="13">
                  <c:v>1.3193210184722917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0-42C4-99FF-66D819AA6A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Kisoro-Cyanika-2Dir'!$AE$9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Kisoro-Cyanika-2Dir'!$R$10:$R$33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Kisoro-Cyanika-2Dir'!$AE$10:$AE$33</c:f>
              <c:numCache>
                <c:formatCode>0</c:formatCode>
                <c:ptCount val="24"/>
                <c:pt idx="0">
                  <c:v>18.666666666666668</c:v>
                </c:pt>
                <c:pt idx="1">
                  <c:v>18.666666666666664</c:v>
                </c:pt>
                <c:pt idx="2">
                  <c:v>30</c:v>
                </c:pt>
                <c:pt idx="3">
                  <c:v>38.666666666666664</c:v>
                </c:pt>
                <c:pt idx="4">
                  <c:v>38</c:v>
                </c:pt>
                <c:pt idx="5">
                  <c:v>35.666666666666657</c:v>
                </c:pt>
                <c:pt idx="6">
                  <c:v>38.666666666666671</c:v>
                </c:pt>
                <c:pt idx="7">
                  <c:v>35.333333333333329</c:v>
                </c:pt>
                <c:pt idx="8">
                  <c:v>39.666666666666664</c:v>
                </c:pt>
                <c:pt idx="9">
                  <c:v>43</c:v>
                </c:pt>
                <c:pt idx="10">
                  <c:v>42.666666666666664</c:v>
                </c:pt>
                <c:pt idx="11">
                  <c:v>47</c:v>
                </c:pt>
                <c:pt idx="12">
                  <c:v>54</c:v>
                </c:pt>
                <c:pt idx="13">
                  <c:v>41</c:v>
                </c:pt>
                <c:pt idx="14">
                  <c:v>43</c:v>
                </c:pt>
                <c:pt idx="15">
                  <c:v>37</c:v>
                </c:pt>
                <c:pt idx="16">
                  <c:v>24</c:v>
                </c:pt>
                <c:pt idx="17">
                  <c:v>17</c:v>
                </c:pt>
                <c:pt idx="18">
                  <c:v>16</c:v>
                </c:pt>
                <c:pt idx="19">
                  <c:v>31</c:v>
                </c:pt>
                <c:pt idx="20">
                  <c:v>25</c:v>
                </c:pt>
                <c:pt idx="21">
                  <c:v>27</c:v>
                </c:pt>
                <c:pt idx="22">
                  <c:v>19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8E-4583-B48F-E60E320FF466}"/>
            </c:ext>
          </c:extLst>
        </c:ser>
        <c:ser>
          <c:idx val="1"/>
          <c:order val="1"/>
          <c:tx>
            <c:strRef>
              <c:f>'Avg Week Kisoro-Cyanika-2Dir'!$AF$9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Kisoro-Cyanika-2Dir'!$R$10:$R$33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Kisoro-Cyanika-2Dir'!$AF$10:$AF$33</c:f>
              <c:numCache>
                <c:formatCode>0</c:formatCode>
                <c:ptCount val="24"/>
                <c:pt idx="0">
                  <c:v>99.333333333333329</c:v>
                </c:pt>
                <c:pt idx="1">
                  <c:v>130.66666666666666</c:v>
                </c:pt>
                <c:pt idx="2">
                  <c:v>219.66666666666663</c:v>
                </c:pt>
                <c:pt idx="3">
                  <c:v>287.66666666666669</c:v>
                </c:pt>
                <c:pt idx="4">
                  <c:v>308.33333333333337</c:v>
                </c:pt>
                <c:pt idx="5">
                  <c:v>283.33333333333331</c:v>
                </c:pt>
                <c:pt idx="6">
                  <c:v>286.33333333333331</c:v>
                </c:pt>
                <c:pt idx="7">
                  <c:v>304.33333333333337</c:v>
                </c:pt>
                <c:pt idx="8">
                  <c:v>342.66666666666674</c:v>
                </c:pt>
                <c:pt idx="9">
                  <c:v>362.33333333333331</c:v>
                </c:pt>
                <c:pt idx="10">
                  <c:v>362.66666666666663</c:v>
                </c:pt>
                <c:pt idx="11">
                  <c:v>351.00000000000006</c:v>
                </c:pt>
                <c:pt idx="12">
                  <c:v>378</c:v>
                </c:pt>
                <c:pt idx="13">
                  <c:v>217</c:v>
                </c:pt>
                <c:pt idx="14">
                  <c:v>144</c:v>
                </c:pt>
                <c:pt idx="15">
                  <c:v>93</c:v>
                </c:pt>
                <c:pt idx="16">
                  <c:v>46</c:v>
                </c:pt>
                <c:pt idx="17">
                  <c:v>21</c:v>
                </c:pt>
                <c:pt idx="18">
                  <c:v>18</c:v>
                </c:pt>
                <c:pt idx="19">
                  <c:v>31</c:v>
                </c:pt>
                <c:pt idx="20">
                  <c:v>25</c:v>
                </c:pt>
                <c:pt idx="21">
                  <c:v>27</c:v>
                </c:pt>
                <c:pt idx="22">
                  <c:v>27</c:v>
                </c:pt>
                <c:pt idx="23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8E-4583-B48F-E60E320FF466}"/>
            </c:ext>
          </c:extLst>
        </c:ser>
        <c:ser>
          <c:idx val="5"/>
          <c:order val="2"/>
          <c:tx>
            <c:strRef>
              <c:f>'Avg Week Kisoro-Cyanika-2Dir'!$AC$9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Kisoro-Cyanika-2Dir'!$R$10:$R$33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Kisoro-Cyanika-2Dir'!$AC$10:$AC$33</c:f>
              <c:numCache>
                <c:formatCode>0</c:formatCode>
                <c:ptCount val="24"/>
                <c:pt idx="0">
                  <c:v>80.666666666666671</c:v>
                </c:pt>
                <c:pt idx="1">
                  <c:v>112</c:v>
                </c:pt>
                <c:pt idx="2">
                  <c:v>189.66666666666663</c:v>
                </c:pt>
                <c:pt idx="3">
                  <c:v>249</c:v>
                </c:pt>
                <c:pt idx="4">
                  <c:v>270.33333333333331</c:v>
                </c:pt>
                <c:pt idx="5">
                  <c:v>247.66666666666669</c:v>
                </c:pt>
                <c:pt idx="6">
                  <c:v>247.66666666666669</c:v>
                </c:pt>
                <c:pt idx="7">
                  <c:v>269</c:v>
                </c:pt>
                <c:pt idx="8">
                  <c:v>303</c:v>
                </c:pt>
                <c:pt idx="9">
                  <c:v>319.33333333333331</c:v>
                </c:pt>
                <c:pt idx="10">
                  <c:v>320</c:v>
                </c:pt>
                <c:pt idx="11">
                  <c:v>304</c:v>
                </c:pt>
                <c:pt idx="12">
                  <c:v>324</c:v>
                </c:pt>
                <c:pt idx="13">
                  <c:v>176</c:v>
                </c:pt>
                <c:pt idx="14">
                  <c:v>101</c:v>
                </c:pt>
                <c:pt idx="15">
                  <c:v>56</c:v>
                </c:pt>
                <c:pt idx="16">
                  <c:v>22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</c:v>
                </c:pt>
                <c:pt idx="23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8E-4583-B48F-E60E320FF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in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4.png"/><Relationship Id="rId2" Type="http://schemas.openxmlformats.org/officeDocument/2006/relationships/image" Target="../media/image1.emf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3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6" Type="http://schemas.openxmlformats.org/officeDocument/2006/relationships/chart" Target="../charts/chart10.xml"/><Relationship Id="rId1" Type="http://schemas.openxmlformats.org/officeDocument/2006/relationships/chart" Target="../charts/chart7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4.xml"/><Relationship Id="rId1" Type="http://schemas.openxmlformats.org/officeDocument/2006/relationships/chart" Target="../charts/chart11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" Type="http://schemas.openxmlformats.org/officeDocument/2006/relationships/chart" Target="../charts/chart15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1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6" Type="http://schemas.openxmlformats.org/officeDocument/2006/relationships/chart" Target="../charts/chart21.xml"/><Relationship Id="rId1" Type="http://schemas.openxmlformats.org/officeDocument/2006/relationships/chart" Target="../charts/chart18.xml"/><Relationship Id="rId6" Type="http://schemas.openxmlformats.org/officeDocument/2006/relationships/image" Target="../media/image5.emf"/><Relationship Id="rId11" Type="http://schemas.openxmlformats.org/officeDocument/2006/relationships/image" Target="../media/image18.jpeg"/><Relationship Id="rId5" Type="http://schemas.openxmlformats.org/officeDocument/2006/relationships/image" Target="../media/image4.emf"/><Relationship Id="rId15" Type="http://schemas.openxmlformats.org/officeDocument/2006/relationships/chart" Target="../charts/chart20.xml"/><Relationship Id="rId10" Type="http://schemas.openxmlformats.org/officeDocument/2006/relationships/image" Target="../media/image1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5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28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32.xml"/><Relationship Id="rId2" Type="http://schemas.openxmlformats.org/officeDocument/2006/relationships/image" Target="../media/image2.emf"/><Relationship Id="rId16" Type="http://schemas.openxmlformats.org/officeDocument/2006/relationships/chart" Target="../charts/chart31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4.png"/><Relationship Id="rId5" Type="http://schemas.openxmlformats.org/officeDocument/2006/relationships/image" Target="../media/image5.emf"/><Relationship Id="rId15" Type="http://schemas.openxmlformats.org/officeDocument/2006/relationships/chart" Target="../charts/chart30.xml"/><Relationship Id="rId10" Type="http://schemas.openxmlformats.org/officeDocument/2006/relationships/image" Target="../media/image16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6348</xdr:rowOff>
    </xdr:from>
    <xdr:to>
      <xdr:col>28</xdr:col>
      <xdr:colOff>15876</xdr:colOff>
      <xdr:row>57</xdr:row>
      <xdr:rowOff>285749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23</xdr:col>
      <xdr:colOff>698500</xdr:colOff>
      <xdr:row>58</xdr:row>
      <xdr:rowOff>247650</xdr:rowOff>
    </xdr:from>
    <xdr:to>
      <xdr:col>30</xdr:col>
      <xdr:colOff>31750</xdr:colOff>
      <xdr:row>74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12548</xdr:colOff>
      <xdr:row>58</xdr:row>
      <xdr:rowOff>269875</xdr:rowOff>
    </xdr:from>
    <xdr:to>
      <xdr:col>24</xdr:col>
      <xdr:colOff>0</xdr:colOff>
      <xdr:row>74</xdr:row>
      <xdr:rowOff>38100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6349</xdr:rowOff>
    </xdr:from>
    <xdr:to>
      <xdr:col>28</xdr:col>
      <xdr:colOff>31750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31749</xdr:colOff>
      <xdr:row>58</xdr:row>
      <xdr:rowOff>9525</xdr:rowOff>
    </xdr:from>
    <xdr:to>
      <xdr:col>30</xdr:col>
      <xdr:colOff>63500</xdr:colOff>
      <xdr:row>73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156629</xdr:colOff>
      <xdr:row>58</xdr:row>
      <xdr:rowOff>31750</xdr:rowOff>
    </xdr:from>
    <xdr:to>
      <xdr:col>24</xdr:col>
      <xdr:colOff>15875</xdr:colOff>
      <xdr:row>73</xdr:row>
      <xdr:rowOff>38100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73</xdr:row>
      <xdr:rowOff>136525</xdr:rowOff>
    </xdr:from>
    <xdr:to>
      <xdr:col>24</xdr:col>
      <xdr:colOff>222250</xdr:colOff>
      <xdr:row>88</xdr:row>
      <xdr:rowOff>158750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15874</xdr:colOff>
      <xdr:row>58</xdr:row>
      <xdr:rowOff>111125</xdr:rowOff>
    </xdr:from>
    <xdr:to>
      <xdr:col>24</xdr:col>
      <xdr:colOff>206374</xdr:colOff>
      <xdr:row>73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222251</xdr:colOff>
      <xdr:row>58</xdr:row>
      <xdr:rowOff>112712</xdr:rowOff>
    </xdr:from>
    <xdr:to>
      <xdr:col>30</xdr:col>
      <xdr:colOff>333375</xdr:colOff>
      <xdr:row>73</xdr:row>
      <xdr:rowOff>109830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176E7E-6211-4D3C-A17F-F8A067D3E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238125</xdr:colOff>
      <xdr:row>73</xdr:row>
      <xdr:rowOff>128587</xdr:rowOff>
    </xdr:from>
    <xdr:to>
      <xdr:col>30</xdr:col>
      <xdr:colOff>349251</xdr:colOff>
      <xdr:row>88</xdr:row>
      <xdr:rowOff>158750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A230F5C-722F-4FBF-94B6-D3E1E1AFD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30</xdr:col>
      <xdr:colOff>31750</xdr:colOff>
      <xdr:row>58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446E012-8D81-4A30-942C-2AF0C2539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B1:AF174"/>
  <sheetViews>
    <sheetView view="pageBreakPreview" topLeftCell="A13" zoomScale="60" workbookViewId="0">
      <selection activeCell="R44" sqref="R4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">
        <v>173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58" t="e">
        <f>'25.10.19 KISORO-CYANIKA-24h'!G5:H5</f>
        <v>#REF!</v>
      </c>
      <c r="H5" s="59"/>
      <c r="I5" s="14"/>
      <c r="J5" s="2" t="s">
        <v>5</v>
      </c>
      <c r="K5" s="58" t="s">
        <v>167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164</v>
      </c>
      <c r="E6" s="59"/>
      <c r="F6" s="2" t="s">
        <v>2</v>
      </c>
      <c r="G6" s="58" t="s">
        <v>166</v>
      </c>
      <c r="H6" s="59"/>
      <c r="J6" s="2" t="s">
        <v>21</v>
      </c>
      <c r="K6" s="58" t="e">
        <f>'25.10.19 KISORO-CYANIKA-24h'!K6:L6</f>
        <v>#REF!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13</v>
      </c>
      <c r="N10" s="50">
        <v>0</v>
      </c>
      <c r="O10" s="15">
        <f t="shared" ref="O10:O73" si="0">SUM(C10:L10,N10)</f>
        <v>1</v>
      </c>
      <c r="P10" s="15">
        <f t="shared" ref="P10:P73" si="1">SUM(C10:N10)</f>
        <v>14</v>
      </c>
      <c r="R10" s="1" t="s">
        <v>6</v>
      </c>
      <c r="S10" s="17">
        <f t="shared" ref="S10:AF10" si="2">SUM(C10:C13)</f>
        <v>4</v>
      </c>
      <c r="T10" s="17">
        <f t="shared" si="2"/>
        <v>5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43</v>
      </c>
      <c r="AD10" s="17">
        <f t="shared" si="2"/>
        <v>0</v>
      </c>
      <c r="AE10" s="31">
        <f t="shared" si="2"/>
        <v>12</v>
      </c>
      <c r="AF10" s="31">
        <f t="shared" si="2"/>
        <v>55</v>
      </c>
    </row>
    <row r="11" spans="2:32" s="6" customFormat="1" ht="23.1" customHeight="1" x14ac:dyDescent="0.25">
      <c r="B11" s="45" t="s">
        <v>38</v>
      </c>
      <c r="C11" s="50">
        <v>2</v>
      </c>
      <c r="D11" s="50">
        <v>1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4</v>
      </c>
      <c r="P11" s="15">
        <f t="shared" si="1"/>
        <v>14</v>
      </c>
      <c r="R11" s="1" t="s">
        <v>7</v>
      </c>
      <c r="S11" s="17">
        <f t="shared" ref="S11:AF11" si="3">SUM(C14:C17)</f>
        <v>4</v>
      </c>
      <c r="T11" s="17">
        <f t="shared" si="3"/>
        <v>1</v>
      </c>
      <c r="U11" s="17">
        <f t="shared" si="3"/>
        <v>3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50</v>
      </c>
      <c r="AD11" s="17">
        <f t="shared" si="3"/>
        <v>0</v>
      </c>
      <c r="AE11" s="31">
        <f t="shared" si="3"/>
        <v>8</v>
      </c>
      <c r="AF11" s="31">
        <f t="shared" si="3"/>
        <v>58</v>
      </c>
    </row>
    <row r="12" spans="2:32" ht="23.1" customHeight="1" x14ac:dyDescent="0.25">
      <c r="B12" s="45" t="s">
        <v>39</v>
      </c>
      <c r="C12" s="50">
        <v>1</v>
      </c>
      <c r="D12" s="50">
        <v>3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4</v>
      </c>
      <c r="P12" s="15">
        <f t="shared" si="1"/>
        <v>12</v>
      </c>
      <c r="R12" s="1" t="s">
        <v>8</v>
      </c>
      <c r="S12" s="17">
        <f t="shared" ref="S12:AF12" si="4">SUM(C18:C21)</f>
        <v>10</v>
      </c>
      <c r="T12" s="17">
        <f t="shared" si="4"/>
        <v>5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4</v>
      </c>
      <c r="AB12" s="17">
        <f t="shared" si="4"/>
        <v>0</v>
      </c>
      <c r="AC12" s="17">
        <f t="shared" si="4"/>
        <v>89</v>
      </c>
      <c r="AD12" s="17">
        <f t="shared" si="4"/>
        <v>0</v>
      </c>
      <c r="AE12" s="31">
        <f t="shared" si="4"/>
        <v>23</v>
      </c>
      <c r="AF12" s="31">
        <f t="shared" si="4"/>
        <v>112</v>
      </c>
    </row>
    <row r="13" spans="2:32" ht="23.1" customHeight="1" x14ac:dyDescent="0.25">
      <c r="B13" s="45" t="s">
        <v>40</v>
      </c>
      <c r="C13" s="50">
        <v>0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12</v>
      </c>
      <c r="N13" s="50">
        <v>0</v>
      </c>
      <c r="O13" s="15">
        <f t="shared" si="0"/>
        <v>3</v>
      </c>
      <c r="P13" s="15">
        <f t="shared" si="1"/>
        <v>15</v>
      </c>
      <c r="R13" s="1" t="s">
        <v>9</v>
      </c>
      <c r="S13" s="17">
        <f t="shared" ref="S13:AF13" si="5">SUM(C22:C25)</f>
        <v>3</v>
      </c>
      <c r="T13" s="17">
        <f t="shared" si="5"/>
        <v>7</v>
      </c>
      <c r="U13" s="17">
        <f t="shared" si="5"/>
        <v>6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111</v>
      </c>
      <c r="AD13" s="17">
        <f t="shared" si="5"/>
        <v>0</v>
      </c>
      <c r="AE13" s="31">
        <f t="shared" si="5"/>
        <v>23</v>
      </c>
      <c r="AF13" s="31">
        <f t="shared" si="5"/>
        <v>134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13</v>
      </c>
      <c r="N14" s="50">
        <v>0</v>
      </c>
      <c r="O14" s="15">
        <f t="shared" si="0"/>
        <v>1</v>
      </c>
      <c r="P14" s="15">
        <f t="shared" si="1"/>
        <v>14</v>
      </c>
      <c r="R14" s="1" t="s">
        <v>10</v>
      </c>
      <c r="S14" s="17">
        <f t="shared" ref="S14:AF14" si="6">SUM(C26:C29)</f>
        <v>7</v>
      </c>
      <c r="T14" s="17">
        <f t="shared" si="6"/>
        <v>3</v>
      </c>
      <c r="U14" s="17">
        <f t="shared" si="6"/>
        <v>4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136</v>
      </c>
      <c r="AD14" s="17">
        <f t="shared" si="6"/>
        <v>0</v>
      </c>
      <c r="AE14" s="31">
        <f t="shared" si="6"/>
        <v>15</v>
      </c>
      <c r="AF14" s="31">
        <f t="shared" si="6"/>
        <v>151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2</v>
      </c>
      <c r="P15" s="15">
        <f t="shared" si="1"/>
        <v>14</v>
      </c>
      <c r="R15" s="1" t="s">
        <v>11</v>
      </c>
      <c r="S15" s="17">
        <f t="shared" ref="S15:AF15" si="7">SUM(C30:C33)</f>
        <v>8</v>
      </c>
      <c r="T15" s="17">
        <f t="shared" si="7"/>
        <v>0</v>
      </c>
      <c r="U15" s="17">
        <f t="shared" si="7"/>
        <v>4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140</v>
      </c>
      <c r="AD15" s="17">
        <f t="shared" si="7"/>
        <v>0</v>
      </c>
      <c r="AE15" s="31">
        <f t="shared" si="7"/>
        <v>15</v>
      </c>
      <c r="AF15" s="31">
        <f t="shared" si="7"/>
        <v>155</v>
      </c>
    </row>
    <row r="16" spans="2:32" ht="23.1" customHeight="1" x14ac:dyDescent="0.25">
      <c r="B16" s="45" t="s">
        <v>43</v>
      </c>
      <c r="C16" s="50">
        <v>2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3</v>
      </c>
      <c r="P16" s="15">
        <f t="shared" si="1"/>
        <v>12</v>
      </c>
      <c r="R16" s="1" t="s">
        <v>12</v>
      </c>
      <c r="S16" s="17">
        <f t="shared" ref="S16:AF16" si="8">SUM(C34:C37)</f>
        <v>5</v>
      </c>
      <c r="T16" s="17">
        <f t="shared" si="8"/>
        <v>7</v>
      </c>
      <c r="U16" s="17">
        <f t="shared" si="8"/>
        <v>4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109</v>
      </c>
      <c r="AD16" s="17">
        <f t="shared" si="8"/>
        <v>0</v>
      </c>
      <c r="AE16" s="31">
        <f t="shared" si="8"/>
        <v>20</v>
      </c>
      <c r="AF16" s="31">
        <f t="shared" si="8"/>
        <v>129</v>
      </c>
    </row>
    <row r="17" spans="2:32" ht="23.1" customHeight="1" x14ac:dyDescent="0.25">
      <c r="B17" s="45" t="s">
        <v>44</v>
      </c>
      <c r="C17" s="50">
        <v>1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16</v>
      </c>
      <c r="N17" s="50">
        <v>0</v>
      </c>
      <c r="O17" s="15">
        <f t="shared" si="0"/>
        <v>2</v>
      </c>
      <c r="P17" s="15">
        <f t="shared" si="1"/>
        <v>18</v>
      </c>
      <c r="R17" s="1" t="s">
        <v>13</v>
      </c>
      <c r="S17" s="17">
        <f t="shared" ref="S17:AF17" si="9">SUM(C38:C41)</f>
        <v>5</v>
      </c>
      <c r="T17" s="17">
        <f t="shared" si="9"/>
        <v>2</v>
      </c>
      <c r="U17" s="17">
        <f t="shared" si="9"/>
        <v>4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108</v>
      </c>
      <c r="AD17" s="17">
        <f t="shared" si="9"/>
        <v>0</v>
      </c>
      <c r="AE17" s="31">
        <f t="shared" si="9"/>
        <v>15</v>
      </c>
      <c r="AF17" s="31">
        <f t="shared" si="9"/>
        <v>123</v>
      </c>
    </row>
    <row r="18" spans="2:32" ht="23.1" customHeight="1" x14ac:dyDescent="0.25">
      <c r="B18" s="45" t="s">
        <v>45</v>
      </c>
      <c r="C18" s="50">
        <v>3</v>
      </c>
      <c r="D18" s="50">
        <v>3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1</v>
      </c>
      <c r="L18" s="50">
        <v>0</v>
      </c>
      <c r="M18" s="50">
        <v>19</v>
      </c>
      <c r="N18" s="50">
        <v>0</v>
      </c>
      <c r="O18" s="15">
        <f t="shared" si="0"/>
        <v>7</v>
      </c>
      <c r="P18" s="15">
        <f t="shared" si="1"/>
        <v>26</v>
      </c>
      <c r="R18" s="1" t="s">
        <v>14</v>
      </c>
      <c r="S18" s="17">
        <f t="shared" ref="S18:AF18" si="10">SUM(C42:C45)</f>
        <v>5</v>
      </c>
      <c r="T18" s="17">
        <f t="shared" si="10"/>
        <v>4</v>
      </c>
      <c r="U18" s="17">
        <f t="shared" si="10"/>
        <v>2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110</v>
      </c>
      <c r="AD18" s="17">
        <f t="shared" si="10"/>
        <v>0</v>
      </c>
      <c r="AE18" s="31">
        <f t="shared" si="10"/>
        <v>15</v>
      </c>
      <c r="AF18" s="31">
        <f t="shared" si="10"/>
        <v>125</v>
      </c>
    </row>
    <row r="19" spans="2:32" ht="23.1" customHeight="1" x14ac:dyDescent="0.25">
      <c r="B19" s="45" t="s">
        <v>46</v>
      </c>
      <c r="C19" s="50">
        <v>1</v>
      </c>
      <c r="D19" s="50">
        <v>1</v>
      </c>
      <c r="E19" s="50">
        <v>1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21</v>
      </c>
      <c r="N19" s="50">
        <v>0</v>
      </c>
      <c r="O19" s="15">
        <f t="shared" si="0"/>
        <v>5</v>
      </c>
      <c r="P19" s="15">
        <f t="shared" si="1"/>
        <v>26</v>
      </c>
      <c r="R19" s="1" t="s">
        <v>15</v>
      </c>
      <c r="S19" s="17">
        <f t="shared" ref="S19:AF19" si="11">SUM(C46:C49)</f>
        <v>13</v>
      </c>
      <c r="T19" s="17">
        <f t="shared" si="11"/>
        <v>7</v>
      </c>
      <c r="U19" s="17">
        <f t="shared" si="11"/>
        <v>4</v>
      </c>
      <c r="V19" s="17">
        <f t="shared" si="11"/>
        <v>0</v>
      </c>
      <c r="W19" s="17">
        <f t="shared" si="11"/>
        <v>0</v>
      </c>
      <c r="X19" s="17">
        <f t="shared" si="11"/>
        <v>1</v>
      </c>
      <c r="Y19" s="17">
        <f t="shared" si="11"/>
        <v>1</v>
      </c>
      <c r="Z19" s="17">
        <f t="shared" si="11"/>
        <v>4</v>
      </c>
      <c r="AA19" s="17">
        <f t="shared" si="11"/>
        <v>0</v>
      </c>
      <c r="AB19" s="17">
        <f t="shared" si="11"/>
        <v>0</v>
      </c>
      <c r="AC19" s="17">
        <f t="shared" si="11"/>
        <v>124</v>
      </c>
      <c r="AD19" s="17">
        <f t="shared" si="11"/>
        <v>0</v>
      </c>
      <c r="AE19" s="31">
        <f t="shared" si="11"/>
        <v>30</v>
      </c>
      <c r="AF19" s="31">
        <f t="shared" si="11"/>
        <v>154</v>
      </c>
    </row>
    <row r="20" spans="2:32" ht="23.1" customHeight="1" x14ac:dyDescent="0.25">
      <c r="B20" s="45" t="s">
        <v>47</v>
      </c>
      <c r="C20" s="50">
        <v>4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2</v>
      </c>
      <c r="L20" s="50">
        <v>0</v>
      </c>
      <c r="M20" s="50">
        <v>26</v>
      </c>
      <c r="N20" s="50">
        <v>0</v>
      </c>
      <c r="O20" s="15">
        <f t="shared" si="0"/>
        <v>7</v>
      </c>
      <c r="P20" s="15">
        <f t="shared" si="1"/>
        <v>33</v>
      </c>
      <c r="R20" s="1" t="s">
        <v>16</v>
      </c>
      <c r="S20" s="17">
        <f t="shared" ref="S20:AF20" si="12">SUM(C50:C53)</f>
        <v>8</v>
      </c>
      <c r="T20" s="17">
        <f t="shared" si="12"/>
        <v>6</v>
      </c>
      <c r="U20" s="17">
        <f t="shared" si="12"/>
        <v>5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4</v>
      </c>
      <c r="AA20" s="17">
        <f t="shared" si="12"/>
        <v>0</v>
      </c>
      <c r="AB20" s="17">
        <f t="shared" si="12"/>
        <v>0</v>
      </c>
      <c r="AC20" s="17">
        <f t="shared" si="12"/>
        <v>141</v>
      </c>
      <c r="AD20" s="17">
        <f t="shared" si="12"/>
        <v>0</v>
      </c>
      <c r="AE20" s="31">
        <f t="shared" si="12"/>
        <v>25</v>
      </c>
      <c r="AF20" s="31">
        <f t="shared" si="12"/>
        <v>166</v>
      </c>
    </row>
    <row r="21" spans="2:32" ht="23.1" customHeight="1" x14ac:dyDescent="0.25">
      <c r="B21" s="45" t="s">
        <v>48</v>
      </c>
      <c r="C21" s="50">
        <v>2</v>
      </c>
      <c r="D21" s="50">
        <v>1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1</v>
      </c>
      <c r="L21" s="50">
        <v>0</v>
      </c>
      <c r="M21" s="50">
        <v>23</v>
      </c>
      <c r="N21" s="50">
        <v>0</v>
      </c>
      <c r="O21" s="15">
        <f t="shared" si="0"/>
        <v>4</v>
      </c>
      <c r="P21" s="15">
        <f t="shared" si="1"/>
        <v>27</v>
      </c>
      <c r="R21" s="36" t="s">
        <v>20</v>
      </c>
      <c r="S21" s="34">
        <f t="shared" ref="S21:AF21" si="13">SUM(C54:C57)</f>
        <v>8</v>
      </c>
      <c r="T21" s="17">
        <f t="shared" si="13"/>
        <v>3</v>
      </c>
      <c r="U21" s="17">
        <f t="shared" si="13"/>
        <v>4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7</v>
      </c>
      <c r="AA21" s="17">
        <f t="shared" si="13"/>
        <v>0</v>
      </c>
      <c r="AB21" s="17">
        <f t="shared" si="13"/>
        <v>0</v>
      </c>
      <c r="AC21" s="17">
        <f t="shared" si="13"/>
        <v>114</v>
      </c>
      <c r="AD21" s="17">
        <f t="shared" si="13"/>
        <v>0</v>
      </c>
      <c r="AE21" s="31">
        <f t="shared" si="13"/>
        <v>25</v>
      </c>
      <c r="AF21" s="31">
        <f t="shared" si="13"/>
        <v>139</v>
      </c>
    </row>
    <row r="22" spans="2:32" ht="23.1" customHeight="1" x14ac:dyDescent="0.25">
      <c r="B22" s="45" t="s">
        <v>49</v>
      </c>
      <c r="C22" s="50">
        <v>0</v>
      </c>
      <c r="D22" s="50">
        <v>2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1</v>
      </c>
      <c r="K22" s="50">
        <v>0</v>
      </c>
      <c r="L22" s="50">
        <v>0</v>
      </c>
      <c r="M22" s="50">
        <v>15</v>
      </c>
      <c r="N22" s="50">
        <v>0</v>
      </c>
      <c r="O22" s="15">
        <f t="shared" si="0"/>
        <v>4</v>
      </c>
      <c r="P22" s="15">
        <f t="shared" si="1"/>
        <v>19</v>
      </c>
      <c r="R22" s="36" t="s">
        <v>146</v>
      </c>
      <c r="S22" s="34">
        <f>SUM(C58:C61)</f>
        <v>4</v>
      </c>
      <c r="T22" s="34">
        <f t="shared" ref="T22:AF22" si="14">SUM(D58:D61)</f>
        <v>1</v>
      </c>
      <c r="U22" s="34">
        <f t="shared" si="14"/>
        <v>3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6</v>
      </c>
      <c r="AA22" s="34">
        <f t="shared" si="14"/>
        <v>0</v>
      </c>
      <c r="AB22" s="34">
        <f t="shared" si="14"/>
        <v>0</v>
      </c>
      <c r="AC22" s="34">
        <f t="shared" si="14"/>
        <v>137</v>
      </c>
      <c r="AD22" s="34">
        <f t="shared" si="14"/>
        <v>0</v>
      </c>
      <c r="AE22" s="31">
        <f t="shared" si="14"/>
        <v>15</v>
      </c>
      <c r="AF22" s="31">
        <f t="shared" si="14"/>
        <v>152</v>
      </c>
    </row>
    <row r="23" spans="2:32" ht="23.1" customHeight="1" x14ac:dyDescent="0.25">
      <c r="B23" s="45" t="s">
        <v>50</v>
      </c>
      <c r="C23" s="50">
        <v>1</v>
      </c>
      <c r="D23" s="50">
        <v>3</v>
      </c>
      <c r="E23" s="50">
        <v>4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27</v>
      </c>
      <c r="N23" s="50">
        <v>0</v>
      </c>
      <c r="O23" s="15">
        <f t="shared" si="0"/>
        <v>9</v>
      </c>
      <c r="P23" s="15">
        <f t="shared" si="1"/>
        <v>36</v>
      </c>
      <c r="R23" s="36" t="s">
        <v>147</v>
      </c>
      <c r="S23" s="34">
        <f>SUM(C62:C65)</f>
        <v>3</v>
      </c>
      <c r="T23" s="34">
        <f t="shared" ref="T23:AF23" si="15">SUM(D62:D65)</f>
        <v>2</v>
      </c>
      <c r="U23" s="34">
        <f t="shared" si="15"/>
        <v>1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60</v>
      </c>
      <c r="AD23" s="34">
        <f t="shared" si="15"/>
        <v>0</v>
      </c>
      <c r="AE23" s="31">
        <f t="shared" si="15"/>
        <v>6</v>
      </c>
      <c r="AF23" s="31">
        <f t="shared" si="15"/>
        <v>66</v>
      </c>
    </row>
    <row r="24" spans="2:32" ht="23.1" customHeight="1" x14ac:dyDescent="0.25">
      <c r="B24" s="45" t="s">
        <v>51</v>
      </c>
      <c r="C24" s="50">
        <v>1</v>
      </c>
      <c r="D24" s="50">
        <v>0</v>
      </c>
      <c r="E24" s="50">
        <v>2</v>
      </c>
      <c r="F24" s="50">
        <v>0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34</v>
      </c>
      <c r="N24" s="50">
        <v>0</v>
      </c>
      <c r="O24" s="15">
        <f t="shared" si="0"/>
        <v>5</v>
      </c>
      <c r="P24" s="15">
        <f t="shared" si="1"/>
        <v>39</v>
      </c>
      <c r="R24" s="36" t="s">
        <v>148</v>
      </c>
      <c r="S24" s="34">
        <f>SUM(C66:C69)</f>
        <v>4</v>
      </c>
      <c r="T24" s="34">
        <f t="shared" ref="T24:AF24" si="16">SUM(D66:D69)</f>
        <v>1</v>
      </c>
      <c r="U24" s="34">
        <f t="shared" si="16"/>
        <v>1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26</v>
      </c>
      <c r="AD24" s="34">
        <f t="shared" si="16"/>
        <v>0</v>
      </c>
      <c r="AE24" s="31">
        <f t="shared" si="16"/>
        <v>8</v>
      </c>
      <c r="AF24" s="31">
        <f t="shared" si="16"/>
        <v>34</v>
      </c>
    </row>
    <row r="25" spans="2:32" ht="23.1" customHeight="1" x14ac:dyDescent="0.25">
      <c r="B25" s="45" t="s">
        <v>52</v>
      </c>
      <c r="C25" s="50">
        <v>1</v>
      </c>
      <c r="D25" s="50">
        <v>2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2</v>
      </c>
      <c r="K25" s="50">
        <v>0</v>
      </c>
      <c r="L25" s="50">
        <v>0</v>
      </c>
      <c r="M25" s="50">
        <v>35</v>
      </c>
      <c r="N25" s="50">
        <v>0</v>
      </c>
      <c r="O25" s="15">
        <f t="shared" si="0"/>
        <v>5</v>
      </c>
      <c r="P25" s="15">
        <f t="shared" si="1"/>
        <v>40</v>
      </c>
      <c r="R25" s="36" t="s">
        <v>149</v>
      </c>
      <c r="S25" s="34">
        <f>SUM(C70:C73)</f>
        <v>2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9</v>
      </c>
      <c r="AD25" s="34">
        <f t="shared" si="17"/>
        <v>0</v>
      </c>
      <c r="AE25" s="31">
        <f t="shared" si="17"/>
        <v>4</v>
      </c>
      <c r="AF25" s="31">
        <f t="shared" si="17"/>
        <v>13</v>
      </c>
    </row>
    <row r="26" spans="2:32" ht="23.1" customHeight="1" x14ac:dyDescent="0.25">
      <c r="B26" s="45" t="s">
        <v>53</v>
      </c>
      <c r="C26" s="50">
        <v>1</v>
      </c>
      <c r="D26" s="50">
        <v>1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29</v>
      </c>
      <c r="N26" s="50">
        <v>0</v>
      </c>
      <c r="O26" s="15">
        <f t="shared" si="0"/>
        <v>4</v>
      </c>
      <c r="P26" s="15">
        <f t="shared" si="1"/>
        <v>33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1</v>
      </c>
      <c r="AD26" s="34">
        <f t="shared" si="18"/>
        <v>0</v>
      </c>
      <c r="AE26" s="31">
        <f t="shared" si="18"/>
        <v>1</v>
      </c>
      <c r="AF26" s="31">
        <f t="shared" si="18"/>
        <v>2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33</v>
      </c>
      <c r="N27" s="50">
        <v>0</v>
      </c>
      <c r="O27" s="15">
        <f t="shared" si="0"/>
        <v>3</v>
      </c>
      <c r="P27" s="15">
        <f t="shared" si="1"/>
        <v>36</v>
      </c>
      <c r="R27" s="36" t="s">
        <v>151</v>
      </c>
      <c r="S27" s="34">
        <f>SUM(C78:C81)</f>
        <v>2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0</v>
      </c>
      <c r="AD27" s="34">
        <f t="shared" si="19"/>
        <v>0</v>
      </c>
      <c r="AE27" s="31">
        <f t="shared" si="19"/>
        <v>4</v>
      </c>
      <c r="AF27" s="31">
        <f t="shared" si="19"/>
        <v>4</v>
      </c>
    </row>
    <row r="28" spans="2:32" ht="23.1" customHeight="1" x14ac:dyDescent="0.25">
      <c r="B28" s="45" t="s">
        <v>55</v>
      </c>
      <c r="C28" s="50">
        <v>1</v>
      </c>
      <c r="D28" s="50">
        <v>1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30</v>
      </c>
      <c r="N28" s="50">
        <v>0</v>
      </c>
      <c r="O28" s="15">
        <f t="shared" si="0"/>
        <v>2</v>
      </c>
      <c r="P28" s="15">
        <f t="shared" si="1"/>
        <v>32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2</v>
      </c>
      <c r="AF28" s="31">
        <f t="shared" si="20"/>
        <v>2</v>
      </c>
    </row>
    <row r="29" spans="2:32" ht="23.1" customHeight="1" x14ac:dyDescent="0.25">
      <c r="B29" s="45" t="s">
        <v>56</v>
      </c>
      <c r="C29" s="50">
        <v>3</v>
      </c>
      <c r="D29" s="50">
        <v>1</v>
      </c>
      <c r="E29" s="50">
        <v>2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44</v>
      </c>
      <c r="N29" s="50">
        <v>0</v>
      </c>
      <c r="O29" s="15">
        <f t="shared" si="0"/>
        <v>6</v>
      </c>
      <c r="P29" s="15">
        <f t="shared" si="1"/>
        <v>50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5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37</v>
      </c>
      <c r="N30" s="50">
        <v>0</v>
      </c>
      <c r="O30" s="15">
        <f t="shared" si="0"/>
        <v>7</v>
      </c>
      <c r="P30" s="15">
        <f t="shared" si="1"/>
        <v>44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1</v>
      </c>
      <c r="AF30" s="31">
        <f t="shared" si="22"/>
        <v>1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38</v>
      </c>
      <c r="N31" s="50">
        <v>0</v>
      </c>
      <c r="O31" s="15">
        <f t="shared" si="0"/>
        <v>2</v>
      </c>
      <c r="P31" s="15">
        <f t="shared" si="1"/>
        <v>40</v>
      </c>
      <c r="R31" s="36" t="s">
        <v>155</v>
      </c>
      <c r="S31" s="34">
        <f>SUM(C94:C97)</f>
        <v>2</v>
      </c>
      <c r="T31" s="34">
        <f t="shared" ref="T31:AF31" si="23">SUM(D94:D97)</f>
        <v>1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3</v>
      </c>
      <c r="AD31" s="34">
        <f t="shared" si="23"/>
        <v>0</v>
      </c>
      <c r="AE31" s="31">
        <f t="shared" si="23"/>
        <v>5</v>
      </c>
      <c r="AF31" s="31">
        <f t="shared" si="23"/>
        <v>8</v>
      </c>
    </row>
    <row r="32" spans="2:32" ht="23.1" customHeight="1" x14ac:dyDescent="0.25">
      <c r="B32" s="46" t="s">
        <v>59</v>
      </c>
      <c r="C32" s="50">
        <v>2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31</v>
      </c>
      <c r="N32" s="50">
        <v>0</v>
      </c>
      <c r="O32" s="15">
        <f t="shared" si="0"/>
        <v>4</v>
      </c>
      <c r="P32" s="15">
        <f t="shared" si="1"/>
        <v>35</v>
      </c>
      <c r="R32" s="33" t="s">
        <v>156</v>
      </c>
      <c r="S32" s="34">
        <f>SUM(C98:C101)</f>
        <v>1</v>
      </c>
      <c r="T32" s="34">
        <f t="shared" ref="T32:AF32" si="24">SUM(D98:D101)</f>
        <v>5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3</v>
      </c>
      <c r="AA32" s="34">
        <f t="shared" si="24"/>
        <v>0</v>
      </c>
      <c r="AB32" s="34">
        <f t="shared" si="24"/>
        <v>0</v>
      </c>
      <c r="AC32" s="34">
        <f t="shared" si="24"/>
        <v>16</v>
      </c>
      <c r="AD32" s="34">
        <f t="shared" si="24"/>
        <v>0</v>
      </c>
      <c r="AE32" s="31">
        <f t="shared" si="24"/>
        <v>10</v>
      </c>
      <c r="AF32" s="31">
        <f t="shared" si="24"/>
        <v>26</v>
      </c>
    </row>
    <row r="33" spans="2:32" ht="23.1" customHeight="1" x14ac:dyDescent="0.25">
      <c r="B33" s="45" t="s">
        <v>60</v>
      </c>
      <c r="C33" s="50">
        <v>1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34</v>
      </c>
      <c r="N33" s="50">
        <v>0</v>
      </c>
      <c r="O33" s="15">
        <f t="shared" si="0"/>
        <v>2</v>
      </c>
      <c r="P33" s="15">
        <f t="shared" si="1"/>
        <v>36</v>
      </c>
      <c r="R33" s="33" t="s">
        <v>157</v>
      </c>
      <c r="S33" s="34">
        <f>SUM(C102:C105)</f>
        <v>3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27</v>
      </c>
      <c r="AD33" s="34">
        <f t="shared" si="25"/>
        <v>0</v>
      </c>
      <c r="AE33" s="31">
        <f t="shared" si="25"/>
        <v>7</v>
      </c>
      <c r="AF33" s="31">
        <f t="shared" si="25"/>
        <v>34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2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24</v>
      </c>
      <c r="N34" s="50">
        <v>0</v>
      </c>
      <c r="O34" s="15">
        <f t="shared" si="0"/>
        <v>4</v>
      </c>
      <c r="P34" s="15">
        <f t="shared" si="1"/>
        <v>28</v>
      </c>
      <c r="R34" s="38" t="s">
        <v>90</v>
      </c>
      <c r="S34" s="39">
        <f t="shared" ref="S34:AF34" si="26">MAX(S10:S12)</f>
        <v>10</v>
      </c>
      <c r="T34" s="39">
        <f t="shared" si="26"/>
        <v>5</v>
      </c>
      <c r="U34" s="39">
        <f t="shared" si="26"/>
        <v>3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2</v>
      </c>
      <c r="Z34" s="39">
        <f t="shared" si="26"/>
        <v>0</v>
      </c>
      <c r="AA34" s="39">
        <f t="shared" si="26"/>
        <v>4</v>
      </c>
      <c r="AB34" s="39">
        <f t="shared" si="26"/>
        <v>0</v>
      </c>
      <c r="AC34" s="39">
        <f t="shared" si="26"/>
        <v>89</v>
      </c>
      <c r="AD34" s="39">
        <f t="shared" si="26"/>
        <v>0</v>
      </c>
      <c r="AE34" s="40">
        <f t="shared" si="26"/>
        <v>23</v>
      </c>
      <c r="AF34" s="40">
        <f t="shared" si="26"/>
        <v>112</v>
      </c>
    </row>
    <row r="35" spans="2:32" ht="23.1" customHeight="1" x14ac:dyDescent="0.25">
      <c r="B35" s="46" t="s">
        <v>62</v>
      </c>
      <c r="C35" s="50">
        <v>0</v>
      </c>
      <c r="D35" s="50">
        <v>2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32</v>
      </c>
      <c r="N35" s="50">
        <v>0</v>
      </c>
      <c r="O35" s="15">
        <f t="shared" si="0"/>
        <v>3</v>
      </c>
      <c r="P35" s="15">
        <f t="shared" si="1"/>
        <v>35</v>
      </c>
      <c r="R35" s="38" t="s">
        <v>91</v>
      </c>
      <c r="S35" s="39">
        <f t="shared" ref="S35:AF35" si="27">MAX(S13:S18)</f>
        <v>8</v>
      </c>
      <c r="T35" s="39">
        <f t="shared" si="27"/>
        <v>7</v>
      </c>
      <c r="U35" s="39">
        <f t="shared" si="27"/>
        <v>6</v>
      </c>
      <c r="V35" s="39">
        <f t="shared" si="27"/>
        <v>1</v>
      </c>
      <c r="W35" s="39">
        <f t="shared" si="27"/>
        <v>0</v>
      </c>
      <c r="X35" s="39">
        <f t="shared" si="27"/>
        <v>0</v>
      </c>
      <c r="Y35" s="39">
        <f t="shared" si="27"/>
        <v>2</v>
      </c>
      <c r="Z35" s="39">
        <f t="shared" si="27"/>
        <v>4</v>
      </c>
      <c r="AA35" s="39">
        <f t="shared" si="27"/>
        <v>0</v>
      </c>
      <c r="AB35" s="39">
        <f t="shared" si="27"/>
        <v>0</v>
      </c>
      <c r="AC35" s="39">
        <f t="shared" si="27"/>
        <v>140</v>
      </c>
      <c r="AD35" s="39">
        <f t="shared" si="27"/>
        <v>0</v>
      </c>
      <c r="AE35" s="40">
        <f t="shared" si="27"/>
        <v>23</v>
      </c>
      <c r="AF35" s="40">
        <f t="shared" si="27"/>
        <v>155</v>
      </c>
    </row>
    <row r="36" spans="2:32" ht="23.1" customHeight="1" x14ac:dyDescent="0.25">
      <c r="B36" s="46" t="s">
        <v>63</v>
      </c>
      <c r="C36" s="50">
        <v>2</v>
      </c>
      <c r="D36" s="50">
        <v>2</v>
      </c>
      <c r="E36" s="50">
        <v>2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27</v>
      </c>
      <c r="N36" s="50">
        <v>0</v>
      </c>
      <c r="O36" s="15">
        <f t="shared" si="0"/>
        <v>6</v>
      </c>
      <c r="P36" s="15">
        <f t="shared" si="1"/>
        <v>33</v>
      </c>
      <c r="R36" s="38" t="s">
        <v>92</v>
      </c>
      <c r="S36" s="39">
        <f t="shared" ref="S36:AF36" si="28">MAX(S19:S21)</f>
        <v>13</v>
      </c>
      <c r="T36" s="39">
        <f t="shared" si="28"/>
        <v>7</v>
      </c>
      <c r="U36" s="39">
        <f t="shared" si="28"/>
        <v>5</v>
      </c>
      <c r="V36" s="39">
        <f t="shared" si="28"/>
        <v>1</v>
      </c>
      <c r="W36" s="39">
        <f t="shared" si="28"/>
        <v>0</v>
      </c>
      <c r="X36" s="39">
        <f t="shared" si="28"/>
        <v>1</v>
      </c>
      <c r="Y36" s="39">
        <f t="shared" si="28"/>
        <v>3</v>
      </c>
      <c r="Z36" s="39">
        <f t="shared" si="28"/>
        <v>7</v>
      </c>
      <c r="AA36" s="39">
        <f t="shared" si="28"/>
        <v>0</v>
      </c>
      <c r="AB36" s="39">
        <f t="shared" si="28"/>
        <v>0</v>
      </c>
      <c r="AC36" s="39">
        <f t="shared" si="28"/>
        <v>141</v>
      </c>
      <c r="AD36" s="39">
        <f t="shared" si="28"/>
        <v>0</v>
      </c>
      <c r="AE36" s="40">
        <f t="shared" si="28"/>
        <v>30</v>
      </c>
      <c r="AF36" s="40">
        <f t="shared" si="28"/>
        <v>166</v>
      </c>
    </row>
    <row r="37" spans="2:32" ht="23.1" customHeight="1" x14ac:dyDescent="0.25">
      <c r="B37" s="45" t="s">
        <v>64</v>
      </c>
      <c r="C37" s="50">
        <v>1</v>
      </c>
      <c r="D37" s="50">
        <v>3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2</v>
      </c>
      <c r="K37" s="50">
        <v>0</v>
      </c>
      <c r="L37" s="50">
        <v>0</v>
      </c>
      <c r="M37" s="50">
        <v>26</v>
      </c>
      <c r="N37" s="50">
        <v>0</v>
      </c>
      <c r="O37" s="15">
        <f t="shared" si="0"/>
        <v>7</v>
      </c>
      <c r="P37" s="15">
        <f t="shared" si="1"/>
        <v>33</v>
      </c>
      <c r="R37" s="37" t="s">
        <v>85</v>
      </c>
      <c r="S37" s="35">
        <f t="shared" ref="S37:AF37" si="29">SUM(S10:S12)</f>
        <v>18</v>
      </c>
      <c r="T37" s="16">
        <f t="shared" si="29"/>
        <v>11</v>
      </c>
      <c r="U37" s="16">
        <f t="shared" si="29"/>
        <v>6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4</v>
      </c>
      <c r="Z37" s="16">
        <f t="shared" si="29"/>
        <v>0</v>
      </c>
      <c r="AA37" s="16">
        <f t="shared" si="29"/>
        <v>4</v>
      </c>
      <c r="AB37" s="16">
        <f t="shared" si="29"/>
        <v>0</v>
      </c>
      <c r="AC37" s="16">
        <f t="shared" si="29"/>
        <v>182</v>
      </c>
      <c r="AD37" s="16">
        <f t="shared" si="29"/>
        <v>0</v>
      </c>
      <c r="AE37" s="32">
        <f t="shared" si="29"/>
        <v>43</v>
      </c>
      <c r="AF37" s="32">
        <f t="shared" si="29"/>
        <v>225</v>
      </c>
    </row>
    <row r="38" spans="2:32" ht="23.1" customHeight="1" x14ac:dyDescent="0.25">
      <c r="B38" s="46" t="s">
        <v>65</v>
      </c>
      <c r="C38" s="50">
        <v>2</v>
      </c>
      <c r="D38" s="50">
        <v>0</v>
      </c>
      <c r="E38" s="50">
        <v>2</v>
      </c>
      <c r="F38" s="50">
        <v>0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28</v>
      </c>
      <c r="N38" s="50">
        <v>0</v>
      </c>
      <c r="O38" s="15">
        <f t="shared" si="0"/>
        <v>6</v>
      </c>
      <c r="P38" s="15">
        <f t="shared" si="1"/>
        <v>34</v>
      </c>
      <c r="R38" s="28" t="s">
        <v>86</v>
      </c>
      <c r="S38" s="16">
        <f t="shared" ref="S38:AF38" si="30">SUM(S13:S18)</f>
        <v>33</v>
      </c>
      <c r="T38" s="16">
        <f t="shared" si="30"/>
        <v>23</v>
      </c>
      <c r="U38" s="16">
        <f t="shared" si="30"/>
        <v>24</v>
      </c>
      <c r="V38" s="16">
        <f t="shared" si="30"/>
        <v>3</v>
      </c>
      <c r="W38" s="16">
        <f t="shared" si="30"/>
        <v>0</v>
      </c>
      <c r="X38" s="16">
        <f t="shared" si="30"/>
        <v>0</v>
      </c>
      <c r="Y38" s="16">
        <f t="shared" si="30"/>
        <v>6</v>
      </c>
      <c r="Z38" s="16">
        <f t="shared" si="30"/>
        <v>14</v>
      </c>
      <c r="AA38" s="16">
        <f t="shared" si="30"/>
        <v>0</v>
      </c>
      <c r="AB38" s="16">
        <f t="shared" si="30"/>
        <v>0</v>
      </c>
      <c r="AC38" s="16">
        <f t="shared" si="30"/>
        <v>714</v>
      </c>
      <c r="AD38" s="16">
        <f t="shared" si="30"/>
        <v>0</v>
      </c>
      <c r="AE38" s="32">
        <f t="shared" si="30"/>
        <v>103</v>
      </c>
      <c r="AF38" s="32">
        <f t="shared" si="30"/>
        <v>817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23</v>
      </c>
      <c r="N39" s="50">
        <v>0</v>
      </c>
      <c r="O39" s="15">
        <f t="shared" si="0"/>
        <v>2</v>
      </c>
      <c r="P39" s="15">
        <f t="shared" si="1"/>
        <v>25</v>
      </c>
      <c r="R39" s="29" t="s">
        <v>87</v>
      </c>
      <c r="S39" s="16">
        <f t="shared" ref="S39:AF39" si="31">SUM(S19:S21)</f>
        <v>29</v>
      </c>
      <c r="T39" s="16">
        <f t="shared" si="31"/>
        <v>16</v>
      </c>
      <c r="U39" s="16">
        <f t="shared" si="31"/>
        <v>13</v>
      </c>
      <c r="V39" s="16">
        <f t="shared" si="31"/>
        <v>1</v>
      </c>
      <c r="W39" s="16">
        <f t="shared" si="31"/>
        <v>0</v>
      </c>
      <c r="X39" s="16">
        <f t="shared" si="31"/>
        <v>1</v>
      </c>
      <c r="Y39" s="16">
        <f t="shared" si="31"/>
        <v>5</v>
      </c>
      <c r="Z39" s="16">
        <f t="shared" si="31"/>
        <v>15</v>
      </c>
      <c r="AA39" s="16">
        <f t="shared" si="31"/>
        <v>0</v>
      </c>
      <c r="AB39" s="16">
        <f t="shared" si="31"/>
        <v>0</v>
      </c>
      <c r="AC39" s="16">
        <f t="shared" si="31"/>
        <v>379</v>
      </c>
      <c r="AD39" s="16">
        <f t="shared" si="31"/>
        <v>0</v>
      </c>
      <c r="AE39" s="32">
        <f t="shared" si="31"/>
        <v>80</v>
      </c>
      <c r="AF39" s="32">
        <f t="shared" si="31"/>
        <v>459</v>
      </c>
    </row>
    <row r="40" spans="2:32" ht="23.1" customHeight="1" x14ac:dyDescent="0.25">
      <c r="B40" s="46" t="s">
        <v>67</v>
      </c>
      <c r="C40" s="50">
        <v>0</v>
      </c>
      <c r="D40" s="50">
        <v>1</v>
      </c>
      <c r="E40" s="50">
        <v>2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33</v>
      </c>
      <c r="N40" s="50">
        <v>0</v>
      </c>
      <c r="O40" s="15">
        <f t="shared" si="0"/>
        <v>3</v>
      </c>
      <c r="P40" s="15">
        <f t="shared" si="1"/>
        <v>36</v>
      </c>
      <c r="R40" s="5" t="s">
        <v>17</v>
      </c>
      <c r="S40" s="16">
        <f t="shared" ref="S40:AF40" si="32">SUM(S10:S21)</f>
        <v>80</v>
      </c>
      <c r="T40" s="16">
        <f t="shared" si="32"/>
        <v>50</v>
      </c>
      <c r="U40" s="16">
        <f t="shared" si="32"/>
        <v>43</v>
      </c>
      <c r="V40" s="16">
        <f t="shared" si="32"/>
        <v>4</v>
      </c>
      <c r="W40" s="16">
        <f t="shared" si="32"/>
        <v>0</v>
      </c>
      <c r="X40" s="16">
        <f t="shared" si="32"/>
        <v>1</v>
      </c>
      <c r="Y40" s="16">
        <f t="shared" si="32"/>
        <v>15</v>
      </c>
      <c r="Z40" s="16">
        <f t="shared" si="32"/>
        <v>29</v>
      </c>
      <c r="AA40" s="16">
        <f t="shared" si="32"/>
        <v>4</v>
      </c>
      <c r="AB40" s="16">
        <f t="shared" si="32"/>
        <v>0</v>
      </c>
      <c r="AC40" s="16">
        <f t="shared" si="32"/>
        <v>1275</v>
      </c>
      <c r="AD40" s="16">
        <f t="shared" si="32"/>
        <v>0</v>
      </c>
      <c r="AE40" s="32">
        <f t="shared" si="32"/>
        <v>226</v>
      </c>
      <c r="AF40" s="32">
        <f t="shared" si="32"/>
        <v>1501</v>
      </c>
    </row>
    <row r="41" spans="2:32" ht="23.1" customHeight="1" x14ac:dyDescent="0.25">
      <c r="B41" s="45" t="s">
        <v>68</v>
      </c>
      <c r="C41" s="50">
        <v>1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24</v>
      </c>
      <c r="N41" s="50">
        <v>0</v>
      </c>
      <c r="O41" s="15">
        <f t="shared" si="0"/>
        <v>4</v>
      </c>
      <c r="P41" s="15">
        <f t="shared" si="1"/>
        <v>28</v>
      </c>
      <c r="R41" s="5" t="s">
        <v>159</v>
      </c>
      <c r="S41" s="16">
        <f>SUM(S10:S33)</f>
        <v>101</v>
      </c>
      <c r="T41" s="16">
        <f t="shared" ref="T41:AF41" si="33">SUM(T10:T33)</f>
        <v>62</v>
      </c>
      <c r="U41" s="16">
        <f t="shared" si="33"/>
        <v>52</v>
      </c>
      <c r="V41" s="16">
        <f t="shared" si="33"/>
        <v>6</v>
      </c>
      <c r="W41" s="16">
        <f t="shared" si="33"/>
        <v>0</v>
      </c>
      <c r="X41" s="16">
        <f t="shared" si="33"/>
        <v>1</v>
      </c>
      <c r="Y41" s="16">
        <f t="shared" si="33"/>
        <v>21</v>
      </c>
      <c r="Z41" s="16">
        <f t="shared" si="33"/>
        <v>42</v>
      </c>
      <c r="AA41" s="16">
        <f t="shared" si="33"/>
        <v>4</v>
      </c>
      <c r="AB41" s="16">
        <f t="shared" si="33"/>
        <v>0</v>
      </c>
      <c r="AC41" s="16">
        <f t="shared" si="33"/>
        <v>1554</v>
      </c>
      <c r="AD41" s="16">
        <f t="shared" si="33"/>
        <v>0</v>
      </c>
      <c r="AE41" s="32">
        <f t="shared" si="33"/>
        <v>289</v>
      </c>
      <c r="AF41" s="32">
        <f t="shared" si="33"/>
        <v>1843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1</v>
      </c>
      <c r="K42" s="50">
        <v>0</v>
      </c>
      <c r="L42" s="50">
        <v>0</v>
      </c>
      <c r="M42" s="50">
        <v>37</v>
      </c>
      <c r="N42" s="50">
        <v>0</v>
      </c>
      <c r="O42" s="15">
        <f t="shared" si="0"/>
        <v>2</v>
      </c>
      <c r="P42" s="15">
        <f t="shared" si="1"/>
        <v>39</v>
      </c>
      <c r="R42" s="5" t="s">
        <v>160</v>
      </c>
      <c r="S42" s="48">
        <f>S41/S40</f>
        <v>1.2625</v>
      </c>
      <c r="T42" s="48">
        <f t="shared" ref="T42:AF42" si="34">T41/T40</f>
        <v>1.24</v>
      </c>
      <c r="U42" s="48">
        <f t="shared" si="34"/>
        <v>1.2093023255813953</v>
      </c>
      <c r="V42" s="48">
        <f t="shared" si="34"/>
        <v>1.5</v>
      </c>
      <c r="W42" s="48">
        <v>0</v>
      </c>
      <c r="X42" s="48">
        <f t="shared" si="34"/>
        <v>1</v>
      </c>
      <c r="Y42" s="48">
        <f t="shared" si="34"/>
        <v>1.4</v>
      </c>
      <c r="Z42" s="48">
        <f t="shared" si="34"/>
        <v>1.4482758620689655</v>
      </c>
      <c r="AA42" s="48">
        <f t="shared" si="34"/>
        <v>1</v>
      </c>
      <c r="AB42" s="48">
        <v>0</v>
      </c>
      <c r="AC42" s="48">
        <f t="shared" si="34"/>
        <v>1.2188235294117646</v>
      </c>
      <c r="AD42" s="48">
        <v>0</v>
      </c>
      <c r="AE42" s="48">
        <f t="shared" si="34"/>
        <v>1.2787610619469028</v>
      </c>
      <c r="AF42" s="48">
        <f t="shared" si="34"/>
        <v>1.2278481012658229</v>
      </c>
    </row>
    <row r="43" spans="2:32" ht="23.1" customHeight="1" x14ac:dyDescent="0.25">
      <c r="B43" s="45" t="s">
        <v>70</v>
      </c>
      <c r="C43" s="50">
        <v>1</v>
      </c>
      <c r="D43" s="50">
        <v>1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27</v>
      </c>
      <c r="N43" s="50">
        <v>0</v>
      </c>
      <c r="O43" s="15">
        <f t="shared" si="0"/>
        <v>4</v>
      </c>
      <c r="P43" s="15">
        <f t="shared" si="1"/>
        <v>31</v>
      </c>
    </row>
    <row r="44" spans="2:32" ht="23.1" customHeight="1" x14ac:dyDescent="0.25">
      <c r="B44" s="47" t="s">
        <v>71</v>
      </c>
      <c r="C44" s="50">
        <v>4</v>
      </c>
      <c r="D44" s="50">
        <v>3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24</v>
      </c>
      <c r="N44" s="50">
        <v>0</v>
      </c>
      <c r="O44" s="15">
        <f t="shared" si="0"/>
        <v>7</v>
      </c>
      <c r="P44" s="15">
        <f t="shared" si="1"/>
        <v>31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2</v>
      </c>
      <c r="K45" s="50">
        <v>0</v>
      </c>
      <c r="L45" s="50">
        <v>0</v>
      </c>
      <c r="M45" s="50">
        <v>22</v>
      </c>
      <c r="N45" s="50">
        <v>0</v>
      </c>
      <c r="O45" s="15">
        <f t="shared" si="0"/>
        <v>2</v>
      </c>
      <c r="P45" s="15">
        <f t="shared" si="1"/>
        <v>24</v>
      </c>
    </row>
    <row r="46" spans="2:32" ht="23.1" customHeight="1" x14ac:dyDescent="0.25">
      <c r="B46" s="46" t="s">
        <v>73</v>
      </c>
      <c r="C46" s="50">
        <v>4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22</v>
      </c>
      <c r="N46" s="50">
        <v>0</v>
      </c>
      <c r="O46" s="15">
        <f t="shared" si="0"/>
        <v>5</v>
      </c>
      <c r="P46" s="15">
        <f t="shared" si="1"/>
        <v>27</v>
      </c>
      <c r="R46" s="8"/>
      <c r="T46"/>
    </row>
    <row r="47" spans="2:32" ht="23.1" customHeight="1" x14ac:dyDescent="0.25">
      <c r="B47" s="46" t="s">
        <v>74</v>
      </c>
      <c r="C47" s="50">
        <v>2</v>
      </c>
      <c r="D47" s="50">
        <v>4</v>
      </c>
      <c r="E47" s="50">
        <v>1</v>
      </c>
      <c r="F47" s="50">
        <v>0</v>
      </c>
      <c r="G47" s="50">
        <v>0</v>
      </c>
      <c r="H47" s="50">
        <v>1</v>
      </c>
      <c r="I47" s="50">
        <v>0</v>
      </c>
      <c r="J47" s="50">
        <v>0</v>
      </c>
      <c r="K47" s="50">
        <v>0</v>
      </c>
      <c r="L47" s="50">
        <v>0</v>
      </c>
      <c r="M47" s="50">
        <v>36</v>
      </c>
      <c r="N47" s="50">
        <v>0</v>
      </c>
      <c r="O47" s="15">
        <f t="shared" si="0"/>
        <v>8</v>
      </c>
      <c r="P47" s="15">
        <f t="shared" si="1"/>
        <v>44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2</v>
      </c>
      <c r="K48" s="50">
        <v>0</v>
      </c>
      <c r="L48" s="50">
        <v>0</v>
      </c>
      <c r="M48" s="50">
        <v>32</v>
      </c>
      <c r="N48" s="50">
        <v>0</v>
      </c>
      <c r="O48" s="15">
        <f t="shared" si="0"/>
        <v>5</v>
      </c>
      <c r="P48" s="15">
        <f t="shared" si="1"/>
        <v>37</v>
      </c>
      <c r="R48" s="8"/>
      <c r="T48"/>
    </row>
    <row r="49" spans="2:20" ht="23.1" customHeight="1" x14ac:dyDescent="0.25">
      <c r="B49" s="45" t="s">
        <v>76</v>
      </c>
      <c r="C49" s="50">
        <v>5</v>
      </c>
      <c r="D49" s="50">
        <v>2</v>
      </c>
      <c r="E49" s="50">
        <v>2</v>
      </c>
      <c r="F49" s="50">
        <v>0</v>
      </c>
      <c r="G49" s="50">
        <v>0</v>
      </c>
      <c r="H49" s="50">
        <v>0</v>
      </c>
      <c r="I49" s="50">
        <v>1</v>
      </c>
      <c r="J49" s="50">
        <v>2</v>
      </c>
      <c r="K49" s="50">
        <v>0</v>
      </c>
      <c r="L49" s="50">
        <v>0</v>
      </c>
      <c r="M49" s="50">
        <v>34</v>
      </c>
      <c r="N49" s="50">
        <v>0</v>
      </c>
      <c r="O49" s="15">
        <f t="shared" si="0"/>
        <v>12</v>
      </c>
      <c r="P49" s="15">
        <f t="shared" si="1"/>
        <v>46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3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32</v>
      </c>
      <c r="N50" s="50">
        <v>0</v>
      </c>
      <c r="O50" s="15">
        <f t="shared" si="0"/>
        <v>5</v>
      </c>
      <c r="P50" s="15">
        <f t="shared" si="1"/>
        <v>37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2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2</v>
      </c>
      <c r="K51" s="50">
        <v>0</v>
      </c>
      <c r="L51" s="50">
        <v>0</v>
      </c>
      <c r="M51" s="50">
        <v>42</v>
      </c>
      <c r="N51" s="50">
        <v>0</v>
      </c>
      <c r="O51" s="15">
        <f t="shared" si="0"/>
        <v>6</v>
      </c>
      <c r="P51" s="15">
        <f t="shared" si="1"/>
        <v>48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1</v>
      </c>
      <c r="E52" s="50">
        <v>2</v>
      </c>
      <c r="F52" s="50">
        <v>1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33</v>
      </c>
      <c r="N52" s="50">
        <v>0</v>
      </c>
      <c r="O52" s="15">
        <f t="shared" si="0"/>
        <v>6</v>
      </c>
      <c r="P52" s="15">
        <f t="shared" si="1"/>
        <v>39</v>
      </c>
      <c r="R52" s="8"/>
      <c r="T52"/>
    </row>
    <row r="53" spans="2:20" ht="23.1" customHeight="1" x14ac:dyDescent="0.25">
      <c r="B53" s="45" t="s">
        <v>80</v>
      </c>
      <c r="C53" s="50">
        <v>5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34</v>
      </c>
      <c r="N53" s="50">
        <v>0</v>
      </c>
      <c r="O53" s="15">
        <f t="shared" si="0"/>
        <v>8</v>
      </c>
      <c r="P53" s="15">
        <f t="shared" si="1"/>
        <v>42</v>
      </c>
      <c r="R53" s="8"/>
      <c r="T53"/>
    </row>
    <row r="54" spans="2:20" ht="23.1" customHeight="1" x14ac:dyDescent="0.25">
      <c r="B54" s="45" t="s">
        <v>81</v>
      </c>
      <c r="C54" s="50">
        <v>4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22</v>
      </c>
      <c r="N54" s="50">
        <v>0</v>
      </c>
      <c r="O54" s="15">
        <f t="shared" si="0"/>
        <v>5</v>
      </c>
      <c r="P54" s="15">
        <f t="shared" si="1"/>
        <v>27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2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33</v>
      </c>
      <c r="N55" s="50">
        <v>0</v>
      </c>
      <c r="O55" s="15">
        <f t="shared" si="0"/>
        <v>6</v>
      </c>
      <c r="P55" s="15">
        <f t="shared" si="1"/>
        <v>39</v>
      </c>
      <c r="R55" s="8"/>
      <c r="T55"/>
    </row>
    <row r="56" spans="2:20" ht="23.1" customHeight="1" x14ac:dyDescent="0.25">
      <c r="B56" s="45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6</v>
      </c>
      <c r="K56" s="50">
        <v>0</v>
      </c>
      <c r="L56" s="50">
        <v>0</v>
      </c>
      <c r="M56" s="50">
        <v>39</v>
      </c>
      <c r="N56" s="50">
        <v>0</v>
      </c>
      <c r="O56" s="15">
        <f t="shared" si="0"/>
        <v>8</v>
      </c>
      <c r="P56" s="15">
        <f t="shared" si="1"/>
        <v>47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1</v>
      </c>
      <c r="E57" s="50">
        <v>3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20</v>
      </c>
      <c r="N57" s="50">
        <v>0</v>
      </c>
      <c r="O57" s="15">
        <f t="shared" si="0"/>
        <v>6</v>
      </c>
      <c r="P57" s="15">
        <f t="shared" si="1"/>
        <v>26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2</v>
      </c>
      <c r="K58" s="50">
        <v>0</v>
      </c>
      <c r="L58" s="50">
        <v>0</v>
      </c>
      <c r="M58" s="50">
        <v>32</v>
      </c>
      <c r="N58" s="50">
        <v>0</v>
      </c>
      <c r="O58" s="15">
        <f t="shared" si="0"/>
        <v>4</v>
      </c>
      <c r="P58" s="15">
        <f t="shared" si="1"/>
        <v>36</v>
      </c>
      <c r="R58" s="8"/>
      <c r="T58"/>
    </row>
    <row r="59" spans="2:20" ht="23.1" customHeight="1" x14ac:dyDescent="0.25">
      <c r="B59" s="45" t="s">
        <v>100</v>
      </c>
      <c r="C59" s="50">
        <v>2</v>
      </c>
      <c r="D59" s="50">
        <v>0</v>
      </c>
      <c r="E59" s="50">
        <v>1</v>
      </c>
      <c r="F59" s="50">
        <v>0</v>
      </c>
      <c r="G59" s="50">
        <v>0</v>
      </c>
      <c r="H59" s="50">
        <v>0</v>
      </c>
      <c r="I59" s="50">
        <v>0</v>
      </c>
      <c r="J59" s="50">
        <v>2</v>
      </c>
      <c r="K59" s="50">
        <v>0</v>
      </c>
      <c r="L59" s="50">
        <v>0</v>
      </c>
      <c r="M59" s="50">
        <v>37</v>
      </c>
      <c r="N59" s="50">
        <v>0</v>
      </c>
      <c r="O59" s="15">
        <f t="shared" si="0"/>
        <v>5</v>
      </c>
      <c r="P59" s="15">
        <f t="shared" si="1"/>
        <v>42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1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45</v>
      </c>
      <c r="N60" s="50">
        <v>0</v>
      </c>
      <c r="O60" s="15">
        <f t="shared" si="0"/>
        <v>1</v>
      </c>
      <c r="P60" s="15">
        <f t="shared" si="1"/>
        <v>46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2</v>
      </c>
      <c r="F61" s="50">
        <v>0</v>
      </c>
      <c r="G61" s="50">
        <v>0</v>
      </c>
      <c r="H61" s="50">
        <v>0</v>
      </c>
      <c r="I61" s="50">
        <v>1</v>
      </c>
      <c r="J61" s="50">
        <v>2</v>
      </c>
      <c r="K61" s="50">
        <v>0</v>
      </c>
      <c r="L61" s="50">
        <v>0</v>
      </c>
      <c r="M61" s="50">
        <v>23</v>
      </c>
      <c r="N61" s="50">
        <v>0</v>
      </c>
      <c r="O61" s="15">
        <f t="shared" si="0"/>
        <v>5</v>
      </c>
      <c r="P61" s="15">
        <f t="shared" si="1"/>
        <v>28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2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24</v>
      </c>
      <c r="N62" s="50">
        <v>0</v>
      </c>
      <c r="O62" s="15">
        <f t="shared" si="0"/>
        <v>3</v>
      </c>
      <c r="P62" s="15">
        <f t="shared" si="1"/>
        <v>27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15</v>
      </c>
      <c r="N63" s="50">
        <v>0</v>
      </c>
      <c r="O63" s="15">
        <f t="shared" si="0"/>
        <v>2</v>
      </c>
      <c r="P63" s="15">
        <f t="shared" si="1"/>
        <v>17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11</v>
      </c>
      <c r="N64" s="50">
        <v>0</v>
      </c>
      <c r="O64" s="15">
        <f t="shared" si="0"/>
        <v>1</v>
      </c>
      <c r="P64" s="15">
        <f t="shared" si="1"/>
        <v>12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10</v>
      </c>
      <c r="N65" s="50">
        <v>0</v>
      </c>
      <c r="O65" s="15">
        <f t="shared" si="0"/>
        <v>0</v>
      </c>
      <c r="P65" s="15">
        <f t="shared" si="1"/>
        <v>10</v>
      </c>
      <c r="R65" s="8"/>
      <c r="T65"/>
    </row>
    <row r="66" spans="2:20" ht="23.1" customHeight="1" x14ac:dyDescent="0.25">
      <c r="B66" s="45" t="s">
        <v>103</v>
      </c>
      <c r="C66" s="50">
        <v>2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8</v>
      </c>
      <c r="N66" s="50">
        <v>0</v>
      </c>
      <c r="O66" s="15">
        <f t="shared" si="0"/>
        <v>2</v>
      </c>
      <c r="P66" s="15">
        <f t="shared" si="1"/>
        <v>10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1</v>
      </c>
      <c r="K67" s="50">
        <v>0</v>
      </c>
      <c r="L67" s="50">
        <v>0</v>
      </c>
      <c r="M67" s="50">
        <v>6</v>
      </c>
      <c r="N67" s="50">
        <v>0</v>
      </c>
      <c r="O67" s="15">
        <f t="shared" si="0"/>
        <v>2</v>
      </c>
      <c r="P67" s="15">
        <f t="shared" si="1"/>
        <v>8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1</v>
      </c>
      <c r="E68" s="50">
        <v>1</v>
      </c>
      <c r="F68" s="50">
        <v>1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6</v>
      </c>
      <c r="N68" s="50">
        <v>0</v>
      </c>
      <c r="O68" s="15">
        <f t="shared" si="0"/>
        <v>3</v>
      </c>
      <c r="P68" s="15">
        <f t="shared" si="1"/>
        <v>9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6</v>
      </c>
      <c r="N69" s="50">
        <v>0</v>
      </c>
      <c r="O69" s="15">
        <f t="shared" si="0"/>
        <v>1</v>
      </c>
      <c r="P69" s="15">
        <f t="shared" si="1"/>
        <v>7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1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3</v>
      </c>
      <c r="N70" s="50">
        <v>0</v>
      </c>
      <c r="O70" s="15">
        <f t="shared" si="0"/>
        <v>1</v>
      </c>
      <c r="P70" s="15">
        <f t="shared" si="1"/>
        <v>4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2</v>
      </c>
      <c r="N71" s="50">
        <v>0</v>
      </c>
      <c r="O71" s="15">
        <f t="shared" si="0"/>
        <v>1</v>
      </c>
      <c r="P71" s="15">
        <f t="shared" si="1"/>
        <v>3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3</v>
      </c>
      <c r="N72" s="50">
        <v>0</v>
      </c>
      <c r="O72" s="15">
        <f t="shared" si="0"/>
        <v>1</v>
      </c>
      <c r="P72" s="15">
        <f t="shared" si="1"/>
        <v>4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</v>
      </c>
      <c r="N73" s="50">
        <v>0</v>
      </c>
      <c r="O73" s="15">
        <f t="shared" si="0"/>
        <v>1</v>
      </c>
      <c r="P73" s="15">
        <f t="shared" si="1"/>
        <v>2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1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0</v>
      </c>
      <c r="P75" s="15">
        <f t="shared" si="36"/>
        <v>0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1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1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0</v>
      </c>
      <c r="P78" s="15">
        <f t="shared" si="36"/>
        <v>0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1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1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2</v>
      </c>
      <c r="P79" s="15">
        <f t="shared" si="36"/>
        <v>2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2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1</v>
      </c>
      <c r="F85" s="50">
        <v>1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2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1</v>
      </c>
      <c r="P90" s="15">
        <f t="shared" si="36"/>
        <v>1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2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1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0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2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1</v>
      </c>
      <c r="K98" s="50">
        <v>0</v>
      </c>
      <c r="L98" s="50">
        <v>0</v>
      </c>
      <c r="M98" s="50">
        <v>2</v>
      </c>
      <c r="N98" s="50">
        <v>0</v>
      </c>
      <c r="O98" s="15">
        <f t="shared" si="35"/>
        <v>4</v>
      </c>
      <c r="P98" s="15">
        <f t="shared" si="36"/>
        <v>6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3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5</v>
      </c>
      <c r="N99" s="50">
        <v>0</v>
      </c>
      <c r="O99" s="15">
        <f t="shared" si="35"/>
        <v>4</v>
      </c>
      <c r="P99" s="15">
        <f t="shared" si="36"/>
        <v>9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3</v>
      </c>
      <c r="N100" s="50">
        <v>0</v>
      </c>
      <c r="O100" s="15">
        <f t="shared" si="35"/>
        <v>0</v>
      </c>
      <c r="P100" s="15">
        <f t="shared" si="36"/>
        <v>3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2</v>
      </c>
      <c r="K101" s="50">
        <v>0</v>
      </c>
      <c r="L101" s="50">
        <v>0</v>
      </c>
      <c r="M101" s="50">
        <v>6</v>
      </c>
      <c r="N101" s="50">
        <v>0</v>
      </c>
      <c r="O101" s="15">
        <f t="shared" si="35"/>
        <v>2</v>
      </c>
      <c r="P101" s="15">
        <f t="shared" si="36"/>
        <v>8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1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8</v>
      </c>
      <c r="N102" s="50">
        <v>0</v>
      </c>
      <c r="O102" s="15">
        <f t="shared" si="35"/>
        <v>1</v>
      </c>
      <c r="P102" s="15">
        <f t="shared" si="36"/>
        <v>9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7</v>
      </c>
      <c r="N103" s="50">
        <v>0</v>
      </c>
      <c r="O103" s="15">
        <f t="shared" si="35"/>
        <v>1</v>
      </c>
      <c r="P103" s="15">
        <f t="shared" si="36"/>
        <v>8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4</v>
      </c>
      <c r="N104" s="50">
        <v>0</v>
      </c>
      <c r="O104" s="15">
        <f t="shared" si="35"/>
        <v>2</v>
      </c>
      <c r="P104" s="15">
        <f t="shared" si="36"/>
        <v>6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8</v>
      </c>
      <c r="N105" s="50">
        <v>0</v>
      </c>
      <c r="O105" s="15">
        <f t="shared" si="35"/>
        <v>3</v>
      </c>
      <c r="P105" s="15">
        <f t="shared" si="36"/>
        <v>11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101</v>
      </c>
      <c r="D106" s="16">
        <f t="shared" ref="D106:P106" si="37">SUM(D10:D105)</f>
        <v>62</v>
      </c>
      <c r="E106" s="16">
        <f t="shared" si="37"/>
        <v>52</v>
      </c>
      <c r="F106" s="16">
        <f t="shared" si="37"/>
        <v>6</v>
      </c>
      <c r="G106" s="16">
        <f t="shared" si="37"/>
        <v>0</v>
      </c>
      <c r="H106" s="16">
        <f t="shared" si="37"/>
        <v>1</v>
      </c>
      <c r="I106" s="16">
        <f t="shared" si="37"/>
        <v>21</v>
      </c>
      <c r="J106" s="16">
        <f t="shared" si="37"/>
        <v>42</v>
      </c>
      <c r="K106" s="16">
        <f t="shared" si="37"/>
        <v>4</v>
      </c>
      <c r="L106" s="16">
        <f t="shared" si="37"/>
        <v>0</v>
      </c>
      <c r="M106" s="16">
        <f t="shared" si="37"/>
        <v>1554</v>
      </c>
      <c r="N106" s="16">
        <f t="shared" si="37"/>
        <v>0</v>
      </c>
      <c r="O106" s="16">
        <f t="shared" si="37"/>
        <v>289</v>
      </c>
      <c r="P106" s="16">
        <f t="shared" si="37"/>
        <v>1843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5.4801953336950621E-2</v>
      </c>
      <c r="D107" s="43">
        <f t="shared" si="38"/>
        <v>3.3640803038524146E-2</v>
      </c>
      <c r="E107" s="43">
        <f t="shared" si="38"/>
        <v>2.821486706456864E-2</v>
      </c>
      <c r="F107" s="43">
        <f t="shared" si="38"/>
        <v>3.2555615843733042E-3</v>
      </c>
      <c r="G107" s="43">
        <f t="shared" si="38"/>
        <v>0</v>
      </c>
      <c r="H107" s="43">
        <f t="shared" si="38"/>
        <v>5.4259359739555074E-4</v>
      </c>
      <c r="I107" s="43">
        <f t="shared" si="38"/>
        <v>1.1394465545306565E-2</v>
      </c>
      <c r="J107" s="43">
        <f t="shared" si="38"/>
        <v>2.278893109061313E-2</v>
      </c>
      <c r="K107" s="43">
        <f t="shared" si="38"/>
        <v>2.170374389582203E-3</v>
      </c>
      <c r="L107" s="43">
        <f t="shared" si="38"/>
        <v>0</v>
      </c>
      <c r="M107" s="43">
        <f t="shared" si="38"/>
        <v>0.84319045035268581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0.34948096885813151</v>
      </c>
      <c r="D108" s="44">
        <f t="shared" ref="D108:N108" si="39">D106/$O$106</f>
        <v>0.21453287197231835</v>
      </c>
      <c r="E108" s="44">
        <f t="shared" si="39"/>
        <v>0.17993079584775087</v>
      </c>
      <c r="F108" s="44">
        <f t="shared" si="39"/>
        <v>2.0761245674740483E-2</v>
      </c>
      <c r="G108" s="44">
        <f t="shared" si="39"/>
        <v>0</v>
      </c>
      <c r="H108" s="44">
        <f t="shared" si="39"/>
        <v>3.4602076124567475E-3</v>
      </c>
      <c r="I108" s="44">
        <f t="shared" si="39"/>
        <v>7.2664359861591699E-2</v>
      </c>
      <c r="J108" s="44">
        <f t="shared" si="39"/>
        <v>0.1453287197231834</v>
      </c>
      <c r="K108" s="44">
        <f t="shared" si="39"/>
        <v>1.384083044982699E-2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249977111117893"/>
  </sheetPr>
  <dimension ref="B1:AF174"/>
  <sheetViews>
    <sheetView view="pageBreakPreview" topLeftCell="A53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">
        <v>169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58" t="e">
        <f>#REF!</f>
        <v>#REF!</v>
      </c>
      <c r="H5" s="59"/>
      <c r="I5" s="14"/>
      <c r="J5" s="2" t="s">
        <v>5</v>
      </c>
      <c r="K5" s="58" t="s">
        <v>170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166</v>
      </c>
      <c r="E6" s="59"/>
      <c r="F6" s="2" t="s">
        <v>2</v>
      </c>
      <c r="G6" s="58" t="s">
        <v>164</v>
      </c>
      <c r="H6" s="59"/>
      <c r="J6" s="2" t="s">
        <v>21</v>
      </c>
      <c r="K6" s="58" t="e">
        <f>#REF!</f>
        <v>#REF!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15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18</v>
      </c>
      <c r="R10" s="1" t="s">
        <v>6</v>
      </c>
      <c r="S10" s="17">
        <f t="shared" ref="S10:AF10" si="2">SUM(C10:C13)</f>
        <v>4</v>
      </c>
      <c r="T10" s="17">
        <f t="shared" si="2"/>
        <v>2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56</v>
      </c>
      <c r="AD10" s="17">
        <f t="shared" si="2"/>
        <v>0</v>
      </c>
      <c r="AE10" s="31">
        <f t="shared" si="2"/>
        <v>7</v>
      </c>
      <c r="AF10" s="31">
        <f t="shared" si="2"/>
        <v>63</v>
      </c>
    </row>
    <row r="11" spans="2:32" s="6" customFormat="1" ht="23.1" customHeight="1" x14ac:dyDescent="0.25">
      <c r="B11" s="45" t="s">
        <v>38</v>
      </c>
      <c r="C11" s="50">
        <v>1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14</v>
      </c>
      <c r="N11" s="50">
        <v>0</v>
      </c>
      <c r="O11" s="15">
        <f t="shared" si="0"/>
        <v>2</v>
      </c>
      <c r="P11" s="15">
        <f t="shared" si="1"/>
        <v>16</v>
      </c>
      <c r="R11" s="1" t="s">
        <v>7</v>
      </c>
      <c r="S11" s="17">
        <f t="shared" ref="S11:AF11" si="3">SUM(C14:C17)</f>
        <v>0</v>
      </c>
      <c r="T11" s="17">
        <f t="shared" si="3"/>
        <v>2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84</v>
      </c>
      <c r="AD11" s="17">
        <f t="shared" si="3"/>
        <v>0</v>
      </c>
      <c r="AE11" s="31">
        <f t="shared" si="3"/>
        <v>5</v>
      </c>
      <c r="AF11" s="31">
        <f t="shared" si="3"/>
        <v>89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11</v>
      </c>
      <c r="N12" s="50">
        <v>0</v>
      </c>
      <c r="O12" s="15">
        <f t="shared" si="0"/>
        <v>0</v>
      </c>
      <c r="P12" s="15">
        <f t="shared" si="1"/>
        <v>11</v>
      </c>
      <c r="R12" s="1" t="s">
        <v>8</v>
      </c>
      <c r="S12" s="17">
        <f t="shared" ref="S12:AF12" si="4">SUM(C18:C21)</f>
        <v>1</v>
      </c>
      <c r="T12" s="17">
        <f t="shared" si="4"/>
        <v>2</v>
      </c>
      <c r="U12" s="17">
        <f t="shared" si="4"/>
        <v>2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4</v>
      </c>
      <c r="AA12" s="17">
        <f t="shared" si="4"/>
        <v>0</v>
      </c>
      <c r="AB12" s="17">
        <f t="shared" si="4"/>
        <v>0</v>
      </c>
      <c r="AC12" s="17">
        <f t="shared" si="4"/>
        <v>122</v>
      </c>
      <c r="AD12" s="17">
        <f t="shared" si="4"/>
        <v>0</v>
      </c>
      <c r="AE12" s="31">
        <f t="shared" si="4"/>
        <v>11</v>
      </c>
      <c r="AF12" s="31">
        <f t="shared" si="4"/>
        <v>133</v>
      </c>
    </row>
    <row r="13" spans="2:32" ht="23.1" customHeight="1" x14ac:dyDescent="0.25">
      <c r="B13" s="45" t="s">
        <v>40</v>
      </c>
      <c r="C13" s="50">
        <v>1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16</v>
      </c>
      <c r="N13" s="50">
        <v>0</v>
      </c>
      <c r="O13" s="15">
        <f t="shared" si="0"/>
        <v>2</v>
      </c>
      <c r="P13" s="15">
        <f t="shared" si="1"/>
        <v>18</v>
      </c>
      <c r="R13" s="1" t="s">
        <v>9</v>
      </c>
      <c r="S13" s="17">
        <f t="shared" ref="S13:AF13" si="5">SUM(C22:C25)</f>
        <v>9</v>
      </c>
      <c r="T13" s="17">
        <f t="shared" si="5"/>
        <v>2</v>
      </c>
      <c r="U13" s="17">
        <f t="shared" si="5"/>
        <v>4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118</v>
      </c>
      <c r="AD13" s="17">
        <f t="shared" si="5"/>
        <v>0</v>
      </c>
      <c r="AE13" s="31">
        <f t="shared" si="5"/>
        <v>21</v>
      </c>
      <c r="AF13" s="31">
        <f t="shared" si="5"/>
        <v>139</v>
      </c>
    </row>
    <row r="14" spans="2:32" ht="23.1" customHeight="1" x14ac:dyDescent="0.25">
      <c r="B14" s="45" t="s">
        <v>41</v>
      </c>
      <c r="C14" s="50">
        <v>0</v>
      </c>
      <c r="D14" s="50">
        <v>1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18</v>
      </c>
      <c r="N14" s="50">
        <v>0</v>
      </c>
      <c r="O14" s="15">
        <f t="shared" si="0"/>
        <v>3</v>
      </c>
      <c r="P14" s="15">
        <f t="shared" si="1"/>
        <v>21</v>
      </c>
      <c r="R14" s="1" t="s">
        <v>10</v>
      </c>
      <c r="S14" s="17">
        <f t="shared" ref="S14:AF14" si="6">SUM(C26:C29)</f>
        <v>15</v>
      </c>
      <c r="T14" s="17">
        <f t="shared" si="6"/>
        <v>3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157</v>
      </c>
      <c r="AD14" s="17">
        <f t="shared" si="6"/>
        <v>0</v>
      </c>
      <c r="AE14" s="31">
        <f t="shared" si="6"/>
        <v>22</v>
      </c>
      <c r="AF14" s="31">
        <f t="shared" si="6"/>
        <v>179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20</v>
      </c>
      <c r="N15" s="50">
        <v>0</v>
      </c>
      <c r="O15" s="15">
        <f t="shared" si="0"/>
        <v>1</v>
      </c>
      <c r="P15" s="15">
        <f t="shared" si="1"/>
        <v>21</v>
      </c>
      <c r="R15" s="1" t="s">
        <v>11</v>
      </c>
      <c r="S15" s="17">
        <f t="shared" ref="S15:AF15" si="7">SUM(C30:C33)</f>
        <v>9</v>
      </c>
      <c r="T15" s="17">
        <f t="shared" si="7"/>
        <v>3</v>
      </c>
      <c r="U15" s="17">
        <f t="shared" si="7"/>
        <v>8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153</v>
      </c>
      <c r="AD15" s="17">
        <f t="shared" si="7"/>
        <v>0</v>
      </c>
      <c r="AE15" s="31">
        <f t="shared" si="7"/>
        <v>25</v>
      </c>
      <c r="AF15" s="31">
        <f t="shared" si="7"/>
        <v>178</v>
      </c>
    </row>
    <row r="16" spans="2:32" ht="23.1" customHeight="1" x14ac:dyDescent="0.25">
      <c r="B16" s="45" t="s">
        <v>43</v>
      </c>
      <c r="C16" s="50">
        <v>0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21</v>
      </c>
      <c r="N16" s="50">
        <v>0</v>
      </c>
      <c r="O16" s="15">
        <f t="shared" si="0"/>
        <v>1</v>
      </c>
      <c r="P16" s="15">
        <f t="shared" si="1"/>
        <v>22</v>
      </c>
      <c r="R16" s="1" t="s">
        <v>12</v>
      </c>
      <c r="S16" s="17">
        <f t="shared" ref="S16:AF16" si="8">SUM(C34:C37)</f>
        <v>12</v>
      </c>
      <c r="T16" s="17">
        <f t="shared" si="8"/>
        <v>6</v>
      </c>
      <c r="U16" s="17">
        <f t="shared" si="8"/>
        <v>2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127</v>
      </c>
      <c r="AD16" s="17">
        <f t="shared" si="8"/>
        <v>0</v>
      </c>
      <c r="AE16" s="31">
        <f t="shared" si="8"/>
        <v>23</v>
      </c>
      <c r="AF16" s="31">
        <f t="shared" si="8"/>
        <v>150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25</v>
      </c>
      <c r="N17" s="50">
        <v>0</v>
      </c>
      <c r="O17" s="15">
        <f t="shared" si="0"/>
        <v>0</v>
      </c>
      <c r="P17" s="15">
        <f t="shared" si="1"/>
        <v>25</v>
      </c>
      <c r="R17" s="1" t="s">
        <v>13</v>
      </c>
      <c r="S17" s="17">
        <f t="shared" ref="S17:AF17" si="9">SUM(C38:C41)</f>
        <v>6</v>
      </c>
      <c r="T17" s="17">
        <f t="shared" si="9"/>
        <v>2</v>
      </c>
      <c r="U17" s="17">
        <f t="shared" si="9"/>
        <v>3</v>
      </c>
      <c r="V17" s="17">
        <f t="shared" si="9"/>
        <v>0</v>
      </c>
      <c r="W17" s="17">
        <f t="shared" si="9"/>
        <v>0</v>
      </c>
      <c r="X17" s="17">
        <f t="shared" si="9"/>
        <v>1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127</v>
      </c>
      <c r="AD17" s="17">
        <f t="shared" si="9"/>
        <v>0</v>
      </c>
      <c r="AE17" s="31">
        <f t="shared" si="9"/>
        <v>13</v>
      </c>
      <c r="AF17" s="31">
        <f t="shared" si="9"/>
        <v>140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29</v>
      </c>
      <c r="N18" s="50">
        <v>0</v>
      </c>
      <c r="O18" s="15">
        <f t="shared" si="0"/>
        <v>3</v>
      </c>
      <c r="P18" s="15">
        <f t="shared" si="1"/>
        <v>32</v>
      </c>
      <c r="R18" s="1" t="s">
        <v>14</v>
      </c>
      <c r="S18" s="17">
        <f t="shared" ref="S18:AF18" si="10">SUM(C42:C45)</f>
        <v>22</v>
      </c>
      <c r="T18" s="17">
        <f t="shared" si="10"/>
        <v>4</v>
      </c>
      <c r="U18" s="17">
        <f t="shared" si="10"/>
        <v>6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144</v>
      </c>
      <c r="AD18" s="17">
        <f t="shared" si="10"/>
        <v>0</v>
      </c>
      <c r="AE18" s="31">
        <f t="shared" si="10"/>
        <v>34</v>
      </c>
      <c r="AF18" s="31">
        <f t="shared" si="10"/>
        <v>178</v>
      </c>
    </row>
    <row r="19" spans="2:32" ht="23.1" customHeight="1" x14ac:dyDescent="0.25">
      <c r="B19" s="45" t="s">
        <v>46</v>
      </c>
      <c r="C19" s="50">
        <v>0</v>
      </c>
      <c r="D19" s="50">
        <v>1</v>
      </c>
      <c r="E19" s="50">
        <v>1</v>
      </c>
      <c r="F19" s="50">
        <v>1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25</v>
      </c>
      <c r="N19" s="50">
        <v>0</v>
      </c>
      <c r="O19" s="15">
        <f t="shared" si="0"/>
        <v>4</v>
      </c>
      <c r="P19" s="15">
        <f t="shared" si="1"/>
        <v>29</v>
      </c>
      <c r="R19" s="1" t="s">
        <v>15</v>
      </c>
      <c r="S19" s="17">
        <f t="shared" ref="S19:AF19" si="11">SUM(C46:C49)</f>
        <v>17</v>
      </c>
      <c r="T19" s="17">
        <f t="shared" si="11"/>
        <v>6</v>
      </c>
      <c r="U19" s="17">
        <f t="shared" si="11"/>
        <v>4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159</v>
      </c>
      <c r="AD19" s="17">
        <f t="shared" si="11"/>
        <v>0</v>
      </c>
      <c r="AE19" s="31">
        <f t="shared" si="11"/>
        <v>31</v>
      </c>
      <c r="AF19" s="31">
        <f t="shared" si="11"/>
        <v>190</v>
      </c>
    </row>
    <row r="20" spans="2:32" ht="23.1" customHeight="1" x14ac:dyDescent="0.25">
      <c r="B20" s="45" t="s">
        <v>47</v>
      </c>
      <c r="C20" s="50">
        <v>0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2</v>
      </c>
      <c r="K20" s="50">
        <v>0</v>
      </c>
      <c r="L20" s="50">
        <v>0</v>
      </c>
      <c r="M20" s="50">
        <v>30</v>
      </c>
      <c r="N20" s="50">
        <v>0</v>
      </c>
      <c r="O20" s="15">
        <f t="shared" si="0"/>
        <v>3</v>
      </c>
      <c r="P20" s="15">
        <f t="shared" si="1"/>
        <v>33</v>
      </c>
      <c r="R20" s="1" t="s">
        <v>16</v>
      </c>
      <c r="S20" s="17">
        <f t="shared" ref="S20:AF20" si="12">SUM(C50:C53)</f>
        <v>8</v>
      </c>
      <c r="T20" s="17">
        <f t="shared" si="12"/>
        <v>7</v>
      </c>
      <c r="U20" s="17">
        <f t="shared" si="12"/>
        <v>4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184</v>
      </c>
      <c r="AD20" s="17">
        <f t="shared" si="12"/>
        <v>0</v>
      </c>
      <c r="AE20" s="31">
        <f t="shared" si="12"/>
        <v>22</v>
      </c>
      <c r="AF20" s="31">
        <f t="shared" si="12"/>
        <v>206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38</v>
      </c>
      <c r="N21" s="50">
        <v>0</v>
      </c>
      <c r="O21" s="15">
        <f t="shared" si="0"/>
        <v>1</v>
      </c>
      <c r="P21" s="15">
        <f t="shared" si="1"/>
        <v>39</v>
      </c>
      <c r="R21" s="36" t="s">
        <v>20</v>
      </c>
      <c r="S21" s="34">
        <f t="shared" ref="S21:AF21" si="13">SUM(C54:C57)</f>
        <v>8</v>
      </c>
      <c r="T21" s="17">
        <f t="shared" si="13"/>
        <v>8</v>
      </c>
      <c r="U21" s="17">
        <f t="shared" si="13"/>
        <v>7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169</v>
      </c>
      <c r="AD21" s="17">
        <f t="shared" si="13"/>
        <v>0</v>
      </c>
      <c r="AE21" s="31">
        <f t="shared" si="13"/>
        <v>26</v>
      </c>
      <c r="AF21" s="31">
        <f t="shared" si="13"/>
        <v>195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3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29</v>
      </c>
      <c r="N22" s="50">
        <v>0</v>
      </c>
      <c r="O22" s="15">
        <f t="shared" si="0"/>
        <v>4</v>
      </c>
      <c r="P22" s="15">
        <f t="shared" si="1"/>
        <v>33</v>
      </c>
      <c r="R22" s="36" t="s">
        <v>146</v>
      </c>
      <c r="S22" s="34">
        <f>SUM(C58:C61)</f>
        <v>16</v>
      </c>
      <c r="T22" s="34">
        <f t="shared" ref="T22:AF22" si="14">SUM(D58:D61)</f>
        <v>3</v>
      </c>
      <c r="U22" s="34">
        <f t="shared" si="14"/>
        <v>5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4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212</v>
      </c>
      <c r="AD22" s="34">
        <f t="shared" si="14"/>
        <v>0</v>
      </c>
      <c r="AE22" s="31">
        <f t="shared" si="14"/>
        <v>31</v>
      </c>
      <c r="AF22" s="31">
        <f t="shared" si="14"/>
        <v>243</v>
      </c>
    </row>
    <row r="23" spans="2:32" ht="23.1" customHeight="1" x14ac:dyDescent="0.25">
      <c r="B23" s="45" t="s">
        <v>50</v>
      </c>
      <c r="C23" s="50">
        <v>3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37</v>
      </c>
      <c r="N23" s="50">
        <v>0</v>
      </c>
      <c r="O23" s="15">
        <f t="shared" si="0"/>
        <v>4</v>
      </c>
      <c r="P23" s="15">
        <f t="shared" si="1"/>
        <v>41</v>
      </c>
      <c r="R23" s="36" t="s">
        <v>147</v>
      </c>
      <c r="S23" s="34">
        <f>SUM(C62:C65)</f>
        <v>13</v>
      </c>
      <c r="T23" s="34">
        <f t="shared" ref="T23:AF23" si="15">SUM(D62:D65)</f>
        <v>1</v>
      </c>
      <c r="U23" s="34">
        <f t="shared" si="15"/>
        <v>3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98</v>
      </c>
      <c r="AD23" s="34">
        <f t="shared" si="15"/>
        <v>0</v>
      </c>
      <c r="AE23" s="31">
        <f t="shared" si="15"/>
        <v>18</v>
      </c>
      <c r="AF23" s="31">
        <f t="shared" si="15"/>
        <v>116</v>
      </c>
    </row>
    <row r="24" spans="2:32" ht="23.1" customHeight="1" x14ac:dyDescent="0.25">
      <c r="B24" s="45" t="s">
        <v>51</v>
      </c>
      <c r="C24" s="50">
        <v>3</v>
      </c>
      <c r="D24" s="50">
        <v>1</v>
      </c>
      <c r="E24" s="50">
        <v>1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31</v>
      </c>
      <c r="N24" s="50">
        <v>0</v>
      </c>
      <c r="O24" s="15">
        <f t="shared" si="0"/>
        <v>6</v>
      </c>
      <c r="P24" s="15">
        <f t="shared" si="1"/>
        <v>37</v>
      </c>
      <c r="R24" s="36" t="s">
        <v>148</v>
      </c>
      <c r="S24" s="34">
        <f>SUM(C66:C69)</f>
        <v>20</v>
      </c>
      <c r="T24" s="34">
        <f t="shared" ref="T24:AF24" si="16">SUM(D66:D69)</f>
        <v>6</v>
      </c>
      <c r="U24" s="34">
        <f t="shared" si="16"/>
        <v>1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51</v>
      </c>
      <c r="AD24" s="34">
        <f t="shared" si="16"/>
        <v>0</v>
      </c>
      <c r="AE24" s="31">
        <f t="shared" si="16"/>
        <v>28</v>
      </c>
      <c r="AF24" s="31">
        <f t="shared" si="16"/>
        <v>79</v>
      </c>
    </row>
    <row r="25" spans="2:32" ht="23.1" customHeight="1" x14ac:dyDescent="0.25">
      <c r="B25" s="45" t="s">
        <v>52</v>
      </c>
      <c r="C25" s="50">
        <v>3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2</v>
      </c>
      <c r="K25" s="50">
        <v>0</v>
      </c>
      <c r="L25" s="50">
        <v>0</v>
      </c>
      <c r="M25" s="50">
        <v>21</v>
      </c>
      <c r="N25" s="50">
        <v>0</v>
      </c>
      <c r="O25" s="15">
        <f t="shared" si="0"/>
        <v>7</v>
      </c>
      <c r="P25" s="15">
        <f t="shared" si="1"/>
        <v>28</v>
      </c>
      <c r="R25" s="36" t="s">
        <v>149</v>
      </c>
      <c r="S25" s="34">
        <f>SUM(C70:C73)</f>
        <v>18</v>
      </c>
      <c r="T25" s="34">
        <f t="shared" ref="T25:AF25" si="17">SUM(D70:D73)</f>
        <v>2</v>
      </c>
      <c r="U25" s="34">
        <f t="shared" si="17"/>
        <v>2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28</v>
      </c>
      <c r="AD25" s="34">
        <f t="shared" si="17"/>
        <v>0</v>
      </c>
      <c r="AE25" s="31">
        <f t="shared" si="17"/>
        <v>22</v>
      </c>
      <c r="AF25" s="31">
        <f t="shared" si="17"/>
        <v>50</v>
      </c>
    </row>
    <row r="26" spans="2:32" ht="23.1" customHeight="1" x14ac:dyDescent="0.25">
      <c r="B26" s="45" t="s">
        <v>53</v>
      </c>
      <c r="C26" s="50">
        <v>3</v>
      </c>
      <c r="D26" s="50">
        <v>1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44</v>
      </c>
      <c r="N26" s="50">
        <v>0</v>
      </c>
      <c r="O26" s="15">
        <f t="shared" si="0"/>
        <v>5</v>
      </c>
      <c r="P26" s="15">
        <f t="shared" si="1"/>
        <v>49</v>
      </c>
      <c r="R26" s="36" t="s">
        <v>150</v>
      </c>
      <c r="S26" s="34">
        <f>SUM(C74:C77)</f>
        <v>3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11</v>
      </c>
      <c r="AD26" s="34">
        <f t="shared" si="18"/>
        <v>0</v>
      </c>
      <c r="AE26" s="31">
        <f t="shared" si="18"/>
        <v>4</v>
      </c>
      <c r="AF26" s="31">
        <f t="shared" si="18"/>
        <v>15</v>
      </c>
    </row>
    <row r="27" spans="2:32" ht="23.1" customHeight="1" x14ac:dyDescent="0.25">
      <c r="B27" s="45" t="s">
        <v>54</v>
      </c>
      <c r="C27" s="50">
        <v>1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44</v>
      </c>
      <c r="N27" s="50">
        <v>0</v>
      </c>
      <c r="O27" s="15">
        <f t="shared" si="0"/>
        <v>4</v>
      </c>
      <c r="P27" s="15">
        <f t="shared" si="1"/>
        <v>48</v>
      </c>
      <c r="R27" s="36" t="s">
        <v>151</v>
      </c>
      <c r="S27" s="34">
        <f>SUM(C78:C81)</f>
        <v>2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2</v>
      </c>
      <c r="AF27" s="31">
        <f t="shared" si="19"/>
        <v>4</v>
      </c>
    </row>
    <row r="28" spans="2:32" ht="23.1" customHeight="1" x14ac:dyDescent="0.25">
      <c r="B28" s="45" t="s">
        <v>55</v>
      </c>
      <c r="C28" s="50">
        <v>3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28</v>
      </c>
      <c r="N28" s="50">
        <v>0</v>
      </c>
      <c r="O28" s="15">
        <f t="shared" si="0"/>
        <v>5</v>
      </c>
      <c r="P28" s="15">
        <f t="shared" si="1"/>
        <v>33</v>
      </c>
      <c r="R28" s="36" t="s">
        <v>152</v>
      </c>
      <c r="S28" s="34">
        <f>SUM(C82:C85)</f>
        <v>0</v>
      </c>
      <c r="T28" s="34">
        <f t="shared" ref="T28:AF28" si="20">SUM(D82:D85)</f>
        <v>1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1</v>
      </c>
      <c r="AF28" s="31">
        <f t="shared" si="20"/>
        <v>2</v>
      </c>
    </row>
    <row r="29" spans="2:32" ht="23.1" customHeight="1" x14ac:dyDescent="0.25">
      <c r="B29" s="45" t="s">
        <v>56</v>
      </c>
      <c r="C29" s="50">
        <v>8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41</v>
      </c>
      <c r="N29" s="50">
        <v>0</v>
      </c>
      <c r="O29" s="15">
        <f t="shared" si="0"/>
        <v>8</v>
      </c>
      <c r="P29" s="15">
        <f t="shared" si="1"/>
        <v>49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1</v>
      </c>
      <c r="AF29" s="31">
        <f t="shared" si="21"/>
        <v>1</v>
      </c>
    </row>
    <row r="30" spans="2:32" ht="23.1" customHeight="1" x14ac:dyDescent="0.25">
      <c r="B30" s="45" t="s">
        <v>57</v>
      </c>
      <c r="C30" s="50">
        <v>0</v>
      </c>
      <c r="D30" s="50">
        <v>1</v>
      </c>
      <c r="E30" s="50">
        <v>3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41</v>
      </c>
      <c r="N30" s="50">
        <v>0</v>
      </c>
      <c r="O30" s="15">
        <f t="shared" si="0"/>
        <v>5</v>
      </c>
      <c r="P30" s="15">
        <f t="shared" si="1"/>
        <v>46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46" t="s">
        <v>58</v>
      </c>
      <c r="C31" s="50">
        <v>5</v>
      </c>
      <c r="D31" s="50">
        <v>0</v>
      </c>
      <c r="E31" s="50">
        <v>2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39</v>
      </c>
      <c r="N31" s="50">
        <v>0</v>
      </c>
      <c r="O31" s="15">
        <f t="shared" si="0"/>
        <v>9</v>
      </c>
      <c r="P31" s="15">
        <f t="shared" si="1"/>
        <v>48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2</v>
      </c>
      <c r="AF31" s="31">
        <f t="shared" si="23"/>
        <v>2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33</v>
      </c>
      <c r="N32" s="50">
        <v>0</v>
      </c>
      <c r="O32" s="15">
        <f t="shared" si="0"/>
        <v>2</v>
      </c>
      <c r="P32" s="15">
        <f t="shared" si="1"/>
        <v>35</v>
      </c>
      <c r="R32" s="33" t="s">
        <v>156</v>
      </c>
      <c r="S32" s="34">
        <f>SUM(C98:C101)</f>
        <v>3</v>
      </c>
      <c r="T32" s="34">
        <f t="shared" ref="T32:AF32" si="24">SUM(D98:D101)</f>
        <v>0</v>
      </c>
      <c r="U32" s="34">
        <f t="shared" si="24"/>
        <v>1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4</v>
      </c>
      <c r="AD32" s="34">
        <f t="shared" si="24"/>
        <v>0</v>
      </c>
      <c r="AE32" s="31">
        <f t="shared" si="24"/>
        <v>4</v>
      </c>
      <c r="AF32" s="31">
        <f t="shared" si="24"/>
        <v>8</v>
      </c>
    </row>
    <row r="33" spans="2:32" ht="23.1" customHeight="1" x14ac:dyDescent="0.25">
      <c r="B33" s="45" t="s">
        <v>60</v>
      </c>
      <c r="C33" s="50">
        <v>3</v>
      </c>
      <c r="D33" s="50">
        <v>2</v>
      </c>
      <c r="E33" s="50">
        <v>2</v>
      </c>
      <c r="F33" s="50">
        <v>0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40</v>
      </c>
      <c r="N33" s="50">
        <v>0</v>
      </c>
      <c r="O33" s="15">
        <f t="shared" si="0"/>
        <v>9</v>
      </c>
      <c r="P33" s="15">
        <f t="shared" si="1"/>
        <v>49</v>
      </c>
      <c r="R33" s="33" t="s">
        <v>157</v>
      </c>
      <c r="S33" s="34">
        <f>SUM(C102:C105)</f>
        <v>1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14</v>
      </c>
      <c r="AD33" s="34">
        <f t="shared" si="25"/>
        <v>0</v>
      </c>
      <c r="AE33" s="31">
        <f t="shared" si="25"/>
        <v>4</v>
      </c>
      <c r="AF33" s="31">
        <f t="shared" si="25"/>
        <v>18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29</v>
      </c>
      <c r="N34" s="50">
        <v>0</v>
      </c>
      <c r="O34" s="15">
        <f t="shared" si="0"/>
        <v>3</v>
      </c>
      <c r="P34" s="15">
        <f t="shared" si="1"/>
        <v>32</v>
      </c>
      <c r="R34" s="38" t="s">
        <v>90</v>
      </c>
      <c r="S34" s="39">
        <f t="shared" ref="S34:AF34" si="26">MAX(S10:S12)</f>
        <v>4</v>
      </c>
      <c r="T34" s="39">
        <f t="shared" si="26"/>
        <v>2</v>
      </c>
      <c r="U34" s="39">
        <f t="shared" si="26"/>
        <v>2</v>
      </c>
      <c r="V34" s="39">
        <f t="shared" si="26"/>
        <v>1</v>
      </c>
      <c r="W34" s="39">
        <f t="shared" si="26"/>
        <v>0</v>
      </c>
      <c r="X34" s="39">
        <f t="shared" si="26"/>
        <v>0</v>
      </c>
      <c r="Y34" s="39">
        <f t="shared" si="26"/>
        <v>1</v>
      </c>
      <c r="Z34" s="39">
        <f t="shared" si="26"/>
        <v>4</v>
      </c>
      <c r="AA34" s="39">
        <f t="shared" si="26"/>
        <v>0</v>
      </c>
      <c r="AB34" s="39">
        <f t="shared" si="26"/>
        <v>0</v>
      </c>
      <c r="AC34" s="39">
        <f t="shared" si="26"/>
        <v>122</v>
      </c>
      <c r="AD34" s="39">
        <f t="shared" si="26"/>
        <v>0</v>
      </c>
      <c r="AE34" s="40">
        <f t="shared" si="26"/>
        <v>11</v>
      </c>
      <c r="AF34" s="40">
        <f t="shared" si="26"/>
        <v>133</v>
      </c>
    </row>
    <row r="35" spans="2:32" ht="23.1" customHeight="1" x14ac:dyDescent="0.25">
      <c r="B35" s="46" t="s">
        <v>62</v>
      </c>
      <c r="C35" s="50">
        <v>4</v>
      </c>
      <c r="D35" s="50">
        <v>2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30</v>
      </c>
      <c r="N35" s="50">
        <v>0</v>
      </c>
      <c r="O35" s="15">
        <f t="shared" si="0"/>
        <v>7</v>
      </c>
      <c r="P35" s="15">
        <f t="shared" si="1"/>
        <v>37</v>
      </c>
      <c r="R35" s="38" t="s">
        <v>91</v>
      </c>
      <c r="S35" s="39">
        <f t="shared" ref="S35:AF35" si="27">MAX(S13:S18)</f>
        <v>22</v>
      </c>
      <c r="T35" s="39">
        <f t="shared" si="27"/>
        <v>6</v>
      </c>
      <c r="U35" s="39">
        <f t="shared" si="27"/>
        <v>8</v>
      </c>
      <c r="V35" s="39">
        <f t="shared" si="27"/>
        <v>0</v>
      </c>
      <c r="W35" s="39">
        <f t="shared" si="27"/>
        <v>0</v>
      </c>
      <c r="X35" s="39">
        <f t="shared" si="27"/>
        <v>1</v>
      </c>
      <c r="Y35" s="39">
        <f t="shared" si="27"/>
        <v>4</v>
      </c>
      <c r="Z35" s="39">
        <f t="shared" si="27"/>
        <v>3</v>
      </c>
      <c r="AA35" s="39">
        <f t="shared" si="27"/>
        <v>0</v>
      </c>
      <c r="AB35" s="39">
        <f t="shared" si="27"/>
        <v>0</v>
      </c>
      <c r="AC35" s="39">
        <f t="shared" si="27"/>
        <v>157</v>
      </c>
      <c r="AD35" s="39">
        <f t="shared" si="27"/>
        <v>0</v>
      </c>
      <c r="AE35" s="40">
        <f t="shared" si="27"/>
        <v>34</v>
      </c>
      <c r="AF35" s="40">
        <f t="shared" si="27"/>
        <v>179</v>
      </c>
    </row>
    <row r="36" spans="2:32" ht="23.1" customHeight="1" x14ac:dyDescent="0.25">
      <c r="B36" s="46" t="s">
        <v>63</v>
      </c>
      <c r="C36" s="50">
        <v>4</v>
      </c>
      <c r="D36" s="50">
        <v>3</v>
      </c>
      <c r="E36" s="50">
        <v>1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35</v>
      </c>
      <c r="N36" s="50">
        <v>0</v>
      </c>
      <c r="O36" s="15">
        <f t="shared" si="0"/>
        <v>9</v>
      </c>
      <c r="P36" s="15">
        <f t="shared" si="1"/>
        <v>44</v>
      </c>
      <c r="R36" s="38" t="s">
        <v>92</v>
      </c>
      <c r="S36" s="39">
        <f t="shared" ref="S36:AF36" si="28">MAX(S19:S21)</f>
        <v>17</v>
      </c>
      <c r="T36" s="39">
        <f t="shared" si="28"/>
        <v>8</v>
      </c>
      <c r="U36" s="39">
        <f t="shared" si="28"/>
        <v>7</v>
      </c>
      <c r="V36" s="39">
        <f t="shared" si="28"/>
        <v>1</v>
      </c>
      <c r="W36" s="39">
        <f t="shared" si="28"/>
        <v>0</v>
      </c>
      <c r="X36" s="39">
        <f t="shared" si="28"/>
        <v>0</v>
      </c>
      <c r="Y36" s="39">
        <f t="shared" si="28"/>
        <v>3</v>
      </c>
      <c r="Z36" s="39">
        <f t="shared" si="28"/>
        <v>2</v>
      </c>
      <c r="AA36" s="39">
        <f t="shared" si="28"/>
        <v>0</v>
      </c>
      <c r="AB36" s="39">
        <f t="shared" si="28"/>
        <v>0</v>
      </c>
      <c r="AC36" s="39">
        <f t="shared" si="28"/>
        <v>184</v>
      </c>
      <c r="AD36" s="39">
        <f t="shared" si="28"/>
        <v>0</v>
      </c>
      <c r="AE36" s="40">
        <f t="shared" si="28"/>
        <v>31</v>
      </c>
      <c r="AF36" s="40">
        <f t="shared" si="28"/>
        <v>206</v>
      </c>
    </row>
    <row r="37" spans="2:32" ht="23.1" customHeight="1" x14ac:dyDescent="0.25">
      <c r="B37" s="45" t="s">
        <v>64</v>
      </c>
      <c r="C37" s="50">
        <v>2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33</v>
      </c>
      <c r="N37" s="50">
        <v>0</v>
      </c>
      <c r="O37" s="15">
        <f t="shared" si="0"/>
        <v>4</v>
      </c>
      <c r="P37" s="15">
        <f t="shared" si="1"/>
        <v>37</v>
      </c>
      <c r="R37" s="37" t="s">
        <v>85</v>
      </c>
      <c r="S37" s="35">
        <f t="shared" ref="S37:AF37" si="29">SUM(S10:S12)</f>
        <v>5</v>
      </c>
      <c r="T37" s="16">
        <f t="shared" si="29"/>
        <v>6</v>
      </c>
      <c r="U37" s="16">
        <f t="shared" si="29"/>
        <v>5</v>
      </c>
      <c r="V37" s="16">
        <f t="shared" si="29"/>
        <v>1</v>
      </c>
      <c r="W37" s="16">
        <f t="shared" si="29"/>
        <v>0</v>
      </c>
      <c r="X37" s="16">
        <f t="shared" si="29"/>
        <v>0</v>
      </c>
      <c r="Y37" s="16">
        <f t="shared" si="29"/>
        <v>1</v>
      </c>
      <c r="Z37" s="16">
        <f t="shared" si="29"/>
        <v>5</v>
      </c>
      <c r="AA37" s="16">
        <f t="shared" si="29"/>
        <v>0</v>
      </c>
      <c r="AB37" s="16">
        <f t="shared" si="29"/>
        <v>0</v>
      </c>
      <c r="AC37" s="16">
        <f t="shared" si="29"/>
        <v>262</v>
      </c>
      <c r="AD37" s="16">
        <f t="shared" si="29"/>
        <v>0</v>
      </c>
      <c r="AE37" s="32">
        <f t="shared" si="29"/>
        <v>23</v>
      </c>
      <c r="AF37" s="32">
        <f t="shared" si="29"/>
        <v>285</v>
      </c>
    </row>
    <row r="38" spans="2:32" ht="23.1" customHeight="1" x14ac:dyDescent="0.25">
      <c r="B38" s="46" t="s">
        <v>65</v>
      </c>
      <c r="C38" s="50">
        <v>3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31</v>
      </c>
      <c r="N38" s="50">
        <v>0</v>
      </c>
      <c r="O38" s="15">
        <f t="shared" si="0"/>
        <v>4</v>
      </c>
      <c r="P38" s="15">
        <f t="shared" si="1"/>
        <v>35</v>
      </c>
      <c r="R38" s="28" t="s">
        <v>86</v>
      </c>
      <c r="S38" s="16">
        <f t="shared" ref="S38:AF38" si="30">SUM(S13:S18)</f>
        <v>73</v>
      </c>
      <c r="T38" s="16">
        <f t="shared" si="30"/>
        <v>20</v>
      </c>
      <c r="U38" s="16">
        <f t="shared" si="30"/>
        <v>25</v>
      </c>
      <c r="V38" s="16">
        <f t="shared" si="30"/>
        <v>0</v>
      </c>
      <c r="W38" s="16">
        <f t="shared" si="30"/>
        <v>0</v>
      </c>
      <c r="X38" s="16">
        <f t="shared" si="30"/>
        <v>1</v>
      </c>
      <c r="Y38" s="16">
        <f t="shared" si="30"/>
        <v>13</v>
      </c>
      <c r="Z38" s="16">
        <f t="shared" si="30"/>
        <v>6</v>
      </c>
      <c r="AA38" s="16">
        <f t="shared" si="30"/>
        <v>0</v>
      </c>
      <c r="AB38" s="16">
        <f t="shared" si="30"/>
        <v>0</v>
      </c>
      <c r="AC38" s="16">
        <f t="shared" si="30"/>
        <v>826</v>
      </c>
      <c r="AD38" s="16">
        <f t="shared" si="30"/>
        <v>0</v>
      </c>
      <c r="AE38" s="32">
        <f t="shared" si="30"/>
        <v>138</v>
      </c>
      <c r="AF38" s="32">
        <f t="shared" si="30"/>
        <v>964</v>
      </c>
    </row>
    <row r="39" spans="2:32" ht="23.1" customHeight="1" x14ac:dyDescent="0.25">
      <c r="B39" s="46" t="s">
        <v>66</v>
      </c>
      <c r="C39" s="50">
        <v>2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24</v>
      </c>
      <c r="N39" s="50">
        <v>0</v>
      </c>
      <c r="O39" s="15">
        <f t="shared" si="0"/>
        <v>3</v>
      </c>
      <c r="P39" s="15">
        <f t="shared" si="1"/>
        <v>27</v>
      </c>
      <c r="R39" s="29" t="s">
        <v>87</v>
      </c>
      <c r="S39" s="16">
        <f t="shared" ref="S39:AF39" si="31">SUM(S19:S21)</f>
        <v>33</v>
      </c>
      <c r="T39" s="16">
        <f t="shared" si="31"/>
        <v>21</v>
      </c>
      <c r="U39" s="16">
        <f t="shared" si="31"/>
        <v>15</v>
      </c>
      <c r="V39" s="16">
        <f t="shared" si="31"/>
        <v>1</v>
      </c>
      <c r="W39" s="16">
        <f t="shared" si="31"/>
        <v>0</v>
      </c>
      <c r="X39" s="16">
        <f t="shared" si="31"/>
        <v>0</v>
      </c>
      <c r="Y39" s="16">
        <f t="shared" si="31"/>
        <v>5</v>
      </c>
      <c r="Z39" s="16">
        <f t="shared" si="31"/>
        <v>4</v>
      </c>
      <c r="AA39" s="16">
        <f t="shared" si="31"/>
        <v>0</v>
      </c>
      <c r="AB39" s="16">
        <f t="shared" si="31"/>
        <v>0</v>
      </c>
      <c r="AC39" s="16">
        <f t="shared" si="31"/>
        <v>512</v>
      </c>
      <c r="AD39" s="16">
        <f t="shared" si="31"/>
        <v>0</v>
      </c>
      <c r="AE39" s="32">
        <f t="shared" si="31"/>
        <v>79</v>
      </c>
      <c r="AF39" s="32">
        <f t="shared" si="31"/>
        <v>591</v>
      </c>
    </row>
    <row r="40" spans="2:32" ht="23.1" customHeight="1" x14ac:dyDescent="0.25">
      <c r="B40" s="46" t="s">
        <v>67</v>
      </c>
      <c r="C40" s="50">
        <v>0</v>
      </c>
      <c r="D40" s="50">
        <v>1</v>
      </c>
      <c r="E40" s="50">
        <v>2</v>
      </c>
      <c r="F40" s="50">
        <v>0</v>
      </c>
      <c r="G40" s="50">
        <v>0</v>
      </c>
      <c r="H40" s="50">
        <v>1</v>
      </c>
      <c r="I40" s="50">
        <v>0</v>
      </c>
      <c r="J40" s="50">
        <v>0</v>
      </c>
      <c r="K40" s="50">
        <v>0</v>
      </c>
      <c r="L40" s="50">
        <v>0</v>
      </c>
      <c r="M40" s="50">
        <v>43</v>
      </c>
      <c r="N40" s="50">
        <v>0</v>
      </c>
      <c r="O40" s="15">
        <f t="shared" si="0"/>
        <v>4</v>
      </c>
      <c r="P40" s="15">
        <f t="shared" si="1"/>
        <v>47</v>
      </c>
      <c r="R40" s="5" t="s">
        <v>17</v>
      </c>
      <c r="S40" s="16">
        <f t="shared" ref="S40:AF40" si="32">SUM(S10:S21)</f>
        <v>111</v>
      </c>
      <c r="T40" s="16">
        <f t="shared" si="32"/>
        <v>47</v>
      </c>
      <c r="U40" s="16">
        <f t="shared" si="32"/>
        <v>45</v>
      </c>
      <c r="V40" s="16">
        <f t="shared" si="32"/>
        <v>2</v>
      </c>
      <c r="W40" s="16">
        <f t="shared" si="32"/>
        <v>0</v>
      </c>
      <c r="X40" s="16">
        <f t="shared" si="32"/>
        <v>1</v>
      </c>
      <c r="Y40" s="16">
        <f t="shared" si="32"/>
        <v>19</v>
      </c>
      <c r="Z40" s="16">
        <f t="shared" si="32"/>
        <v>15</v>
      </c>
      <c r="AA40" s="16">
        <f t="shared" si="32"/>
        <v>0</v>
      </c>
      <c r="AB40" s="16">
        <f t="shared" si="32"/>
        <v>0</v>
      </c>
      <c r="AC40" s="16">
        <f t="shared" si="32"/>
        <v>1600</v>
      </c>
      <c r="AD40" s="16">
        <f t="shared" si="32"/>
        <v>0</v>
      </c>
      <c r="AE40" s="32">
        <f t="shared" si="32"/>
        <v>240</v>
      </c>
      <c r="AF40" s="32">
        <f t="shared" si="32"/>
        <v>1840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29</v>
      </c>
      <c r="N41" s="50">
        <v>0</v>
      </c>
      <c r="O41" s="15">
        <f t="shared" si="0"/>
        <v>2</v>
      </c>
      <c r="P41" s="15">
        <f t="shared" si="1"/>
        <v>31</v>
      </c>
      <c r="R41" s="5" t="s">
        <v>159</v>
      </c>
      <c r="S41" s="16">
        <f>SUM(S10:S33)</f>
        <v>189</v>
      </c>
      <c r="T41" s="16">
        <f t="shared" ref="T41:AF41" si="33">SUM(T10:T33)</f>
        <v>62</v>
      </c>
      <c r="U41" s="16">
        <f t="shared" si="33"/>
        <v>57</v>
      </c>
      <c r="V41" s="16">
        <f t="shared" si="33"/>
        <v>6</v>
      </c>
      <c r="W41" s="16">
        <f t="shared" si="33"/>
        <v>0</v>
      </c>
      <c r="X41" s="16">
        <f t="shared" si="33"/>
        <v>1</v>
      </c>
      <c r="Y41" s="16">
        <f t="shared" si="33"/>
        <v>24</v>
      </c>
      <c r="Z41" s="16">
        <f t="shared" si="33"/>
        <v>18</v>
      </c>
      <c r="AA41" s="16">
        <f t="shared" si="33"/>
        <v>0</v>
      </c>
      <c r="AB41" s="16">
        <f t="shared" si="33"/>
        <v>0</v>
      </c>
      <c r="AC41" s="16">
        <f t="shared" si="33"/>
        <v>2021</v>
      </c>
      <c r="AD41" s="16">
        <f t="shared" si="33"/>
        <v>0</v>
      </c>
      <c r="AE41" s="32">
        <f t="shared" si="33"/>
        <v>357</v>
      </c>
      <c r="AF41" s="32">
        <f t="shared" si="33"/>
        <v>2378</v>
      </c>
    </row>
    <row r="42" spans="2:32" ht="23.1" customHeight="1" x14ac:dyDescent="0.25">
      <c r="B42" s="46" t="s">
        <v>69</v>
      </c>
      <c r="C42" s="50">
        <v>10</v>
      </c>
      <c r="D42" s="50">
        <v>3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44</v>
      </c>
      <c r="N42" s="50">
        <v>0</v>
      </c>
      <c r="O42" s="15">
        <f t="shared" si="0"/>
        <v>14</v>
      </c>
      <c r="P42" s="15">
        <f t="shared" si="1"/>
        <v>58</v>
      </c>
      <c r="R42" s="5" t="s">
        <v>160</v>
      </c>
      <c r="S42" s="48">
        <f>S41/S40</f>
        <v>1.7027027027027026</v>
      </c>
      <c r="T42" s="48">
        <f t="shared" ref="T42:AF42" si="34">T41/T40</f>
        <v>1.3191489361702127</v>
      </c>
      <c r="U42" s="48">
        <f t="shared" si="34"/>
        <v>1.2666666666666666</v>
      </c>
      <c r="V42" s="48">
        <f t="shared" si="34"/>
        <v>3</v>
      </c>
      <c r="W42" s="48" t="e">
        <f t="shared" si="34"/>
        <v>#DIV/0!</v>
      </c>
      <c r="X42" s="48">
        <f t="shared" si="34"/>
        <v>1</v>
      </c>
      <c r="Y42" s="48">
        <f t="shared" si="34"/>
        <v>1.263157894736842</v>
      </c>
      <c r="Z42" s="48">
        <f t="shared" si="34"/>
        <v>1.2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1.2631250000000001</v>
      </c>
      <c r="AD42" s="48" t="e">
        <f t="shared" si="34"/>
        <v>#DIV/0!</v>
      </c>
      <c r="AE42" s="48">
        <f t="shared" si="34"/>
        <v>1.4875</v>
      </c>
      <c r="AF42" s="48">
        <f t="shared" si="34"/>
        <v>1.2923913043478261</v>
      </c>
    </row>
    <row r="43" spans="2:32" ht="23.1" customHeight="1" x14ac:dyDescent="0.25">
      <c r="B43" s="45" t="s">
        <v>70</v>
      </c>
      <c r="C43" s="50">
        <v>7</v>
      </c>
      <c r="D43" s="50">
        <v>1</v>
      </c>
      <c r="E43" s="50">
        <v>4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31</v>
      </c>
      <c r="N43" s="50">
        <v>0</v>
      </c>
      <c r="O43" s="15">
        <f t="shared" si="0"/>
        <v>12</v>
      </c>
      <c r="P43" s="15">
        <f t="shared" si="1"/>
        <v>43</v>
      </c>
    </row>
    <row r="44" spans="2:32" ht="23.1" customHeight="1" x14ac:dyDescent="0.25">
      <c r="B44" s="47" t="s">
        <v>71</v>
      </c>
      <c r="C44" s="50">
        <v>3</v>
      </c>
      <c r="D44" s="50">
        <v>0</v>
      </c>
      <c r="E44" s="50">
        <v>2</v>
      </c>
      <c r="F44" s="50">
        <v>0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32</v>
      </c>
      <c r="N44" s="50">
        <v>0</v>
      </c>
      <c r="O44" s="15">
        <f t="shared" si="0"/>
        <v>6</v>
      </c>
      <c r="P44" s="15">
        <f t="shared" si="1"/>
        <v>38</v>
      </c>
    </row>
    <row r="45" spans="2:32" ht="23.1" customHeight="1" x14ac:dyDescent="0.25">
      <c r="B45" s="45" t="s">
        <v>72</v>
      </c>
      <c r="C45" s="50">
        <v>2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37</v>
      </c>
      <c r="N45" s="50">
        <v>0</v>
      </c>
      <c r="O45" s="15">
        <f t="shared" si="0"/>
        <v>2</v>
      </c>
      <c r="P45" s="15">
        <f t="shared" si="1"/>
        <v>39</v>
      </c>
    </row>
    <row r="46" spans="2:32" ht="23.1" customHeight="1" x14ac:dyDescent="0.25">
      <c r="B46" s="46" t="s">
        <v>73</v>
      </c>
      <c r="C46" s="50">
        <v>4</v>
      </c>
      <c r="D46" s="50">
        <v>1</v>
      </c>
      <c r="E46" s="50">
        <v>2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37</v>
      </c>
      <c r="N46" s="50">
        <v>0</v>
      </c>
      <c r="O46" s="15">
        <f t="shared" si="0"/>
        <v>8</v>
      </c>
      <c r="P46" s="15">
        <f t="shared" si="1"/>
        <v>45</v>
      </c>
      <c r="R46" s="8"/>
      <c r="T46"/>
    </row>
    <row r="47" spans="2:32" ht="23.1" customHeight="1" x14ac:dyDescent="0.25">
      <c r="B47" s="46" t="s">
        <v>74</v>
      </c>
      <c r="C47" s="50">
        <v>5</v>
      </c>
      <c r="D47" s="50">
        <v>3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39</v>
      </c>
      <c r="N47" s="50">
        <v>0</v>
      </c>
      <c r="O47" s="15">
        <f t="shared" si="0"/>
        <v>9</v>
      </c>
      <c r="P47" s="15">
        <f t="shared" si="1"/>
        <v>48</v>
      </c>
      <c r="R47" s="8"/>
      <c r="T47"/>
    </row>
    <row r="48" spans="2:32" ht="23.1" customHeight="1" x14ac:dyDescent="0.25">
      <c r="B48" s="46" t="s">
        <v>75</v>
      </c>
      <c r="C48" s="50">
        <v>3</v>
      </c>
      <c r="D48" s="50">
        <v>0</v>
      </c>
      <c r="E48" s="50">
        <v>2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45</v>
      </c>
      <c r="N48" s="50">
        <v>0</v>
      </c>
      <c r="O48" s="15">
        <f t="shared" si="0"/>
        <v>6</v>
      </c>
      <c r="P48" s="15">
        <f t="shared" si="1"/>
        <v>51</v>
      </c>
      <c r="R48" s="8"/>
      <c r="T48"/>
    </row>
    <row r="49" spans="2:20" ht="23.1" customHeight="1" x14ac:dyDescent="0.25">
      <c r="B49" s="45" t="s">
        <v>76</v>
      </c>
      <c r="C49" s="50">
        <v>5</v>
      </c>
      <c r="D49" s="50">
        <v>2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38</v>
      </c>
      <c r="N49" s="50">
        <v>0</v>
      </c>
      <c r="O49" s="15">
        <f t="shared" si="0"/>
        <v>8</v>
      </c>
      <c r="P49" s="15">
        <f t="shared" si="1"/>
        <v>46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3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43</v>
      </c>
      <c r="N50" s="50">
        <v>0</v>
      </c>
      <c r="O50" s="15">
        <f t="shared" si="0"/>
        <v>6</v>
      </c>
      <c r="P50" s="15">
        <f t="shared" si="1"/>
        <v>49</v>
      </c>
      <c r="R50" s="8"/>
      <c r="T50"/>
    </row>
    <row r="51" spans="2:20" ht="23.1" customHeight="1" x14ac:dyDescent="0.25">
      <c r="B51" s="46" t="s">
        <v>78</v>
      </c>
      <c r="C51" s="50">
        <v>3</v>
      </c>
      <c r="D51" s="50">
        <v>1</v>
      </c>
      <c r="E51" s="50">
        <v>1</v>
      </c>
      <c r="F51" s="50">
        <v>1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39</v>
      </c>
      <c r="N51" s="50">
        <v>0</v>
      </c>
      <c r="O51" s="15">
        <f t="shared" si="0"/>
        <v>7</v>
      </c>
      <c r="P51" s="15">
        <f t="shared" si="1"/>
        <v>46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45</v>
      </c>
      <c r="N52" s="50">
        <v>0</v>
      </c>
      <c r="O52" s="15">
        <f t="shared" si="0"/>
        <v>1</v>
      </c>
      <c r="P52" s="15">
        <f t="shared" si="1"/>
        <v>46</v>
      </c>
      <c r="R52" s="8"/>
      <c r="T52"/>
    </row>
    <row r="53" spans="2:20" ht="23.1" customHeight="1" x14ac:dyDescent="0.25">
      <c r="B53" s="45" t="s">
        <v>80</v>
      </c>
      <c r="C53" s="50">
        <v>3</v>
      </c>
      <c r="D53" s="50">
        <v>3</v>
      </c>
      <c r="E53" s="50">
        <v>2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57</v>
      </c>
      <c r="N53" s="50">
        <v>0</v>
      </c>
      <c r="O53" s="15">
        <f t="shared" si="0"/>
        <v>8</v>
      </c>
      <c r="P53" s="15">
        <f t="shared" si="1"/>
        <v>65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3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43</v>
      </c>
      <c r="N54" s="50">
        <v>0</v>
      </c>
      <c r="O54" s="15">
        <f t="shared" si="0"/>
        <v>6</v>
      </c>
      <c r="P54" s="15">
        <f t="shared" si="1"/>
        <v>49</v>
      </c>
      <c r="R54" s="8"/>
      <c r="T54"/>
    </row>
    <row r="55" spans="2:20" ht="23.1" customHeight="1" x14ac:dyDescent="0.25">
      <c r="B55" s="45" t="s">
        <v>82</v>
      </c>
      <c r="C55" s="50">
        <v>3</v>
      </c>
      <c r="D55" s="50">
        <v>2</v>
      </c>
      <c r="E55" s="50">
        <v>2</v>
      </c>
      <c r="F55" s="50">
        <v>0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44</v>
      </c>
      <c r="N55" s="50">
        <v>0</v>
      </c>
      <c r="O55" s="15">
        <f t="shared" si="0"/>
        <v>9</v>
      </c>
      <c r="P55" s="15">
        <f t="shared" si="1"/>
        <v>53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0</v>
      </c>
      <c r="E56" s="50">
        <v>2</v>
      </c>
      <c r="F56" s="50">
        <v>0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42</v>
      </c>
      <c r="N56" s="50">
        <v>0</v>
      </c>
      <c r="O56" s="15">
        <f t="shared" si="0"/>
        <v>5</v>
      </c>
      <c r="P56" s="15">
        <f t="shared" si="1"/>
        <v>47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3</v>
      </c>
      <c r="E57" s="50">
        <v>2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40</v>
      </c>
      <c r="N57" s="50">
        <v>0</v>
      </c>
      <c r="O57" s="15">
        <f t="shared" si="0"/>
        <v>6</v>
      </c>
      <c r="P57" s="15">
        <f t="shared" si="1"/>
        <v>46</v>
      </c>
      <c r="R57" s="8"/>
      <c r="T57"/>
    </row>
    <row r="58" spans="2:20" ht="23.1" customHeight="1" x14ac:dyDescent="0.25">
      <c r="B58" s="45" t="s">
        <v>99</v>
      </c>
      <c r="C58" s="50">
        <v>3</v>
      </c>
      <c r="D58" s="50">
        <v>0</v>
      </c>
      <c r="E58" s="50">
        <v>2</v>
      </c>
      <c r="F58" s="50">
        <v>0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54</v>
      </c>
      <c r="N58" s="50">
        <v>0</v>
      </c>
      <c r="O58" s="15">
        <f t="shared" ref="O58:O105" si="35">SUM(C58:L58,N58)</f>
        <v>6</v>
      </c>
      <c r="P58" s="15">
        <f t="shared" ref="P58:P105" si="36">SUM(C58:N58)</f>
        <v>60</v>
      </c>
      <c r="R58" s="8"/>
      <c r="T58"/>
    </row>
    <row r="59" spans="2:20" ht="23.1" customHeight="1" x14ac:dyDescent="0.25">
      <c r="B59" s="45" t="s">
        <v>100</v>
      </c>
      <c r="C59" s="50">
        <v>5</v>
      </c>
      <c r="D59" s="50">
        <v>0</v>
      </c>
      <c r="E59" s="50">
        <v>1</v>
      </c>
      <c r="F59" s="50">
        <v>1</v>
      </c>
      <c r="G59" s="50">
        <v>0</v>
      </c>
      <c r="H59" s="50">
        <v>0</v>
      </c>
      <c r="I59" s="50">
        <v>2</v>
      </c>
      <c r="J59" s="50">
        <v>0</v>
      </c>
      <c r="K59" s="50">
        <v>0</v>
      </c>
      <c r="L59" s="50">
        <v>0</v>
      </c>
      <c r="M59" s="50">
        <v>60</v>
      </c>
      <c r="N59" s="50">
        <v>0</v>
      </c>
      <c r="O59" s="15">
        <f t="shared" si="35"/>
        <v>9</v>
      </c>
      <c r="P59" s="15">
        <f t="shared" si="36"/>
        <v>69</v>
      </c>
      <c r="R59" s="8"/>
      <c r="T59"/>
    </row>
    <row r="60" spans="2:20" ht="23.1" customHeight="1" x14ac:dyDescent="0.25">
      <c r="B60" s="45" t="s">
        <v>101</v>
      </c>
      <c r="C60" s="50">
        <v>2</v>
      </c>
      <c r="D60" s="50">
        <v>0</v>
      </c>
      <c r="E60" s="50">
        <v>2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55</v>
      </c>
      <c r="N60" s="50">
        <v>0</v>
      </c>
      <c r="O60" s="15">
        <f t="shared" si="35"/>
        <v>4</v>
      </c>
      <c r="P60" s="15">
        <f t="shared" si="36"/>
        <v>59</v>
      </c>
      <c r="R60" s="8"/>
      <c r="T60"/>
    </row>
    <row r="61" spans="2:20" ht="23.1" customHeight="1" x14ac:dyDescent="0.25">
      <c r="B61" s="45" t="s">
        <v>102</v>
      </c>
      <c r="C61" s="50">
        <v>6</v>
      </c>
      <c r="D61" s="50">
        <v>3</v>
      </c>
      <c r="E61" s="50">
        <v>0</v>
      </c>
      <c r="F61" s="50">
        <v>0</v>
      </c>
      <c r="G61" s="50">
        <v>0</v>
      </c>
      <c r="H61" s="50">
        <v>0</v>
      </c>
      <c r="I61" s="50">
        <v>1</v>
      </c>
      <c r="J61" s="50">
        <v>2</v>
      </c>
      <c r="K61" s="50">
        <v>0</v>
      </c>
      <c r="L61" s="50">
        <v>0</v>
      </c>
      <c r="M61" s="50">
        <v>43</v>
      </c>
      <c r="N61" s="50">
        <v>0</v>
      </c>
      <c r="O61" s="15">
        <f t="shared" si="35"/>
        <v>12</v>
      </c>
      <c r="P61" s="15">
        <f t="shared" si="36"/>
        <v>55</v>
      </c>
      <c r="R61" s="8"/>
      <c r="T61"/>
    </row>
    <row r="62" spans="2:20" ht="23.1" customHeight="1" x14ac:dyDescent="0.25">
      <c r="B62" s="45" t="s">
        <v>107</v>
      </c>
      <c r="C62" s="50">
        <v>3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36</v>
      </c>
      <c r="N62" s="50">
        <v>0</v>
      </c>
      <c r="O62" s="15">
        <f t="shared" si="35"/>
        <v>3</v>
      </c>
      <c r="P62" s="15">
        <f t="shared" si="36"/>
        <v>39</v>
      </c>
      <c r="R62" s="8"/>
      <c r="T62"/>
    </row>
    <row r="63" spans="2:20" ht="23.1" customHeight="1" x14ac:dyDescent="0.25">
      <c r="B63" s="45" t="s">
        <v>108</v>
      </c>
      <c r="C63" s="50">
        <v>5</v>
      </c>
      <c r="D63" s="50">
        <v>0</v>
      </c>
      <c r="E63" s="50">
        <v>2</v>
      </c>
      <c r="F63" s="50">
        <v>1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26</v>
      </c>
      <c r="N63" s="50">
        <v>0</v>
      </c>
      <c r="O63" s="15">
        <f t="shared" si="35"/>
        <v>8</v>
      </c>
      <c r="P63" s="15">
        <f t="shared" si="36"/>
        <v>34</v>
      </c>
      <c r="R63" s="8"/>
      <c r="T63"/>
    </row>
    <row r="64" spans="2:20" ht="23.1" customHeight="1" x14ac:dyDescent="0.25">
      <c r="B64" s="45" t="s">
        <v>109</v>
      </c>
      <c r="C64" s="50">
        <v>2</v>
      </c>
      <c r="D64" s="50">
        <v>1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20</v>
      </c>
      <c r="N64" s="50">
        <v>0</v>
      </c>
      <c r="O64" s="15">
        <f t="shared" si="35"/>
        <v>4</v>
      </c>
      <c r="P64" s="15">
        <f t="shared" si="36"/>
        <v>24</v>
      </c>
      <c r="R64" s="8"/>
      <c r="T64"/>
    </row>
    <row r="65" spans="2:20" ht="23.1" customHeight="1" x14ac:dyDescent="0.25">
      <c r="B65" s="45" t="s">
        <v>158</v>
      </c>
      <c r="C65" s="50">
        <v>3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16</v>
      </c>
      <c r="N65" s="50">
        <v>0</v>
      </c>
      <c r="O65" s="15">
        <f t="shared" si="35"/>
        <v>3</v>
      </c>
      <c r="P65" s="15">
        <f t="shared" si="36"/>
        <v>19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v>1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14</v>
      </c>
      <c r="N66" s="50">
        <v>0</v>
      </c>
      <c r="O66" s="15">
        <f t="shared" si="35"/>
        <v>5</v>
      </c>
      <c r="P66" s="15">
        <f t="shared" si="36"/>
        <v>19</v>
      </c>
      <c r="R66" s="8"/>
      <c r="T66"/>
    </row>
    <row r="67" spans="2:20" ht="23.1" customHeight="1" x14ac:dyDescent="0.25">
      <c r="B67" s="45" t="s">
        <v>104</v>
      </c>
      <c r="C67" s="50">
        <v>4</v>
      </c>
      <c r="D67" s="50">
        <v>2</v>
      </c>
      <c r="E67" s="50">
        <v>1</v>
      </c>
      <c r="F67" s="50">
        <v>1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15</v>
      </c>
      <c r="N67" s="50">
        <v>0</v>
      </c>
      <c r="O67" s="15">
        <f t="shared" si="35"/>
        <v>8</v>
      </c>
      <c r="P67" s="15">
        <f t="shared" si="36"/>
        <v>23</v>
      </c>
      <c r="R67" s="8"/>
      <c r="T67"/>
    </row>
    <row r="68" spans="2:20" ht="23.1" customHeight="1" x14ac:dyDescent="0.25">
      <c r="B68" s="45" t="s">
        <v>105</v>
      </c>
      <c r="C68" s="50">
        <v>8</v>
      </c>
      <c r="D68" s="50">
        <v>2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11</v>
      </c>
      <c r="N68" s="50">
        <v>0</v>
      </c>
      <c r="O68" s="15">
        <f t="shared" si="35"/>
        <v>10</v>
      </c>
      <c r="P68" s="15">
        <f t="shared" si="36"/>
        <v>21</v>
      </c>
      <c r="R68" s="8"/>
      <c r="T68"/>
    </row>
    <row r="69" spans="2:20" ht="23.1" customHeight="1" x14ac:dyDescent="0.25">
      <c r="B69" s="45" t="s">
        <v>106</v>
      </c>
      <c r="C69" s="50">
        <v>4</v>
      </c>
      <c r="D69" s="50">
        <v>1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11</v>
      </c>
      <c r="N69" s="50">
        <v>0</v>
      </c>
      <c r="O69" s="15">
        <f t="shared" si="35"/>
        <v>5</v>
      </c>
      <c r="P69" s="15">
        <f t="shared" si="36"/>
        <v>16</v>
      </c>
      <c r="R69" s="8"/>
      <c r="T69"/>
    </row>
    <row r="70" spans="2:20" ht="23.1" customHeight="1" x14ac:dyDescent="0.25">
      <c r="B70" s="45" t="s">
        <v>110</v>
      </c>
      <c r="C70" s="50">
        <v>8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8</v>
      </c>
      <c r="N70" s="50">
        <v>0</v>
      </c>
      <c r="O70" s="15">
        <f t="shared" si="35"/>
        <v>8</v>
      </c>
      <c r="P70" s="15">
        <f t="shared" si="36"/>
        <v>16</v>
      </c>
      <c r="R70" s="8"/>
      <c r="T70"/>
    </row>
    <row r="71" spans="2:20" ht="23.1" customHeight="1" x14ac:dyDescent="0.25">
      <c r="B71" s="45" t="s">
        <v>111</v>
      </c>
      <c r="C71" s="50">
        <v>3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10</v>
      </c>
      <c r="N71" s="50">
        <v>0</v>
      </c>
      <c r="O71" s="15">
        <f t="shared" si="35"/>
        <v>4</v>
      </c>
      <c r="P71" s="15">
        <f t="shared" si="36"/>
        <v>14</v>
      </c>
      <c r="R71" s="8"/>
      <c r="T71"/>
    </row>
    <row r="72" spans="2:20" ht="23.1" customHeight="1" x14ac:dyDescent="0.25">
      <c r="B72" s="45" t="s">
        <v>112</v>
      </c>
      <c r="C72" s="50">
        <v>5</v>
      </c>
      <c r="D72" s="50">
        <v>1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4</v>
      </c>
      <c r="N72" s="50">
        <v>0</v>
      </c>
      <c r="O72" s="15">
        <f t="shared" si="35"/>
        <v>6</v>
      </c>
      <c r="P72" s="15">
        <f t="shared" si="36"/>
        <v>10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1</v>
      </c>
      <c r="E73" s="50">
        <v>1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6</v>
      </c>
      <c r="N73" s="50">
        <v>0</v>
      </c>
      <c r="O73" s="15">
        <f t="shared" si="35"/>
        <v>4</v>
      </c>
      <c r="P73" s="15">
        <f t="shared" si="36"/>
        <v>10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1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3</v>
      </c>
      <c r="N74" s="50">
        <v>0</v>
      </c>
      <c r="O74" s="15">
        <f t="shared" si="35"/>
        <v>1</v>
      </c>
      <c r="P74" s="15">
        <f t="shared" si="36"/>
        <v>4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4</v>
      </c>
      <c r="N75" s="50">
        <v>0</v>
      </c>
      <c r="O75" s="15">
        <f t="shared" si="35"/>
        <v>1</v>
      </c>
      <c r="P75" s="15">
        <f t="shared" si="36"/>
        <v>5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1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1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</v>
      </c>
      <c r="N77" s="50">
        <v>0</v>
      </c>
      <c r="O77" s="15">
        <f t="shared" si="35"/>
        <v>1</v>
      </c>
      <c r="P77" s="15">
        <f t="shared" si="36"/>
        <v>3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0</v>
      </c>
      <c r="P78" s="15">
        <f t="shared" si="36"/>
        <v>1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0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2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1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1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1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0</v>
      </c>
      <c r="P98" s="15">
        <f t="shared" si="36"/>
        <v>1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1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1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2</v>
      </c>
      <c r="N100" s="50">
        <v>0</v>
      </c>
      <c r="O100" s="15">
        <f t="shared" si="35"/>
        <v>1</v>
      </c>
      <c r="P100" s="15">
        <f t="shared" si="36"/>
        <v>3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</v>
      </c>
      <c r="N101" s="50">
        <v>0</v>
      </c>
      <c r="O101" s="15">
        <f t="shared" si="35"/>
        <v>2</v>
      </c>
      <c r="P101" s="15">
        <f t="shared" si="36"/>
        <v>3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1</v>
      </c>
      <c r="N102" s="50">
        <v>0</v>
      </c>
      <c r="O102" s="15">
        <f t="shared" si="35"/>
        <v>1</v>
      </c>
      <c r="P102" s="15">
        <f t="shared" si="36"/>
        <v>2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1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2</v>
      </c>
      <c r="N103" s="50">
        <v>0</v>
      </c>
      <c r="O103" s="15">
        <f t="shared" si="35"/>
        <v>1</v>
      </c>
      <c r="P103" s="15">
        <f t="shared" si="36"/>
        <v>3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4</v>
      </c>
      <c r="N104" s="50">
        <v>0</v>
      </c>
      <c r="O104" s="15">
        <f t="shared" si="35"/>
        <v>1</v>
      </c>
      <c r="P104" s="15">
        <f t="shared" si="36"/>
        <v>5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1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7</v>
      </c>
      <c r="N105" s="50">
        <v>0</v>
      </c>
      <c r="O105" s="15">
        <f t="shared" si="35"/>
        <v>1</v>
      </c>
      <c r="P105" s="15">
        <f t="shared" si="36"/>
        <v>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189</v>
      </c>
      <c r="D106" s="16">
        <f t="shared" ref="D106:P106" si="37">SUM(D10:D105)</f>
        <v>62</v>
      </c>
      <c r="E106" s="16">
        <f t="shared" si="37"/>
        <v>57</v>
      </c>
      <c r="F106" s="16">
        <f t="shared" si="37"/>
        <v>6</v>
      </c>
      <c r="G106" s="16">
        <f t="shared" si="37"/>
        <v>0</v>
      </c>
      <c r="H106" s="16">
        <f t="shared" si="37"/>
        <v>1</v>
      </c>
      <c r="I106" s="16">
        <f t="shared" si="37"/>
        <v>24</v>
      </c>
      <c r="J106" s="16">
        <f t="shared" si="37"/>
        <v>18</v>
      </c>
      <c r="K106" s="16">
        <f t="shared" si="37"/>
        <v>0</v>
      </c>
      <c r="L106" s="16">
        <f t="shared" si="37"/>
        <v>0</v>
      </c>
      <c r="M106" s="16">
        <f t="shared" si="37"/>
        <v>2021</v>
      </c>
      <c r="N106" s="16">
        <f t="shared" si="37"/>
        <v>0</v>
      </c>
      <c r="O106" s="16">
        <f t="shared" si="37"/>
        <v>357</v>
      </c>
      <c r="P106" s="16">
        <f t="shared" si="37"/>
        <v>2378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7.9478553406223715E-2</v>
      </c>
      <c r="D107" s="43">
        <f t="shared" si="38"/>
        <v>2.6072329688814129E-2</v>
      </c>
      <c r="E107" s="43">
        <f t="shared" si="38"/>
        <v>2.3969722455845249E-2</v>
      </c>
      <c r="F107" s="43">
        <f t="shared" si="38"/>
        <v>2.5231286795626578E-3</v>
      </c>
      <c r="G107" s="43">
        <f t="shared" si="38"/>
        <v>0</v>
      </c>
      <c r="H107" s="43">
        <f t="shared" si="38"/>
        <v>4.2052144659377626E-4</v>
      </c>
      <c r="I107" s="43">
        <f t="shared" si="38"/>
        <v>1.0092514718250631E-2</v>
      </c>
      <c r="J107" s="43">
        <f t="shared" si="38"/>
        <v>7.569386038687973E-3</v>
      </c>
      <c r="K107" s="43">
        <f t="shared" si="38"/>
        <v>0</v>
      </c>
      <c r="L107" s="43">
        <f t="shared" si="38"/>
        <v>0</v>
      </c>
      <c r="M107" s="43">
        <f t="shared" si="38"/>
        <v>0.84987384356602191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0.52941176470588236</v>
      </c>
      <c r="D108" s="44">
        <f t="shared" ref="D108:N108" si="39">D106/$O$106</f>
        <v>0.17366946778711484</v>
      </c>
      <c r="E108" s="44">
        <f t="shared" si="39"/>
        <v>0.15966386554621848</v>
      </c>
      <c r="F108" s="44">
        <f t="shared" si="39"/>
        <v>1.680672268907563E-2</v>
      </c>
      <c r="G108" s="44">
        <f t="shared" si="39"/>
        <v>0</v>
      </c>
      <c r="H108" s="44">
        <f t="shared" si="39"/>
        <v>2.8011204481792717E-3</v>
      </c>
      <c r="I108" s="44">
        <f t="shared" si="39"/>
        <v>6.7226890756302518E-2</v>
      </c>
      <c r="J108" s="44">
        <f t="shared" si="39"/>
        <v>5.0420168067226892E-2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topLeftCell="A49" zoomScale="60" workbookViewId="0">
      <selection activeCell="F13" sqref="F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tr">
        <f>'27.10 KISORO-CYANIKA'!C3:G3</f>
        <v>MCC - C4 - STN135 - KISORO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58" t="str">
        <f>'27.10 CYANIKA-KISORO'!G5:H5</f>
        <v>STATION 135</v>
      </c>
      <c r="H5" s="59"/>
      <c r="I5" s="14"/>
      <c r="J5" s="2" t="s">
        <v>5</v>
      </c>
      <c r="K5" s="58" t="str">
        <f>'27.10 CYANIKA-KISORO'!K5:L5</f>
        <v>COMFORT AHEBWA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tr">
        <f>'27.10 CYANIKA-KISORO'!D6:E6</f>
        <v>CYANIKA</v>
      </c>
      <c r="E6" s="59"/>
      <c r="F6" s="2" t="s">
        <v>2</v>
      </c>
      <c r="G6" s="58" t="str">
        <f>'27.10 CYANIKA-KISORO'!G6:H6</f>
        <v>KISORO</v>
      </c>
      <c r="H6" s="59"/>
      <c r="J6" s="2" t="s">
        <v>21</v>
      </c>
      <c r="K6" s="58" t="str">
        <f>'27.10 CYANIKA-KISORO'!K6:L6</f>
        <v>BELLA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13</v>
      </c>
      <c r="R10" s="1" t="s">
        <v>6</v>
      </c>
      <c r="S10" s="17">
        <f t="shared" ref="S10:AF10" si="2">SUM(C10:C13)</f>
        <v>8</v>
      </c>
      <c r="T10" s="17">
        <f t="shared" si="2"/>
        <v>3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41</v>
      </c>
      <c r="AD10" s="17">
        <f t="shared" si="2"/>
        <v>0</v>
      </c>
      <c r="AE10" s="31">
        <f t="shared" si="2"/>
        <v>12</v>
      </c>
      <c r="AF10" s="31">
        <f t="shared" si="2"/>
        <v>53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12</v>
      </c>
      <c r="N11" s="50">
        <v>0</v>
      </c>
      <c r="O11" s="15">
        <f t="shared" si="0"/>
        <v>3</v>
      </c>
      <c r="P11" s="15">
        <f t="shared" si="1"/>
        <v>15</v>
      </c>
      <c r="R11" s="1" t="s">
        <v>7</v>
      </c>
      <c r="S11" s="17">
        <f t="shared" ref="S11:AF11" si="3">SUM(C14:C17)</f>
        <v>4</v>
      </c>
      <c r="T11" s="17">
        <f t="shared" si="3"/>
        <v>1</v>
      </c>
      <c r="U11" s="17">
        <f t="shared" si="3"/>
        <v>4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40</v>
      </c>
      <c r="AD11" s="17">
        <f t="shared" si="3"/>
        <v>0</v>
      </c>
      <c r="AE11" s="31">
        <f t="shared" si="3"/>
        <v>11</v>
      </c>
      <c r="AF11" s="31">
        <f t="shared" si="3"/>
        <v>51</v>
      </c>
    </row>
    <row r="12" spans="2:32" ht="23.1" customHeight="1" x14ac:dyDescent="0.25">
      <c r="B12" s="23" t="s">
        <v>39</v>
      </c>
      <c r="C12" s="50">
        <v>1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2</v>
      </c>
      <c r="P12" s="15">
        <f t="shared" si="1"/>
        <v>8</v>
      </c>
      <c r="R12" s="1" t="s">
        <v>8</v>
      </c>
      <c r="S12" s="17">
        <f t="shared" ref="S12:AF12" si="4">SUM(C18:C21)</f>
        <v>10</v>
      </c>
      <c r="T12" s="17">
        <f t="shared" si="4"/>
        <v>4</v>
      </c>
      <c r="U12" s="17">
        <f t="shared" si="4"/>
        <v>0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4</v>
      </c>
      <c r="AA12" s="17">
        <f t="shared" si="4"/>
        <v>0</v>
      </c>
      <c r="AB12" s="17">
        <f t="shared" si="4"/>
        <v>0</v>
      </c>
      <c r="AC12" s="17">
        <f t="shared" si="4"/>
        <v>73</v>
      </c>
      <c r="AD12" s="17">
        <f t="shared" si="4"/>
        <v>0</v>
      </c>
      <c r="AE12" s="31">
        <f t="shared" si="4"/>
        <v>19</v>
      </c>
      <c r="AF12" s="31">
        <f t="shared" si="4"/>
        <v>92</v>
      </c>
    </row>
    <row r="13" spans="2:32" ht="23.1" customHeight="1" x14ac:dyDescent="0.25">
      <c r="B13" s="23" t="s">
        <v>40</v>
      </c>
      <c r="C13" s="50">
        <v>4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11</v>
      </c>
      <c r="N13" s="50">
        <v>0</v>
      </c>
      <c r="O13" s="15">
        <f t="shared" si="0"/>
        <v>6</v>
      </c>
      <c r="P13" s="15">
        <f t="shared" si="1"/>
        <v>17</v>
      </c>
      <c r="R13" s="1" t="s">
        <v>9</v>
      </c>
      <c r="S13" s="17">
        <f t="shared" ref="S13:AF13" si="5">SUM(C22:C25)</f>
        <v>8</v>
      </c>
      <c r="T13" s="17">
        <f t="shared" si="5"/>
        <v>3</v>
      </c>
      <c r="U13" s="17">
        <f t="shared" si="5"/>
        <v>4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116</v>
      </c>
      <c r="AD13" s="17">
        <f t="shared" si="5"/>
        <v>0</v>
      </c>
      <c r="AE13" s="31">
        <f t="shared" si="5"/>
        <v>18</v>
      </c>
      <c r="AF13" s="31">
        <f t="shared" si="5"/>
        <v>134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9</v>
      </c>
      <c r="N14" s="50">
        <v>0</v>
      </c>
      <c r="O14" s="15">
        <f t="shared" si="0"/>
        <v>4</v>
      </c>
      <c r="P14" s="15">
        <f t="shared" si="1"/>
        <v>13</v>
      </c>
      <c r="R14" s="1" t="s">
        <v>10</v>
      </c>
      <c r="S14" s="17">
        <f t="shared" ref="S14:AF14" si="6">SUM(C26:C29)</f>
        <v>14</v>
      </c>
      <c r="T14" s="17">
        <f t="shared" si="6"/>
        <v>5</v>
      </c>
      <c r="U14" s="17">
        <f t="shared" si="6"/>
        <v>1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128</v>
      </c>
      <c r="AD14" s="17">
        <f t="shared" si="6"/>
        <v>0</v>
      </c>
      <c r="AE14" s="31">
        <f t="shared" si="6"/>
        <v>24</v>
      </c>
      <c r="AF14" s="31">
        <f t="shared" si="6"/>
        <v>152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1</v>
      </c>
      <c r="P15" s="15">
        <f t="shared" si="1"/>
        <v>5</v>
      </c>
      <c r="R15" s="1" t="s">
        <v>11</v>
      </c>
      <c r="S15" s="17">
        <f t="shared" ref="S15:AF15" si="7">SUM(C30:C33)</f>
        <v>6</v>
      </c>
      <c r="T15" s="17">
        <f t="shared" si="7"/>
        <v>3</v>
      </c>
      <c r="U15" s="17">
        <f t="shared" si="7"/>
        <v>5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111</v>
      </c>
      <c r="AD15" s="17">
        <f t="shared" si="7"/>
        <v>0</v>
      </c>
      <c r="AE15" s="31">
        <f t="shared" si="7"/>
        <v>17</v>
      </c>
      <c r="AF15" s="31">
        <f t="shared" si="7"/>
        <v>128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12</v>
      </c>
      <c r="N16" s="50">
        <v>0</v>
      </c>
      <c r="O16" s="15">
        <f t="shared" si="0"/>
        <v>2</v>
      </c>
      <c r="P16" s="15">
        <f t="shared" si="1"/>
        <v>14</v>
      </c>
      <c r="R16" s="1" t="s">
        <v>12</v>
      </c>
      <c r="S16" s="17">
        <f t="shared" ref="S16:AF16" si="8">SUM(C34:C37)</f>
        <v>10</v>
      </c>
      <c r="T16" s="17">
        <f t="shared" si="8"/>
        <v>2</v>
      </c>
      <c r="U16" s="17">
        <f t="shared" si="8"/>
        <v>3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119</v>
      </c>
      <c r="AD16" s="17">
        <f t="shared" si="8"/>
        <v>0</v>
      </c>
      <c r="AE16" s="31">
        <f t="shared" si="8"/>
        <v>19</v>
      </c>
      <c r="AF16" s="31">
        <f t="shared" si="8"/>
        <v>138</v>
      </c>
    </row>
    <row r="17" spans="2:32" ht="23.1" customHeight="1" x14ac:dyDescent="0.25">
      <c r="B17" s="23" t="s">
        <v>44</v>
      </c>
      <c r="C17" s="50">
        <v>2</v>
      </c>
      <c r="D17" s="50">
        <v>1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4</v>
      </c>
      <c r="P17" s="15">
        <f t="shared" si="1"/>
        <v>19</v>
      </c>
      <c r="R17" s="1" t="s">
        <v>13</v>
      </c>
      <c r="S17" s="17">
        <f t="shared" ref="S17:AF17" si="9">SUM(C38:C41)</f>
        <v>6</v>
      </c>
      <c r="T17" s="17">
        <f t="shared" si="9"/>
        <v>6</v>
      </c>
      <c r="U17" s="17">
        <f t="shared" si="9"/>
        <v>2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93</v>
      </c>
      <c r="AD17" s="17">
        <f t="shared" si="9"/>
        <v>0</v>
      </c>
      <c r="AE17" s="31">
        <f t="shared" si="9"/>
        <v>18</v>
      </c>
      <c r="AF17" s="31">
        <f t="shared" si="9"/>
        <v>111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14</v>
      </c>
      <c r="N18" s="50">
        <v>0</v>
      </c>
      <c r="O18" s="15">
        <f t="shared" si="0"/>
        <v>2</v>
      </c>
      <c r="P18" s="15">
        <f t="shared" si="1"/>
        <v>16</v>
      </c>
      <c r="R18" s="1" t="s">
        <v>14</v>
      </c>
      <c r="S18" s="17">
        <f t="shared" ref="S18:AF18" si="10">SUM(C42:C45)</f>
        <v>5</v>
      </c>
      <c r="T18" s="17">
        <f t="shared" si="10"/>
        <v>3</v>
      </c>
      <c r="U18" s="17">
        <f t="shared" si="10"/>
        <v>2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117</v>
      </c>
      <c r="AD18" s="17">
        <f t="shared" si="10"/>
        <v>0</v>
      </c>
      <c r="AE18" s="31">
        <f t="shared" si="10"/>
        <v>13</v>
      </c>
      <c r="AF18" s="31">
        <f t="shared" si="10"/>
        <v>130</v>
      </c>
    </row>
    <row r="19" spans="2:32" ht="23.1" customHeight="1" x14ac:dyDescent="0.25">
      <c r="B19" s="23" t="s">
        <v>46</v>
      </c>
      <c r="C19" s="50">
        <v>3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12</v>
      </c>
      <c r="N19" s="50">
        <v>0</v>
      </c>
      <c r="O19" s="15">
        <f t="shared" si="0"/>
        <v>4</v>
      </c>
      <c r="P19" s="15">
        <f t="shared" si="1"/>
        <v>16</v>
      </c>
      <c r="R19" s="1" t="s">
        <v>15</v>
      </c>
      <c r="S19" s="17">
        <f t="shared" ref="S19:AF19" si="11">SUM(C46:C49)</f>
        <v>5</v>
      </c>
      <c r="T19" s="17">
        <f t="shared" si="11"/>
        <v>0</v>
      </c>
      <c r="U19" s="17">
        <f t="shared" si="11"/>
        <v>2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4</v>
      </c>
      <c r="AA19" s="17">
        <f t="shared" si="11"/>
        <v>0</v>
      </c>
      <c r="AB19" s="17">
        <f t="shared" si="11"/>
        <v>0</v>
      </c>
      <c r="AC19" s="17">
        <f t="shared" si="11"/>
        <v>121</v>
      </c>
      <c r="AD19" s="17">
        <f t="shared" si="11"/>
        <v>0</v>
      </c>
      <c r="AE19" s="31">
        <f t="shared" si="11"/>
        <v>11</v>
      </c>
      <c r="AF19" s="31">
        <f t="shared" si="11"/>
        <v>132</v>
      </c>
    </row>
    <row r="20" spans="2:32" ht="23.1" customHeight="1" x14ac:dyDescent="0.25">
      <c r="B20" s="23" t="s">
        <v>47</v>
      </c>
      <c r="C20" s="50">
        <v>2</v>
      </c>
      <c r="D20" s="50">
        <v>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3</v>
      </c>
      <c r="K20" s="50">
        <v>0</v>
      </c>
      <c r="L20" s="50">
        <v>0</v>
      </c>
      <c r="M20" s="50">
        <v>26</v>
      </c>
      <c r="N20" s="50">
        <v>0</v>
      </c>
      <c r="O20" s="15">
        <f t="shared" si="0"/>
        <v>9</v>
      </c>
      <c r="P20" s="15">
        <f t="shared" si="1"/>
        <v>35</v>
      </c>
      <c r="R20" s="1" t="s">
        <v>16</v>
      </c>
      <c r="S20" s="17">
        <f t="shared" ref="S20:AF20" si="12">SUM(C50:C53)</f>
        <v>5</v>
      </c>
      <c r="T20" s="17">
        <f t="shared" si="12"/>
        <v>3</v>
      </c>
      <c r="U20" s="17">
        <f t="shared" si="12"/>
        <v>2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6</v>
      </c>
      <c r="AA20" s="17">
        <f t="shared" si="12"/>
        <v>0</v>
      </c>
      <c r="AB20" s="17">
        <f t="shared" si="12"/>
        <v>0</v>
      </c>
      <c r="AC20" s="17">
        <f t="shared" si="12"/>
        <v>122</v>
      </c>
      <c r="AD20" s="17">
        <f t="shared" si="12"/>
        <v>0</v>
      </c>
      <c r="AE20" s="31">
        <f t="shared" si="12"/>
        <v>16</v>
      </c>
      <c r="AF20" s="31">
        <f t="shared" si="12"/>
        <v>138</v>
      </c>
    </row>
    <row r="21" spans="2:32" ht="23.1" customHeight="1" x14ac:dyDescent="0.25">
      <c r="B21" s="23" t="s">
        <v>48</v>
      </c>
      <c r="C21" s="50">
        <v>4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21</v>
      </c>
      <c r="N21" s="50">
        <v>0</v>
      </c>
      <c r="O21" s="15">
        <f t="shared" si="0"/>
        <v>4</v>
      </c>
      <c r="P21" s="15">
        <f t="shared" si="1"/>
        <v>25</v>
      </c>
      <c r="R21" s="36" t="s">
        <v>20</v>
      </c>
      <c r="S21" s="34">
        <f t="shared" ref="S21:AF21" si="13">SUM(C54:C57)</f>
        <v>9</v>
      </c>
      <c r="T21" s="17">
        <f t="shared" si="13"/>
        <v>1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6</v>
      </c>
      <c r="AA21" s="17">
        <f t="shared" si="13"/>
        <v>0</v>
      </c>
      <c r="AB21" s="17">
        <f t="shared" si="13"/>
        <v>0</v>
      </c>
      <c r="AC21" s="17">
        <f t="shared" si="13"/>
        <v>133</v>
      </c>
      <c r="AD21" s="17">
        <f t="shared" si="13"/>
        <v>0</v>
      </c>
      <c r="AE21" s="31">
        <f t="shared" si="13"/>
        <v>18</v>
      </c>
      <c r="AF21" s="31">
        <f t="shared" si="13"/>
        <v>151</v>
      </c>
    </row>
    <row r="22" spans="2:32" ht="23.1" customHeight="1" x14ac:dyDescent="0.25">
      <c r="B22" s="23" t="s">
        <v>49</v>
      </c>
      <c r="C22" s="50">
        <v>0</v>
      </c>
      <c r="D22" s="50">
        <v>1</v>
      </c>
      <c r="E22" s="50">
        <v>2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22</v>
      </c>
      <c r="N22" s="50">
        <v>0</v>
      </c>
      <c r="O22" s="15">
        <f t="shared" si="0"/>
        <v>3</v>
      </c>
      <c r="P22" s="15">
        <f t="shared" si="1"/>
        <v>25</v>
      </c>
      <c r="R22" s="38" t="s">
        <v>90</v>
      </c>
      <c r="S22" s="39">
        <f>MAX(S10:S12)</f>
        <v>10</v>
      </c>
      <c r="T22" s="39">
        <f t="shared" ref="T22:AF22" si="14">MAX(T10:T12)</f>
        <v>4</v>
      </c>
      <c r="U22" s="39">
        <f t="shared" si="14"/>
        <v>4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4</v>
      </c>
      <c r="AA22" s="39">
        <f t="shared" si="14"/>
        <v>0</v>
      </c>
      <c r="AB22" s="39">
        <f t="shared" si="14"/>
        <v>0</v>
      </c>
      <c r="AC22" s="39">
        <f t="shared" si="14"/>
        <v>73</v>
      </c>
      <c r="AD22" s="39">
        <f t="shared" si="14"/>
        <v>0</v>
      </c>
      <c r="AE22" s="40">
        <f t="shared" si="14"/>
        <v>19</v>
      </c>
      <c r="AF22" s="40">
        <f t="shared" si="14"/>
        <v>92</v>
      </c>
    </row>
    <row r="23" spans="2:32" ht="23.1" customHeight="1" x14ac:dyDescent="0.25">
      <c r="B23" s="23" t="s">
        <v>50</v>
      </c>
      <c r="C23" s="50">
        <v>4</v>
      </c>
      <c r="D23" s="50">
        <v>1</v>
      </c>
      <c r="E23" s="50">
        <v>0</v>
      </c>
      <c r="F23" s="50">
        <v>1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31</v>
      </c>
      <c r="N23" s="50">
        <v>0</v>
      </c>
      <c r="O23" s="15">
        <f t="shared" si="0"/>
        <v>7</v>
      </c>
      <c r="P23" s="15">
        <f t="shared" si="1"/>
        <v>38</v>
      </c>
      <c r="R23" s="38" t="s">
        <v>91</v>
      </c>
      <c r="S23" s="39">
        <f>MAX(S13:S18)</f>
        <v>14</v>
      </c>
      <c r="T23" s="39">
        <f t="shared" ref="T23:AF23" si="15">MAX(T13:T18)</f>
        <v>6</v>
      </c>
      <c r="U23" s="39">
        <f t="shared" si="15"/>
        <v>5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1</v>
      </c>
      <c r="Z23" s="39">
        <f t="shared" si="15"/>
        <v>3</v>
      </c>
      <c r="AA23" s="39">
        <f t="shared" si="15"/>
        <v>0</v>
      </c>
      <c r="AB23" s="39">
        <f t="shared" si="15"/>
        <v>0</v>
      </c>
      <c r="AC23" s="39">
        <f t="shared" si="15"/>
        <v>128</v>
      </c>
      <c r="AD23" s="39">
        <f t="shared" si="15"/>
        <v>0</v>
      </c>
      <c r="AE23" s="40">
        <f t="shared" si="15"/>
        <v>24</v>
      </c>
      <c r="AF23" s="40">
        <f t="shared" si="15"/>
        <v>152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1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36</v>
      </c>
      <c r="N24" s="50">
        <v>0</v>
      </c>
      <c r="O24" s="15">
        <f t="shared" si="0"/>
        <v>3</v>
      </c>
      <c r="P24" s="15">
        <f t="shared" si="1"/>
        <v>39</v>
      </c>
      <c r="R24" s="38" t="s">
        <v>92</v>
      </c>
      <c r="S24" s="39">
        <f>MAX(S19:S21)</f>
        <v>9</v>
      </c>
      <c r="T24" s="39">
        <f t="shared" ref="T24:AF24" si="16">MAX(T19:T21)</f>
        <v>3</v>
      </c>
      <c r="U24" s="39">
        <f t="shared" si="16"/>
        <v>2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0</v>
      </c>
      <c r="Z24" s="39">
        <f t="shared" si="16"/>
        <v>6</v>
      </c>
      <c r="AA24" s="39">
        <f t="shared" si="16"/>
        <v>0</v>
      </c>
      <c r="AB24" s="39">
        <f t="shared" si="16"/>
        <v>0</v>
      </c>
      <c r="AC24" s="39">
        <f t="shared" si="16"/>
        <v>133</v>
      </c>
      <c r="AD24" s="39">
        <f t="shared" si="16"/>
        <v>0</v>
      </c>
      <c r="AE24" s="40">
        <f t="shared" si="16"/>
        <v>18</v>
      </c>
      <c r="AF24" s="40">
        <f t="shared" si="16"/>
        <v>151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27</v>
      </c>
      <c r="N25" s="50">
        <v>0</v>
      </c>
      <c r="O25" s="15">
        <f t="shared" si="0"/>
        <v>5</v>
      </c>
      <c r="P25" s="15">
        <f t="shared" si="1"/>
        <v>32</v>
      </c>
      <c r="R25" s="37" t="s">
        <v>85</v>
      </c>
      <c r="S25" s="35">
        <f t="shared" ref="S25:AF25" si="17">SUM(S10:S12)</f>
        <v>22</v>
      </c>
      <c r="T25" s="16">
        <f t="shared" si="17"/>
        <v>8</v>
      </c>
      <c r="U25" s="16">
        <f t="shared" si="17"/>
        <v>4</v>
      </c>
      <c r="V25" s="16">
        <f t="shared" si="17"/>
        <v>1</v>
      </c>
      <c r="W25" s="16">
        <f t="shared" si="17"/>
        <v>0</v>
      </c>
      <c r="X25" s="16">
        <f t="shared" si="17"/>
        <v>0</v>
      </c>
      <c r="Y25" s="16">
        <f t="shared" si="17"/>
        <v>2</v>
      </c>
      <c r="Z25" s="16">
        <f t="shared" si="17"/>
        <v>5</v>
      </c>
      <c r="AA25" s="16">
        <f t="shared" si="17"/>
        <v>0</v>
      </c>
      <c r="AB25" s="16">
        <f t="shared" si="17"/>
        <v>0</v>
      </c>
      <c r="AC25" s="16">
        <f t="shared" si="17"/>
        <v>154</v>
      </c>
      <c r="AD25" s="16">
        <f t="shared" si="17"/>
        <v>0</v>
      </c>
      <c r="AE25" s="32">
        <f t="shared" si="17"/>
        <v>42</v>
      </c>
      <c r="AF25" s="32">
        <f t="shared" si="17"/>
        <v>196</v>
      </c>
    </row>
    <row r="26" spans="2:32" ht="23.1" customHeight="1" x14ac:dyDescent="0.25">
      <c r="B26" s="23" t="s">
        <v>53</v>
      </c>
      <c r="C26" s="50">
        <v>5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29</v>
      </c>
      <c r="N26" s="50">
        <v>0</v>
      </c>
      <c r="O26" s="15">
        <f t="shared" si="0"/>
        <v>8</v>
      </c>
      <c r="P26" s="15">
        <f t="shared" si="1"/>
        <v>37</v>
      </c>
      <c r="R26" s="28" t="s">
        <v>86</v>
      </c>
      <c r="S26" s="16">
        <f t="shared" ref="S26:AF26" si="18">SUM(S13:S18)</f>
        <v>49</v>
      </c>
      <c r="T26" s="16">
        <f t="shared" si="18"/>
        <v>22</v>
      </c>
      <c r="U26" s="16">
        <f t="shared" si="18"/>
        <v>17</v>
      </c>
      <c r="V26" s="16">
        <f t="shared" si="18"/>
        <v>3</v>
      </c>
      <c r="W26" s="16">
        <f t="shared" si="18"/>
        <v>0</v>
      </c>
      <c r="X26" s="16">
        <f t="shared" si="18"/>
        <v>0</v>
      </c>
      <c r="Y26" s="16">
        <f t="shared" si="18"/>
        <v>4</v>
      </c>
      <c r="Z26" s="16">
        <f t="shared" si="18"/>
        <v>14</v>
      </c>
      <c r="AA26" s="16">
        <f t="shared" si="18"/>
        <v>0</v>
      </c>
      <c r="AB26" s="16">
        <f t="shared" si="18"/>
        <v>0</v>
      </c>
      <c r="AC26" s="16">
        <f t="shared" si="18"/>
        <v>684</v>
      </c>
      <c r="AD26" s="16">
        <f t="shared" si="18"/>
        <v>0</v>
      </c>
      <c r="AE26" s="32">
        <f t="shared" si="18"/>
        <v>109</v>
      </c>
      <c r="AF26" s="32">
        <f t="shared" si="18"/>
        <v>793</v>
      </c>
    </row>
    <row r="27" spans="2:32" ht="23.1" customHeight="1" x14ac:dyDescent="0.25">
      <c r="B27" s="23" t="s">
        <v>54</v>
      </c>
      <c r="C27" s="50">
        <v>4</v>
      </c>
      <c r="D27" s="50">
        <v>2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30</v>
      </c>
      <c r="N27" s="50">
        <v>0</v>
      </c>
      <c r="O27" s="15">
        <f t="shared" si="0"/>
        <v>7</v>
      </c>
      <c r="P27" s="15">
        <f t="shared" si="1"/>
        <v>37</v>
      </c>
      <c r="R27" s="29" t="s">
        <v>87</v>
      </c>
      <c r="S27" s="16">
        <f t="shared" ref="S27:AF27" si="19">SUM(S19:S21)</f>
        <v>19</v>
      </c>
      <c r="T27" s="16">
        <f t="shared" si="19"/>
        <v>4</v>
      </c>
      <c r="U27" s="16">
        <f t="shared" si="19"/>
        <v>6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0</v>
      </c>
      <c r="Z27" s="16">
        <f t="shared" si="19"/>
        <v>16</v>
      </c>
      <c r="AA27" s="16">
        <f t="shared" si="19"/>
        <v>0</v>
      </c>
      <c r="AB27" s="16">
        <f t="shared" si="19"/>
        <v>0</v>
      </c>
      <c r="AC27" s="16">
        <f t="shared" si="19"/>
        <v>376</v>
      </c>
      <c r="AD27" s="16">
        <f t="shared" si="19"/>
        <v>0</v>
      </c>
      <c r="AE27" s="32">
        <f t="shared" si="19"/>
        <v>45</v>
      </c>
      <c r="AF27" s="32">
        <f t="shared" si="19"/>
        <v>421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38</v>
      </c>
      <c r="N28" s="50">
        <v>0</v>
      </c>
      <c r="O28" s="15">
        <f t="shared" si="0"/>
        <v>3</v>
      </c>
      <c r="P28" s="15">
        <f t="shared" si="1"/>
        <v>41</v>
      </c>
      <c r="R28" s="5" t="s">
        <v>17</v>
      </c>
      <c r="S28" s="16">
        <f t="shared" ref="S28:AF28" si="20">SUM(S10:S21)</f>
        <v>90</v>
      </c>
      <c r="T28" s="16">
        <f t="shared" si="20"/>
        <v>34</v>
      </c>
      <c r="U28" s="16">
        <f t="shared" si="20"/>
        <v>27</v>
      </c>
      <c r="V28" s="16">
        <f t="shared" si="20"/>
        <v>4</v>
      </c>
      <c r="W28" s="16">
        <f t="shared" si="20"/>
        <v>0</v>
      </c>
      <c r="X28" s="16">
        <f t="shared" si="20"/>
        <v>0</v>
      </c>
      <c r="Y28" s="16">
        <f t="shared" si="20"/>
        <v>6</v>
      </c>
      <c r="Z28" s="16">
        <f t="shared" si="20"/>
        <v>35</v>
      </c>
      <c r="AA28" s="16">
        <f t="shared" si="20"/>
        <v>0</v>
      </c>
      <c r="AB28" s="16">
        <f t="shared" si="20"/>
        <v>0</v>
      </c>
      <c r="AC28" s="16">
        <f t="shared" si="20"/>
        <v>1214</v>
      </c>
      <c r="AD28" s="16">
        <f t="shared" si="20"/>
        <v>0</v>
      </c>
      <c r="AE28" s="32">
        <f t="shared" si="20"/>
        <v>196</v>
      </c>
      <c r="AF28" s="32">
        <f t="shared" si="20"/>
        <v>1410</v>
      </c>
    </row>
    <row r="29" spans="2:32" ht="23.1" customHeight="1" x14ac:dyDescent="0.25">
      <c r="B29" s="23" t="s">
        <v>56</v>
      </c>
      <c r="C29" s="50">
        <v>3</v>
      </c>
      <c r="D29" s="50">
        <v>2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31</v>
      </c>
      <c r="N29" s="50">
        <v>0</v>
      </c>
      <c r="O29" s="15">
        <f t="shared" si="0"/>
        <v>6</v>
      </c>
      <c r="P29" s="15">
        <f t="shared" si="1"/>
        <v>37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23</v>
      </c>
      <c r="N30" s="50">
        <v>0</v>
      </c>
      <c r="O30" s="15">
        <f t="shared" si="0"/>
        <v>3</v>
      </c>
      <c r="P30" s="15">
        <f t="shared" si="1"/>
        <v>26</v>
      </c>
    </row>
    <row r="31" spans="2:32" ht="23.1" customHeight="1" x14ac:dyDescent="0.25">
      <c r="B31" s="24" t="s">
        <v>58</v>
      </c>
      <c r="C31" s="50">
        <v>1</v>
      </c>
      <c r="D31" s="50">
        <v>1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29</v>
      </c>
      <c r="N31" s="50">
        <v>0</v>
      </c>
      <c r="O31" s="15">
        <f t="shared" si="0"/>
        <v>5</v>
      </c>
      <c r="P31" s="15">
        <f t="shared" si="1"/>
        <v>34</v>
      </c>
    </row>
    <row r="32" spans="2:32" ht="23.1" customHeight="1" x14ac:dyDescent="0.25">
      <c r="B32" s="24" t="s">
        <v>59</v>
      </c>
      <c r="C32" s="50">
        <v>2</v>
      </c>
      <c r="D32" s="50">
        <v>1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21</v>
      </c>
      <c r="N32" s="50">
        <v>0</v>
      </c>
      <c r="O32" s="15">
        <f t="shared" si="0"/>
        <v>5</v>
      </c>
      <c r="P32" s="15">
        <f t="shared" si="1"/>
        <v>26</v>
      </c>
    </row>
    <row r="33" spans="2:20" ht="23.1" customHeight="1" x14ac:dyDescent="0.25">
      <c r="B33" s="23" t="s">
        <v>60</v>
      </c>
      <c r="C33" s="50">
        <v>1</v>
      </c>
      <c r="D33" s="50">
        <v>1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38</v>
      </c>
      <c r="N33" s="50">
        <v>0</v>
      </c>
      <c r="O33" s="15">
        <f t="shared" si="0"/>
        <v>4</v>
      </c>
      <c r="P33" s="15">
        <f t="shared" si="1"/>
        <v>42</v>
      </c>
    </row>
    <row r="34" spans="2:20" ht="23.1" customHeight="1" x14ac:dyDescent="0.25">
      <c r="B34" s="24" t="s">
        <v>61</v>
      </c>
      <c r="C34" s="50">
        <v>3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25</v>
      </c>
      <c r="N34" s="50">
        <v>0</v>
      </c>
      <c r="O34" s="15">
        <f t="shared" si="0"/>
        <v>5</v>
      </c>
      <c r="P34" s="15">
        <f t="shared" si="1"/>
        <v>30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39</v>
      </c>
      <c r="N35" s="50">
        <v>0</v>
      </c>
      <c r="O35" s="15">
        <f t="shared" si="0"/>
        <v>5</v>
      </c>
      <c r="P35" s="15">
        <f t="shared" si="1"/>
        <v>44</v>
      </c>
    </row>
    <row r="36" spans="2:20" ht="23.1" customHeight="1" x14ac:dyDescent="0.25">
      <c r="B36" s="24" t="s">
        <v>63</v>
      </c>
      <c r="C36" s="50">
        <v>3</v>
      </c>
      <c r="D36" s="50">
        <v>1</v>
      </c>
      <c r="E36" s="50">
        <v>2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22</v>
      </c>
      <c r="N36" s="50">
        <v>0</v>
      </c>
      <c r="O36" s="15">
        <f t="shared" si="0"/>
        <v>7</v>
      </c>
      <c r="P36" s="15">
        <f t="shared" si="1"/>
        <v>29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33</v>
      </c>
      <c r="N37" s="50">
        <v>0</v>
      </c>
      <c r="O37" s="15">
        <f t="shared" si="0"/>
        <v>2</v>
      </c>
      <c r="P37" s="15">
        <f t="shared" si="1"/>
        <v>35</v>
      </c>
    </row>
    <row r="38" spans="2:20" ht="23.1" customHeight="1" x14ac:dyDescent="0.25">
      <c r="B38" s="24" t="s">
        <v>65</v>
      </c>
      <c r="C38" s="50">
        <v>1</v>
      </c>
      <c r="D38" s="50">
        <v>2</v>
      </c>
      <c r="E38" s="50">
        <v>2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24</v>
      </c>
      <c r="N38" s="50">
        <v>0</v>
      </c>
      <c r="O38" s="15">
        <f t="shared" si="0"/>
        <v>6</v>
      </c>
      <c r="P38" s="15">
        <f t="shared" si="1"/>
        <v>30</v>
      </c>
    </row>
    <row r="39" spans="2:20" ht="23.1" customHeight="1" x14ac:dyDescent="0.25">
      <c r="B39" s="24" t="s">
        <v>66</v>
      </c>
      <c r="C39" s="50">
        <v>1</v>
      </c>
      <c r="D39" s="50">
        <v>1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19</v>
      </c>
      <c r="N39" s="50">
        <v>0</v>
      </c>
      <c r="O39" s="15">
        <f t="shared" si="0"/>
        <v>3</v>
      </c>
      <c r="P39" s="15">
        <f t="shared" si="1"/>
        <v>22</v>
      </c>
    </row>
    <row r="40" spans="2:20" ht="23.1" customHeight="1" x14ac:dyDescent="0.25">
      <c r="B40" s="24" t="s">
        <v>67</v>
      </c>
      <c r="C40" s="50">
        <v>3</v>
      </c>
      <c r="D40" s="50">
        <v>2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2</v>
      </c>
      <c r="K40" s="50">
        <v>0</v>
      </c>
      <c r="L40" s="50">
        <v>0</v>
      </c>
      <c r="M40" s="50">
        <v>22</v>
      </c>
      <c r="N40" s="50">
        <v>0</v>
      </c>
      <c r="O40" s="15">
        <f t="shared" si="0"/>
        <v>7</v>
      </c>
      <c r="P40" s="15">
        <f t="shared" si="1"/>
        <v>29</v>
      </c>
    </row>
    <row r="41" spans="2:20" ht="23.1" customHeight="1" x14ac:dyDescent="0.25">
      <c r="B41" s="23" t="s">
        <v>68</v>
      </c>
      <c r="C41" s="50">
        <v>1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28</v>
      </c>
      <c r="N41" s="50">
        <v>0</v>
      </c>
      <c r="O41" s="15">
        <f t="shared" si="0"/>
        <v>2</v>
      </c>
      <c r="P41" s="15">
        <f t="shared" si="1"/>
        <v>30</v>
      </c>
    </row>
    <row r="42" spans="2:20" ht="23.1" customHeight="1" x14ac:dyDescent="0.25">
      <c r="B42" s="24" t="s">
        <v>69</v>
      </c>
      <c r="C42" s="50">
        <v>4</v>
      </c>
      <c r="D42" s="50">
        <v>2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34</v>
      </c>
      <c r="N42" s="50">
        <v>0</v>
      </c>
      <c r="O42" s="15">
        <f t="shared" si="0"/>
        <v>7</v>
      </c>
      <c r="P42" s="15">
        <f t="shared" si="1"/>
        <v>41</v>
      </c>
    </row>
    <row r="43" spans="2:20" ht="23.1" customHeight="1" x14ac:dyDescent="0.25">
      <c r="B43" s="23" t="s">
        <v>70</v>
      </c>
      <c r="C43" s="50">
        <v>0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31</v>
      </c>
      <c r="N43" s="50">
        <v>0</v>
      </c>
      <c r="O43" s="15">
        <f t="shared" si="0"/>
        <v>2</v>
      </c>
      <c r="P43" s="15">
        <f t="shared" si="1"/>
        <v>33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50">
        <v>25</v>
      </c>
      <c r="N44" s="50">
        <v>0</v>
      </c>
      <c r="O44" s="15">
        <f t="shared" si="0"/>
        <v>2</v>
      </c>
      <c r="P44" s="15">
        <f t="shared" si="1"/>
        <v>27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27</v>
      </c>
      <c r="N45" s="50">
        <v>0</v>
      </c>
      <c r="O45" s="15">
        <f t="shared" si="0"/>
        <v>2</v>
      </c>
      <c r="P45" s="15">
        <f t="shared" si="1"/>
        <v>29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3</v>
      </c>
      <c r="K46" s="50">
        <v>0</v>
      </c>
      <c r="L46" s="50">
        <v>0</v>
      </c>
      <c r="M46" s="50">
        <v>33</v>
      </c>
      <c r="N46" s="50">
        <v>0</v>
      </c>
      <c r="O46" s="15">
        <f t="shared" si="0"/>
        <v>5</v>
      </c>
      <c r="P46" s="15">
        <f t="shared" si="1"/>
        <v>38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2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34</v>
      </c>
      <c r="N47" s="50">
        <v>0</v>
      </c>
      <c r="O47" s="15">
        <f t="shared" si="0"/>
        <v>2</v>
      </c>
      <c r="P47" s="15">
        <f t="shared" si="1"/>
        <v>36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27</v>
      </c>
      <c r="N48" s="50">
        <v>0</v>
      </c>
      <c r="O48" s="15">
        <f t="shared" si="0"/>
        <v>3</v>
      </c>
      <c r="P48" s="15">
        <f t="shared" si="1"/>
        <v>30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27</v>
      </c>
      <c r="N49" s="50">
        <v>0</v>
      </c>
      <c r="O49" s="15">
        <f t="shared" si="0"/>
        <v>1</v>
      </c>
      <c r="P49" s="15">
        <f t="shared" si="1"/>
        <v>28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25</v>
      </c>
      <c r="N50" s="50">
        <v>0</v>
      </c>
      <c r="O50" s="15">
        <f t="shared" si="0"/>
        <v>3</v>
      </c>
      <c r="P50" s="15">
        <f t="shared" si="1"/>
        <v>28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2</v>
      </c>
      <c r="K51" s="50">
        <v>0</v>
      </c>
      <c r="L51" s="50">
        <v>0</v>
      </c>
      <c r="M51" s="50">
        <v>27</v>
      </c>
      <c r="N51" s="50">
        <v>0</v>
      </c>
      <c r="O51" s="15">
        <f t="shared" si="0"/>
        <v>3</v>
      </c>
      <c r="P51" s="15">
        <f t="shared" si="1"/>
        <v>30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2</v>
      </c>
      <c r="E52" s="50">
        <v>2</v>
      </c>
      <c r="F52" s="50">
        <v>0</v>
      </c>
      <c r="G52" s="50">
        <v>0</v>
      </c>
      <c r="H52" s="50">
        <v>0</v>
      </c>
      <c r="I52" s="50">
        <v>0</v>
      </c>
      <c r="J52" s="50">
        <v>3</v>
      </c>
      <c r="K52" s="50">
        <v>0</v>
      </c>
      <c r="L52" s="50">
        <v>0</v>
      </c>
      <c r="M52" s="50">
        <v>34</v>
      </c>
      <c r="N52" s="50">
        <v>0</v>
      </c>
      <c r="O52" s="15">
        <f t="shared" si="0"/>
        <v>8</v>
      </c>
      <c r="P52" s="15">
        <f t="shared" si="1"/>
        <v>42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36</v>
      </c>
      <c r="N53" s="50">
        <v>0</v>
      </c>
      <c r="O53" s="15">
        <f t="shared" si="0"/>
        <v>2</v>
      </c>
      <c r="P53" s="15">
        <f t="shared" si="1"/>
        <v>38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3</v>
      </c>
      <c r="K54" s="50">
        <v>0</v>
      </c>
      <c r="L54" s="50">
        <v>0</v>
      </c>
      <c r="M54" s="50">
        <v>29</v>
      </c>
      <c r="N54" s="50">
        <v>0</v>
      </c>
      <c r="O54" s="15">
        <f t="shared" si="0"/>
        <v>7</v>
      </c>
      <c r="P54" s="15">
        <f t="shared" si="1"/>
        <v>36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31</v>
      </c>
      <c r="N55" s="50">
        <v>0</v>
      </c>
      <c r="O55" s="15">
        <f t="shared" si="0"/>
        <v>3</v>
      </c>
      <c r="P55" s="15">
        <f t="shared" si="1"/>
        <v>34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34</v>
      </c>
      <c r="N56" s="50">
        <v>0</v>
      </c>
      <c r="O56" s="15">
        <f t="shared" si="0"/>
        <v>2</v>
      </c>
      <c r="P56" s="15">
        <f t="shared" si="1"/>
        <v>36</v>
      </c>
      <c r="R56" s="8"/>
      <c r="T56"/>
    </row>
    <row r="57" spans="2:20" ht="23.1" customHeight="1" x14ac:dyDescent="0.25">
      <c r="B57" s="23" t="s">
        <v>84</v>
      </c>
      <c r="C57" s="50">
        <v>3</v>
      </c>
      <c r="D57" s="50">
        <v>1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39</v>
      </c>
      <c r="N57" s="50">
        <v>0</v>
      </c>
      <c r="O57" s="15">
        <f t="shared" si="0"/>
        <v>6</v>
      </c>
      <c r="P57" s="15">
        <f t="shared" si="1"/>
        <v>45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90</v>
      </c>
      <c r="D58" s="16">
        <f t="shared" si="21"/>
        <v>34</v>
      </c>
      <c r="E58" s="16">
        <f t="shared" si="21"/>
        <v>27</v>
      </c>
      <c r="F58" s="16">
        <f t="shared" si="21"/>
        <v>4</v>
      </c>
      <c r="G58" s="16">
        <f t="shared" si="21"/>
        <v>0</v>
      </c>
      <c r="H58" s="16">
        <f t="shared" si="21"/>
        <v>0</v>
      </c>
      <c r="I58" s="16">
        <f t="shared" si="21"/>
        <v>6</v>
      </c>
      <c r="J58" s="16">
        <f t="shared" si="21"/>
        <v>35</v>
      </c>
      <c r="K58" s="16">
        <f t="shared" si="21"/>
        <v>0</v>
      </c>
      <c r="L58" s="16">
        <f t="shared" si="21"/>
        <v>0</v>
      </c>
      <c r="M58" s="16">
        <f t="shared" si="21"/>
        <v>1214</v>
      </c>
      <c r="N58" s="16">
        <f t="shared" si="21"/>
        <v>0</v>
      </c>
      <c r="O58" s="16">
        <f t="shared" si="21"/>
        <v>196</v>
      </c>
      <c r="P58" s="16">
        <f t="shared" si="21"/>
        <v>1410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6.3829787234042548E-2</v>
      </c>
      <c r="D59" s="43">
        <f t="shared" si="22"/>
        <v>2.4113475177304965E-2</v>
      </c>
      <c r="E59" s="43">
        <f t="shared" si="22"/>
        <v>1.9148936170212766E-2</v>
      </c>
      <c r="F59" s="43">
        <f t="shared" si="22"/>
        <v>2.8368794326241137E-3</v>
      </c>
      <c r="G59" s="43">
        <f t="shared" si="22"/>
        <v>0</v>
      </c>
      <c r="H59" s="43">
        <f t="shared" si="22"/>
        <v>0</v>
      </c>
      <c r="I59" s="43">
        <f t="shared" si="22"/>
        <v>4.2553191489361703E-3</v>
      </c>
      <c r="J59" s="43">
        <f t="shared" si="22"/>
        <v>2.4822695035460994E-2</v>
      </c>
      <c r="K59" s="43">
        <f t="shared" si="22"/>
        <v>0</v>
      </c>
      <c r="L59" s="43">
        <f t="shared" si="22"/>
        <v>0</v>
      </c>
      <c r="M59" s="43">
        <f t="shared" si="22"/>
        <v>0.86099290780141846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0.45918367346938777</v>
      </c>
      <c r="D60" s="44">
        <f t="shared" ref="D60:N60" si="23">D58/$O$58</f>
        <v>0.17346938775510204</v>
      </c>
      <c r="E60" s="44">
        <f t="shared" si="23"/>
        <v>0.13775510204081631</v>
      </c>
      <c r="F60" s="44">
        <f t="shared" si="23"/>
        <v>2.0408163265306121E-2</v>
      </c>
      <c r="G60" s="44">
        <f t="shared" si="23"/>
        <v>0</v>
      </c>
      <c r="H60" s="44">
        <f t="shared" si="23"/>
        <v>0</v>
      </c>
      <c r="I60" s="44">
        <f t="shared" si="23"/>
        <v>3.0612244897959183E-2</v>
      </c>
      <c r="J60" s="44">
        <f t="shared" si="23"/>
        <v>0.17857142857142858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topLeftCell="A40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tr">
        <f>'27.10 KISORO-CYANIKA'!C3:G3</f>
        <v>MCC - C4 - STN135 - KISORO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'26.10 CYANIKA-KISORO'!D5</f>
        <v>26.10.19</v>
      </c>
      <c r="E5" s="3"/>
      <c r="F5" s="41" t="s">
        <v>1</v>
      </c>
      <c r="G5" s="58" t="str">
        <f>'27.10 CYANIKA-KISORO'!G5:H5</f>
        <v>STATION 135</v>
      </c>
      <c r="H5" s="59"/>
      <c r="I5" s="14"/>
      <c r="J5" s="2" t="s">
        <v>5</v>
      </c>
      <c r="K5" s="58" t="s">
        <v>170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tr">
        <f>'27.10 KISORO-CYANIKA'!D6:E6</f>
        <v>KISORO</v>
      </c>
      <c r="E6" s="59"/>
      <c r="F6" s="2" t="s">
        <v>2</v>
      </c>
      <c r="G6" s="58" t="str">
        <f>'27.10 KISORO-CYANIKA'!G6:H6</f>
        <v>CYANIKA</v>
      </c>
      <c r="H6" s="59"/>
      <c r="J6" s="2" t="s">
        <v>21</v>
      </c>
      <c r="K6" s="58" t="str">
        <f>'27.10 CYANIKA-KISORO'!K6:L6</f>
        <v>BELLA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7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29</v>
      </c>
      <c r="AD10" s="17">
        <f t="shared" si="2"/>
        <v>0</v>
      </c>
      <c r="AE10" s="31">
        <f t="shared" si="2"/>
        <v>11</v>
      </c>
      <c r="AF10" s="31">
        <f t="shared" si="2"/>
        <v>40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4</v>
      </c>
      <c r="P11" s="15">
        <f t="shared" si="1"/>
        <v>10</v>
      </c>
      <c r="R11" s="1" t="s">
        <v>7</v>
      </c>
      <c r="S11" s="17">
        <f t="shared" ref="S11:AF11" si="3">SUM(C14:C17)</f>
        <v>7</v>
      </c>
      <c r="T11" s="17">
        <f t="shared" si="3"/>
        <v>2</v>
      </c>
      <c r="U11" s="17">
        <f t="shared" si="3"/>
        <v>1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34</v>
      </c>
      <c r="AD11" s="17">
        <f t="shared" si="3"/>
        <v>0</v>
      </c>
      <c r="AE11" s="31">
        <f t="shared" si="3"/>
        <v>14</v>
      </c>
      <c r="AF11" s="31">
        <f t="shared" si="3"/>
        <v>48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11</v>
      </c>
      <c r="N12" s="50">
        <v>0</v>
      </c>
      <c r="O12" s="15">
        <f t="shared" si="0"/>
        <v>1</v>
      </c>
      <c r="P12" s="15">
        <f t="shared" si="1"/>
        <v>12</v>
      </c>
      <c r="R12" s="1" t="s">
        <v>8</v>
      </c>
      <c r="S12" s="17">
        <f t="shared" ref="S12:AF12" si="4">SUM(C18:C21)</f>
        <v>2</v>
      </c>
      <c r="T12" s="17">
        <f t="shared" si="4"/>
        <v>5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4</v>
      </c>
      <c r="AA12" s="17">
        <f t="shared" si="4"/>
        <v>0</v>
      </c>
      <c r="AB12" s="17">
        <f t="shared" si="4"/>
        <v>0</v>
      </c>
      <c r="AC12" s="17">
        <f t="shared" si="4"/>
        <v>73</v>
      </c>
      <c r="AD12" s="17">
        <f t="shared" si="4"/>
        <v>0</v>
      </c>
      <c r="AE12" s="31">
        <f t="shared" si="4"/>
        <v>13</v>
      </c>
      <c r="AF12" s="31">
        <f t="shared" si="4"/>
        <v>86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11</v>
      </c>
      <c r="N13" s="50">
        <v>0</v>
      </c>
      <c r="O13" s="15">
        <f t="shared" si="0"/>
        <v>2</v>
      </c>
      <c r="P13" s="15">
        <f t="shared" si="1"/>
        <v>13</v>
      </c>
      <c r="R13" s="1" t="s">
        <v>9</v>
      </c>
      <c r="S13" s="17">
        <f t="shared" ref="S13:AF13" si="5">SUM(C22:C25)</f>
        <v>7</v>
      </c>
      <c r="T13" s="17">
        <f t="shared" si="5"/>
        <v>0</v>
      </c>
      <c r="U13" s="17">
        <f t="shared" si="5"/>
        <v>4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5</v>
      </c>
      <c r="AA13" s="17">
        <f t="shared" si="5"/>
        <v>0</v>
      </c>
      <c r="AB13" s="17">
        <f t="shared" si="5"/>
        <v>0</v>
      </c>
      <c r="AC13" s="17">
        <f t="shared" si="5"/>
        <v>113</v>
      </c>
      <c r="AD13" s="17">
        <f t="shared" si="5"/>
        <v>0</v>
      </c>
      <c r="AE13" s="31">
        <f t="shared" si="5"/>
        <v>21</v>
      </c>
      <c r="AF13" s="31">
        <f t="shared" si="5"/>
        <v>134</v>
      </c>
    </row>
    <row r="14" spans="2:32" ht="23.1" customHeight="1" x14ac:dyDescent="0.25">
      <c r="B14" s="23" t="s">
        <v>41</v>
      </c>
      <c r="C14" s="50">
        <v>2</v>
      </c>
      <c r="D14" s="50">
        <v>2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5</v>
      </c>
      <c r="P14" s="15">
        <f t="shared" si="1"/>
        <v>11</v>
      </c>
      <c r="R14" s="1" t="s">
        <v>10</v>
      </c>
      <c r="S14" s="17">
        <f t="shared" ref="S14:AF14" si="6">SUM(C26:C29)</f>
        <v>5</v>
      </c>
      <c r="T14" s="17">
        <f t="shared" si="6"/>
        <v>6</v>
      </c>
      <c r="U14" s="17">
        <f t="shared" si="6"/>
        <v>2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151</v>
      </c>
      <c r="AD14" s="17">
        <f t="shared" si="6"/>
        <v>0</v>
      </c>
      <c r="AE14" s="31">
        <f t="shared" si="6"/>
        <v>18</v>
      </c>
      <c r="AF14" s="31">
        <f t="shared" si="6"/>
        <v>169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5</v>
      </c>
      <c r="P15" s="15">
        <f t="shared" si="1"/>
        <v>9</v>
      </c>
      <c r="R15" s="1" t="s">
        <v>11</v>
      </c>
      <c r="S15" s="17">
        <f t="shared" ref="S15:AF15" si="7">SUM(C30:C33)</f>
        <v>6</v>
      </c>
      <c r="T15" s="17">
        <f t="shared" si="7"/>
        <v>3</v>
      </c>
      <c r="U15" s="17">
        <f t="shared" si="7"/>
        <v>4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5</v>
      </c>
      <c r="AA15" s="17">
        <f t="shared" si="7"/>
        <v>0</v>
      </c>
      <c r="AB15" s="17">
        <f t="shared" si="7"/>
        <v>0</v>
      </c>
      <c r="AC15" s="17">
        <f t="shared" si="7"/>
        <v>153</v>
      </c>
      <c r="AD15" s="17">
        <f t="shared" si="7"/>
        <v>0</v>
      </c>
      <c r="AE15" s="31">
        <f t="shared" si="7"/>
        <v>19</v>
      </c>
      <c r="AF15" s="31">
        <f t="shared" si="7"/>
        <v>172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12</v>
      </c>
      <c r="N16" s="50">
        <v>0</v>
      </c>
      <c r="O16" s="15">
        <f t="shared" si="0"/>
        <v>2</v>
      </c>
      <c r="P16" s="15">
        <f t="shared" si="1"/>
        <v>14</v>
      </c>
      <c r="R16" s="1" t="s">
        <v>12</v>
      </c>
      <c r="S16" s="17">
        <f t="shared" ref="S16:AF16" si="8">SUM(C34:C37)</f>
        <v>10</v>
      </c>
      <c r="T16" s="17">
        <f t="shared" si="8"/>
        <v>6</v>
      </c>
      <c r="U16" s="17">
        <f t="shared" si="8"/>
        <v>4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146</v>
      </c>
      <c r="AD16" s="17">
        <f t="shared" si="8"/>
        <v>0</v>
      </c>
      <c r="AE16" s="31">
        <f t="shared" si="8"/>
        <v>28</v>
      </c>
      <c r="AF16" s="31">
        <f t="shared" si="8"/>
        <v>174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12</v>
      </c>
      <c r="N17" s="50">
        <v>0</v>
      </c>
      <c r="O17" s="15">
        <f t="shared" si="0"/>
        <v>2</v>
      </c>
      <c r="P17" s="15">
        <f t="shared" si="1"/>
        <v>14</v>
      </c>
      <c r="R17" s="1" t="s">
        <v>13</v>
      </c>
      <c r="S17" s="17">
        <f t="shared" ref="S17:AF17" si="9">SUM(C38:C41)</f>
        <v>9</v>
      </c>
      <c r="T17" s="17">
        <f t="shared" si="9"/>
        <v>4</v>
      </c>
      <c r="U17" s="17">
        <f t="shared" si="9"/>
        <v>4</v>
      </c>
      <c r="V17" s="17">
        <f t="shared" si="9"/>
        <v>0</v>
      </c>
      <c r="W17" s="17">
        <f t="shared" si="9"/>
        <v>0</v>
      </c>
      <c r="X17" s="17">
        <f t="shared" si="9"/>
        <v>1</v>
      </c>
      <c r="Y17" s="17">
        <f t="shared" si="9"/>
        <v>1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157</v>
      </c>
      <c r="AD17" s="17">
        <f t="shared" si="9"/>
        <v>0</v>
      </c>
      <c r="AE17" s="31">
        <f t="shared" si="9"/>
        <v>22</v>
      </c>
      <c r="AF17" s="31">
        <f t="shared" si="9"/>
        <v>179</v>
      </c>
    </row>
    <row r="18" spans="2:32" ht="23.1" customHeight="1" x14ac:dyDescent="0.25">
      <c r="B18" s="23" t="s">
        <v>45</v>
      </c>
      <c r="C18" s="50">
        <v>1</v>
      </c>
      <c r="D18" s="50">
        <v>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12</v>
      </c>
      <c r="N18" s="50">
        <v>0</v>
      </c>
      <c r="O18" s="15">
        <f t="shared" si="0"/>
        <v>4</v>
      </c>
      <c r="P18" s="15">
        <f t="shared" si="1"/>
        <v>16</v>
      </c>
      <c r="R18" s="1" t="s">
        <v>14</v>
      </c>
      <c r="S18" s="17">
        <f t="shared" ref="S18:AF18" si="10">SUM(C42:C45)</f>
        <v>7</v>
      </c>
      <c r="T18" s="17">
        <f t="shared" si="10"/>
        <v>4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144</v>
      </c>
      <c r="AD18" s="17">
        <f t="shared" si="10"/>
        <v>0</v>
      </c>
      <c r="AE18" s="31">
        <f t="shared" si="10"/>
        <v>16</v>
      </c>
      <c r="AF18" s="31">
        <f t="shared" si="10"/>
        <v>160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14</v>
      </c>
      <c r="N19" s="50">
        <v>0</v>
      </c>
      <c r="O19" s="15">
        <f t="shared" si="0"/>
        <v>1</v>
      </c>
      <c r="P19" s="15">
        <f t="shared" si="1"/>
        <v>15</v>
      </c>
      <c r="R19" s="1" t="s">
        <v>15</v>
      </c>
      <c r="S19" s="17">
        <f t="shared" ref="S19:AF19" si="11">SUM(C46:C49)</f>
        <v>9</v>
      </c>
      <c r="T19" s="17">
        <f t="shared" si="11"/>
        <v>11</v>
      </c>
      <c r="U19" s="17">
        <f t="shared" si="11"/>
        <v>3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142</v>
      </c>
      <c r="AD19" s="17">
        <f t="shared" si="11"/>
        <v>0</v>
      </c>
      <c r="AE19" s="31">
        <f t="shared" si="11"/>
        <v>26</v>
      </c>
      <c r="AF19" s="31">
        <f t="shared" si="11"/>
        <v>168</v>
      </c>
    </row>
    <row r="20" spans="2:32" ht="23.1" customHeight="1" x14ac:dyDescent="0.25">
      <c r="B20" s="23" t="s">
        <v>47</v>
      </c>
      <c r="C20" s="50">
        <v>1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19</v>
      </c>
      <c r="N20" s="50">
        <v>0</v>
      </c>
      <c r="O20" s="15">
        <f t="shared" si="0"/>
        <v>3</v>
      </c>
      <c r="P20" s="15">
        <f t="shared" si="1"/>
        <v>22</v>
      </c>
      <c r="R20" s="1" t="s">
        <v>16</v>
      </c>
      <c r="S20" s="17">
        <f t="shared" ref="S20:AF20" si="12">SUM(C50:C53)</f>
        <v>7</v>
      </c>
      <c r="T20" s="17">
        <f t="shared" si="12"/>
        <v>4</v>
      </c>
      <c r="U20" s="17">
        <f t="shared" si="12"/>
        <v>4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158</v>
      </c>
      <c r="AD20" s="17">
        <f t="shared" si="12"/>
        <v>0</v>
      </c>
      <c r="AE20" s="31">
        <f t="shared" si="12"/>
        <v>19</v>
      </c>
      <c r="AF20" s="31">
        <f t="shared" si="12"/>
        <v>177</v>
      </c>
    </row>
    <row r="21" spans="2:32" ht="23.1" customHeight="1" x14ac:dyDescent="0.25">
      <c r="B21" s="23" t="s">
        <v>48</v>
      </c>
      <c r="C21" s="50">
        <v>0</v>
      </c>
      <c r="D21" s="50">
        <v>1</v>
      </c>
      <c r="E21" s="50">
        <v>1</v>
      </c>
      <c r="F21" s="50">
        <v>0</v>
      </c>
      <c r="G21" s="50">
        <v>0</v>
      </c>
      <c r="H21" s="50">
        <v>0</v>
      </c>
      <c r="I21" s="50">
        <v>1</v>
      </c>
      <c r="J21" s="50">
        <v>2</v>
      </c>
      <c r="K21" s="50">
        <v>0</v>
      </c>
      <c r="L21" s="50">
        <v>0</v>
      </c>
      <c r="M21" s="50">
        <v>28</v>
      </c>
      <c r="N21" s="50">
        <v>0</v>
      </c>
      <c r="O21" s="15">
        <f t="shared" si="0"/>
        <v>5</v>
      </c>
      <c r="P21" s="15">
        <f t="shared" si="1"/>
        <v>33</v>
      </c>
      <c r="R21" s="36" t="s">
        <v>20</v>
      </c>
      <c r="S21" s="34">
        <f t="shared" ref="S21:AF21" si="13">SUM(C54:C57)</f>
        <v>9</v>
      </c>
      <c r="T21" s="17">
        <f t="shared" si="13"/>
        <v>3</v>
      </c>
      <c r="U21" s="17">
        <f t="shared" si="13"/>
        <v>1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170</v>
      </c>
      <c r="AD21" s="17">
        <f t="shared" si="13"/>
        <v>0</v>
      </c>
      <c r="AE21" s="31">
        <f t="shared" si="13"/>
        <v>18</v>
      </c>
      <c r="AF21" s="31">
        <f t="shared" si="13"/>
        <v>188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21</v>
      </c>
      <c r="N22" s="50">
        <v>0</v>
      </c>
      <c r="O22" s="15">
        <f t="shared" si="0"/>
        <v>4</v>
      </c>
      <c r="P22" s="15">
        <f t="shared" si="1"/>
        <v>25</v>
      </c>
      <c r="R22" s="38" t="s">
        <v>90</v>
      </c>
      <c r="S22" s="39">
        <f>MAX(S10:S12)</f>
        <v>7</v>
      </c>
      <c r="T22" s="39">
        <f t="shared" ref="T22:AF22" si="14">MAX(T10:T12)</f>
        <v>5</v>
      </c>
      <c r="U22" s="39">
        <f t="shared" si="14"/>
        <v>1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4</v>
      </c>
      <c r="AA22" s="39">
        <f t="shared" si="14"/>
        <v>0</v>
      </c>
      <c r="AB22" s="39">
        <f t="shared" si="14"/>
        <v>0</v>
      </c>
      <c r="AC22" s="39">
        <f t="shared" si="14"/>
        <v>73</v>
      </c>
      <c r="AD22" s="39">
        <f t="shared" si="14"/>
        <v>0</v>
      </c>
      <c r="AE22" s="40">
        <f t="shared" si="14"/>
        <v>14</v>
      </c>
      <c r="AF22" s="40">
        <f t="shared" si="14"/>
        <v>86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27</v>
      </c>
      <c r="N23" s="50">
        <v>0</v>
      </c>
      <c r="O23" s="15">
        <f t="shared" si="0"/>
        <v>3</v>
      </c>
      <c r="P23" s="15">
        <f t="shared" si="1"/>
        <v>30</v>
      </c>
      <c r="R23" s="38" t="s">
        <v>91</v>
      </c>
      <c r="S23" s="39">
        <f>MAX(S13:S18)</f>
        <v>10</v>
      </c>
      <c r="T23" s="39">
        <f t="shared" ref="T23:AF23" si="15">MAX(T13:T18)</f>
        <v>6</v>
      </c>
      <c r="U23" s="39">
        <f t="shared" si="15"/>
        <v>4</v>
      </c>
      <c r="V23" s="39">
        <f t="shared" si="15"/>
        <v>2</v>
      </c>
      <c r="W23" s="39">
        <f t="shared" si="15"/>
        <v>0</v>
      </c>
      <c r="X23" s="39">
        <f t="shared" si="15"/>
        <v>1</v>
      </c>
      <c r="Y23" s="39">
        <f t="shared" si="15"/>
        <v>5</v>
      </c>
      <c r="Z23" s="39">
        <f t="shared" si="15"/>
        <v>5</v>
      </c>
      <c r="AA23" s="39">
        <f t="shared" si="15"/>
        <v>0</v>
      </c>
      <c r="AB23" s="39">
        <f t="shared" si="15"/>
        <v>0</v>
      </c>
      <c r="AC23" s="39">
        <f t="shared" si="15"/>
        <v>157</v>
      </c>
      <c r="AD23" s="39">
        <f t="shared" si="15"/>
        <v>0</v>
      </c>
      <c r="AE23" s="40">
        <f t="shared" si="15"/>
        <v>28</v>
      </c>
      <c r="AF23" s="40">
        <f t="shared" si="15"/>
        <v>179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2</v>
      </c>
      <c r="F24" s="50">
        <v>1</v>
      </c>
      <c r="G24" s="50">
        <v>0</v>
      </c>
      <c r="H24" s="50">
        <v>0</v>
      </c>
      <c r="I24" s="50">
        <v>1</v>
      </c>
      <c r="J24" s="50">
        <v>3</v>
      </c>
      <c r="K24" s="50">
        <v>0</v>
      </c>
      <c r="L24" s="50">
        <v>0</v>
      </c>
      <c r="M24" s="50">
        <v>30</v>
      </c>
      <c r="N24" s="50">
        <v>0</v>
      </c>
      <c r="O24" s="15">
        <f t="shared" si="0"/>
        <v>7</v>
      </c>
      <c r="P24" s="15">
        <f t="shared" si="1"/>
        <v>37</v>
      </c>
      <c r="R24" s="38" t="s">
        <v>92</v>
      </c>
      <c r="S24" s="39">
        <f>MAX(S19:S21)</f>
        <v>9</v>
      </c>
      <c r="T24" s="39">
        <f t="shared" ref="T24:AF24" si="16">MAX(T19:T21)</f>
        <v>11</v>
      </c>
      <c r="U24" s="39">
        <f t="shared" si="16"/>
        <v>4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2</v>
      </c>
      <c r="AA24" s="39">
        <f t="shared" si="16"/>
        <v>0</v>
      </c>
      <c r="AB24" s="39">
        <f t="shared" si="16"/>
        <v>0</v>
      </c>
      <c r="AC24" s="39">
        <f t="shared" si="16"/>
        <v>170</v>
      </c>
      <c r="AD24" s="39">
        <f t="shared" si="16"/>
        <v>0</v>
      </c>
      <c r="AE24" s="40">
        <f t="shared" si="16"/>
        <v>26</v>
      </c>
      <c r="AF24" s="40">
        <f t="shared" si="16"/>
        <v>188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2</v>
      </c>
      <c r="F25" s="50">
        <v>1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35</v>
      </c>
      <c r="N25" s="50">
        <v>0</v>
      </c>
      <c r="O25" s="15">
        <f t="shared" si="0"/>
        <v>7</v>
      </c>
      <c r="P25" s="15">
        <f t="shared" si="1"/>
        <v>42</v>
      </c>
      <c r="R25" s="37" t="s">
        <v>85</v>
      </c>
      <c r="S25" s="35">
        <f t="shared" ref="S25:AF25" si="17">SUM(S10:S12)</f>
        <v>16</v>
      </c>
      <c r="T25" s="16">
        <f t="shared" si="17"/>
        <v>7</v>
      </c>
      <c r="U25" s="16">
        <f t="shared" si="17"/>
        <v>3</v>
      </c>
      <c r="V25" s="16">
        <f t="shared" si="17"/>
        <v>1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10</v>
      </c>
      <c r="AA25" s="16">
        <f t="shared" si="17"/>
        <v>0</v>
      </c>
      <c r="AB25" s="16">
        <f t="shared" si="17"/>
        <v>0</v>
      </c>
      <c r="AC25" s="16">
        <f t="shared" si="17"/>
        <v>136</v>
      </c>
      <c r="AD25" s="16">
        <f t="shared" si="17"/>
        <v>0</v>
      </c>
      <c r="AE25" s="32">
        <f t="shared" si="17"/>
        <v>38</v>
      </c>
      <c r="AF25" s="32">
        <f t="shared" si="17"/>
        <v>174</v>
      </c>
    </row>
    <row r="26" spans="2:32" ht="23.1" customHeight="1" x14ac:dyDescent="0.25">
      <c r="B26" s="23" t="s">
        <v>53</v>
      </c>
      <c r="C26" s="50">
        <v>3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31</v>
      </c>
      <c r="N26" s="50">
        <v>0</v>
      </c>
      <c r="O26" s="15">
        <f t="shared" si="0"/>
        <v>4</v>
      </c>
      <c r="P26" s="15">
        <f t="shared" si="1"/>
        <v>35</v>
      </c>
      <c r="R26" s="28" t="s">
        <v>86</v>
      </c>
      <c r="S26" s="16">
        <f t="shared" ref="S26:AF26" si="18">SUM(S13:S18)</f>
        <v>44</v>
      </c>
      <c r="T26" s="16">
        <f t="shared" si="18"/>
        <v>23</v>
      </c>
      <c r="U26" s="16">
        <f t="shared" si="18"/>
        <v>19</v>
      </c>
      <c r="V26" s="16">
        <f t="shared" si="18"/>
        <v>4</v>
      </c>
      <c r="W26" s="16">
        <f t="shared" si="18"/>
        <v>0</v>
      </c>
      <c r="X26" s="16">
        <f t="shared" si="18"/>
        <v>1</v>
      </c>
      <c r="Y26" s="16">
        <f t="shared" si="18"/>
        <v>16</v>
      </c>
      <c r="Z26" s="16">
        <f t="shared" si="18"/>
        <v>17</v>
      </c>
      <c r="AA26" s="16">
        <f t="shared" si="18"/>
        <v>0</v>
      </c>
      <c r="AB26" s="16">
        <f t="shared" si="18"/>
        <v>0</v>
      </c>
      <c r="AC26" s="16">
        <f t="shared" si="18"/>
        <v>864</v>
      </c>
      <c r="AD26" s="16">
        <f t="shared" si="18"/>
        <v>0</v>
      </c>
      <c r="AE26" s="32">
        <f t="shared" si="18"/>
        <v>124</v>
      </c>
      <c r="AF26" s="32">
        <f t="shared" si="18"/>
        <v>988</v>
      </c>
    </row>
    <row r="27" spans="2:32" ht="23.1" customHeight="1" x14ac:dyDescent="0.25">
      <c r="B27" s="23" t="s">
        <v>54</v>
      </c>
      <c r="C27" s="50">
        <v>1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39</v>
      </c>
      <c r="N27" s="50">
        <v>0</v>
      </c>
      <c r="O27" s="15">
        <f t="shared" si="0"/>
        <v>3</v>
      </c>
      <c r="P27" s="15">
        <f t="shared" si="1"/>
        <v>42</v>
      </c>
      <c r="R27" s="29" t="s">
        <v>87</v>
      </c>
      <c r="S27" s="16">
        <f t="shared" ref="S27:AF27" si="19">SUM(S19:S21)</f>
        <v>25</v>
      </c>
      <c r="T27" s="16">
        <f t="shared" si="19"/>
        <v>18</v>
      </c>
      <c r="U27" s="16">
        <f t="shared" si="19"/>
        <v>8</v>
      </c>
      <c r="V27" s="16">
        <f t="shared" si="19"/>
        <v>2</v>
      </c>
      <c r="W27" s="16">
        <f t="shared" si="19"/>
        <v>0</v>
      </c>
      <c r="X27" s="16">
        <f t="shared" si="19"/>
        <v>0</v>
      </c>
      <c r="Y27" s="16">
        <f t="shared" si="19"/>
        <v>5</v>
      </c>
      <c r="Z27" s="16">
        <f t="shared" si="19"/>
        <v>5</v>
      </c>
      <c r="AA27" s="16">
        <f t="shared" si="19"/>
        <v>0</v>
      </c>
      <c r="AB27" s="16">
        <f t="shared" si="19"/>
        <v>0</v>
      </c>
      <c r="AC27" s="16">
        <f t="shared" si="19"/>
        <v>470</v>
      </c>
      <c r="AD27" s="16">
        <f t="shared" si="19"/>
        <v>0</v>
      </c>
      <c r="AE27" s="32">
        <f t="shared" si="19"/>
        <v>63</v>
      </c>
      <c r="AF27" s="32">
        <f t="shared" si="19"/>
        <v>533</v>
      </c>
    </row>
    <row r="28" spans="2:32" ht="23.1" customHeight="1" x14ac:dyDescent="0.25">
      <c r="B28" s="23" t="s">
        <v>55</v>
      </c>
      <c r="C28" s="50">
        <v>0</v>
      </c>
      <c r="D28" s="50">
        <v>2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44</v>
      </c>
      <c r="N28" s="50">
        <v>0</v>
      </c>
      <c r="O28" s="15">
        <f t="shared" si="0"/>
        <v>4</v>
      </c>
      <c r="P28" s="15">
        <f t="shared" si="1"/>
        <v>48</v>
      </c>
      <c r="R28" s="5" t="s">
        <v>17</v>
      </c>
      <c r="S28" s="16">
        <f t="shared" ref="S28:AF28" si="20">SUM(S10:S21)</f>
        <v>85</v>
      </c>
      <c r="T28" s="16">
        <f t="shared" si="20"/>
        <v>48</v>
      </c>
      <c r="U28" s="16">
        <f t="shared" si="20"/>
        <v>30</v>
      </c>
      <c r="V28" s="16">
        <f t="shared" si="20"/>
        <v>7</v>
      </c>
      <c r="W28" s="16">
        <f t="shared" si="20"/>
        <v>0</v>
      </c>
      <c r="X28" s="16">
        <f t="shared" si="20"/>
        <v>1</v>
      </c>
      <c r="Y28" s="16">
        <f t="shared" si="20"/>
        <v>22</v>
      </c>
      <c r="Z28" s="16">
        <f t="shared" si="20"/>
        <v>32</v>
      </c>
      <c r="AA28" s="16">
        <f t="shared" si="20"/>
        <v>0</v>
      </c>
      <c r="AB28" s="16">
        <f t="shared" si="20"/>
        <v>0</v>
      </c>
      <c r="AC28" s="16">
        <f t="shared" si="20"/>
        <v>1470</v>
      </c>
      <c r="AD28" s="16">
        <f t="shared" si="20"/>
        <v>0</v>
      </c>
      <c r="AE28" s="32">
        <f t="shared" si="20"/>
        <v>225</v>
      </c>
      <c r="AF28" s="32">
        <f t="shared" si="20"/>
        <v>1695</v>
      </c>
    </row>
    <row r="29" spans="2:32" ht="23.1" customHeight="1" x14ac:dyDescent="0.25">
      <c r="B29" s="23" t="s">
        <v>56</v>
      </c>
      <c r="C29" s="50">
        <v>1</v>
      </c>
      <c r="D29" s="50">
        <v>2</v>
      </c>
      <c r="E29" s="50">
        <v>1</v>
      </c>
      <c r="F29" s="50">
        <v>0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37</v>
      </c>
      <c r="N29" s="50">
        <v>0</v>
      </c>
      <c r="O29" s="15">
        <f t="shared" si="0"/>
        <v>7</v>
      </c>
      <c r="P29" s="15">
        <f t="shared" si="1"/>
        <v>44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1</v>
      </c>
      <c r="E30" s="50">
        <v>2</v>
      </c>
      <c r="F30" s="50">
        <v>0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42</v>
      </c>
      <c r="N30" s="50">
        <v>0</v>
      </c>
      <c r="O30" s="15">
        <f t="shared" si="0"/>
        <v>6</v>
      </c>
      <c r="P30" s="15">
        <f t="shared" si="1"/>
        <v>48</v>
      </c>
    </row>
    <row r="31" spans="2:32" ht="23.1" customHeight="1" x14ac:dyDescent="0.25">
      <c r="B31" s="24" t="s">
        <v>58</v>
      </c>
      <c r="C31" s="50">
        <v>3</v>
      </c>
      <c r="D31" s="50">
        <v>1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31</v>
      </c>
      <c r="N31" s="50">
        <v>0</v>
      </c>
      <c r="O31" s="15">
        <f t="shared" si="0"/>
        <v>6</v>
      </c>
      <c r="P31" s="15">
        <f t="shared" si="1"/>
        <v>37</v>
      </c>
    </row>
    <row r="32" spans="2:32" ht="23.1" customHeight="1" x14ac:dyDescent="0.25">
      <c r="B32" s="24" t="s">
        <v>59</v>
      </c>
      <c r="C32" s="50">
        <v>1</v>
      </c>
      <c r="D32" s="50">
        <v>1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31</v>
      </c>
      <c r="N32" s="50">
        <v>0</v>
      </c>
      <c r="O32" s="15">
        <f t="shared" si="0"/>
        <v>3</v>
      </c>
      <c r="P32" s="15">
        <f t="shared" si="1"/>
        <v>34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3</v>
      </c>
      <c r="K33" s="50">
        <v>0</v>
      </c>
      <c r="L33" s="50">
        <v>0</v>
      </c>
      <c r="M33" s="50">
        <v>49</v>
      </c>
      <c r="N33" s="50">
        <v>0</v>
      </c>
      <c r="O33" s="15">
        <f t="shared" si="0"/>
        <v>4</v>
      </c>
      <c r="P33" s="15">
        <f t="shared" si="1"/>
        <v>53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2</v>
      </c>
      <c r="K34" s="50">
        <v>0</v>
      </c>
      <c r="L34" s="50">
        <v>0</v>
      </c>
      <c r="M34" s="50">
        <v>30</v>
      </c>
      <c r="N34" s="50">
        <v>0</v>
      </c>
      <c r="O34" s="15">
        <f t="shared" si="0"/>
        <v>7</v>
      </c>
      <c r="P34" s="15">
        <f t="shared" si="1"/>
        <v>37</v>
      </c>
    </row>
    <row r="35" spans="2:20" ht="23.1" customHeight="1" x14ac:dyDescent="0.25">
      <c r="B35" s="24" t="s">
        <v>62</v>
      </c>
      <c r="C35" s="50">
        <v>3</v>
      </c>
      <c r="D35" s="50">
        <v>3</v>
      </c>
      <c r="E35" s="50">
        <v>2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29</v>
      </c>
      <c r="N35" s="50">
        <v>0</v>
      </c>
      <c r="O35" s="15">
        <f t="shared" si="0"/>
        <v>9</v>
      </c>
      <c r="P35" s="15">
        <f t="shared" si="1"/>
        <v>38</v>
      </c>
    </row>
    <row r="36" spans="2:20" ht="23.1" customHeight="1" x14ac:dyDescent="0.25">
      <c r="B36" s="24" t="s">
        <v>63</v>
      </c>
      <c r="C36" s="50">
        <v>3</v>
      </c>
      <c r="D36" s="50">
        <v>1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46</v>
      </c>
      <c r="N36" s="50">
        <v>0</v>
      </c>
      <c r="O36" s="15">
        <f t="shared" si="0"/>
        <v>5</v>
      </c>
      <c r="P36" s="15">
        <f t="shared" si="1"/>
        <v>51</v>
      </c>
    </row>
    <row r="37" spans="2:20" ht="23.1" customHeight="1" x14ac:dyDescent="0.25">
      <c r="B37" s="23" t="s">
        <v>64</v>
      </c>
      <c r="C37" s="50">
        <v>1</v>
      </c>
      <c r="D37" s="50">
        <v>2</v>
      </c>
      <c r="E37" s="50">
        <v>2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41</v>
      </c>
      <c r="N37" s="50">
        <v>0</v>
      </c>
      <c r="O37" s="15">
        <f t="shared" si="0"/>
        <v>7</v>
      </c>
      <c r="P37" s="15">
        <f t="shared" si="1"/>
        <v>48</v>
      </c>
    </row>
    <row r="38" spans="2:20" ht="23.1" customHeight="1" x14ac:dyDescent="0.25">
      <c r="B38" s="24" t="s">
        <v>65</v>
      </c>
      <c r="C38" s="50">
        <v>5</v>
      </c>
      <c r="D38" s="50">
        <v>2</v>
      </c>
      <c r="E38" s="50">
        <v>1</v>
      </c>
      <c r="F38" s="50">
        <v>0</v>
      </c>
      <c r="G38" s="50">
        <v>0</v>
      </c>
      <c r="H38" s="50">
        <v>1</v>
      </c>
      <c r="I38" s="50">
        <v>0</v>
      </c>
      <c r="J38" s="50">
        <v>1</v>
      </c>
      <c r="K38" s="50">
        <v>0</v>
      </c>
      <c r="L38" s="50">
        <v>0</v>
      </c>
      <c r="M38" s="50">
        <v>37</v>
      </c>
      <c r="N38" s="50">
        <v>0</v>
      </c>
      <c r="O38" s="15">
        <f t="shared" si="0"/>
        <v>10</v>
      </c>
      <c r="P38" s="15">
        <f t="shared" si="1"/>
        <v>47</v>
      </c>
    </row>
    <row r="39" spans="2:20" ht="23.1" customHeight="1" x14ac:dyDescent="0.25">
      <c r="B39" s="24" t="s">
        <v>66</v>
      </c>
      <c r="C39" s="50">
        <v>1</v>
      </c>
      <c r="D39" s="50">
        <v>2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2</v>
      </c>
      <c r="K39" s="50">
        <v>0</v>
      </c>
      <c r="L39" s="50">
        <v>0</v>
      </c>
      <c r="M39" s="50">
        <v>42</v>
      </c>
      <c r="N39" s="50">
        <v>0</v>
      </c>
      <c r="O39" s="15">
        <f t="shared" si="0"/>
        <v>5</v>
      </c>
      <c r="P39" s="15">
        <f t="shared" si="1"/>
        <v>47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40</v>
      </c>
      <c r="N40" s="50">
        <v>0</v>
      </c>
      <c r="O40" s="15">
        <f t="shared" si="0"/>
        <v>4</v>
      </c>
      <c r="P40" s="15">
        <f t="shared" si="1"/>
        <v>44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2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38</v>
      </c>
      <c r="N41" s="50">
        <v>0</v>
      </c>
      <c r="O41" s="15">
        <f t="shared" si="0"/>
        <v>3</v>
      </c>
      <c r="P41" s="15">
        <f t="shared" si="1"/>
        <v>41</v>
      </c>
    </row>
    <row r="42" spans="2:20" ht="23.1" customHeight="1" x14ac:dyDescent="0.25">
      <c r="B42" s="24" t="s">
        <v>69</v>
      </c>
      <c r="C42" s="50">
        <v>2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49</v>
      </c>
      <c r="N42" s="50">
        <v>0</v>
      </c>
      <c r="O42" s="15">
        <f t="shared" si="0"/>
        <v>4</v>
      </c>
      <c r="P42" s="15">
        <f t="shared" si="1"/>
        <v>53</v>
      </c>
    </row>
    <row r="43" spans="2:20" ht="23.1" customHeight="1" x14ac:dyDescent="0.25">
      <c r="B43" s="23" t="s">
        <v>70</v>
      </c>
      <c r="C43" s="50">
        <v>2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32</v>
      </c>
      <c r="N43" s="50">
        <v>0</v>
      </c>
      <c r="O43" s="15">
        <f t="shared" si="0"/>
        <v>3</v>
      </c>
      <c r="P43" s="15">
        <f t="shared" si="1"/>
        <v>35</v>
      </c>
    </row>
    <row r="44" spans="2:20" ht="23.1" customHeight="1" x14ac:dyDescent="0.25">
      <c r="B44" s="25" t="s">
        <v>71</v>
      </c>
      <c r="C44" s="50">
        <v>3</v>
      </c>
      <c r="D44" s="50">
        <v>2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31</v>
      </c>
      <c r="N44" s="50">
        <v>0</v>
      </c>
      <c r="O44" s="15">
        <f t="shared" si="0"/>
        <v>6</v>
      </c>
      <c r="P44" s="15">
        <f t="shared" si="1"/>
        <v>37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32</v>
      </c>
      <c r="N45" s="50">
        <v>0</v>
      </c>
      <c r="O45" s="15">
        <f t="shared" si="0"/>
        <v>3</v>
      </c>
      <c r="P45" s="15">
        <f t="shared" si="1"/>
        <v>35</v>
      </c>
    </row>
    <row r="46" spans="2:20" ht="23.1" customHeight="1" x14ac:dyDescent="0.25">
      <c r="B46" s="24" t="s">
        <v>73</v>
      </c>
      <c r="C46" s="50">
        <v>2</v>
      </c>
      <c r="D46" s="50">
        <v>2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35</v>
      </c>
      <c r="N46" s="50">
        <v>0</v>
      </c>
      <c r="O46" s="15">
        <f t="shared" si="0"/>
        <v>5</v>
      </c>
      <c r="P46" s="15">
        <f t="shared" si="1"/>
        <v>40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2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40</v>
      </c>
      <c r="N47" s="50">
        <v>0</v>
      </c>
      <c r="O47" s="15">
        <f t="shared" si="0"/>
        <v>6</v>
      </c>
      <c r="P47" s="15">
        <f t="shared" si="1"/>
        <v>46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3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38</v>
      </c>
      <c r="N48" s="50">
        <v>0</v>
      </c>
      <c r="O48" s="15">
        <f t="shared" si="0"/>
        <v>6</v>
      </c>
      <c r="P48" s="15">
        <f t="shared" si="1"/>
        <v>44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4</v>
      </c>
      <c r="E49" s="50">
        <v>2</v>
      </c>
      <c r="F49" s="50">
        <v>1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29</v>
      </c>
      <c r="N49" s="50">
        <v>0</v>
      </c>
      <c r="O49" s="15">
        <f t="shared" si="0"/>
        <v>9</v>
      </c>
      <c r="P49" s="15">
        <f t="shared" si="1"/>
        <v>38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3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40</v>
      </c>
      <c r="N50" s="50">
        <v>0</v>
      </c>
      <c r="O50" s="15">
        <f t="shared" si="0"/>
        <v>6</v>
      </c>
      <c r="P50" s="15">
        <f t="shared" si="1"/>
        <v>46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34</v>
      </c>
      <c r="N51" s="50">
        <v>0</v>
      </c>
      <c r="O51" s="15">
        <f t="shared" si="0"/>
        <v>0</v>
      </c>
      <c r="P51" s="15">
        <f t="shared" si="1"/>
        <v>34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1</v>
      </c>
      <c r="E52" s="50">
        <v>1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41</v>
      </c>
      <c r="N52" s="50">
        <v>0</v>
      </c>
      <c r="O52" s="15">
        <f t="shared" si="0"/>
        <v>7</v>
      </c>
      <c r="P52" s="15">
        <f t="shared" si="1"/>
        <v>48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0</v>
      </c>
      <c r="E53" s="50">
        <v>2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43</v>
      </c>
      <c r="N53" s="50">
        <v>0</v>
      </c>
      <c r="O53" s="15">
        <f t="shared" si="0"/>
        <v>6</v>
      </c>
      <c r="P53" s="15">
        <f t="shared" si="1"/>
        <v>49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1</v>
      </c>
      <c r="E54" s="50">
        <v>0</v>
      </c>
      <c r="F54" s="50">
        <v>0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35</v>
      </c>
      <c r="N54" s="50">
        <v>0</v>
      </c>
      <c r="O54" s="15">
        <f t="shared" si="0"/>
        <v>5</v>
      </c>
      <c r="P54" s="15">
        <f t="shared" si="1"/>
        <v>40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38</v>
      </c>
      <c r="N55" s="50">
        <v>0</v>
      </c>
      <c r="O55" s="15">
        <f t="shared" si="0"/>
        <v>3</v>
      </c>
      <c r="P55" s="15">
        <f t="shared" si="1"/>
        <v>41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1</v>
      </c>
      <c r="E56" s="50">
        <v>1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37</v>
      </c>
      <c r="N56" s="50">
        <v>0</v>
      </c>
      <c r="O56" s="15">
        <f t="shared" si="0"/>
        <v>4</v>
      </c>
      <c r="P56" s="15">
        <f t="shared" si="1"/>
        <v>41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60</v>
      </c>
      <c r="N57" s="50">
        <v>0</v>
      </c>
      <c r="O57" s="15">
        <f t="shared" si="0"/>
        <v>6</v>
      </c>
      <c r="P57" s="15">
        <f t="shared" si="1"/>
        <v>66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85</v>
      </c>
      <c r="D58" s="16">
        <f t="shared" si="21"/>
        <v>48</v>
      </c>
      <c r="E58" s="16">
        <f t="shared" si="21"/>
        <v>30</v>
      </c>
      <c r="F58" s="16">
        <f t="shared" si="21"/>
        <v>7</v>
      </c>
      <c r="G58" s="16">
        <f t="shared" si="21"/>
        <v>0</v>
      </c>
      <c r="H58" s="16">
        <f t="shared" si="21"/>
        <v>1</v>
      </c>
      <c r="I58" s="16">
        <f t="shared" si="21"/>
        <v>22</v>
      </c>
      <c r="J58" s="16">
        <f t="shared" si="21"/>
        <v>32</v>
      </c>
      <c r="K58" s="16">
        <f t="shared" si="21"/>
        <v>0</v>
      </c>
      <c r="L58" s="16">
        <f t="shared" si="21"/>
        <v>0</v>
      </c>
      <c r="M58" s="16">
        <f t="shared" si="21"/>
        <v>1470</v>
      </c>
      <c r="N58" s="16">
        <f t="shared" si="21"/>
        <v>0</v>
      </c>
      <c r="O58" s="16">
        <f t="shared" si="21"/>
        <v>225</v>
      </c>
      <c r="P58" s="16">
        <f t="shared" si="21"/>
        <v>1695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5.0147492625368731E-2</v>
      </c>
      <c r="D59" s="43">
        <f t="shared" si="22"/>
        <v>2.831858407079646E-2</v>
      </c>
      <c r="E59" s="43">
        <f t="shared" si="22"/>
        <v>1.7699115044247787E-2</v>
      </c>
      <c r="F59" s="43">
        <f t="shared" si="22"/>
        <v>4.1297935103244837E-3</v>
      </c>
      <c r="G59" s="43">
        <f t="shared" si="22"/>
        <v>0</v>
      </c>
      <c r="H59" s="43">
        <f t="shared" si="22"/>
        <v>5.8997050147492625E-4</v>
      </c>
      <c r="I59" s="43">
        <f t="shared" si="22"/>
        <v>1.2979351032448377E-2</v>
      </c>
      <c r="J59" s="43">
        <f t="shared" si="22"/>
        <v>1.887905604719764E-2</v>
      </c>
      <c r="K59" s="43">
        <f t="shared" si="22"/>
        <v>0</v>
      </c>
      <c r="L59" s="43">
        <f t="shared" si="22"/>
        <v>0</v>
      </c>
      <c r="M59" s="43">
        <f t="shared" si="22"/>
        <v>0.86725663716814161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0.37777777777777777</v>
      </c>
      <c r="D60" s="44">
        <f t="shared" ref="D60:N60" si="23">D58/$O$58</f>
        <v>0.21333333333333335</v>
      </c>
      <c r="E60" s="44">
        <f t="shared" si="23"/>
        <v>0.13333333333333333</v>
      </c>
      <c r="F60" s="44">
        <f t="shared" si="23"/>
        <v>3.111111111111111E-2</v>
      </c>
      <c r="G60" s="44">
        <f t="shared" si="23"/>
        <v>0</v>
      </c>
      <c r="H60" s="44">
        <f t="shared" si="23"/>
        <v>4.4444444444444444E-3</v>
      </c>
      <c r="I60" s="44">
        <f t="shared" si="23"/>
        <v>9.7777777777777783E-2</v>
      </c>
      <c r="J60" s="44">
        <f t="shared" si="23"/>
        <v>0.14222222222222222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topLeftCell="A43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1" t="s">
        <v>96</v>
      </c>
      <c r="C3" s="65" t="s">
        <v>174</v>
      </c>
      <c r="D3" s="65"/>
      <c r="E3" s="65"/>
      <c r="F3" s="65"/>
      <c r="G3" s="65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63" t="s">
        <v>165</v>
      </c>
      <c r="H5" s="64"/>
      <c r="I5" s="14"/>
      <c r="J5" s="2" t="s">
        <v>5</v>
      </c>
      <c r="K5" s="63" t="s">
        <v>167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164</v>
      </c>
      <c r="E6" s="64"/>
      <c r="F6" s="2" t="s">
        <v>2</v>
      </c>
      <c r="G6" s="63" t="s">
        <v>166</v>
      </c>
      <c r="H6" s="64"/>
      <c r="J6" s="2" t="s">
        <v>21</v>
      </c>
      <c r="K6" s="63" t="s">
        <v>168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9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4</v>
      </c>
      <c r="T10" s="17">
        <f t="shared" si="2"/>
        <v>3</v>
      </c>
      <c r="U10" s="17">
        <f t="shared" si="2"/>
        <v>3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34</v>
      </c>
      <c r="AD10" s="17">
        <f t="shared" si="2"/>
        <v>0</v>
      </c>
      <c r="AE10" s="31">
        <f t="shared" si="2"/>
        <v>11</v>
      </c>
      <c r="AF10" s="31">
        <f t="shared" si="2"/>
        <v>45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13</v>
      </c>
      <c r="N11" s="50">
        <v>0</v>
      </c>
      <c r="O11" s="15">
        <f t="shared" si="0"/>
        <v>1</v>
      </c>
      <c r="P11" s="15">
        <f t="shared" si="1"/>
        <v>14</v>
      </c>
      <c r="R11" s="1" t="s">
        <v>7</v>
      </c>
      <c r="S11" s="17">
        <f t="shared" ref="S11:AF11" si="3">SUM(C14:C17)</f>
        <v>4</v>
      </c>
      <c r="T11" s="17">
        <f t="shared" si="3"/>
        <v>2</v>
      </c>
      <c r="U11" s="17">
        <f t="shared" si="3"/>
        <v>4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52</v>
      </c>
      <c r="AD11" s="17">
        <f t="shared" si="3"/>
        <v>0</v>
      </c>
      <c r="AE11" s="31">
        <f t="shared" si="3"/>
        <v>10</v>
      </c>
      <c r="AF11" s="31">
        <f t="shared" si="3"/>
        <v>62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2</v>
      </c>
      <c r="P12" s="15">
        <f t="shared" si="1"/>
        <v>10</v>
      </c>
      <c r="R12" s="1" t="s">
        <v>8</v>
      </c>
      <c r="S12" s="17">
        <f t="shared" ref="S12:AF12" si="4">SUM(C18:C21)</f>
        <v>6</v>
      </c>
      <c r="T12" s="17">
        <f t="shared" si="4"/>
        <v>2</v>
      </c>
      <c r="U12" s="17">
        <f t="shared" si="4"/>
        <v>4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98</v>
      </c>
      <c r="AD12" s="17">
        <f t="shared" si="4"/>
        <v>0</v>
      </c>
      <c r="AE12" s="31">
        <f t="shared" si="4"/>
        <v>12</v>
      </c>
      <c r="AF12" s="31">
        <f t="shared" si="4"/>
        <v>110</v>
      </c>
    </row>
    <row r="13" spans="2:32" ht="23.1" customHeight="1" x14ac:dyDescent="0.25">
      <c r="B13" s="23" t="s">
        <v>40</v>
      </c>
      <c r="C13" s="50">
        <v>2</v>
      </c>
      <c r="D13" s="50">
        <v>2</v>
      </c>
      <c r="E13" s="50">
        <v>2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6</v>
      </c>
      <c r="P13" s="15">
        <f t="shared" si="1"/>
        <v>10</v>
      </c>
      <c r="R13" s="1" t="s">
        <v>9</v>
      </c>
      <c r="S13" s="17">
        <f t="shared" ref="S13:AF13" si="5">SUM(C22:C25)</f>
        <v>9</v>
      </c>
      <c r="T13" s="17">
        <f t="shared" si="5"/>
        <v>3</v>
      </c>
      <c r="U13" s="17">
        <f t="shared" si="5"/>
        <v>3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125</v>
      </c>
      <c r="AD13" s="17">
        <f t="shared" si="5"/>
        <v>0</v>
      </c>
      <c r="AE13" s="31">
        <f t="shared" si="5"/>
        <v>15</v>
      </c>
      <c r="AF13" s="31">
        <f t="shared" si="5"/>
        <v>140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7</v>
      </c>
      <c r="N14" s="50">
        <v>0</v>
      </c>
      <c r="O14" s="15">
        <f t="shared" si="0"/>
        <v>2</v>
      </c>
      <c r="P14" s="15">
        <f t="shared" si="1"/>
        <v>9</v>
      </c>
      <c r="R14" s="1" t="s">
        <v>10</v>
      </c>
      <c r="S14" s="17">
        <f t="shared" ref="S14:AF14" si="6">SUM(C26:C29)</f>
        <v>9</v>
      </c>
      <c r="T14" s="17">
        <f t="shared" si="6"/>
        <v>6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130</v>
      </c>
      <c r="AD14" s="17">
        <f t="shared" si="6"/>
        <v>0</v>
      </c>
      <c r="AE14" s="31">
        <f t="shared" si="6"/>
        <v>17</v>
      </c>
      <c r="AF14" s="31">
        <f t="shared" si="6"/>
        <v>145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17</v>
      </c>
      <c r="N15" s="50">
        <v>0</v>
      </c>
      <c r="O15" s="15">
        <f t="shared" si="0"/>
        <v>1</v>
      </c>
      <c r="P15" s="15">
        <f t="shared" si="1"/>
        <v>18</v>
      </c>
      <c r="R15" s="1" t="s">
        <v>11</v>
      </c>
      <c r="S15" s="17">
        <f t="shared" ref="S15:AF15" si="7">SUM(C30:C33)</f>
        <v>4</v>
      </c>
      <c r="T15" s="17">
        <f t="shared" si="7"/>
        <v>4</v>
      </c>
      <c r="U15" s="17">
        <f t="shared" si="7"/>
        <v>2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99</v>
      </c>
      <c r="AD15" s="17">
        <f t="shared" si="7"/>
        <v>0</v>
      </c>
      <c r="AE15" s="31">
        <f t="shared" si="7"/>
        <v>14</v>
      </c>
      <c r="AF15" s="31">
        <f t="shared" si="7"/>
        <v>113</v>
      </c>
    </row>
    <row r="16" spans="2:32" ht="23.1" customHeight="1" x14ac:dyDescent="0.25">
      <c r="B16" s="23" t="s">
        <v>43</v>
      </c>
      <c r="C16" s="50">
        <v>1</v>
      </c>
      <c r="D16" s="50">
        <v>2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16</v>
      </c>
      <c r="N16" s="50">
        <v>0</v>
      </c>
      <c r="O16" s="15">
        <f t="shared" si="0"/>
        <v>3</v>
      </c>
      <c r="P16" s="15">
        <f t="shared" si="1"/>
        <v>19</v>
      </c>
      <c r="R16" s="1" t="s">
        <v>12</v>
      </c>
      <c r="S16" s="17">
        <f t="shared" ref="S16:AF16" si="8">SUM(C34:C37)</f>
        <v>6</v>
      </c>
      <c r="T16" s="17">
        <f t="shared" si="8"/>
        <v>3</v>
      </c>
      <c r="U16" s="17">
        <f t="shared" si="8"/>
        <v>4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127</v>
      </c>
      <c r="AD16" s="17">
        <f t="shared" si="8"/>
        <v>0</v>
      </c>
      <c r="AE16" s="31">
        <f t="shared" si="8"/>
        <v>13</v>
      </c>
      <c r="AF16" s="31">
        <f t="shared" si="8"/>
        <v>140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3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12</v>
      </c>
      <c r="N17" s="50">
        <v>0</v>
      </c>
      <c r="O17" s="15">
        <f t="shared" si="0"/>
        <v>4</v>
      </c>
      <c r="P17" s="15">
        <f t="shared" si="1"/>
        <v>16</v>
      </c>
      <c r="R17" s="1" t="s">
        <v>13</v>
      </c>
      <c r="S17" s="17">
        <f t="shared" ref="S17:AF17" si="9">SUM(C38:C41)</f>
        <v>5</v>
      </c>
      <c r="T17" s="17">
        <f t="shared" si="9"/>
        <v>3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1</v>
      </c>
      <c r="Y17" s="17">
        <f t="shared" si="9"/>
        <v>1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167</v>
      </c>
      <c r="AD17" s="17">
        <f t="shared" si="9"/>
        <v>0</v>
      </c>
      <c r="AE17" s="31">
        <f t="shared" si="9"/>
        <v>14</v>
      </c>
      <c r="AF17" s="31">
        <f t="shared" si="9"/>
        <v>181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24</v>
      </c>
      <c r="N18" s="50">
        <v>0</v>
      </c>
      <c r="O18" s="15">
        <f t="shared" si="0"/>
        <v>2</v>
      </c>
      <c r="P18" s="15">
        <f t="shared" si="1"/>
        <v>26</v>
      </c>
      <c r="R18" s="1" t="s">
        <v>14</v>
      </c>
      <c r="S18" s="17">
        <f t="shared" ref="S18:AF18" si="10">SUM(C42:C45)</f>
        <v>11</v>
      </c>
      <c r="T18" s="17">
        <f t="shared" si="10"/>
        <v>5</v>
      </c>
      <c r="U18" s="17">
        <f t="shared" si="10"/>
        <v>3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204</v>
      </c>
      <c r="AD18" s="17">
        <f t="shared" si="10"/>
        <v>0</v>
      </c>
      <c r="AE18" s="31">
        <f t="shared" si="10"/>
        <v>19</v>
      </c>
      <c r="AF18" s="31">
        <f t="shared" si="10"/>
        <v>223</v>
      </c>
    </row>
    <row r="19" spans="2:32" ht="23.1" customHeight="1" x14ac:dyDescent="0.25">
      <c r="B19" s="23" t="s">
        <v>46</v>
      </c>
      <c r="C19" s="50">
        <v>2</v>
      </c>
      <c r="D19" s="50">
        <v>2</v>
      </c>
      <c r="E19" s="50">
        <v>2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33</v>
      </c>
      <c r="N19" s="50">
        <v>0</v>
      </c>
      <c r="O19" s="15">
        <f t="shared" si="0"/>
        <v>6</v>
      </c>
      <c r="P19" s="15">
        <f t="shared" si="1"/>
        <v>39</v>
      </c>
      <c r="R19" s="1" t="s">
        <v>15</v>
      </c>
      <c r="S19" s="17">
        <f t="shared" ref="S19:AF19" si="11">SUM(C46:C49)</f>
        <v>10</v>
      </c>
      <c r="T19" s="17">
        <f t="shared" si="11"/>
        <v>3</v>
      </c>
      <c r="U19" s="17">
        <f t="shared" si="11"/>
        <v>3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198</v>
      </c>
      <c r="AD19" s="17">
        <f t="shared" si="11"/>
        <v>0</v>
      </c>
      <c r="AE19" s="31">
        <f t="shared" si="11"/>
        <v>19</v>
      </c>
      <c r="AF19" s="31">
        <f t="shared" si="11"/>
        <v>217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2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24</v>
      </c>
      <c r="N20" s="50">
        <v>0</v>
      </c>
      <c r="O20" s="15">
        <f t="shared" si="0"/>
        <v>3</v>
      </c>
      <c r="P20" s="15">
        <f t="shared" si="1"/>
        <v>27</v>
      </c>
      <c r="R20" s="1" t="s">
        <v>16</v>
      </c>
      <c r="S20" s="17">
        <f t="shared" ref="S20:AF20" si="12">SUM(C50:C53)</f>
        <v>15</v>
      </c>
      <c r="T20" s="17">
        <f t="shared" si="12"/>
        <v>10</v>
      </c>
      <c r="U20" s="17">
        <f t="shared" si="12"/>
        <v>3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2</v>
      </c>
      <c r="AA20" s="17">
        <f t="shared" si="12"/>
        <v>0</v>
      </c>
      <c r="AB20" s="17">
        <f t="shared" si="12"/>
        <v>0</v>
      </c>
      <c r="AC20" s="17">
        <f t="shared" si="12"/>
        <v>162</v>
      </c>
      <c r="AD20" s="17">
        <f t="shared" si="12"/>
        <v>0</v>
      </c>
      <c r="AE20" s="31">
        <f t="shared" si="12"/>
        <v>30</v>
      </c>
      <c r="AF20" s="31">
        <f t="shared" si="12"/>
        <v>192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17</v>
      </c>
      <c r="N21" s="50">
        <v>0</v>
      </c>
      <c r="O21" s="15">
        <f t="shared" si="0"/>
        <v>1</v>
      </c>
      <c r="P21" s="15">
        <f t="shared" si="1"/>
        <v>18</v>
      </c>
      <c r="R21" s="36" t="s">
        <v>20</v>
      </c>
      <c r="S21" s="34">
        <f t="shared" ref="S21:AF21" si="13">SUM(C54:C57)</f>
        <v>11</v>
      </c>
      <c r="T21" s="17">
        <f t="shared" si="13"/>
        <v>5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123</v>
      </c>
      <c r="AD21" s="17">
        <f t="shared" si="13"/>
        <v>0</v>
      </c>
      <c r="AE21" s="31">
        <f t="shared" si="13"/>
        <v>21</v>
      </c>
      <c r="AF21" s="31">
        <f t="shared" si="13"/>
        <v>144</v>
      </c>
    </row>
    <row r="22" spans="2:32" ht="23.1" customHeight="1" x14ac:dyDescent="0.25">
      <c r="B22" s="23" t="s">
        <v>49</v>
      </c>
      <c r="C22" s="50">
        <v>0</v>
      </c>
      <c r="D22" s="50">
        <v>2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22</v>
      </c>
      <c r="N22" s="50">
        <v>0</v>
      </c>
      <c r="O22" s="15">
        <f t="shared" si="0"/>
        <v>2</v>
      </c>
      <c r="P22" s="15">
        <f t="shared" si="1"/>
        <v>24</v>
      </c>
      <c r="R22" s="38" t="s">
        <v>90</v>
      </c>
      <c r="S22" s="39">
        <f>MAX(S10:S12)</f>
        <v>6</v>
      </c>
      <c r="T22" s="39">
        <f t="shared" ref="T22:AF22" si="14">MAX(T10:T12)</f>
        <v>3</v>
      </c>
      <c r="U22" s="39">
        <f t="shared" si="14"/>
        <v>4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98</v>
      </c>
      <c r="AD22" s="39">
        <f t="shared" si="14"/>
        <v>0</v>
      </c>
      <c r="AE22" s="40">
        <f t="shared" si="14"/>
        <v>12</v>
      </c>
      <c r="AF22" s="40">
        <f t="shared" si="14"/>
        <v>110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36</v>
      </c>
      <c r="N23" s="50">
        <v>0</v>
      </c>
      <c r="O23" s="15">
        <f t="shared" si="0"/>
        <v>2</v>
      </c>
      <c r="P23" s="15">
        <f t="shared" si="1"/>
        <v>38</v>
      </c>
      <c r="R23" s="38" t="s">
        <v>91</v>
      </c>
      <c r="S23" s="39">
        <f>MAX(S13:S18)</f>
        <v>11</v>
      </c>
      <c r="T23" s="39">
        <f t="shared" ref="T23:AF23" si="15">MAX(T13:T18)</f>
        <v>6</v>
      </c>
      <c r="U23" s="39">
        <f t="shared" si="15"/>
        <v>4</v>
      </c>
      <c r="V23" s="39">
        <f t="shared" si="15"/>
        <v>0</v>
      </c>
      <c r="W23" s="39">
        <f t="shared" si="15"/>
        <v>0</v>
      </c>
      <c r="X23" s="39">
        <f t="shared" si="15"/>
        <v>1</v>
      </c>
      <c r="Y23" s="39">
        <f t="shared" si="15"/>
        <v>2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204</v>
      </c>
      <c r="AD23" s="39">
        <f t="shared" si="15"/>
        <v>0</v>
      </c>
      <c r="AE23" s="40">
        <f t="shared" si="15"/>
        <v>19</v>
      </c>
      <c r="AF23" s="40">
        <f t="shared" si="15"/>
        <v>223</v>
      </c>
    </row>
    <row r="24" spans="2:32" ht="23.1" customHeight="1" x14ac:dyDescent="0.25">
      <c r="B24" s="23" t="s">
        <v>51</v>
      </c>
      <c r="C24" s="50">
        <v>6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30</v>
      </c>
      <c r="N24" s="50">
        <v>0</v>
      </c>
      <c r="O24" s="15">
        <f t="shared" si="0"/>
        <v>7</v>
      </c>
      <c r="P24" s="15">
        <f t="shared" si="1"/>
        <v>37</v>
      </c>
      <c r="R24" s="38" t="s">
        <v>92</v>
      </c>
      <c r="S24" s="39">
        <f>MAX(S19:S21)</f>
        <v>15</v>
      </c>
      <c r="T24" s="39">
        <f t="shared" ref="T24:AF24" si="16">MAX(T19:T21)</f>
        <v>10</v>
      </c>
      <c r="U24" s="39">
        <f t="shared" si="16"/>
        <v>3</v>
      </c>
      <c r="V24" s="39">
        <f t="shared" si="16"/>
        <v>0</v>
      </c>
      <c r="W24" s="39">
        <f t="shared" si="16"/>
        <v>0</v>
      </c>
      <c r="X24" s="39">
        <f t="shared" si="16"/>
        <v>0</v>
      </c>
      <c r="Y24" s="39">
        <f t="shared" si="16"/>
        <v>1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198</v>
      </c>
      <c r="AD24" s="39">
        <f t="shared" si="16"/>
        <v>0</v>
      </c>
      <c r="AE24" s="40">
        <f t="shared" si="16"/>
        <v>30</v>
      </c>
      <c r="AF24" s="40">
        <f t="shared" si="16"/>
        <v>217</v>
      </c>
    </row>
    <row r="25" spans="2:32" ht="23.1" customHeight="1" x14ac:dyDescent="0.25">
      <c r="B25" s="23" t="s">
        <v>52</v>
      </c>
      <c r="C25" s="50">
        <v>2</v>
      </c>
      <c r="D25" s="50">
        <v>1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37</v>
      </c>
      <c r="N25" s="50">
        <v>0</v>
      </c>
      <c r="O25" s="15">
        <f t="shared" si="0"/>
        <v>4</v>
      </c>
      <c r="P25" s="15">
        <f t="shared" si="1"/>
        <v>41</v>
      </c>
      <c r="R25" s="37" t="s">
        <v>85</v>
      </c>
      <c r="S25" s="35">
        <f t="shared" ref="S25:AF25" si="17">SUM(S10:S12)</f>
        <v>14</v>
      </c>
      <c r="T25" s="16">
        <f t="shared" si="17"/>
        <v>7</v>
      </c>
      <c r="U25" s="16">
        <f t="shared" si="17"/>
        <v>11</v>
      </c>
      <c r="V25" s="16">
        <f t="shared" si="17"/>
        <v>1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184</v>
      </c>
      <c r="AD25" s="16">
        <f t="shared" si="17"/>
        <v>0</v>
      </c>
      <c r="AE25" s="32">
        <f t="shared" si="17"/>
        <v>33</v>
      </c>
      <c r="AF25" s="32">
        <f t="shared" si="17"/>
        <v>217</v>
      </c>
    </row>
    <row r="26" spans="2:32" ht="23.1" customHeight="1" x14ac:dyDescent="0.25">
      <c r="B26" s="23" t="s">
        <v>53</v>
      </c>
      <c r="C26" s="50">
        <v>3</v>
      </c>
      <c r="D26" s="50">
        <v>3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40</v>
      </c>
      <c r="N26" s="50">
        <v>0</v>
      </c>
      <c r="O26" s="15">
        <f t="shared" si="0"/>
        <v>6</v>
      </c>
      <c r="P26" s="15">
        <f t="shared" si="1"/>
        <v>46</v>
      </c>
      <c r="R26" s="28" t="s">
        <v>86</v>
      </c>
      <c r="S26" s="16">
        <f t="shared" ref="S26:AF26" si="18">SUM(S13:S18)</f>
        <v>44</v>
      </c>
      <c r="T26" s="16">
        <f t="shared" si="18"/>
        <v>24</v>
      </c>
      <c r="U26" s="16">
        <f t="shared" si="18"/>
        <v>14</v>
      </c>
      <c r="V26" s="16">
        <f t="shared" si="18"/>
        <v>0</v>
      </c>
      <c r="W26" s="16">
        <f t="shared" si="18"/>
        <v>0</v>
      </c>
      <c r="X26" s="16">
        <f t="shared" si="18"/>
        <v>1</v>
      </c>
      <c r="Y26" s="16">
        <f t="shared" si="18"/>
        <v>4</v>
      </c>
      <c r="Z26" s="16">
        <f t="shared" si="18"/>
        <v>5</v>
      </c>
      <c r="AA26" s="16">
        <f t="shared" si="18"/>
        <v>0</v>
      </c>
      <c r="AB26" s="16">
        <f t="shared" si="18"/>
        <v>0</v>
      </c>
      <c r="AC26" s="16">
        <f t="shared" si="18"/>
        <v>852</v>
      </c>
      <c r="AD26" s="16">
        <f t="shared" si="18"/>
        <v>0</v>
      </c>
      <c r="AE26" s="32">
        <f t="shared" si="18"/>
        <v>92</v>
      </c>
      <c r="AF26" s="32">
        <f t="shared" si="18"/>
        <v>942</v>
      </c>
    </row>
    <row r="27" spans="2:32" ht="23.1" customHeight="1" x14ac:dyDescent="0.25">
      <c r="B27" s="23" t="s">
        <v>54</v>
      </c>
      <c r="C27" s="50">
        <v>4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32</v>
      </c>
      <c r="N27" s="50">
        <v>0</v>
      </c>
      <c r="O27" s="15">
        <f t="shared" si="0"/>
        <v>5</v>
      </c>
      <c r="P27" s="15">
        <f t="shared" si="1"/>
        <v>37</v>
      </c>
      <c r="R27" s="29" t="s">
        <v>87</v>
      </c>
      <c r="S27" s="16">
        <f t="shared" ref="S27:AF27" si="19">SUM(S19:S21)</f>
        <v>36</v>
      </c>
      <c r="T27" s="16">
        <f t="shared" si="19"/>
        <v>18</v>
      </c>
      <c r="U27" s="16">
        <f t="shared" si="19"/>
        <v>8</v>
      </c>
      <c r="V27" s="16">
        <f t="shared" si="19"/>
        <v>0</v>
      </c>
      <c r="W27" s="16">
        <f t="shared" si="19"/>
        <v>0</v>
      </c>
      <c r="X27" s="16">
        <f t="shared" si="19"/>
        <v>0</v>
      </c>
      <c r="Y27" s="16">
        <f t="shared" si="19"/>
        <v>1</v>
      </c>
      <c r="Z27" s="16">
        <f t="shared" si="19"/>
        <v>7</v>
      </c>
      <c r="AA27" s="16">
        <f t="shared" si="19"/>
        <v>0</v>
      </c>
      <c r="AB27" s="16">
        <f t="shared" si="19"/>
        <v>0</v>
      </c>
      <c r="AC27" s="16">
        <f t="shared" si="19"/>
        <v>483</v>
      </c>
      <c r="AD27" s="16">
        <f t="shared" si="19"/>
        <v>0</v>
      </c>
      <c r="AE27" s="32">
        <f t="shared" si="19"/>
        <v>70</v>
      </c>
      <c r="AF27" s="32">
        <f t="shared" si="19"/>
        <v>553</v>
      </c>
    </row>
    <row r="28" spans="2:32" ht="23.1" customHeight="1" x14ac:dyDescent="0.25">
      <c r="B28" s="23" t="s">
        <v>55</v>
      </c>
      <c r="C28" s="50">
        <v>1</v>
      </c>
      <c r="D28" s="50">
        <v>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24</v>
      </c>
      <c r="N28" s="50">
        <v>0</v>
      </c>
      <c r="O28" s="15">
        <f t="shared" si="0"/>
        <v>4</v>
      </c>
      <c r="P28" s="15">
        <f t="shared" si="1"/>
        <v>28</v>
      </c>
      <c r="R28" s="5" t="s">
        <v>17</v>
      </c>
      <c r="S28" s="16">
        <f t="shared" ref="S28:AF28" si="20">SUM(S10:S21)</f>
        <v>94</v>
      </c>
      <c r="T28" s="16">
        <f t="shared" si="20"/>
        <v>49</v>
      </c>
      <c r="U28" s="16">
        <f t="shared" si="20"/>
        <v>33</v>
      </c>
      <c r="V28" s="16">
        <f t="shared" si="20"/>
        <v>1</v>
      </c>
      <c r="W28" s="16">
        <f t="shared" si="20"/>
        <v>0</v>
      </c>
      <c r="X28" s="16">
        <f t="shared" si="20"/>
        <v>1</v>
      </c>
      <c r="Y28" s="16">
        <f t="shared" si="20"/>
        <v>5</v>
      </c>
      <c r="Z28" s="16">
        <f t="shared" si="20"/>
        <v>12</v>
      </c>
      <c r="AA28" s="16">
        <f t="shared" si="20"/>
        <v>0</v>
      </c>
      <c r="AB28" s="16">
        <f t="shared" si="20"/>
        <v>0</v>
      </c>
      <c r="AC28" s="16">
        <f t="shared" si="20"/>
        <v>1519</v>
      </c>
      <c r="AD28" s="16">
        <f t="shared" si="20"/>
        <v>0</v>
      </c>
      <c r="AE28" s="32">
        <f t="shared" si="20"/>
        <v>195</v>
      </c>
      <c r="AF28" s="32">
        <f t="shared" si="20"/>
        <v>1712</v>
      </c>
    </row>
    <row r="29" spans="2:32" ht="23.1" customHeight="1" x14ac:dyDescent="0.25">
      <c r="B29" s="23" t="s">
        <v>56</v>
      </c>
      <c r="C29" s="50">
        <v>1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34</v>
      </c>
      <c r="N29" s="50">
        <v>0</v>
      </c>
      <c r="O29" s="15">
        <f t="shared" si="0"/>
        <v>2</v>
      </c>
      <c r="P29" s="15">
        <v>34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2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2</v>
      </c>
      <c r="K30" s="50">
        <v>0</v>
      </c>
      <c r="L30" s="50">
        <v>0</v>
      </c>
      <c r="M30" s="50">
        <v>25</v>
      </c>
      <c r="N30" s="50">
        <v>0</v>
      </c>
      <c r="O30" s="15">
        <f t="shared" si="0"/>
        <v>5</v>
      </c>
      <c r="P30" s="15">
        <f t="shared" si="1"/>
        <v>30</v>
      </c>
    </row>
    <row r="31" spans="2:32" ht="23.1" customHeight="1" x14ac:dyDescent="0.25">
      <c r="B31" s="24" t="s">
        <v>58</v>
      </c>
      <c r="C31" s="50">
        <v>1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31</v>
      </c>
      <c r="N31" s="50">
        <v>0</v>
      </c>
      <c r="O31" s="15">
        <f t="shared" si="0"/>
        <v>2</v>
      </c>
      <c r="P31" s="15">
        <f t="shared" si="1"/>
        <v>33</v>
      </c>
    </row>
    <row r="32" spans="2:32" ht="23.1" customHeight="1" x14ac:dyDescent="0.25">
      <c r="B32" s="24" t="s">
        <v>59</v>
      </c>
      <c r="C32" s="50">
        <v>1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21</v>
      </c>
      <c r="N32" s="50">
        <v>0</v>
      </c>
      <c r="O32" s="15">
        <f t="shared" si="0"/>
        <v>4</v>
      </c>
      <c r="P32" s="15">
        <f t="shared" si="1"/>
        <v>25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22</v>
      </c>
      <c r="N33" s="50">
        <v>0</v>
      </c>
      <c r="O33" s="15">
        <f t="shared" si="0"/>
        <v>3</v>
      </c>
      <c r="P33" s="15">
        <f t="shared" si="1"/>
        <v>25</v>
      </c>
    </row>
    <row r="34" spans="2:20" ht="23.1" customHeight="1" x14ac:dyDescent="0.25">
      <c r="B34" s="24" t="s">
        <v>61</v>
      </c>
      <c r="C34" s="50">
        <v>2</v>
      </c>
      <c r="D34" s="50">
        <v>1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29</v>
      </c>
      <c r="N34" s="50">
        <v>0</v>
      </c>
      <c r="O34" s="15">
        <f t="shared" si="0"/>
        <v>4</v>
      </c>
      <c r="P34" s="15">
        <f t="shared" si="1"/>
        <v>33</v>
      </c>
    </row>
    <row r="35" spans="2:20" ht="23.1" customHeight="1" x14ac:dyDescent="0.25">
      <c r="B35" s="24" t="s">
        <v>62</v>
      </c>
      <c r="C35" s="50">
        <v>0</v>
      </c>
      <c r="D35" s="50">
        <v>2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23</v>
      </c>
      <c r="N35" s="50">
        <v>0</v>
      </c>
      <c r="O35" s="15">
        <f t="shared" si="0"/>
        <v>3</v>
      </c>
      <c r="P35" s="15">
        <f t="shared" si="1"/>
        <v>26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2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37</v>
      </c>
      <c r="N36" s="50">
        <v>0</v>
      </c>
      <c r="O36" s="15">
        <f t="shared" si="0"/>
        <v>4</v>
      </c>
      <c r="P36" s="15">
        <f t="shared" si="1"/>
        <v>41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38</v>
      </c>
      <c r="N37" s="50">
        <v>0</v>
      </c>
      <c r="O37" s="15">
        <f t="shared" si="0"/>
        <v>2</v>
      </c>
      <c r="P37" s="15">
        <f t="shared" si="1"/>
        <v>40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1</v>
      </c>
      <c r="I38" s="50">
        <v>0</v>
      </c>
      <c r="J38" s="50">
        <v>1</v>
      </c>
      <c r="K38" s="50">
        <v>0</v>
      </c>
      <c r="L38" s="50">
        <v>0</v>
      </c>
      <c r="M38" s="50">
        <v>30</v>
      </c>
      <c r="N38" s="50">
        <v>0</v>
      </c>
      <c r="O38" s="15">
        <f t="shared" si="0"/>
        <v>3</v>
      </c>
      <c r="P38" s="15">
        <f t="shared" si="1"/>
        <v>33</v>
      </c>
    </row>
    <row r="39" spans="2:20" ht="23.1" customHeight="1" x14ac:dyDescent="0.25">
      <c r="B39" s="24" t="s">
        <v>66</v>
      </c>
      <c r="C39" s="50">
        <v>1</v>
      </c>
      <c r="D39" s="50">
        <v>2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39</v>
      </c>
      <c r="N39" s="50">
        <v>0</v>
      </c>
      <c r="O39" s="15">
        <f t="shared" si="0"/>
        <v>4</v>
      </c>
      <c r="P39" s="15">
        <f t="shared" si="1"/>
        <v>43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51</v>
      </c>
      <c r="N40" s="50">
        <v>0</v>
      </c>
      <c r="O40" s="15">
        <f t="shared" si="0"/>
        <v>4</v>
      </c>
      <c r="P40" s="15">
        <f t="shared" si="1"/>
        <v>55</v>
      </c>
    </row>
    <row r="41" spans="2:20" ht="23.1" customHeight="1" x14ac:dyDescent="0.25">
      <c r="B41" s="23" t="s">
        <v>68</v>
      </c>
      <c r="C41" s="50">
        <v>0</v>
      </c>
      <c r="D41" s="50">
        <v>1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47</v>
      </c>
      <c r="N41" s="50">
        <v>0</v>
      </c>
      <c r="O41" s="15">
        <f t="shared" si="0"/>
        <v>3</v>
      </c>
      <c r="P41" s="15">
        <f t="shared" si="1"/>
        <v>50</v>
      </c>
    </row>
    <row r="42" spans="2:20" ht="23.1" customHeight="1" x14ac:dyDescent="0.25">
      <c r="B42" s="24" t="s">
        <v>69</v>
      </c>
      <c r="C42" s="50">
        <v>3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50</v>
      </c>
      <c r="N42" s="50">
        <v>0</v>
      </c>
      <c r="O42" s="15">
        <f t="shared" si="0"/>
        <v>3</v>
      </c>
      <c r="P42" s="15">
        <f t="shared" si="1"/>
        <v>53</v>
      </c>
    </row>
    <row r="43" spans="2:20" ht="23.1" customHeight="1" x14ac:dyDescent="0.25">
      <c r="B43" s="23" t="s">
        <v>70</v>
      </c>
      <c r="C43" s="50">
        <v>1</v>
      </c>
      <c r="D43" s="50">
        <v>3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52</v>
      </c>
      <c r="N43" s="50">
        <v>0</v>
      </c>
      <c r="O43" s="15">
        <f t="shared" si="0"/>
        <v>5</v>
      </c>
      <c r="P43" s="15">
        <f t="shared" si="1"/>
        <v>57</v>
      </c>
    </row>
    <row r="44" spans="2:20" ht="23.1" customHeight="1" x14ac:dyDescent="0.25">
      <c r="B44" s="25" t="s">
        <v>71</v>
      </c>
      <c r="C44" s="50">
        <v>6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48</v>
      </c>
      <c r="N44" s="50">
        <v>0</v>
      </c>
      <c r="O44" s="15">
        <f t="shared" si="0"/>
        <v>6</v>
      </c>
      <c r="P44" s="15">
        <f t="shared" si="1"/>
        <v>54</v>
      </c>
    </row>
    <row r="45" spans="2:20" ht="23.1" customHeight="1" x14ac:dyDescent="0.25">
      <c r="B45" s="23" t="s">
        <v>72</v>
      </c>
      <c r="C45" s="50">
        <v>1</v>
      </c>
      <c r="D45" s="50">
        <v>2</v>
      </c>
      <c r="E45" s="50">
        <v>2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54</v>
      </c>
      <c r="N45" s="50">
        <v>0</v>
      </c>
      <c r="O45" s="15">
        <f t="shared" si="0"/>
        <v>5</v>
      </c>
      <c r="P45" s="15">
        <f t="shared" si="1"/>
        <v>59</v>
      </c>
    </row>
    <row r="46" spans="2:20" ht="23.1" customHeight="1" x14ac:dyDescent="0.25">
      <c r="B46" s="24" t="s">
        <v>73</v>
      </c>
      <c r="C46" s="50">
        <v>2</v>
      </c>
      <c r="D46" s="50">
        <v>1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46</v>
      </c>
      <c r="N46" s="50">
        <v>0</v>
      </c>
      <c r="O46" s="15">
        <f t="shared" si="0"/>
        <v>4</v>
      </c>
      <c r="P46" s="15">
        <f t="shared" si="1"/>
        <v>50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52</v>
      </c>
      <c r="N47" s="50">
        <v>0</v>
      </c>
      <c r="O47" s="15">
        <f t="shared" si="0"/>
        <v>5</v>
      </c>
      <c r="P47" s="15">
        <f t="shared" si="1"/>
        <v>57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1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49</v>
      </c>
      <c r="N48" s="50">
        <v>0</v>
      </c>
      <c r="O48" s="15">
        <f t="shared" si="0"/>
        <v>6</v>
      </c>
      <c r="P48" s="15">
        <f t="shared" si="1"/>
        <v>55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2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51</v>
      </c>
      <c r="N49" s="50">
        <v>0</v>
      </c>
      <c r="O49" s="15">
        <f t="shared" si="0"/>
        <v>4</v>
      </c>
      <c r="P49" s="15">
        <f t="shared" si="1"/>
        <v>55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2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35</v>
      </c>
      <c r="N50" s="50">
        <v>0</v>
      </c>
      <c r="O50" s="15">
        <f t="shared" si="0"/>
        <v>5</v>
      </c>
      <c r="P50" s="15">
        <f t="shared" si="1"/>
        <v>40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4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41</v>
      </c>
      <c r="N51" s="50">
        <v>0</v>
      </c>
      <c r="O51" s="15">
        <f t="shared" si="0"/>
        <v>11</v>
      </c>
      <c r="P51" s="15">
        <f t="shared" si="1"/>
        <v>52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43</v>
      </c>
      <c r="N52" s="50">
        <v>0</v>
      </c>
      <c r="O52" s="15">
        <f t="shared" si="0"/>
        <v>6</v>
      </c>
      <c r="P52" s="15">
        <f t="shared" si="1"/>
        <v>49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3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43</v>
      </c>
      <c r="N53" s="50">
        <v>0</v>
      </c>
      <c r="O53" s="15">
        <f t="shared" si="0"/>
        <v>8</v>
      </c>
      <c r="P53" s="15">
        <f t="shared" si="1"/>
        <v>51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1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35</v>
      </c>
      <c r="N54" s="50">
        <v>0</v>
      </c>
      <c r="O54" s="15">
        <f t="shared" si="0"/>
        <v>4</v>
      </c>
      <c r="P54" s="15">
        <f t="shared" si="1"/>
        <v>39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26</v>
      </c>
      <c r="N55" s="50">
        <v>0</v>
      </c>
      <c r="O55" s="15">
        <f t="shared" si="0"/>
        <v>6</v>
      </c>
      <c r="P55" s="15">
        <f t="shared" si="1"/>
        <v>32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32</v>
      </c>
      <c r="N56" s="50">
        <v>0</v>
      </c>
      <c r="O56" s="15">
        <f t="shared" si="0"/>
        <v>6</v>
      </c>
      <c r="P56" s="15">
        <f t="shared" si="1"/>
        <v>38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3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30</v>
      </c>
      <c r="N57" s="50">
        <v>0</v>
      </c>
      <c r="O57" s="15">
        <f t="shared" si="0"/>
        <v>5</v>
      </c>
      <c r="P57" s="15">
        <f t="shared" si="1"/>
        <v>35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94</v>
      </c>
      <c r="D58" s="16">
        <f t="shared" si="21"/>
        <v>49</v>
      </c>
      <c r="E58" s="16">
        <f t="shared" si="21"/>
        <v>33</v>
      </c>
      <c r="F58" s="16">
        <f t="shared" si="21"/>
        <v>1</v>
      </c>
      <c r="G58" s="16">
        <f t="shared" si="21"/>
        <v>0</v>
      </c>
      <c r="H58" s="16">
        <f t="shared" si="21"/>
        <v>1</v>
      </c>
      <c r="I58" s="16">
        <f t="shared" si="21"/>
        <v>5</v>
      </c>
      <c r="J58" s="16">
        <f t="shared" si="21"/>
        <v>12</v>
      </c>
      <c r="K58" s="16">
        <f t="shared" si="21"/>
        <v>0</v>
      </c>
      <c r="L58" s="16">
        <f t="shared" si="21"/>
        <v>0</v>
      </c>
      <c r="M58" s="16">
        <f t="shared" si="21"/>
        <v>1519</v>
      </c>
      <c r="N58" s="16">
        <f t="shared" si="21"/>
        <v>0</v>
      </c>
      <c r="O58" s="16">
        <f t="shared" si="21"/>
        <v>195</v>
      </c>
      <c r="P58" s="16">
        <f t="shared" si="21"/>
        <v>1712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5.4906542056074766E-2</v>
      </c>
      <c r="D59" s="43">
        <f t="shared" si="22"/>
        <v>2.8621495327102803E-2</v>
      </c>
      <c r="E59" s="43">
        <f t="shared" si="22"/>
        <v>1.9275700934579438E-2</v>
      </c>
      <c r="F59" s="43">
        <f t="shared" si="22"/>
        <v>5.8411214953271024E-4</v>
      </c>
      <c r="G59" s="43">
        <f t="shared" si="22"/>
        <v>0</v>
      </c>
      <c r="H59" s="43">
        <f t="shared" si="22"/>
        <v>5.8411214953271024E-4</v>
      </c>
      <c r="I59" s="43">
        <f t="shared" si="22"/>
        <v>2.9205607476635513E-3</v>
      </c>
      <c r="J59" s="43">
        <f t="shared" si="22"/>
        <v>7.0093457943925233E-3</v>
      </c>
      <c r="K59" s="43">
        <f t="shared" si="22"/>
        <v>0</v>
      </c>
      <c r="L59" s="43">
        <f t="shared" si="22"/>
        <v>0</v>
      </c>
      <c r="M59" s="43">
        <f t="shared" si="22"/>
        <v>0.88726635514018692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0.48205128205128206</v>
      </c>
      <c r="D60" s="44">
        <f t="shared" ref="D60:N60" si="23">D58/$O$58</f>
        <v>0.25128205128205128</v>
      </c>
      <c r="E60" s="44">
        <f t="shared" si="23"/>
        <v>0.16923076923076924</v>
      </c>
      <c r="F60" s="44">
        <f t="shared" si="23"/>
        <v>5.1282051282051282E-3</v>
      </c>
      <c r="G60" s="44">
        <f t="shared" si="23"/>
        <v>0</v>
      </c>
      <c r="H60" s="44">
        <f t="shared" si="23"/>
        <v>5.1282051282051282E-3</v>
      </c>
      <c r="I60" s="44">
        <f t="shared" si="23"/>
        <v>2.564102564102564E-2</v>
      </c>
      <c r="J60" s="44">
        <f t="shared" si="23"/>
        <v>6.1538461538461542E-2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topLeftCell="A43" zoomScale="60" workbookViewId="0">
      <selection activeCell="R57" sqref="R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tr">
        <f>'27.10 CYANIKA-KISORO'!C3:G3</f>
        <v>MCC - C4 - STN135 - KISORO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'27.10 CYANIKA-KISORO'!D5</f>
        <v>27.10.2019</v>
      </c>
      <c r="E5" s="3"/>
      <c r="F5" s="41" t="s">
        <v>1</v>
      </c>
      <c r="G5" s="66" t="str">
        <f>'27.10 CYANIKA-KISORO'!G5:H5</f>
        <v>STATION 135</v>
      </c>
      <c r="H5" s="67"/>
      <c r="I5" s="14"/>
      <c r="J5" s="2" t="s">
        <v>5</v>
      </c>
      <c r="K5" s="66" t="s">
        <v>170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3" t="s">
        <v>166</v>
      </c>
      <c r="E6" s="64"/>
      <c r="F6" s="2" t="s">
        <v>2</v>
      </c>
      <c r="G6" s="63" t="s">
        <v>164</v>
      </c>
      <c r="H6" s="64"/>
      <c r="J6" s="2" t="s">
        <v>21</v>
      </c>
      <c r="K6" s="66" t="str">
        <f>'27.10 CYANIKA-KISORO'!K6:L6</f>
        <v>BELLA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11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0</v>
      </c>
      <c r="T10" s="17">
        <f t="shared" si="2"/>
        <v>1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39</v>
      </c>
      <c r="AD10" s="17">
        <f t="shared" si="2"/>
        <v>0</v>
      </c>
      <c r="AE10" s="31">
        <f t="shared" si="2"/>
        <v>3</v>
      </c>
      <c r="AF10" s="31">
        <f t="shared" si="2"/>
        <v>42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17</v>
      </c>
      <c r="N11" s="50">
        <v>0</v>
      </c>
      <c r="O11" s="15">
        <f t="shared" si="0"/>
        <v>0</v>
      </c>
      <c r="P11" s="15">
        <f t="shared" si="1"/>
        <v>17</v>
      </c>
      <c r="R11" s="1" t="s">
        <v>7</v>
      </c>
      <c r="S11" s="17">
        <f t="shared" ref="S11:AF11" si="3">SUM(C14:C17)</f>
        <v>4</v>
      </c>
      <c r="T11" s="17">
        <f t="shared" si="3"/>
        <v>1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76</v>
      </c>
      <c r="AD11" s="17">
        <f t="shared" si="3"/>
        <v>0</v>
      </c>
      <c r="AE11" s="31">
        <f t="shared" si="3"/>
        <v>8</v>
      </c>
      <c r="AF11" s="31">
        <f t="shared" si="3"/>
        <v>84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0</v>
      </c>
      <c r="P12" s="15">
        <f t="shared" si="1"/>
        <v>8</v>
      </c>
      <c r="R12" s="1" t="s">
        <v>8</v>
      </c>
      <c r="S12" s="17">
        <f t="shared" ref="S12:AF12" si="4">SUM(C18:C21)</f>
        <v>2</v>
      </c>
      <c r="T12" s="17">
        <f t="shared" si="4"/>
        <v>3</v>
      </c>
      <c r="U12" s="17">
        <f t="shared" si="4"/>
        <v>4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114</v>
      </c>
      <c r="AD12" s="17">
        <f t="shared" si="4"/>
        <v>0</v>
      </c>
      <c r="AE12" s="31">
        <f t="shared" si="4"/>
        <v>12</v>
      </c>
      <c r="AF12" s="31">
        <f t="shared" si="4"/>
        <v>126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2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3</v>
      </c>
      <c r="N13" s="50">
        <v>0</v>
      </c>
      <c r="O13" s="15">
        <f t="shared" si="0"/>
        <v>3</v>
      </c>
      <c r="P13" s="15">
        <f t="shared" si="1"/>
        <v>6</v>
      </c>
      <c r="R13" s="1" t="s">
        <v>9</v>
      </c>
      <c r="S13" s="17">
        <f t="shared" ref="S13:AF13" si="5">SUM(C22:C25)</f>
        <v>10</v>
      </c>
      <c r="T13" s="17">
        <f t="shared" si="5"/>
        <v>3</v>
      </c>
      <c r="U13" s="17">
        <f t="shared" si="5"/>
        <v>1</v>
      </c>
      <c r="V13" s="17">
        <f t="shared" si="5"/>
        <v>1</v>
      </c>
      <c r="W13" s="17">
        <f t="shared" si="5"/>
        <v>1</v>
      </c>
      <c r="X13" s="17">
        <f t="shared" si="5"/>
        <v>0</v>
      </c>
      <c r="Y13" s="17">
        <f t="shared" si="5"/>
        <v>0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164</v>
      </c>
      <c r="AD13" s="17">
        <f t="shared" si="5"/>
        <v>0</v>
      </c>
      <c r="AE13" s="31">
        <f t="shared" si="5"/>
        <v>18</v>
      </c>
      <c r="AF13" s="31">
        <f t="shared" si="5"/>
        <v>182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9</v>
      </c>
      <c r="N14" s="50">
        <v>0</v>
      </c>
      <c r="O14" s="15">
        <f t="shared" si="0"/>
        <v>2</v>
      </c>
      <c r="P14" s="15">
        <f t="shared" si="1"/>
        <v>11</v>
      </c>
      <c r="R14" s="1" t="s">
        <v>10</v>
      </c>
      <c r="S14" s="17">
        <f t="shared" ref="S14:AF14" si="6">SUM(C26:C29)</f>
        <v>10</v>
      </c>
      <c r="T14" s="17">
        <f t="shared" si="6"/>
        <v>3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1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109</v>
      </c>
      <c r="AD14" s="17">
        <f t="shared" si="6"/>
        <v>0</v>
      </c>
      <c r="AE14" s="31">
        <f t="shared" si="6"/>
        <v>18</v>
      </c>
      <c r="AF14" s="31">
        <f t="shared" si="6"/>
        <v>127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18</v>
      </c>
      <c r="N15" s="50">
        <v>0</v>
      </c>
      <c r="O15" s="15">
        <f t="shared" si="0"/>
        <v>0</v>
      </c>
      <c r="P15" s="15">
        <f t="shared" si="1"/>
        <v>18</v>
      </c>
      <c r="R15" s="1" t="s">
        <v>11</v>
      </c>
      <c r="S15" s="17">
        <f t="shared" ref="S15:AF15" si="7">SUM(C30:C33)</f>
        <v>8</v>
      </c>
      <c r="T15" s="17">
        <f t="shared" si="7"/>
        <v>5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87</v>
      </c>
      <c r="AD15" s="17">
        <f t="shared" si="7"/>
        <v>0</v>
      </c>
      <c r="AE15" s="31">
        <f t="shared" si="7"/>
        <v>17</v>
      </c>
      <c r="AF15" s="31">
        <f t="shared" si="7"/>
        <v>104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25</v>
      </c>
      <c r="N16" s="50">
        <v>0</v>
      </c>
      <c r="O16" s="15">
        <f t="shared" si="0"/>
        <v>2</v>
      </c>
      <c r="P16" s="15">
        <f t="shared" si="1"/>
        <v>27</v>
      </c>
      <c r="R16" s="1" t="s">
        <v>12</v>
      </c>
      <c r="S16" s="17">
        <f t="shared" ref="S16:AF16" si="8">SUM(C34:C37)</f>
        <v>7</v>
      </c>
      <c r="T16" s="17">
        <f t="shared" si="8"/>
        <v>2</v>
      </c>
      <c r="U16" s="17">
        <f t="shared" si="8"/>
        <v>3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115</v>
      </c>
      <c r="AD16" s="17">
        <f t="shared" si="8"/>
        <v>0</v>
      </c>
      <c r="AE16" s="31">
        <f t="shared" si="8"/>
        <v>13</v>
      </c>
      <c r="AF16" s="31">
        <f t="shared" si="8"/>
        <v>128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24</v>
      </c>
      <c r="N17" s="50">
        <v>0</v>
      </c>
      <c r="O17" s="15">
        <f t="shared" si="0"/>
        <v>4</v>
      </c>
      <c r="P17" s="15">
        <f t="shared" si="1"/>
        <v>28</v>
      </c>
      <c r="R17" s="1" t="s">
        <v>13</v>
      </c>
      <c r="S17" s="17">
        <f t="shared" ref="S17:AF17" si="9">SUM(C38:C41)</f>
        <v>12</v>
      </c>
      <c r="T17" s="17">
        <f t="shared" si="9"/>
        <v>4</v>
      </c>
      <c r="U17" s="17">
        <f t="shared" si="9"/>
        <v>4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155</v>
      </c>
      <c r="AD17" s="17">
        <f t="shared" si="9"/>
        <v>0</v>
      </c>
      <c r="AE17" s="31">
        <f t="shared" si="9"/>
        <v>24</v>
      </c>
      <c r="AF17" s="31">
        <f t="shared" si="9"/>
        <v>179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24</v>
      </c>
      <c r="N18" s="50">
        <v>0</v>
      </c>
      <c r="O18" s="15">
        <f t="shared" si="0"/>
        <v>2</v>
      </c>
      <c r="P18" s="15">
        <f t="shared" si="1"/>
        <v>26</v>
      </c>
      <c r="R18" s="1" t="s">
        <v>14</v>
      </c>
      <c r="S18" s="17">
        <f t="shared" ref="S18:AF18" si="10">SUM(C42:C45)</f>
        <v>11</v>
      </c>
      <c r="T18" s="17">
        <f t="shared" si="10"/>
        <v>7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190</v>
      </c>
      <c r="AD18" s="17">
        <f t="shared" si="10"/>
        <v>0</v>
      </c>
      <c r="AE18" s="31">
        <f t="shared" si="10"/>
        <v>22</v>
      </c>
      <c r="AF18" s="31">
        <f t="shared" si="10"/>
        <v>212</v>
      </c>
    </row>
    <row r="19" spans="2:32" ht="23.1" customHeight="1" x14ac:dyDescent="0.25">
      <c r="B19" s="23" t="s">
        <v>46</v>
      </c>
      <c r="C19" s="50">
        <v>0</v>
      </c>
      <c r="D19" s="50">
        <v>2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25</v>
      </c>
      <c r="N19" s="50">
        <v>0</v>
      </c>
      <c r="O19" s="15">
        <f t="shared" si="0"/>
        <v>2</v>
      </c>
      <c r="P19" s="15">
        <f t="shared" si="1"/>
        <v>27</v>
      </c>
      <c r="R19" s="1" t="s">
        <v>15</v>
      </c>
      <c r="S19" s="17">
        <f t="shared" ref="S19:AF19" si="11">SUM(C46:C49)</f>
        <v>7</v>
      </c>
      <c r="T19" s="17">
        <f t="shared" si="11"/>
        <v>4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214</v>
      </c>
      <c r="AD19" s="17">
        <f t="shared" si="11"/>
        <v>0</v>
      </c>
      <c r="AE19" s="31">
        <f t="shared" si="11"/>
        <v>12</v>
      </c>
      <c r="AF19" s="31">
        <f t="shared" si="11"/>
        <v>226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3</v>
      </c>
      <c r="F20" s="50">
        <v>0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32</v>
      </c>
      <c r="N20" s="50">
        <v>0</v>
      </c>
      <c r="O20" s="15">
        <f t="shared" si="0"/>
        <v>5</v>
      </c>
      <c r="P20" s="15">
        <f t="shared" si="1"/>
        <v>37</v>
      </c>
      <c r="R20" s="1" t="s">
        <v>16</v>
      </c>
      <c r="S20" s="17">
        <f t="shared" ref="S20:AF20" si="12">SUM(C50:C53)</f>
        <v>8</v>
      </c>
      <c r="T20" s="17">
        <f t="shared" si="12"/>
        <v>1</v>
      </c>
      <c r="U20" s="17">
        <f t="shared" si="12"/>
        <v>4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193</v>
      </c>
      <c r="AD20" s="17">
        <f t="shared" si="12"/>
        <v>0</v>
      </c>
      <c r="AE20" s="31">
        <f t="shared" si="12"/>
        <v>16</v>
      </c>
      <c r="AF20" s="31">
        <f t="shared" si="12"/>
        <v>209</v>
      </c>
    </row>
    <row r="21" spans="2:32" ht="23.1" customHeight="1" x14ac:dyDescent="0.25">
      <c r="B21" s="23" t="s">
        <v>48</v>
      </c>
      <c r="C21" s="50">
        <v>1</v>
      </c>
      <c r="D21" s="50">
        <v>1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33</v>
      </c>
      <c r="N21" s="50">
        <v>0</v>
      </c>
      <c r="O21" s="15">
        <f t="shared" si="0"/>
        <v>3</v>
      </c>
      <c r="P21" s="15">
        <f t="shared" si="1"/>
        <v>36</v>
      </c>
      <c r="R21" s="36" t="s">
        <v>20</v>
      </c>
      <c r="S21" s="34">
        <f t="shared" ref="S21:AF21" si="13">SUM(C54:C57)</f>
        <v>16</v>
      </c>
      <c r="T21" s="17">
        <f t="shared" si="13"/>
        <v>7</v>
      </c>
      <c r="U21" s="17">
        <f t="shared" si="13"/>
        <v>6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203</v>
      </c>
      <c r="AD21" s="17">
        <f t="shared" si="13"/>
        <v>0</v>
      </c>
      <c r="AE21" s="31">
        <f t="shared" si="13"/>
        <v>33</v>
      </c>
      <c r="AF21" s="31">
        <f t="shared" si="13"/>
        <v>236</v>
      </c>
    </row>
    <row r="22" spans="2:32" ht="23.1" customHeight="1" x14ac:dyDescent="0.25">
      <c r="B22" s="23" t="s">
        <v>49</v>
      </c>
      <c r="C22" s="50">
        <v>1</v>
      </c>
      <c r="D22" s="50">
        <v>1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1</v>
      </c>
      <c r="L22" s="50">
        <v>0</v>
      </c>
      <c r="M22" s="50">
        <v>36</v>
      </c>
      <c r="N22" s="50">
        <v>0</v>
      </c>
      <c r="O22" s="15">
        <f t="shared" si="0"/>
        <v>4</v>
      </c>
      <c r="P22" s="15">
        <f t="shared" si="1"/>
        <v>40</v>
      </c>
      <c r="R22" s="38" t="s">
        <v>90</v>
      </c>
      <c r="S22" s="39">
        <f>MAX(S10:S12)</f>
        <v>4</v>
      </c>
      <c r="T22" s="39">
        <f t="shared" ref="T22:AF22" si="14">MAX(T10:T12)</f>
        <v>3</v>
      </c>
      <c r="U22" s="39">
        <f t="shared" si="14"/>
        <v>4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3</v>
      </c>
      <c r="AA22" s="39">
        <f t="shared" si="14"/>
        <v>0</v>
      </c>
      <c r="AB22" s="39">
        <f t="shared" si="14"/>
        <v>0</v>
      </c>
      <c r="AC22" s="39">
        <f t="shared" si="14"/>
        <v>114</v>
      </c>
      <c r="AD22" s="39">
        <f t="shared" si="14"/>
        <v>0</v>
      </c>
      <c r="AE22" s="40">
        <f t="shared" si="14"/>
        <v>12</v>
      </c>
      <c r="AF22" s="40">
        <f t="shared" si="14"/>
        <v>126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0</v>
      </c>
      <c r="G23" s="50">
        <v>1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42</v>
      </c>
      <c r="N23" s="50">
        <v>0</v>
      </c>
      <c r="O23" s="15">
        <f t="shared" si="0"/>
        <v>3</v>
      </c>
      <c r="P23" s="15">
        <f t="shared" si="1"/>
        <v>45</v>
      </c>
      <c r="R23" s="38" t="s">
        <v>91</v>
      </c>
      <c r="S23" s="39">
        <f>MAX(S13:S18)</f>
        <v>12</v>
      </c>
      <c r="T23" s="39">
        <f t="shared" ref="T23:AF23" si="15">MAX(T13:T18)</f>
        <v>7</v>
      </c>
      <c r="U23" s="39">
        <f t="shared" si="15"/>
        <v>4</v>
      </c>
      <c r="V23" s="39">
        <f t="shared" si="15"/>
        <v>1</v>
      </c>
      <c r="W23" s="39">
        <f t="shared" si="15"/>
        <v>1</v>
      </c>
      <c r="X23" s="39">
        <f t="shared" si="15"/>
        <v>1</v>
      </c>
      <c r="Y23" s="39">
        <f t="shared" si="15"/>
        <v>4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190</v>
      </c>
      <c r="AD23" s="39">
        <f t="shared" si="15"/>
        <v>0</v>
      </c>
      <c r="AE23" s="40">
        <f t="shared" si="15"/>
        <v>24</v>
      </c>
      <c r="AF23" s="40">
        <f t="shared" si="15"/>
        <v>212</v>
      </c>
    </row>
    <row r="24" spans="2:32" ht="23.1" customHeight="1" x14ac:dyDescent="0.25">
      <c r="B24" s="23" t="s">
        <v>51</v>
      </c>
      <c r="C24" s="50">
        <v>4</v>
      </c>
      <c r="D24" s="50">
        <v>2</v>
      </c>
      <c r="E24" s="50">
        <v>0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40</v>
      </c>
      <c r="N24" s="50">
        <v>0</v>
      </c>
      <c r="O24" s="15">
        <f t="shared" si="0"/>
        <v>7</v>
      </c>
      <c r="P24" s="15">
        <f t="shared" si="1"/>
        <v>47</v>
      </c>
      <c r="R24" s="38" t="s">
        <v>92</v>
      </c>
      <c r="S24" s="39">
        <f>MAX(S19:S21)</f>
        <v>16</v>
      </c>
      <c r="T24" s="39">
        <f t="shared" ref="T24:AF24" si="16">MAX(T19:T21)</f>
        <v>7</v>
      </c>
      <c r="U24" s="39">
        <f t="shared" si="16"/>
        <v>6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3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214</v>
      </c>
      <c r="AD24" s="39">
        <f t="shared" si="16"/>
        <v>0</v>
      </c>
      <c r="AE24" s="40">
        <f t="shared" si="16"/>
        <v>33</v>
      </c>
      <c r="AF24" s="40">
        <f t="shared" si="16"/>
        <v>236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46</v>
      </c>
      <c r="N25" s="50">
        <v>0</v>
      </c>
      <c r="O25" s="15">
        <f t="shared" si="0"/>
        <v>4</v>
      </c>
      <c r="P25" s="15">
        <f t="shared" si="1"/>
        <v>50</v>
      </c>
      <c r="R25" s="37" t="s">
        <v>85</v>
      </c>
      <c r="S25" s="35">
        <f t="shared" ref="S25:AF25" si="17">SUM(S10:S12)</f>
        <v>6</v>
      </c>
      <c r="T25" s="16">
        <f t="shared" si="17"/>
        <v>5</v>
      </c>
      <c r="U25" s="16">
        <f t="shared" si="17"/>
        <v>8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229</v>
      </c>
      <c r="AD25" s="16">
        <f t="shared" si="17"/>
        <v>0</v>
      </c>
      <c r="AE25" s="32">
        <f t="shared" si="17"/>
        <v>23</v>
      </c>
      <c r="AF25" s="32">
        <f t="shared" si="17"/>
        <v>252</v>
      </c>
    </row>
    <row r="26" spans="2:32" ht="23.1" customHeight="1" x14ac:dyDescent="0.25">
      <c r="B26" s="23" t="s">
        <v>53</v>
      </c>
      <c r="C26" s="50">
        <v>0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23</v>
      </c>
      <c r="N26" s="50">
        <v>0</v>
      </c>
      <c r="O26" s="15">
        <f t="shared" si="0"/>
        <v>2</v>
      </c>
      <c r="P26" s="15">
        <f t="shared" si="1"/>
        <v>25</v>
      </c>
      <c r="R26" s="28" t="s">
        <v>86</v>
      </c>
      <c r="S26" s="16">
        <f t="shared" ref="S26:AF26" si="18">SUM(S13:S18)</f>
        <v>58</v>
      </c>
      <c r="T26" s="16">
        <f t="shared" si="18"/>
        <v>24</v>
      </c>
      <c r="U26" s="16">
        <f t="shared" si="18"/>
        <v>13</v>
      </c>
      <c r="V26" s="16">
        <f t="shared" si="18"/>
        <v>2</v>
      </c>
      <c r="W26" s="16">
        <f t="shared" si="18"/>
        <v>1</v>
      </c>
      <c r="X26" s="16">
        <f t="shared" si="18"/>
        <v>1</v>
      </c>
      <c r="Y26" s="16">
        <f t="shared" si="18"/>
        <v>10</v>
      </c>
      <c r="Z26" s="16">
        <f t="shared" si="18"/>
        <v>2</v>
      </c>
      <c r="AA26" s="16">
        <f t="shared" si="18"/>
        <v>1</v>
      </c>
      <c r="AB26" s="16">
        <f t="shared" si="18"/>
        <v>0</v>
      </c>
      <c r="AC26" s="16">
        <f t="shared" si="18"/>
        <v>820</v>
      </c>
      <c r="AD26" s="16">
        <f t="shared" si="18"/>
        <v>0</v>
      </c>
      <c r="AE26" s="32">
        <f t="shared" si="18"/>
        <v>112</v>
      </c>
      <c r="AF26" s="32">
        <f t="shared" si="18"/>
        <v>932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0</v>
      </c>
      <c r="F27" s="50">
        <v>0</v>
      </c>
      <c r="G27" s="50">
        <v>0</v>
      </c>
      <c r="H27" s="50">
        <v>1</v>
      </c>
      <c r="I27" s="50">
        <v>0</v>
      </c>
      <c r="J27" s="50">
        <v>0</v>
      </c>
      <c r="K27" s="50">
        <v>0</v>
      </c>
      <c r="L27" s="50">
        <v>0</v>
      </c>
      <c r="M27" s="50">
        <v>35</v>
      </c>
      <c r="N27" s="50">
        <v>0</v>
      </c>
      <c r="O27" s="15">
        <f t="shared" si="0"/>
        <v>4</v>
      </c>
      <c r="P27" s="15">
        <f t="shared" si="1"/>
        <v>39</v>
      </c>
      <c r="R27" s="29" t="s">
        <v>87</v>
      </c>
      <c r="S27" s="16">
        <f t="shared" ref="S27:AF27" si="19">SUM(S19:S21)</f>
        <v>31</v>
      </c>
      <c r="T27" s="16">
        <f t="shared" si="19"/>
        <v>12</v>
      </c>
      <c r="U27" s="16">
        <f t="shared" si="19"/>
        <v>11</v>
      </c>
      <c r="V27" s="16">
        <f t="shared" si="19"/>
        <v>1</v>
      </c>
      <c r="W27" s="16">
        <f t="shared" si="19"/>
        <v>0</v>
      </c>
      <c r="X27" s="16">
        <f t="shared" si="19"/>
        <v>0</v>
      </c>
      <c r="Y27" s="16">
        <f t="shared" si="19"/>
        <v>5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610</v>
      </c>
      <c r="AD27" s="16">
        <f t="shared" si="19"/>
        <v>0</v>
      </c>
      <c r="AE27" s="32">
        <f t="shared" si="19"/>
        <v>61</v>
      </c>
      <c r="AF27" s="32">
        <f t="shared" si="19"/>
        <v>671</v>
      </c>
    </row>
    <row r="28" spans="2:32" ht="23.1" customHeight="1" x14ac:dyDescent="0.25">
      <c r="B28" s="23" t="s">
        <v>55</v>
      </c>
      <c r="C28" s="50">
        <v>6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29</v>
      </c>
      <c r="N28" s="50">
        <v>0</v>
      </c>
      <c r="O28" s="15">
        <f t="shared" si="0"/>
        <v>9</v>
      </c>
      <c r="P28" s="15">
        <f t="shared" si="1"/>
        <v>38</v>
      </c>
      <c r="R28" s="5" t="s">
        <v>17</v>
      </c>
      <c r="S28" s="16">
        <f t="shared" ref="S28:AF28" si="20">SUM(S10:S21)</f>
        <v>95</v>
      </c>
      <c r="T28" s="16">
        <f t="shared" si="20"/>
        <v>41</v>
      </c>
      <c r="U28" s="16">
        <f t="shared" si="20"/>
        <v>32</v>
      </c>
      <c r="V28" s="16">
        <f t="shared" si="20"/>
        <v>3</v>
      </c>
      <c r="W28" s="16">
        <f t="shared" si="20"/>
        <v>1</v>
      </c>
      <c r="X28" s="16">
        <f t="shared" si="20"/>
        <v>1</v>
      </c>
      <c r="Y28" s="16">
        <f t="shared" si="20"/>
        <v>16</v>
      </c>
      <c r="Z28" s="16">
        <f t="shared" si="20"/>
        <v>6</v>
      </c>
      <c r="AA28" s="16">
        <f t="shared" si="20"/>
        <v>1</v>
      </c>
      <c r="AB28" s="16">
        <f t="shared" si="20"/>
        <v>0</v>
      </c>
      <c r="AC28" s="16">
        <f t="shared" si="20"/>
        <v>1659</v>
      </c>
      <c r="AD28" s="16">
        <f t="shared" si="20"/>
        <v>0</v>
      </c>
      <c r="AE28" s="32">
        <f t="shared" si="20"/>
        <v>196</v>
      </c>
      <c r="AF28" s="32">
        <f t="shared" si="20"/>
        <v>1855</v>
      </c>
    </row>
    <row r="29" spans="2:32" ht="23.1" customHeight="1" x14ac:dyDescent="0.25">
      <c r="B29" s="23" t="s">
        <v>56</v>
      </c>
      <c r="C29" s="50">
        <v>1</v>
      </c>
      <c r="D29" s="50">
        <v>1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22</v>
      </c>
      <c r="N29" s="50">
        <v>0</v>
      </c>
      <c r="O29" s="15">
        <f t="shared" si="0"/>
        <v>3</v>
      </c>
      <c r="P29" s="15">
        <f t="shared" si="1"/>
        <v>25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1</v>
      </c>
      <c r="E30" s="50">
        <v>1</v>
      </c>
      <c r="F30" s="50">
        <v>0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25</v>
      </c>
      <c r="N30" s="50">
        <v>0</v>
      </c>
      <c r="O30" s="15">
        <f t="shared" si="0"/>
        <v>5</v>
      </c>
      <c r="P30" s="15">
        <f t="shared" si="1"/>
        <v>30</v>
      </c>
    </row>
    <row r="31" spans="2:32" ht="23.1" customHeight="1" x14ac:dyDescent="0.25">
      <c r="B31" s="24" t="s">
        <v>58</v>
      </c>
      <c r="C31" s="50">
        <v>4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21</v>
      </c>
      <c r="N31" s="50">
        <v>0</v>
      </c>
      <c r="O31" s="15">
        <f t="shared" si="0"/>
        <v>5</v>
      </c>
      <c r="P31" s="15">
        <f t="shared" si="1"/>
        <v>26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21</v>
      </c>
      <c r="N32" s="50">
        <v>0</v>
      </c>
      <c r="O32" s="15">
        <f t="shared" si="0"/>
        <v>3</v>
      </c>
      <c r="P32" s="15">
        <f t="shared" si="1"/>
        <v>24</v>
      </c>
    </row>
    <row r="33" spans="2:20" ht="23.1" customHeight="1" x14ac:dyDescent="0.25">
      <c r="B33" s="23" t="s">
        <v>60</v>
      </c>
      <c r="C33" s="50">
        <v>0</v>
      </c>
      <c r="D33" s="50">
        <v>3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20</v>
      </c>
      <c r="N33" s="50">
        <v>0</v>
      </c>
      <c r="O33" s="15">
        <f t="shared" si="0"/>
        <v>4</v>
      </c>
      <c r="P33" s="15">
        <f t="shared" si="1"/>
        <v>24</v>
      </c>
    </row>
    <row r="34" spans="2:20" ht="23.1" customHeight="1" x14ac:dyDescent="0.25">
      <c r="B34" s="24" t="s">
        <v>61</v>
      </c>
      <c r="C34" s="50">
        <v>0</v>
      </c>
      <c r="D34" s="50">
        <v>1</v>
      </c>
      <c r="E34" s="50">
        <v>1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27</v>
      </c>
      <c r="N34" s="50">
        <v>0</v>
      </c>
      <c r="O34" s="15">
        <f t="shared" si="0"/>
        <v>3</v>
      </c>
      <c r="P34" s="15">
        <f t="shared" si="1"/>
        <v>30</v>
      </c>
    </row>
    <row r="35" spans="2:20" ht="23.1" customHeight="1" x14ac:dyDescent="0.25">
      <c r="B35" s="24" t="s">
        <v>62</v>
      </c>
      <c r="C35" s="50">
        <v>4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23</v>
      </c>
      <c r="N35" s="50">
        <v>0</v>
      </c>
      <c r="O35" s="15">
        <f t="shared" si="0"/>
        <v>5</v>
      </c>
      <c r="P35" s="15">
        <f t="shared" si="1"/>
        <v>28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32</v>
      </c>
      <c r="N36" s="50">
        <v>0</v>
      </c>
      <c r="O36" s="15">
        <f t="shared" si="0"/>
        <v>2</v>
      </c>
      <c r="P36" s="15">
        <f t="shared" si="1"/>
        <v>34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33</v>
      </c>
      <c r="N37" s="50">
        <v>0</v>
      </c>
      <c r="O37" s="15">
        <f t="shared" si="0"/>
        <v>3</v>
      </c>
      <c r="P37" s="15">
        <f t="shared" si="1"/>
        <v>36</v>
      </c>
    </row>
    <row r="38" spans="2:20" ht="23.1" customHeight="1" x14ac:dyDescent="0.25">
      <c r="B38" s="24" t="s">
        <v>65</v>
      </c>
      <c r="C38" s="50">
        <v>3</v>
      </c>
      <c r="D38" s="50">
        <v>1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33</v>
      </c>
      <c r="N38" s="50">
        <v>0</v>
      </c>
      <c r="O38" s="15">
        <f t="shared" si="0"/>
        <v>6</v>
      </c>
      <c r="P38" s="15">
        <f t="shared" si="1"/>
        <v>39</v>
      </c>
    </row>
    <row r="39" spans="2:20" ht="23.1" customHeight="1" x14ac:dyDescent="0.25">
      <c r="B39" s="24" t="s">
        <v>66</v>
      </c>
      <c r="C39" s="50">
        <v>5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40</v>
      </c>
      <c r="N39" s="50">
        <v>0</v>
      </c>
      <c r="O39" s="15">
        <f t="shared" si="0"/>
        <v>6</v>
      </c>
      <c r="P39" s="15">
        <f t="shared" si="1"/>
        <v>46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40</v>
      </c>
      <c r="N40" s="50">
        <v>0</v>
      </c>
      <c r="O40" s="15">
        <f t="shared" si="0"/>
        <v>3</v>
      </c>
      <c r="P40" s="15">
        <f t="shared" si="1"/>
        <v>43</v>
      </c>
    </row>
    <row r="41" spans="2:20" ht="23.1" customHeight="1" x14ac:dyDescent="0.25">
      <c r="B41" s="23" t="s">
        <v>68</v>
      </c>
      <c r="C41" s="50">
        <v>3</v>
      </c>
      <c r="D41" s="50">
        <v>2</v>
      </c>
      <c r="E41" s="50">
        <v>2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42</v>
      </c>
      <c r="N41" s="50">
        <v>0</v>
      </c>
      <c r="O41" s="15">
        <f t="shared" si="0"/>
        <v>9</v>
      </c>
      <c r="P41" s="15">
        <f t="shared" si="1"/>
        <v>51</v>
      </c>
    </row>
    <row r="42" spans="2:20" ht="23.1" customHeight="1" x14ac:dyDescent="0.25">
      <c r="B42" s="24" t="s">
        <v>69</v>
      </c>
      <c r="C42" s="50">
        <v>1</v>
      </c>
      <c r="D42" s="50">
        <v>3</v>
      </c>
      <c r="E42" s="50">
        <v>1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42</v>
      </c>
      <c r="N42" s="50">
        <v>0</v>
      </c>
      <c r="O42" s="15">
        <f t="shared" si="0"/>
        <v>5</v>
      </c>
      <c r="P42" s="15">
        <f t="shared" si="1"/>
        <v>47</v>
      </c>
    </row>
    <row r="43" spans="2:20" ht="23.1" customHeight="1" x14ac:dyDescent="0.25">
      <c r="B43" s="23" t="s">
        <v>70</v>
      </c>
      <c r="C43" s="50">
        <v>2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45</v>
      </c>
      <c r="N43" s="50">
        <v>0</v>
      </c>
      <c r="O43" s="15">
        <f t="shared" si="0"/>
        <v>4</v>
      </c>
      <c r="P43" s="15">
        <f t="shared" si="1"/>
        <v>49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1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57</v>
      </c>
      <c r="N44" s="50">
        <v>0</v>
      </c>
      <c r="O44" s="15">
        <f t="shared" si="0"/>
        <v>7</v>
      </c>
      <c r="P44" s="15">
        <f t="shared" si="1"/>
        <v>64</v>
      </c>
    </row>
    <row r="45" spans="2:20" ht="23.1" customHeight="1" x14ac:dyDescent="0.25">
      <c r="B45" s="23" t="s">
        <v>72</v>
      </c>
      <c r="C45" s="50">
        <v>4</v>
      </c>
      <c r="D45" s="50">
        <v>2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46</v>
      </c>
      <c r="N45" s="50">
        <v>0</v>
      </c>
      <c r="O45" s="15">
        <f t="shared" si="0"/>
        <v>6</v>
      </c>
      <c r="P45" s="15">
        <f t="shared" si="1"/>
        <v>52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50</v>
      </c>
      <c r="N46" s="50">
        <v>0</v>
      </c>
      <c r="O46" s="15">
        <f t="shared" si="0"/>
        <v>3</v>
      </c>
      <c r="P46" s="15">
        <f t="shared" si="1"/>
        <v>53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54</v>
      </c>
      <c r="N47" s="50">
        <v>0</v>
      </c>
      <c r="O47" s="15">
        <f t="shared" si="0"/>
        <v>3</v>
      </c>
      <c r="P47" s="15">
        <f t="shared" si="1"/>
        <v>57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2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59</v>
      </c>
      <c r="N48" s="50">
        <v>0</v>
      </c>
      <c r="O48" s="15">
        <f t="shared" si="0"/>
        <v>4</v>
      </c>
      <c r="P48" s="15">
        <f t="shared" si="1"/>
        <v>63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1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51</v>
      </c>
      <c r="N49" s="50">
        <v>0</v>
      </c>
      <c r="O49" s="15">
        <f t="shared" si="0"/>
        <v>2</v>
      </c>
      <c r="P49" s="15">
        <f t="shared" si="1"/>
        <v>53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2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46</v>
      </c>
      <c r="N50" s="50">
        <v>0</v>
      </c>
      <c r="O50" s="15">
        <f t="shared" si="0"/>
        <v>6</v>
      </c>
      <c r="P50" s="15">
        <f t="shared" si="1"/>
        <v>52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1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45</v>
      </c>
      <c r="N51" s="50">
        <v>0</v>
      </c>
      <c r="O51" s="15">
        <f t="shared" si="0"/>
        <v>4</v>
      </c>
      <c r="P51" s="15">
        <f t="shared" si="1"/>
        <v>49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49</v>
      </c>
      <c r="N52" s="50">
        <v>0</v>
      </c>
      <c r="O52" s="15">
        <f t="shared" si="0"/>
        <v>3</v>
      </c>
      <c r="P52" s="15">
        <f t="shared" si="1"/>
        <v>52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53</v>
      </c>
      <c r="N53" s="50">
        <v>0</v>
      </c>
      <c r="O53" s="15">
        <f t="shared" si="0"/>
        <v>3</v>
      </c>
      <c r="P53" s="15">
        <f t="shared" si="1"/>
        <v>56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1</v>
      </c>
      <c r="E54" s="50">
        <v>2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61</v>
      </c>
      <c r="N54" s="50">
        <v>0</v>
      </c>
      <c r="O54" s="15">
        <f t="shared" si="0"/>
        <v>8</v>
      </c>
      <c r="P54" s="15">
        <f t="shared" si="1"/>
        <v>69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3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42</v>
      </c>
      <c r="N55" s="50">
        <v>0</v>
      </c>
      <c r="O55" s="15">
        <f t="shared" si="0"/>
        <v>10</v>
      </c>
      <c r="P55" s="15">
        <f t="shared" si="1"/>
        <v>52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2</v>
      </c>
      <c r="E56" s="50">
        <v>1</v>
      </c>
      <c r="F56" s="50">
        <v>0</v>
      </c>
      <c r="G56" s="50">
        <v>0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47</v>
      </c>
      <c r="N56" s="50">
        <v>0</v>
      </c>
      <c r="O56" s="15">
        <f t="shared" si="0"/>
        <v>8</v>
      </c>
      <c r="P56" s="15">
        <f t="shared" si="1"/>
        <v>55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1</v>
      </c>
      <c r="E57" s="50">
        <v>1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53</v>
      </c>
      <c r="N57" s="50">
        <v>0</v>
      </c>
      <c r="O57" s="15">
        <f t="shared" si="0"/>
        <v>7</v>
      </c>
      <c r="P57" s="15">
        <f t="shared" si="1"/>
        <v>60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95</v>
      </c>
      <c r="D58" s="16">
        <f t="shared" si="21"/>
        <v>41</v>
      </c>
      <c r="E58" s="16">
        <f t="shared" si="21"/>
        <v>32</v>
      </c>
      <c r="F58" s="16">
        <f t="shared" si="21"/>
        <v>3</v>
      </c>
      <c r="G58" s="16">
        <f t="shared" si="21"/>
        <v>1</v>
      </c>
      <c r="H58" s="16">
        <f t="shared" si="21"/>
        <v>1</v>
      </c>
      <c r="I58" s="16">
        <f t="shared" si="21"/>
        <v>16</v>
      </c>
      <c r="J58" s="16">
        <f t="shared" si="21"/>
        <v>6</v>
      </c>
      <c r="K58" s="16">
        <f t="shared" si="21"/>
        <v>1</v>
      </c>
      <c r="L58" s="16">
        <f t="shared" si="21"/>
        <v>0</v>
      </c>
      <c r="M58" s="16">
        <f t="shared" si="21"/>
        <v>1659</v>
      </c>
      <c r="N58" s="16">
        <f t="shared" si="21"/>
        <v>0</v>
      </c>
      <c r="O58" s="16">
        <f t="shared" si="21"/>
        <v>196</v>
      </c>
      <c r="P58" s="16">
        <f t="shared" si="21"/>
        <v>1855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5.1212938005390833E-2</v>
      </c>
      <c r="D59" s="43">
        <f t="shared" si="22"/>
        <v>2.2102425876010783E-2</v>
      </c>
      <c r="E59" s="43">
        <f t="shared" si="22"/>
        <v>1.7250673854447441E-2</v>
      </c>
      <c r="F59" s="43">
        <f t="shared" si="22"/>
        <v>1.6172506738544475E-3</v>
      </c>
      <c r="G59" s="43">
        <f t="shared" si="22"/>
        <v>5.3908355795148253E-4</v>
      </c>
      <c r="H59" s="43">
        <f t="shared" si="22"/>
        <v>5.3908355795148253E-4</v>
      </c>
      <c r="I59" s="43">
        <f t="shared" si="22"/>
        <v>8.6253369272237205E-3</v>
      </c>
      <c r="J59" s="43">
        <f t="shared" si="22"/>
        <v>3.234501347708895E-3</v>
      </c>
      <c r="K59" s="43">
        <f t="shared" si="22"/>
        <v>5.3908355795148253E-4</v>
      </c>
      <c r="L59" s="43">
        <f t="shared" si="22"/>
        <v>0</v>
      </c>
      <c r="M59" s="43">
        <f t="shared" si="22"/>
        <v>0.89433962264150946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0.48469387755102039</v>
      </c>
      <c r="D60" s="44">
        <f t="shared" ref="D60:N60" si="23">D58/$O$58</f>
        <v>0.20918367346938777</v>
      </c>
      <c r="E60" s="44">
        <f t="shared" si="23"/>
        <v>0.16326530612244897</v>
      </c>
      <c r="F60" s="44">
        <f t="shared" si="23"/>
        <v>1.5306122448979591E-2</v>
      </c>
      <c r="G60" s="44">
        <f t="shared" si="23"/>
        <v>5.1020408163265302E-3</v>
      </c>
      <c r="H60" s="44">
        <f t="shared" si="23"/>
        <v>5.1020408163265302E-3</v>
      </c>
      <c r="I60" s="44">
        <f t="shared" si="23"/>
        <v>8.1632653061224483E-2</v>
      </c>
      <c r="J60" s="44">
        <f t="shared" si="23"/>
        <v>3.0612244897959183E-2</v>
      </c>
      <c r="K60" s="44">
        <f t="shared" si="23"/>
        <v>5.1020408163265302E-3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B1:AF174"/>
  <sheetViews>
    <sheetView view="pageBreakPreview" topLeftCell="A85" zoomScale="60" workbookViewId="0">
      <selection activeCell="K104" sqref="K10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">
        <v>176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58" t="s">
        <v>178</v>
      </c>
      <c r="H5" s="59"/>
      <c r="I5" s="14"/>
      <c r="J5" s="2" t="s">
        <v>5</v>
      </c>
      <c r="K5" s="58" t="s">
        <v>175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164</v>
      </c>
      <c r="E6" s="59"/>
      <c r="F6" s="2" t="s">
        <v>2</v>
      </c>
      <c r="G6" s="58" t="s">
        <v>166</v>
      </c>
      <c r="H6" s="59"/>
      <c r="J6" s="2" t="s">
        <v>21</v>
      </c>
      <c r="K6" s="63" t="s">
        <v>168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AVERAGE('25.10.19 CYANIKA-KISORO-24h'!C10,'26.10 CYANIKA-KISORO'!C10,'27.10 CYANIKA-KISORO'!C10)</f>
        <v>0.66666666666666663</v>
      </c>
      <c r="D10" s="49">
        <f>AVERAGE('25.10.19 CYANIKA-KISORO-24h'!D10,'26.10 CYANIKA-KISORO'!D10,'27.10 CYANIKA-KISORO'!D10)</f>
        <v>0.66666666666666663</v>
      </c>
      <c r="E10" s="49">
        <f>AVERAGE('25.10.19 CYANIKA-KISORO-24h'!E10,'26.10 CYANIKA-KISORO'!E10,'27.10 CYANIKA-KISORO'!E10)</f>
        <v>0</v>
      </c>
      <c r="F10" s="49">
        <f>AVERAGE('25.10.19 CYANIKA-KISORO-24h'!F10,'26.10 CYANIKA-KISORO'!F10,'27.10 CYANIKA-KISORO'!F10)</f>
        <v>0</v>
      </c>
      <c r="G10" s="49">
        <f>AVERAGE('25.10.19 CYANIKA-KISORO-24h'!G10,'26.10 CYANIKA-KISORO'!G10,'27.10 CYANIKA-KISORO'!G10)</f>
        <v>0</v>
      </c>
      <c r="H10" s="49">
        <f>AVERAGE('25.10.19 CYANIKA-KISORO-24h'!H10,'26.10 CYANIKA-KISORO'!H10,'27.10 CYANIKA-KISORO'!H10)</f>
        <v>0</v>
      </c>
      <c r="I10" s="49">
        <f>AVERAGE('25.10.19 CYANIKA-KISORO-24h'!I10,'26.10 CYANIKA-KISORO'!I10,'27.10 CYANIKA-KISORO'!I10)</f>
        <v>0</v>
      </c>
      <c r="J10" s="49">
        <f>AVERAGE('25.10.19 CYANIKA-KISORO-24h'!J10,'26.10 CYANIKA-KISORO'!J10,'27.10 CYANIKA-KISORO'!J10)</f>
        <v>0</v>
      </c>
      <c r="K10" s="49">
        <f>AVERAGE('25.10.19 CYANIKA-KISORO-24h'!K10,'26.10 CYANIKA-KISORO'!K10,'27.10 CYANIKA-KISORO'!K10)</f>
        <v>0</v>
      </c>
      <c r="L10" s="49">
        <f>AVERAGE('25.10.19 CYANIKA-KISORO-24h'!L10,'26.10 CYANIKA-KISORO'!L10,'27.10 CYANIKA-KISORO'!L10)</f>
        <v>0</v>
      </c>
      <c r="M10" s="49">
        <f>AVERAGE('25.10.19 CYANIKA-KISORO-24h'!M10,'26.10 CYANIKA-KISORO'!M10,'27.10 CYANIKA-KISORO'!M10)</f>
        <v>11.333333333333334</v>
      </c>
      <c r="N10" s="49">
        <f>AVERAGE('25.10.19 CYANIKA-KISORO-24h'!N10,'26.10 CYANIKA-KISORO'!N10,'27.10 CYANIKA-KISORO'!N10)</f>
        <v>0</v>
      </c>
      <c r="O10" s="15">
        <f t="shared" ref="O10:O73" si="0">SUM(C10:L10,N10)</f>
        <v>1.3333333333333333</v>
      </c>
      <c r="P10" s="15">
        <f t="shared" ref="P10:P73" si="1">SUM(C10:N10)</f>
        <v>12.666666666666668</v>
      </c>
      <c r="R10" s="1" t="s">
        <v>6</v>
      </c>
      <c r="S10" s="17">
        <f t="shared" ref="S10:AF10" si="2">SUM(C10:C13)</f>
        <v>5.3333333333333339</v>
      </c>
      <c r="T10" s="17">
        <f t="shared" si="2"/>
        <v>3.6666666666666661</v>
      </c>
      <c r="U10" s="17">
        <f t="shared" si="2"/>
        <v>1.3333333333333333</v>
      </c>
      <c r="V10" s="17">
        <f t="shared" si="2"/>
        <v>0.33333333333333331</v>
      </c>
      <c r="W10" s="17">
        <f t="shared" si="2"/>
        <v>0</v>
      </c>
      <c r="X10" s="17">
        <f t="shared" si="2"/>
        <v>0</v>
      </c>
      <c r="Y10" s="17">
        <f t="shared" si="2"/>
        <v>0.66666666666666663</v>
      </c>
      <c r="Z10" s="17">
        <f t="shared" si="2"/>
        <v>0.33333333333333331</v>
      </c>
      <c r="AA10" s="17">
        <f t="shared" si="2"/>
        <v>0</v>
      </c>
      <c r="AB10" s="17">
        <f t="shared" si="2"/>
        <v>0</v>
      </c>
      <c r="AC10" s="17">
        <f t="shared" si="2"/>
        <v>39.333333333333329</v>
      </c>
      <c r="AD10" s="17">
        <f t="shared" si="2"/>
        <v>0</v>
      </c>
      <c r="AE10" s="31">
        <f t="shared" si="2"/>
        <v>11.666666666666664</v>
      </c>
      <c r="AF10" s="31">
        <f t="shared" si="2"/>
        <v>51</v>
      </c>
    </row>
    <row r="11" spans="2:32" s="6" customFormat="1" ht="23.1" customHeight="1" x14ac:dyDescent="0.25">
      <c r="B11" s="23" t="s">
        <v>38</v>
      </c>
      <c r="C11" s="49">
        <f>AVERAGE('25.10.19 CYANIKA-KISORO-24h'!C11,'26.10 CYANIKA-KISORO'!C11,'27.10 CYANIKA-KISORO'!C11)</f>
        <v>1.6666666666666667</v>
      </c>
      <c r="D11" s="49">
        <f>AVERAGE('25.10.19 CYANIKA-KISORO-24h'!D11,'26.10 CYANIKA-KISORO'!D11,'27.10 CYANIKA-KISORO'!D11)</f>
        <v>0.33333333333333331</v>
      </c>
      <c r="E11" s="49">
        <f>AVERAGE('25.10.19 CYANIKA-KISORO-24h'!E11,'26.10 CYANIKA-KISORO'!E11,'27.10 CYANIKA-KISORO'!E11)</f>
        <v>0.33333333333333331</v>
      </c>
      <c r="F11" s="49">
        <f>AVERAGE('25.10.19 CYANIKA-KISORO-24h'!F11,'26.10 CYANIKA-KISORO'!F11,'27.10 CYANIKA-KISORO'!F11)</f>
        <v>0.33333333333333331</v>
      </c>
      <c r="G11" s="49">
        <f>AVERAGE('25.10.19 CYANIKA-KISORO-24h'!G11,'26.10 CYANIKA-KISORO'!G11,'27.10 CYANIKA-KISORO'!G11)</f>
        <v>0</v>
      </c>
      <c r="H11" s="49">
        <f>AVERAGE('25.10.19 CYANIKA-KISORO-24h'!H11,'26.10 CYANIKA-KISORO'!H11,'27.10 CYANIKA-KISORO'!H11)</f>
        <v>0</v>
      </c>
      <c r="I11" s="49">
        <f>AVERAGE('25.10.19 CYANIKA-KISORO-24h'!I11,'26.10 CYANIKA-KISORO'!I11,'27.10 CYANIKA-KISORO'!I11)</f>
        <v>0</v>
      </c>
      <c r="J11" s="49">
        <f>AVERAGE('25.10.19 CYANIKA-KISORO-24h'!J11,'26.10 CYANIKA-KISORO'!J11,'27.10 CYANIKA-KISORO'!J11)</f>
        <v>0</v>
      </c>
      <c r="K11" s="49">
        <f>AVERAGE('25.10.19 CYANIKA-KISORO-24h'!K11,'26.10 CYANIKA-KISORO'!K11,'27.10 CYANIKA-KISORO'!K11)</f>
        <v>0</v>
      </c>
      <c r="L11" s="49">
        <f>AVERAGE('25.10.19 CYANIKA-KISORO-24h'!L11,'26.10 CYANIKA-KISORO'!L11,'27.10 CYANIKA-KISORO'!L11)</f>
        <v>0</v>
      </c>
      <c r="M11" s="49">
        <f>AVERAGE('25.10.19 CYANIKA-KISORO-24h'!M11,'26.10 CYANIKA-KISORO'!M11,'27.10 CYANIKA-KISORO'!M11)</f>
        <v>11.666666666666666</v>
      </c>
      <c r="N11" s="49">
        <f>AVERAGE('25.10.19 CYANIKA-KISORO-24h'!N11,'26.10 CYANIKA-KISORO'!N11,'27.10 CYANIKA-KISORO'!N11)</f>
        <v>0</v>
      </c>
      <c r="O11" s="15">
        <f t="shared" si="0"/>
        <v>2.666666666666667</v>
      </c>
      <c r="P11" s="15">
        <f t="shared" si="1"/>
        <v>14.333333333333332</v>
      </c>
      <c r="R11" s="1" t="s">
        <v>7</v>
      </c>
      <c r="S11" s="17">
        <f t="shared" ref="S11:AF11" si="3">SUM(C14:C17)</f>
        <v>4</v>
      </c>
      <c r="T11" s="17">
        <f t="shared" si="3"/>
        <v>1.3333333333333333</v>
      </c>
      <c r="U11" s="17">
        <f t="shared" si="3"/>
        <v>3.6666666666666665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0.66666666666666663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47.333333333333336</v>
      </c>
      <c r="AD11" s="17">
        <f t="shared" si="3"/>
        <v>0</v>
      </c>
      <c r="AE11" s="31">
        <f t="shared" si="3"/>
        <v>9.6666666666666661</v>
      </c>
      <c r="AF11" s="31">
        <f t="shared" si="3"/>
        <v>57</v>
      </c>
    </row>
    <row r="12" spans="2:32" ht="23.1" customHeight="1" x14ac:dyDescent="0.25">
      <c r="B12" s="23" t="s">
        <v>39</v>
      </c>
      <c r="C12" s="49">
        <f>AVERAGE('25.10.19 CYANIKA-KISORO-24h'!C12,'26.10 CYANIKA-KISORO'!C12,'27.10 CYANIKA-KISORO'!C12)</f>
        <v>1</v>
      </c>
      <c r="D12" s="49">
        <f>AVERAGE('25.10.19 CYANIKA-KISORO-24h'!D12,'26.10 CYANIKA-KISORO'!D12,'27.10 CYANIKA-KISORO'!D12)</f>
        <v>1.3333333333333333</v>
      </c>
      <c r="E12" s="49">
        <f>AVERAGE('25.10.19 CYANIKA-KISORO-24h'!E12,'26.10 CYANIKA-KISORO'!E12,'27.10 CYANIKA-KISORO'!E12)</f>
        <v>0.33333333333333331</v>
      </c>
      <c r="F12" s="49">
        <f>AVERAGE('25.10.19 CYANIKA-KISORO-24h'!F12,'26.10 CYANIKA-KISORO'!F12,'27.10 CYANIKA-KISORO'!F12)</f>
        <v>0</v>
      </c>
      <c r="G12" s="49">
        <f>AVERAGE('25.10.19 CYANIKA-KISORO-24h'!G12,'26.10 CYANIKA-KISORO'!G12,'27.10 CYANIKA-KISORO'!G12)</f>
        <v>0</v>
      </c>
      <c r="H12" s="49">
        <f>AVERAGE('25.10.19 CYANIKA-KISORO-24h'!H12,'26.10 CYANIKA-KISORO'!H12,'27.10 CYANIKA-KISORO'!H12)</f>
        <v>0</v>
      </c>
      <c r="I12" s="49">
        <f>AVERAGE('25.10.19 CYANIKA-KISORO-24h'!I12,'26.10 CYANIKA-KISORO'!I12,'27.10 CYANIKA-KISORO'!I12)</f>
        <v>0</v>
      </c>
      <c r="J12" s="49">
        <f>AVERAGE('25.10.19 CYANIKA-KISORO-24h'!J12,'26.10 CYANIKA-KISORO'!J12,'27.10 CYANIKA-KISORO'!J12)</f>
        <v>0</v>
      </c>
      <c r="K12" s="49">
        <f>AVERAGE('25.10.19 CYANIKA-KISORO-24h'!K12,'26.10 CYANIKA-KISORO'!K12,'27.10 CYANIKA-KISORO'!K12)</f>
        <v>0</v>
      </c>
      <c r="L12" s="49">
        <f>AVERAGE('25.10.19 CYANIKA-KISORO-24h'!L12,'26.10 CYANIKA-KISORO'!L12,'27.10 CYANIKA-KISORO'!L12)</f>
        <v>0</v>
      </c>
      <c r="M12" s="49">
        <f>AVERAGE('25.10.19 CYANIKA-KISORO-24h'!M12,'26.10 CYANIKA-KISORO'!M12,'27.10 CYANIKA-KISORO'!M12)</f>
        <v>7.333333333333333</v>
      </c>
      <c r="N12" s="49">
        <f>AVERAGE('25.10.19 CYANIKA-KISORO-24h'!N12,'26.10 CYANIKA-KISORO'!N12,'27.10 CYANIKA-KISORO'!N12)</f>
        <v>0</v>
      </c>
      <c r="O12" s="15">
        <f t="shared" si="0"/>
        <v>2.6666666666666665</v>
      </c>
      <c r="P12" s="15">
        <f t="shared" si="1"/>
        <v>10</v>
      </c>
      <c r="R12" s="1" t="s">
        <v>8</v>
      </c>
      <c r="S12" s="17">
        <f t="shared" ref="S12:AF12" si="4">SUM(C18:C21)</f>
        <v>8.6666666666666679</v>
      </c>
      <c r="T12" s="17">
        <f t="shared" si="4"/>
        <v>3.6666666666666665</v>
      </c>
      <c r="U12" s="17">
        <f t="shared" si="4"/>
        <v>2</v>
      </c>
      <c r="V12" s="17">
        <f t="shared" si="4"/>
        <v>0.33333333333333331</v>
      </c>
      <c r="W12" s="17">
        <f t="shared" si="4"/>
        <v>0</v>
      </c>
      <c r="X12" s="17">
        <f t="shared" si="4"/>
        <v>0</v>
      </c>
      <c r="Y12" s="17">
        <f t="shared" si="4"/>
        <v>0.66666666666666663</v>
      </c>
      <c r="Z12" s="17">
        <f t="shared" si="4"/>
        <v>1.3333333333333333</v>
      </c>
      <c r="AA12" s="17">
        <f t="shared" si="4"/>
        <v>1.3333333333333333</v>
      </c>
      <c r="AB12" s="17">
        <f t="shared" si="4"/>
        <v>0</v>
      </c>
      <c r="AC12" s="17">
        <f t="shared" si="4"/>
        <v>86.666666666666657</v>
      </c>
      <c r="AD12" s="17">
        <f t="shared" si="4"/>
        <v>0</v>
      </c>
      <c r="AE12" s="31">
        <f t="shared" si="4"/>
        <v>18.000000000000004</v>
      </c>
      <c r="AF12" s="31">
        <f t="shared" si="4"/>
        <v>104.66666666666667</v>
      </c>
    </row>
    <row r="13" spans="2:32" ht="23.1" customHeight="1" x14ac:dyDescent="0.25">
      <c r="B13" s="23" t="s">
        <v>40</v>
      </c>
      <c r="C13" s="49">
        <f>AVERAGE('25.10.19 CYANIKA-KISORO-24h'!C13,'26.10 CYANIKA-KISORO'!C13,'27.10 CYANIKA-KISORO'!C13)</f>
        <v>2</v>
      </c>
      <c r="D13" s="49">
        <f>AVERAGE('25.10.19 CYANIKA-KISORO-24h'!D13,'26.10 CYANIKA-KISORO'!D13,'27.10 CYANIKA-KISORO'!D13)</f>
        <v>1.3333333333333333</v>
      </c>
      <c r="E13" s="49">
        <f>AVERAGE('25.10.19 CYANIKA-KISORO-24h'!E13,'26.10 CYANIKA-KISORO'!E13,'27.10 CYANIKA-KISORO'!E13)</f>
        <v>0.66666666666666663</v>
      </c>
      <c r="F13" s="49">
        <f>AVERAGE('25.10.19 CYANIKA-KISORO-24h'!F13,'26.10 CYANIKA-KISORO'!F13,'27.10 CYANIKA-KISORO'!F13)</f>
        <v>0</v>
      </c>
      <c r="G13" s="49">
        <f>AVERAGE('25.10.19 CYANIKA-KISORO-24h'!G13,'26.10 CYANIKA-KISORO'!G13,'27.10 CYANIKA-KISORO'!G13)</f>
        <v>0</v>
      </c>
      <c r="H13" s="49">
        <f>AVERAGE('25.10.19 CYANIKA-KISORO-24h'!H13,'26.10 CYANIKA-KISORO'!H13,'27.10 CYANIKA-KISORO'!H13)</f>
        <v>0</v>
      </c>
      <c r="I13" s="49">
        <f>AVERAGE('25.10.19 CYANIKA-KISORO-24h'!I13,'26.10 CYANIKA-KISORO'!I13,'27.10 CYANIKA-KISORO'!I13)</f>
        <v>0.66666666666666663</v>
      </c>
      <c r="J13" s="49">
        <f>AVERAGE('25.10.19 CYANIKA-KISORO-24h'!J13,'26.10 CYANIKA-KISORO'!J13,'27.10 CYANIKA-KISORO'!J13)</f>
        <v>0.33333333333333331</v>
      </c>
      <c r="K13" s="49">
        <f>AVERAGE('25.10.19 CYANIKA-KISORO-24h'!K13,'26.10 CYANIKA-KISORO'!K13,'27.10 CYANIKA-KISORO'!K13)</f>
        <v>0</v>
      </c>
      <c r="L13" s="49">
        <f>AVERAGE('25.10.19 CYANIKA-KISORO-24h'!L13,'26.10 CYANIKA-KISORO'!L13,'27.10 CYANIKA-KISORO'!L13)</f>
        <v>0</v>
      </c>
      <c r="M13" s="49">
        <f>AVERAGE('25.10.19 CYANIKA-KISORO-24h'!M13,'26.10 CYANIKA-KISORO'!M13,'27.10 CYANIKA-KISORO'!M13)</f>
        <v>9</v>
      </c>
      <c r="N13" s="49">
        <f>AVERAGE('25.10.19 CYANIKA-KISORO-24h'!N13,'26.10 CYANIKA-KISORO'!N13,'27.10 CYANIKA-KISORO'!N13)</f>
        <v>0</v>
      </c>
      <c r="O13" s="15">
        <f t="shared" si="0"/>
        <v>4.9999999999999991</v>
      </c>
      <c r="P13" s="15">
        <f t="shared" si="1"/>
        <v>14</v>
      </c>
      <c r="R13" s="1" t="s">
        <v>9</v>
      </c>
      <c r="S13" s="17">
        <f t="shared" ref="S13:AF13" si="5">SUM(C22:C25)</f>
        <v>6.6666666666666679</v>
      </c>
      <c r="T13" s="17">
        <f t="shared" si="5"/>
        <v>4.3333333333333339</v>
      </c>
      <c r="U13" s="17">
        <f t="shared" si="5"/>
        <v>4.3333333333333339</v>
      </c>
      <c r="V13" s="17">
        <f t="shared" si="5"/>
        <v>0.66666666666666663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1.6666666666666665</v>
      </c>
      <c r="AA13" s="17">
        <f t="shared" si="5"/>
        <v>0</v>
      </c>
      <c r="AB13" s="17">
        <f t="shared" si="5"/>
        <v>0</v>
      </c>
      <c r="AC13" s="17">
        <f t="shared" si="5"/>
        <v>117.33333333333334</v>
      </c>
      <c r="AD13" s="17">
        <f t="shared" si="5"/>
        <v>0</v>
      </c>
      <c r="AE13" s="31">
        <f t="shared" si="5"/>
        <v>18.666666666666668</v>
      </c>
      <c r="AF13" s="31">
        <f t="shared" si="5"/>
        <v>136</v>
      </c>
    </row>
    <row r="14" spans="2:32" ht="23.1" customHeight="1" x14ac:dyDescent="0.25">
      <c r="B14" s="23" t="s">
        <v>41</v>
      </c>
      <c r="C14" s="49">
        <f>AVERAGE('25.10.19 CYANIKA-KISORO-24h'!C14,'26.10 CYANIKA-KISORO'!C14,'27.10 CYANIKA-KISORO'!C14)</f>
        <v>1.3333333333333333</v>
      </c>
      <c r="D14" s="49">
        <f>AVERAGE('25.10.19 CYANIKA-KISORO-24h'!D14,'26.10 CYANIKA-KISORO'!D14,'27.10 CYANIKA-KISORO'!D14)</f>
        <v>0</v>
      </c>
      <c r="E14" s="49">
        <f>AVERAGE('25.10.19 CYANIKA-KISORO-24h'!E14,'26.10 CYANIKA-KISORO'!E14,'27.10 CYANIKA-KISORO'!E14)</f>
        <v>1</v>
      </c>
      <c r="F14" s="49">
        <f>AVERAGE('25.10.19 CYANIKA-KISORO-24h'!F14,'26.10 CYANIKA-KISORO'!F14,'27.10 CYANIKA-KISORO'!F14)</f>
        <v>0</v>
      </c>
      <c r="G14" s="49">
        <f>AVERAGE('25.10.19 CYANIKA-KISORO-24h'!G14,'26.10 CYANIKA-KISORO'!G14,'27.10 CYANIKA-KISORO'!G14)</f>
        <v>0</v>
      </c>
      <c r="H14" s="49">
        <f>AVERAGE('25.10.19 CYANIKA-KISORO-24h'!H14,'26.10 CYANIKA-KISORO'!H14,'27.10 CYANIKA-KISORO'!H14)</f>
        <v>0</v>
      </c>
      <c r="I14" s="49">
        <f>AVERAGE('25.10.19 CYANIKA-KISORO-24h'!I14,'26.10 CYANIKA-KISORO'!I14,'27.10 CYANIKA-KISORO'!I14)</f>
        <v>0</v>
      </c>
      <c r="J14" s="49">
        <f>AVERAGE('25.10.19 CYANIKA-KISORO-24h'!J14,'26.10 CYANIKA-KISORO'!J14,'27.10 CYANIKA-KISORO'!J14)</f>
        <v>0</v>
      </c>
      <c r="K14" s="49">
        <f>AVERAGE('25.10.19 CYANIKA-KISORO-24h'!K14,'26.10 CYANIKA-KISORO'!K14,'27.10 CYANIKA-KISORO'!K14)</f>
        <v>0</v>
      </c>
      <c r="L14" s="49">
        <f>AVERAGE('25.10.19 CYANIKA-KISORO-24h'!L14,'26.10 CYANIKA-KISORO'!L14,'27.10 CYANIKA-KISORO'!L14)</f>
        <v>0</v>
      </c>
      <c r="M14" s="49">
        <f>AVERAGE('25.10.19 CYANIKA-KISORO-24h'!M14,'26.10 CYANIKA-KISORO'!M14,'27.10 CYANIKA-KISORO'!M14)</f>
        <v>9.6666666666666661</v>
      </c>
      <c r="N14" s="49">
        <f>AVERAGE('25.10.19 CYANIKA-KISORO-24h'!N14,'26.10 CYANIKA-KISORO'!N14,'27.10 CYANIKA-KISORO'!N14)</f>
        <v>0</v>
      </c>
      <c r="O14" s="15">
        <f t="shared" si="0"/>
        <v>2.333333333333333</v>
      </c>
      <c r="P14" s="15">
        <f t="shared" si="1"/>
        <v>12</v>
      </c>
      <c r="R14" s="1" t="s">
        <v>10</v>
      </c>
      <c r="S14" s="17">
        <f t="shared" ref="S14:AF14" si="6">SUM(C26:C29)</f>
        <v>10</v>
      </c>
      <c r="T14" s="17">
        <f t="shared" si="6"/>
        <v>4.666666666666667</v>
      </c>
      <c r="U14" s="17">
        <f t="shared" si="6"/>
        <v>1.6666666666666665</v>
      </c>
      <c r="V14" s="17">
        <f t="shared" si="6"/>
        <v>0.33333333333333331</v>
      </c>
      <c r="W14" s="17">
        <f t="shared" si="6"/>
        <v>0</v>
      </c>
      <c r="X14" s="17">
        <f t="shared" si="6"/>
        <v>0</v>
      </c>
      <c r="Y14" s="17">
        <f t="shared" si="6"/>
        <v>0.66666666666666663</v>
      </c>
      <c r="Z14" s="17">
        <f t="shared" si="6"/>
        <v>1.3333333333333333</v>
      </c>
      <c r="AA14" s="17">
        <f t="shared" si="6"/>
        <v>0</v>
      </c>
      <c r="AB14" s="17">
        <f t="shared" si="6"/>
        <v>0</v>
      </c>
      <c r="AC14" s="17">
        <f t="shared" si="6"/>
        <v>131.33333333333334</v>
      </c>
      <c r="AD14" s="17">
        <f t="shared" si="6"/>
        <v>0</v>
      </c>
      <c r="AE14" s="31">
        <f t="shared" si="6"/>
        <v>18.666666666666668</v>
      </c>
      <c r="AF14" s="31">
        <f t="shared" si="6"/>
        <v>150</v>
      </c>
    </row>
    <row r="15" spans="2:32" ht="23.1" customHeight="1" x14ac:dyDescent="0.25">
      <c r="B15" s="23" t="s">
        <v>42</v>
      </c>
      <c r="C15" s="49">
        <f>AVERAGE('25.10.19 CYANIKA-KISORO-24h'!C15,'26.10 CYANIKA-KISORO'!C15,'27.10 CYANIKA-KISORO'!C15)</f>
        <v>0.33333333333333331</v>
      </c>
      <c r="D15" s="49">
        <f>AVERAGE('25.10.19 CYANIKA-KISORO-24h'!D15,'26.10 CYANIKA-KISORO'!D15,'27.10 CYANIKA-KISORO'!D15)</f>
        <v>0</v>
      </c>
      <c r="E15" s="49">
        <f>AVERAGE('25.10.19 CYANIKA-KISORO-24h'!E15,'26.10 CYANIKA-KISORO'!E15,'27.10 CYANIKA-KISORO'!E15)</f>
        <v>0.66666666666666663</v>
      </c>
      <c r="F15" s="49">
        <f>AVERAGE('25.10.19 CYANIKA-KISORO-24h'!F15,'26.10 CYANIKA-KISORO'!F15,'27.10 CYANIKA-KISORO'!F15)</f>
        <v>0</v>
      </c>
      <c r="G15" s="49">
        <f>AVERAGE('25.10.19 CYANIKA-KISORO-24h'!G15,'26.10 CYANIKA-KISORO'!G15,'27.10 CYANIKA-KISORO'!G15)</f>
        <v>0</v>
      </c>
      <c r="H15" s="49">
        <f>AVERAGE('25.10.19 CYANIKA-KISORO-24h'!H15,'26.10 CYANIKA-KISORO'!H15,'27.10 CYANIKA-KISORO'!H15)</f>
        <v>0</v>
      </c>
      <c r="I15" s="49">
        <f>AVERAGE('25.10.19 CYANIKA-KISORO-24h'!I15,'26.10 CYANIKA-KISORO'!I15,'27.10 CYANIKA-KISORO'!I15)</f>
        <v>0.33333333333333331</v>
      </c>
      <c r="J15" s="49">
        <f>AVERAGE('25.10.19 CYANIKA-KISORO-24h'!J15,'26.10 CYANIKA-KISORO'!J15,'27.10 CYANIKA-KISORO'!J15)</f>
        <v>0</v>
      </c>
      <c r="K15" s="49">
        <f>AVERAGE('25.10.19 CYANIKA-KISORO-24h'!K15,'26.10 CYANIKA-KISORO'!K15,'27.10 CYANIKA-KISORO'!K15)</f>
        <v>0</v>
      </c>
      <c r="L15" s="49">
        <f>AVERAGE('25.10.19 CYANIKA-KISORO-24h'!L15,'26.10 CYANIKA-KISORO'!L15,'27.10 CYANIKA-KISORO'!L15)</f>
        <v>0</v>
      </c>
      <c r="M15" s="49">
        <f>AVERAGE('25.10.19 CYANIKA-KISORO-24h'!M15,'26.10 CYANIKA-KISORO'!M15,'27.10 CYANIKA-KISORO'!M15)</f>
        <v>11</v>
      </c>
      <c r="N15" s="49">
        <f>AVERAGE('25.10.19 CYANIKA-KISORO-24h'!N15,'26.10 CYANIKA-KISORO'!N15,'27.10 CYANIKA-KISORO'!N15)</f>
        <v>0</v>
      </c>
      <c r="O15" s="15">
        <f t="shared" si="0"/>
        <v>1.3333333333333333</v>
      </c>
      <c r="P15" s="15">
        <f t="shared" si="1"/>
        <v>12.333333333333334</v>
      </c>
      <c r="R15" s="1" t="s">
        <v>11</v>
      </c>
      <c r="S15" s="17">
        <f t="shared" ref="S15:AF15" si="7">SUM(C30:C33)</f>
        <v>6</v>
      </c>
      <c r="T15" s="17">
        <f t="shared" si="7"/>
        <v>2.3333333333333335</v>
      </c>
      <c r="U15" s="17">
        <f t="shared" si="7"/>
        <v>3.6666666666666665</v>
      </c>
      <c r="V15" s="17">
        <f t="shared" si="7"/>
        <v>0.33333333333333331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1.9999999999999998</v>
      </c>
      <c r="AA15" s="17">
        <f t="shared" si="7"/>
        <v>0</v>
      </c>
      <c r="AB15" s="17">
        <f t="shared" si="7"/>
        <v>0</v>
      </c>
      <c r="AC15" s="17">
        <f t="shared" si="7"/>
        <v>116.66666666666666</v>
      </c>
      <c r="AD15" s="17">
        <f t="shared" si="7"/>
        <v>0</v>
      </c>
      <c r="AE15" s="31">
        <f t="shared" si="7"/>
        <v>15.333333333333332</v>
      </c>
      <c r="AF15" s="31">
        <f t="shared" si="7"/>
        <v>132</v>
      </c>
    </row>
    <row r="16" spans="2:32" ht="23.1" customHeight="1" x14ac:dyDescent="0.25">
      <c r="B16" s="23" t="s">
        <v>43</v>
      </c>
      <c r="C16" s="49">
        <f>AVERAGE('25.10.19 CYANIKA-KISORO-24h'!C16,'26.10 CYANIKA-KISORO'!C16,'27.10 CYANIKA-KISORO'!C16)</f>
        <v>1</v>
      </c>
      <c r="D16" s="49">
        <f>AVERAGE('25.10.19 CYANIKA-KISORO-24h'!D16,'26.10 CYANIKA-KISORO'!D16,'27.10 CYANIKA-KISORO'!D16)</f>
        <v>1</v>
      </c>
      <c r="E16" s="49">
        <f>AVERAGE('25.10.19 CYANIKA-KISORO-24h'!E16,'26.10 CYANIKA-KISORO'!E16,'27.10 CYANIKA-KISORO'!E16)</f>
        <v>0.33333333333333331</v>
      </c>
      <c r="F16" s="49">
        <f>AVERAGE('25.10.19 CYANIKA-KISORO-24h'!F16,'26.10 CYANIKA-KISORO'!F16,'27.10 CYANIKA-KISORO'!F16)</f>
        <v>0</v>
      </c>
      <c r="G16" s="49">
        <f>AVERAGE('25.10.19 CYANIKA-KISORO-24h'!G16,'26.10 CYANIKA-KISORO'!G16,'27.10 CYANIKA-KISORO'!G16)</f>
        <v>0</v>
      </c>
      <c r="H16" s="49">
        <f>AVERAGE('25.10.19 CYANIKA-KISORO-24h'!H16,'26.10 CYANIKA-KISORO'!H16,'27.10 CYANIKA-KISORO'!H16)</f>
        <v>0</v>
      </c>
      <c r="I16" s="49">
        <f>AVERAGE('25.10.19 CYANIKA-KISORO-24h'!I16,'26.10 CYANIKA-KISORO'!I16,'27.10 CYANIKA-KISORO'!I16)</f>
        <v>0.33333333333333331</v>
      </c>
      <c r="J16" s="49">
        <f>AVERAGE('25.10.19 CYANIKA-KISORO-24h'!J16,'26.10 CYANIKA-KISORO'!J16,'27.10 CYANIKA-KISORO'!J16)</f>
        <v>0</v>
      </c>
      <c r="K16" s="49">
        <f>AVERAGE('25.10.19 CYANIKA-KISORO-24h'!K16,'26.10 CYANIKA-KISORO'!K16,'27.10 CYANIKA-KISORO'!K16)</f>
        <v>0</v>
      </c>
      <c r="L16" s="49">
        <f>AVERAGE('25.10.19 CYANIKA-KISORO-24h'!L16,'26.10 CYANIKA-KISORO'!L16,'27.10 CYANIKA-KISORO'!L16)</f>
        <v>0</v>
      </c>
      <c r="M16" s="49">
        <f>AVERAGE('25.10.19 CYANIKA-KISORO-24h'!M16,'26.10 CYANIKA-KISORO'!M16,'27.10 CYANIKA-KISORO'!M16)</f>
        <v>12.333333333333334</v>
      </c>
      <c r="N16" s="49">
        <f>AVERAGE('25.10.19 CYANIKA-KISORO-24h'!N16,'26.10 CYANIKA-KISORO'!N16,'27.10 CYANIKA-KISORO'!N16)</f>
        <v>0</v>
      </c>
      <c r="O16" s="15">
        <f t="shared" si="0"/>
        <v>2.666666666666667</v>
      </c>
      <c r="P16" s="15">
        <f t="shared" si="1"/>
        <v>15</v>
      </c>
      <c r="R16" s="1" t="s">
        <v>12</v>
      </c>
      <c r="S16" s="17">
        <f t="shared" ref="S16:AF16" si="8">SUM(C34:C37)</f>
        <v>7</v>
      </c>
      <c r="T16" s="17">
        <f t="shared" si="8"/>
        <v>4</v>
      </c>
      <c r="U16" s="17">
        <f t="shared" si="8"/>
        <v>3.6666666666666665</v>
      </c>
      <c r="V16" s="17">
        <f t="shared" si="8"/>
        <v>0.33333333333333331</v>
      </c>
      <c r="W16" s="17">
        <f t="shared" si="8"/>
        <v>0</v>
      </c>
      <c r="X16" s="17">
        <f t="shared" si="8"/>
        <v>0</v>
      </c>
      <c r="Y16" s="17">
        <f t="shared" si="8"/>
        <v>0.66666666666666663</v>
      </c>
      <c r="Z16" s="17">
        <f t="shared" si="8"/>
        <v>1.6666666666666665</v>
      </c>
      <c r="AA16" s="17">
        <f t="shared" si="8"/>
        <v>0</v>
      </c>
      <c r="AB16" s="17">
        <f t="shared" si="8"/>
        <v>0</v>
      </c>
      <c r="AC16" s="17">
        <f t="shared" si="8"/>
        <v>118.33333333333334</v>
      </c>
      <c r="AD16" s="17">
        <f t="shared" si="8"/>
        <v>0</v>
      </c>
      <c r="AE16" s="31">
        <f t="shared" si="8"/>
        <v>17.333333333333336</v>
      </c>
      <c r="AF16" s="31">
        <f t="shared" si="8"/>
        <v>135.66666666666666</v>
      </c>
    </row>
    <row r="17" spans="2:32" ht="23.1" customHeight="1" x14ac:dyDescent="0.25">
      <c r="B17" s="23" t="s">
        <v>44</v>
      </c>
      <c r="C17" s="49">
        <f>AVERAGE('25.10.19 CYANIKA-KISORO-24h'!C17,'26.10 CYANIKA-KISORO'!C17,'27.10 CYANIKA-KISORO'!C17)</f>
        <v>1.3333333333333333</v>
      </c>
      <c r="D17" s="49">
        <f>AVERAGE('25.10.19 CYANIKA-KISORO-24h'!D17,'26.10 CYANIKA-KISORO'!D17,'27.10 CYANIKA-KISORO'!D17)</f>
        <v>0.33333333333333331</v>
      </c>
      <c r="E17" s="49">
        <f>AVERAGE('25.10.19 CYANIKA-KISORO-24h'!E17,'26.10 CYANIKA-KISORO'!E17,'27.10 CYANIKA-KISORO'!E17)</f>
        <v>1.6666666666666667</v>
      </c>
      <c r="F17" s="49">
        <f>AVERAGE('25.10.19 CYANIKA-KISORO-24h'!F17,'26.10 CYANIKA-KISORO'!F17,'27.10 CYANIKA-KISORO'!F17)</f>
        <v>0</v>
      </c>
      <c r="G17" s="49">
        <f>AVERAGE('25.10.19 CYANIKA-KISORO-24h'!G17,'26.10 CYANIKA-KISORO'!G17,'27.10 CYANIKA-KISORO'!G17)</f>
        <v>0</v>
      </c>
      <c r="H17" s="49">
        <f>AVERAGE('25.10.19 CYANIKA-KISORO-24h'!H17,'26.10 CYANIKA-KISORO'!H17,'27.10 CYANIKA-KISORO'!H17)</f>
        <v>0</v>
      </c>
      <c r="I17" s="49">
        <f>AVERAGE('25.10.19 CYANIKA-KISORO-24h'!I17,'26.10 CYANIKA-KISORO'!I17,'27.10 CYANIKA-KISORO'!I17)</f>
        <v>0</v>
      </c>
      <c r="J17" s="49">
        <f>AVERAGE('25.10.19 CYANIKA-KISORO-24h'!J17,'26.10 CYANIKA-KISORO'!J17,'27.10 CYANIKA-KISORO'!J17)</f>
        <v>0</v>
      </c>
      <c r="K17" s="49">
        <f>AVERAGE('25.10.19 CYANIKA-KISORO-24h'!K17,'26.10 CYANIKA-KISORO'!K17,'27.10 CYANIKA-KISORO'!K17)</f>
        <v>0</v>
      </c>
      <c r="L17" s="49">
        <f>AVERAGE('25.10.19 CYANIKA-KISORO-24h'!L17,'26.10 CYANIKA-KISORO'!L17,'27.10 CYANIKA-KISORO'!L17)</f>
        <v>0</v>
      </c>
      <c r="M17" s="49">
        <f>AVERAGE('25.10.19 CYANIKA-KISORO-24h'!M17,'26.10 CYANIKA-KISORO'!M17,'27.10 CYANIKA-KISORO'!M17)</f>
        <v>14.333333333333334</v>
      </c>
      <c r="N17" s="49">
        <f>AVERAGE('25.10.19 CYANIKA-KISORO-24h'!N17,'26.10 CYANIKA-KISORO'!N17,'27.10 CYANIKA-KISORO'!N17)</f>
        <v>0</v>
      </c>
      <c r="O17" s="15">
        <f t="shared" si="0"/>
        <v>3.333333333333333</v>
      </c>
      <c r="P17" s="15">
        <f t="shared" si="1"/>
        <v>17.666666666666668</v>
      </c>
      <c r="R17" s="1" t="s">
        <v>13</v>
      </c>
      <c r="S17" s="17">
        <f t="shared" ref="S17:AF17" si="9">SUM(C38:C41)</f>
        <v>5.333333333333333</v>
      </c>
      <c r="T17" s="17">
        <f t="shared" si="9"/>
        <v>3.6666666666666665</v>
      </c>
      <c r="U17" s="17">
        <f t="shared" si="9"/>
        <v>2.666666666666667</v>
      </c>
      <c r="V17" s="17">
        <f t="shared" si="9"/>
        <v>0.33333333333333331</v>
      </c>
      <c r="W17" s="17">
        <f t="shared" si="9"/>
        <v>0</v>
      </c>
      <c r="X17" s="17">
        <f t="shared" si="9"/>
        <v>0.33333333333333331</v>
      </c>
      <c r="Y17" s="17">
        <f t="shared" si="9"/>
        <v>1.3333333333333333</v>
      </c>
      <c r="Z17" s="17">
        <f t="shared" si="9"/>
        <v>1.9999999999999998</v>
      </c>
      <c r="AA17" s="17">
        <f t="shared" si="9"/>
        <v>0</v>
      </c>
      <c r="AB17" s="17">
        <f t="shared" si="9"/>
        <v>0</v>
      </c>
      <c r="AC17" s="17">
        <f t="shared" si="9"/>
        <v>122.66666666666666</v>
      </c>
      <c r="AD17" s="17">
        <f t="shared" si="9"/>
        <v>0</v>
      </c>
      <c r="AE17" s="31">
        <f t="shared" si="9"/>
        <v>15.666666666666668</v>
      </c>
      <c r="AF17" s="31">
        <f t="shared" si="9"/>
        <v>138.33333333333331</v>
      </c>
    </row>
    <row r="18" spans="2:32" ht="23.1" customHeight="1" x14ac:dyDescent="0.25">
      <c r="B18" s="23" t="s">
        <v>45</v>
      </c>
      <c r="C18" s="49">
        <f>AVERAGE('25.10.19 CYANIKA-KISORO-24h'!C18,'26.10 CYANIKA-KISORO'!C18,'27.10 CYANIKA-KISORO'!C18)</f>
        <v>2</v>
      </c>
      <c r="D18" s="49">
        <f>AVERAGE('25.10.19 CYANIKA-KISORO-24h'!D18,'26.10 CYANIKA-KISORO'!D18,'27.10 CYANIKA-KISORO'!D18)</f>
        <v>1</v>
      </c>
      <c r="E18" s="49">
        <f>AVERAGE('25.10.19 CYANIKA-KISORO-24h'!E18,'26.10 CYANIKA-KISORO'!E18,'27.10 CYANIKA-KISORO'!E18)</f>
        <v>0</v>
      </c>
      <c r="F18" s="49">
        <f>AVERAGE('25.10.19 CYANIKA-KISORO-24h'!F18,'26.10 CYANIKA-KISORO'!F18,'27.10 CYANIKA-KISORO'!F18)</f>
        <v>0</v>
      </c>
      <c r="G18" s="49">
        <f>AVERAGE('25.10.19 CYANIKA-KISORO-24h'!G18,'26.10 CYANIKA-KISORO'!G18,'27.10 CYANIKA-KISORO'!G18)</f>
        <v>0</v>
      </c>
      <c r="H18" s="49">
        <f>AVERAGE('25.10.19 CYANIKA-KISORO-24h'!H18,'26.10 CYANIKA-KISORO'!H18,'27.10 CYANIKA-KISORO'!H18)</f>
        <v>0</v>
      </c>
      <c r="I18" s="49">
        <f>AVERAGE('25.10.19 CYANIKA-KISORO-24h'!I18,'26.10 CYANIKA-KISORO'!I18,'27.10 CYANIKA-KISORO'!I18)</f>
        <v>0</v>
      </c>
      <c r="J18" s="49">
        <f>AVERAGE('25.10.19 CYANIKA-KISORO-24h'!J18,'26.10 CYANIKA-KISORO'!J18,'27.10 CYANIKA-KISORO'!J18)</f>
        <v>0.33333333333333331</v>
      </c>
      <c r="K18" s="49">
        <f>AVERAGE('25.10.19 CYANIKA-KISORO-24h'!K18,'26.10 CYANIKA-KISORO'!K18,'27.10 CYANIKA-KISORO'!K18)</f>
        <v>0.33333333333333331</v>
      </c>
      <c r="L18" s="49">
        <f>AVERAGE('25.10.19 CYANIKA-KISORO-24h'!L18,'26.10 CYANIKA-KISORO'!L18,'27.10 CYANIKA-KISORO'!L18)</f>
        <v>0</v>
      </c>
      <c r="M18" s="49">
        <f>AVERAGE('25.10.19 CYANIKA-KISORO-24h'!M18,'26.10 CYANIKA-KISORO'!M18,'27.10 CYANIKA-KISORO'!M18)</f>
        <v>19</v>
      </c>
      <c r="N18" s="49">
        <f>AVERAGE('25.10.19 CYANIKA-KISORO-24h'!N18,'26.10 CYANIKA-KISORO'!N18,'27.10 CYANIKA-KISORO'!N18)</f>
        <v>0</v>
      </c>
      <c r="O18" s="15">
        <f t="shared" si="0"/>
        <v>3.666666666666667</v>
      </c>
      <c r="P18" s="15">
        <f t="shared" si="1"/>
        <v>22.666666666666668</v>
      </c>
      <c r="R18" s="1" t="s">
        <v>14</v>
      </c>
      <c r="S18" s="17">
        <f t="shared" ref="S18:AF18" si="10">SUM(C42:C45)</f>
        <v>6.9999999999999991</v>
      </c>
      <c r="T18" s="17">
        <f t="shared" si="10"/>
        <v>4</v>
      </c>
      <c r="U18" s="17">
        <f t="shared" si="10"/>
        <v>2.333333333333333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0</v>
      </c>
      <c r="Z18" s="17">
        <f t="shared" si="10"/>
        <v>2.333333333333333</v>
      </c>
      <c r="AA18" s="17">
        <f t="shared" si="10"/>
        <v>0</v>
      </c>
      <c r="AB18" s="17">
        <f t="shared" si="10"/>
        <v>0</v>
      </c>
      <c r="AC18" s="17">
        <f t="shared" si="10"/>
        <v>143.66666666666669</v>
      </c>
      <c r="AD18" s="17">
        <f t="shared" si="10"/>
        <v>0</v>
      </c>
      <c r="AE18" s="31">
        <f t="shared" si="10"/>
        <v>15.666666666666664</v>
      </c>
      <c r="AF18" s="31">
        <f t="shared" si="10"/>
        <v>159.33333333333334</v>
      </c>
    </row>
    <row r="19" spans="2:32" ht="23.1" customHeight="1" x14ac:dyDescent="0.25">
      <c r="B19" s="23" t="s">
        <v>46</v>
      </c>
      <c r="C19" s="49">
        <f>AVERAGE('25.10.19 CYANIKA-KISORO-24h'!C19,'26.10 CYANIKA-KISORO'!C19,'27.10 CYANIKA-KISORO'!C19)</f>
        <v>2</v>
      </c>
      <c r="D19" s="49">
        <f>AVERAGE('25.10.19 CYANIKA-KISORO-24h'!D19,'26.10 CYANIKA-KISORO'!D19,'27.10 CYANIKA-KISORO'!D19)</f>
        <v>1</v>
      </c>
      <c r="E19" s="49">
        <f>AVERAGE('25.10.19 CYANIKA-KISORO-24h'!E19,'26.10 CYANIKA-KISORO'!E19,'27.10 CYANIKA-KISORO'!E19)</f>
        <v>1</v>
      </c>
      <c r="F19" s="49">
        <f>AVERAGE('25.10.19 CYANIKA-KISORO-24h'!F19,'26.10 CYANIKA-KISORO'!F19,'27.10 CYANIKA-KISORO'!F19)</f>
        <v>0.33333333333333331</v>
      </c>
      <c r="G19" s="49">
        <f>AVERAGE('25.10.19 CYANIKA-KISORO-24h'!G19,'26.10 CYANIKA-KISORO'!G19,'27.10 CYANIKA-KISORO'!G19)</f>
        <v>0</v>
      </c>
      <c r="H19" s="49">
        <f>AVERAGE('25.10.19 CYANIKA-KISORO-24h'!H19,'26.10 CYANIKA-KISORO'!H19,'27.10 CYANIKA-KISORO'!H19)</f>
        <v>0</v>
      </c>
      <c r="I19" s="49">
        <f>AVERAGE('25.10.19 CYANIKA-KISORO-24h'!I19,'26.10 CYANIKA-KISORO'!I19,'27.10 CYANIKA-KISORO'!I19)</f>
        <v>0.66666666666666663</v>
      </c>
      <c r="J19" s="49">
        <f>AVERAGE('25.10.19 CYANIKA-KISORO-24h'!J19,'26.10 CYANIKA-KISORO'!J19,'27.10 CYANIKA-KISORO'!J19)</f>
        <v>0</v>
      </c>
      <c r="K19" s="49">
        <f>AVERAGE('25.10.19 CYANIKA-KISORO-24h'!K19,'26.10 CYANIKA-KISORO'!K19,'27.10 CYANIKA-KISORO'!K19)</f>
        <v>0</v>
      </c>
      <c r="L19" s="49">
        <f>AVERAGE('25.10.19 CYANIKA-KISORO-24h'!L19,'26.10 CYANIKA-KISORO'!L19,'27.10 CYANIKA-KISORO'!L19)</f>
        <v>0</v>
      </c>
      <c r="M19" s="49">
        <f>AVERAGE('25.10.19 CYANIKA-KISORO-24h'!M19,'26.10 CYANIKA-KISORO'!M19,'27.10 CYANIKA-KISORO'!M19)</f>
        <v>22</v>
      </c>
      <c r="N19" s="49">
        <f>AVERAGE('25.10.19 CYANIKA-KISORO-24h'!N19,'26.10 CYANIKA-KISORO'!N19,'27.10 CYANIKA-KISORO'!N19)</f>
        <v>0</v>
      </c>
      <c r="O19" s="15">
        <f t="shared" si="0"/>
        <v>5</v>
      </c>
      <c r="P19" s="15">
        <f t="shared" si="1"/>
        <v>27</v>
      </c>
      <c r="R19" s="1" t="s">
        <v>15</v>
      </c>
      <c r="S19" s="17">
        <f t="shared" ref="S19:AF19" si="11">SUM(C46:C49)</f>
        <v>9.3333333333333339</v>
      </c>
      <c r="T19" s="17">
        <f t="shared" si="11"/>
        <v>3.333333333333333</v>
      </c>
      <c r="U19" s="17">
        <f t="shared" si="11"/>
        <v>3</v>
      </c>
      <c r="V19" s="17">
        <f t="shared" si="11"/>
        <v>0</v>
      </c>
      <c r="W19" s="17">
        <f t="shared" si="11"/>
        <v>0</v>
      </c>
      <c r="X19" s="17">
        <f t="shared" si="11"/>
        <v>0.33333333333333331</v>
      </c>
      <c r="Y19" s="17">
        <f t="shared" si="11"/>
        <v>0.33333333333333331</v>
      </c>
      <c r="Z19" s="17">
        <f t="shared" si="11"/>
        <v>3.6666666666666665</v>
      </c>
      <c r="AA19" s="17">
        <f t="shared" si="11"/>
        <v>0</v>
      </c>
      <c r="AB19" s="17">
        <f t="shared" si="11"/>
        <v>0</v>
      </c>
      <c r="AC19" s="17">
        <f t="shared" si="11"/>
        <v>147.66666666666666</v>
      </c>
      <c r="AD19" s="17">
        <f t="shared" si="11"/>
        <v>0</v>
      </c>
      <c r="AE19" s="31">
        <f t="shared" si="11"/>
        <v>20</v>
      </c>
      <c r="AF19" s="31">
        <f t="shared" si="11"/>
        <v>167.66666666666666</v>
      </c>
    </row>
    <row r="20" spans="2:32" ht="23.1" customHeight="1" x14ac:dyDescent="0.25">
      <c r="B20" s="23" t="s">
        <v>47</v>
      </c>
      <c r="C20" s="49">
        <f>AVERAGE('25.10.19 CYANIKA-KISORO-24h'!C20,'26.10 CYANIKA-KISORO'!C20,'27.10 CYANIKA-KISORO'!C20)</f>
        <v>2.3333333333333335</v>
      </c>
      <c r="D20" s="49">
        <f>AVERAGE('25.10.19 CYANIKA-KISORO-24h'!D20,'26.10 CYANIKA-KISORO'!D20,'27.10 CYANIKA-KISORO'!D20)</f>
        <v>1.3333333333333333</v>
      </c>
      <c r="E20" s="49">
        <f>AVERAGE('25.10.19 CYANIKA-KISORO-24h'!E20,'26.10 CYANIKA-KISORO'!E20,'27.10 CYANIKA-KISORO'!E20)</f>
        <v>1</v>
      </c>
      <c r="F20" s="49">
        <f>AVERAGE('25.10.19 CYANIKA-KISORO-24h'!F20,'26.10 CYANIKA-KISORO'!F20,'27.10 CYANIKA-KISORO'!F20)</f>
        <v>0</v>
      </c>
      <c r="G20" s="49">
        <f>AVERAGE('25.10.19 CYANIKA-KISORO-24h'!G20,'26.10 CYANIKA-KISORO'!G20,'27.10 CYANIKA-KISORO'!G20)</f>
        <v>0</v>
      </c>
      <c r="H20" s="49">
        <f>AVERAGE('25.10.19 CYANIKA-KISORO-24h'!H20,'26.10 CYANIKA-KISORO'!H20,'27.10 CYANIKA-KISORO'!H20)</f>
        <v>0</v>
      </c>
      <c r="I20" s="49">
        <f>AVERAGE('25.10.19 CYANIKA-KISORO-24h'!I20,'26.10 CYANIKA-KISORO'!I20,'27.10 CYANIKA-KISORO'!I20)</f>
        <v>0</v>
      </c>
      <c r="J20" s="49">
        <f>AVERAGE('25.10.19 CYANIKA-KISORO-24h'!J20,'26.10 CYANIKA-KISORO'!J20,'27.10 CYANIKA-KISORO'!J20)</f>
        <v>1</v>
      </c>
      <c r="K20" s="49">
        <f>AVERAGE('25.10.19 CYANIKA-KISORO-24h'!K20,'26.10 CYANIKA-KISORO'!K20,'27.10 CYANIKA-KISORO'!K20)</f>
        <v>0.66666666666666663</v>
      </c>
      <c r="L20" s="49">
        <f>AVERAGE('25.10.19 CYANIKA-KISORO-24h'!L20,'26.10 CYANIKA-KISORO'!L20,'27.10 CYANIKA-KISORO'!L20)</f>
        <v>0</v>
      </c>
      <c r="M20" s="49">
        <f>AVERAGE('25.10.19 CYANIKA-KISORO-24h'!M20,'26.10 CYANIKA-KISORO'!M20,'27.10 CYANIKA-KISORO'!M20)</f>
        <v>25.333333333333332</v>
      </c>
      <c r="N20" s="49">
        <f>AVERAGE('25.10.19 CYANIKA-KISORO-24h'!N20,'26.10 CYANIKA-KISORO'!N20,'27.10 CYANIKA-KISORO'!N20)</f>
        <v>0</v>
      </c>
      <c r="O20" s="15">
        <f t="shared" si="0"/>
        <v>6.3333333333333339</v>
      </c>
      <c r="P20" s="15">
        <f t="shared" si="1"/>
        <v>31.666666666666664</v>
      </c>
      <c r="R20" s="1" t="s">
        <v>16</v>
      </c>
      <c r="S20" s="17">
        <f t="shared" ref="S20:AF20" si="12">SUM(C50:C53)</f>
        <v>9.3333333333333339</v>
      </c>
      <c r="T20" s="17">
        <f t="shared" si="12"/>
        <v>6.333333333333333</v>
      </c>
      <c r="U20" s="17">
        <f t="shared" si="12"/>
        <v>3.333333333333333</v>
      </c>
      <c r="V20" s="17">
        <f t="shared" si="12"/>
        <v>0.33333333333333331</v>
      </c>
      <c r="W20" s="17">
        <f t="shared" si="12"/>
        <v>0</v>
      </c>
      <c r="X20" s="17">
        <f t="shared" si="12"/>
        <v>0</v>
      </c>
      <c r="Y20" s="17">
        <f t="shared" si="12"/>
        <v>0.33333333333333331</v>
      </c>
      <c r="Z20" s="17">
        <f t="shared" si="12"/>
        <v>4</v>
      </c>
      <c r="AA20" s="17">
        <f t="shared" si="12"/>
        <v>0</v>
      </c>
      <c r="AB20" s="17">
        <f t="shared" si="12"/>
        <v>0</v>
      </c>
      <c r="AC20" s="17">
        <f t="shared" si="12"/>
        <v>141.66666666666666</v>
      </c>
      <c r="AD20" s="17">
        <f t="shared" si="12"/>
        <v>0</v>
      </c>
      <c r="AE20" s="31">
        <f t="shared" si="12"/>
        <v>23.666666666666664</v>
      </c>
      <c r="AF20" s="31">
        <f t="shared" si="12"/>
        <v>165.33333333333331</v>
      </c>
    </row>
    <row r="21" spans="2:32" ht="23.1" customHeight="1" x14ac:dyDescent="0.25">
      <c r="B21" s="23" t="s">
        <v>48</v>
      </c>
      <c r="C21" s="49">
        <f>AVERAGE('25.10.19 CYANIKA-KISORO-24h'!C21,'26.10 CYANIKA-KISORO'!C21,'27.10 CYANIKA-KISORO'!C21)</f>
        <v>2.3333333333333335</v>
      </c>
      <c r="D21" s="49">
        <f>AVERAGE('25.10.19 CYANIKA-KISORO-24h'!D21,'26.10 CYANIKA-KISORO'!D21,'27.10 CYANIKA-KISORO'!D21)</f>
        <v>0.33333333333333331</v>
      </c>
      <c r="E21" s="49">
        <f>AVERAGE('25.10.19 CYANIKA-KISORO-24h'!E21,'26.10 CYANIKA-KISORO'!E21,'27.10 CYANIKA-KISORO'!E21)</f>
        <v>0</v>
      </c>
      <c r="F21" s="49">
        <f>AVERAGE('25.10.19 CYANIKA-KISORO-24h'!F21,'26.10 CYANIKA-KISORO'!F21,'27.10 CYANIKA-KISORO'!F21)</f>
        <v>0</v>
      </c>
      <c r="G21" s="49">
        <f>AVERAGE('25.10.19 CYANIKA-KISORO-24h'!G21,'26.10 CYANIKA-KISORO'!G21,'27.10 CYANIKA-KISORO'!G21)</f>
        <v>0</v>
      </c>
      <c r="H21" s="49">
        <f>AVERAGE('25.10.19 CYANIKA-KISORO-24h'!H21,'26.10 CYANIKA-KISORO'!H21,'27.10 CYANIKA-KISORO'!H21)</f>
        <v>0</v>
      </c>
      <c r="I21" s="49">
        <f>AVERAGE('25.10.19 CYANIKA-KISORO-24h'!I21,'26.10 CYANIKA-KISORO'!I21,'27.10 CYANIKA-KISORO'!I21)</f>
        <v>0</v>
      </c>
      <c r="J21" s="49">
        <f>AVERAGE('25.10.19 CYANIKA-KISORO-24h'!J21,'26.10 CYANIKA-KISORO'!J21,'27.10 CYANIKA-KISORO'!J21)</f>
        <v>0</v>
      </c>
      <c r="K21" s="49">
        <f>AVERAGE('25.10.19 CYANIKA-KISORO-24h'!K21,'26.10 CYANIKA-KISORO'!K21,'27.10 CYANIKA-KISORO'!K21)</f>
        <v>0.33333333333333331</v>
      </c>
      <c r="L21" s="49">
        <f>AVERAGE('25.10.19 CYANIKA-KISORO-24h'!L21,'26.10 CYANIKA-KISORO'!L21,'27.10 CYANIKA-KISORO'!L21)</f>
        <v>0</v>
      </c>
      <c r="M21" s="49">
        <f>AVERAGE('25.10.19 CYANIKA-KISORO-24h'!M21,'26.10 CYANIKA-KISORO'!M21,'27.10 CYANIKA-KISORO'!M21)</f>
        <v>20.333333333333332</v>
      </c>
      <c r="N21" s="49">
        <f>AVERAGE('25.10.19 CYANIKA-KISORO-24h'!N21,'26.10 CYANIKA-KISORO'!N21,'27.10 CYANIKA-KISORO'!N21)</f>
        <v>0</v>
      </c>
      <c r="O21" s="15">
        <f t="shared" si="0"/>
        <v>3.0000000000000004</v>
      </c>
      <c r="P21" s="15">
        <f t="shared" si="1"/>
        <v>23.333333333333332</v>
      </c>
      <c r="R21" s="36" t="s">
        <v>20</v>
      </c>
      <c r="S21" s="34">
        <f t="shared" ref="S21:AF21" si="13">SUM(C54:C57)</f>
        <v>9.3333333333333339</v>
      </c>
      <c r="T21" s="17">
        <f t="shared" si="13"/>
        <v>3</v>
      </c>
      <c r="U21" s="17">
        <f t="shared" si="13"/>
        <v>2.6666666666666665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1.3333333333333333</v>
      </c>
      <c r="Z21" s="17">
        <f t="shared" si="13"/>
        <v>5</v>
      </c>
      <c r="AA21" s="17">
        <f t="shared" si="13"/>
        <v>0</v>
      </c>
      <c r="AB21" s="17">
        <f t="shared" si="13"/>
        <v>0</v>
      </c>
      <c r="AC21" s="17">
        <f t="shared" si="13"/>
        <v>123.33333333333334</v>
      </c>
      <c r="AD21" s="17">
        <f t="shared" si="13"/>
        <v>0</v>
      </c>
      <c r="AE21" s="31">
        <f t="shared" si="13"/>
        <v>21.333333333333336</v>
      </c>
      <c r="AF21" s="31">
        <f t="shared" si="13"/>
        <v>144.66666666666669</v>
      </c>
    </row>
    <row r="22" spans="2:32" ht="23.1" customHeight="1" x14ac:dyDescent="0.25">
      <c r="B22" s="23" t="s">
        <v>49</v>
      </c>
      <c r="C22" s="49">
        <f>AVERAGE('25.10.19 CYANIKA-KISORO-24h'!C22,'26.10 CYANIKA-KISORO'!C22,'27.10 CYANIKA-KISORO'!C22)</f>
        <v>0</v>
      </c>
      <c r="D22" s="49">
        <f>AVERAGE('25.10.19 CYANIKA-KISORO-24h'!D22,'26.10 CYANIKA-KISORO'!D22,'27.10 CYANIKA-KISORO'!D22)</f>
        <v>1.6666666666666667</v>
      </c>
      <c r="E22" s="49">
        <f>AVERAGE('25.10.19 CYANIKA-KISORO-24h'!E22,'26.10 CYANIKA-KISORO'!E22,'27.10 CYANIKA-KISORO'!E22)</f>
        <v>0.66666666666666663</v>
      </c>
      <c r="F22" s="49">
        <f>AVERAGE('25.10.19 CYANIKA-KISORO-24h'!F22,'26.10 CYANIKA-KISORO'!F22,'27.10 CYANIKA-KISORO'!F22)</f>
        <v>0</v>
      </c>
      <c r="G22" s="49">
        <f>AVERAGE('25.10.19 CYANIKA-KISORO-24h'!G22,'26.10 CYANIKA-KISORO'!G22,'27.10 CYANIKA-KISORO'!G22)</f>
        <v>0</v>
      </c>
      <c r="H22" s="49">
        <f>AVERAGE('25.10.19 CYANIKA-KISORO-24h'!H22,'26.10 CYANIKA-KISORO'!H22,'27.10 CYANIKA-KISORO'!H22)</f>
        <v>0</v>
      </c>
      <c r="I22" s="49">
        <f>AVERAGE('25.10.19 CYANIKA-KISORO-24h'!I22,'26.10 CYANIKA-KISORO'!I22,'27.10 CYANIKA-KISORO'!I22)</f>
        <v>0.33333333333333331</v>
      </c>
      <c r="J22" s="49">
        <f>AVERAGE('25.10.19 CYANIKA-KISORO-24h'!J22,'26.10 CYANIKA-KISORO'!J22,'27.10 CYANIKA-KISORO'!J22)</f>
        <v>0.33333333333333331</v>
      </c>
      <c r="K22" s="49">
        <f>AVERAGE('25.10.19 CYANIKA-KISORO-24h'!K22,'26.10 CYANIKA-KISORO'!K22,'27.10 CYANIKA-KISORO'!K22)</f>
        <v>0</v>
      </c>
      <c r="L22" s="49">
        <f>AVERAGE('25.10.19 CYANIKA-KISORO-24h'!L22,'26.10 CYANIKA-KISORO'!L22,'27.10 CYANIKA-KISORO'!L22)</f>
        <v>0</v>
      </c>
      <c r="M22" s="49">
        <f>AVERAGE('25.10.19 CYANIKA-KISORO-24h'!M22,'26.10 CYANIKA-KISORO'!M22,'27.10 CYANIKA-KISORO'!M22)</f>
        <v>19.666666666666668</v>
      </c>
      <c r="N22" s="49">
        <f>AVERAGE('25.10.19 CYANIKA-KISORO-24h'!N22,'26.10 CYANIKA-KISORO'!N22,'27.10 CYANIKA-KISORO'!N22)</f>
        <v>0</v>
      </c>
      <c r="O22" s="15">
        <f t="shared" si="0"/>
        <v>3.0000000000000004</v>
      </c>
      <c r="P22" s="15">
        <f t="shared" si="1"/>
        <v>22.666666666666668</v>
      </c>
      <c r="R22" s="1" t="s">
        <v>146</v>
      </c>
      <c r="S22" s="34">
        <f>SUM(C58:C61)</f>
        <v>10</v>
      </c>
      <c r="T22" s="34">
        <f t="shared" ref="T22:AF22" si="14">SUM(D58:D61)</f>
        <v>5</v>
      </c>
      <c r="U22" s="34">
        <f t="shared" si="14"/>
        <v>2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0</v>
      </c>
      <c r="AA22" s="34">
        <f t="shared" si="14"/>
        <v>4</v>
      </c>
      <c r="AB22" s="34">
        <f t="shared" si="14"/>
        <v>0</v>
      </c>
      <c r="AC22" s="34">
        <f t="shared" si="14"/>
        <v>112</v>
      </c>
      <c r="AD22" s="34">
        <f t="shared" si="14"/>
        <v>0</v>
      </c>
      <c r="AE22" s="31">
        <f t="shared" si="14"/>
        <v>23</v>
      </c>
      <c r="AF22" s="31">
        <f t="shared" si="14"/>
        <v>135</v>
      </c>
    </row>
    <row r="23" spans="2:32" ht="23.1" customHeight="1" x14ac:dyDescent="0.25">
      <c r="B23" s="23" t="s">
        <v>50</v>
      </c>
      <c r="C23" s="49">
        <f>AVERAGE('25.10.19 CYANIKA-KISORO-24h'!C23,'26.10 CYANIKA-KISORO'!C23,'27.10 CYANIKA-KISORO'!C23)</f>
        <v>2</v>
      </c>
      <c r="D23" s="49">
        <f>AVERAGE('25.10.19 CYANIKA-KISORO-24h'!D23,'26.10 CYANIKA-KISORO'!D23,'27.10 CYANIKA-KISORO'!D23)</f>
        <v>1.3333333333333333</v>
      </c>
      <c r="E23" s="49">
        <f>AVERAGE('25.10.19 CYANIKA-KISORO-24h'!E23,'26.10 CYANIKA-KISORO'!E23,'27.10 CYANIKA-KISORO'!E23)</f>
        <v>1.6666666666666667</v>
      </c>
      <c r="F23" s="49">
        <f>AVERAGE('25.10.19 CYANIKA-KISORO-24h'!F23,'26.10 CYANIKA-KISORO'!F23,'27.10 CYANIKA-KISORO'!F23)</f>
        <v>0.66666666666666663</v>
      </c>
      <c r="G23" s="49">
        <f>AVERAGE('25.10.19 CYANIKA-KISORO-24h'!G23,'26.10 CYANIKA-KISORO'!G23,'27.10 CYANIKA-KISORO'!G23)</f>
        <v>0</v>
      </c>
      <c r="H23" s="49">
        <f>AVERAGE('25.10.19 CYANIKA-KISORO-24h'!H23,'26.10 CYANIKA-KISORO'!H23,'27.10 CYANIKA-KISORO'!H23)</f>
        <v>0</v>
      </c>
      <c r="I23" s="49">
        <f>AVERAGE('25.10.19 CYANIKA-KISORO-24h'!I23,'26.10 CYANIKA-KISORO'!I23,'27.10 CYANIKA-KISORO'!I23)</f>
        <v>0</v>
      </c>
      <c r="J23" s="49">
        <f>AVERAGE('25.10.19 CYANIKA-KISORO-24h'!J23,'26.10 CYANIKA-KISORO'!J23,'27.10 CYANIKA-KISORO'!J23)</f>
        <v>0.33333333333333331</v>
      </c>
      <c r="K23" s="49">
        <f>AVERAGE('25.10.19 CYANIKA-KISORO-24h'!K23,'26.10 CYANIKA-KISORO'!K23,'27.10 CYANIKA-KISORO'!K23)</f>
        <v>0</v>
      </c>
      <c r="L23" s="49">
        <f>AVERAGE('25.10.19 CYANIKA-KISORO-24h'!L23,'26.10 CYANIKA-KISORO'!L23,'27.10 CYANIKA-KISORO'!L23)</f>
        <v>0</v>
      </c>
      <c r="M23" s="49">
        <f>AVERAGE('25.10.19 CYANIKA-KISORO-24h'!M23,'26.10 CYANIKA-KISORO'!M23,'27.10 CYANIKA-KISORO'!M23)</f>
        <v>31.333333333333332</v>
      </c>
      <c r="N23" s="49">
        <f>AVERAGE('25.10.19 CYANIKA-KISORO-24h'!N23,'26.10 CYANIKA-KISORO'!N23,'27.10 CYANIKA-KISORO'!N23)</f>
        <v>0</v>
      </c>
      <c r="O23" s="15">
        <f t="shared" si="0"/>
        <v>6</v>
      </c>
      <c r="P23" s="15">
        <f t="shared" si="1"/>
        <v>37.333333333333329</v>
      </c>
      <c r="R23" s="1" t="s">
        <v>147</v>
      </c>
      <c r="S23" s="34">
        <f>SUM(C62:C65)</f>
        <v>3</v>
      </c>
      <c r="T23" s="34">
        <f t="shared" ref="T23:AF23" si="15">SUM(D62:D65)</f>
        <v>7</v>
      </c>
      <c r="U23" s="34">
        <f t="shared" si="15"/>
        <v>6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4</v>
      </c>
      <c r="AA23" s="34">
        <f t="shared" si="15"/>
        <v>0</v>
      </c>
      <c r="AB23" s="34">
        <f t="shared" si="15"/>
        <v>0</v>
      </c>
      <c r="AC23" s="34">
        <f t="shared" si="15"/>
        <v>78</v>
      </c>
      <c r="AD23" s="34">
        <f t="shared" si="15"/>
        <v>0</v>
      </c>
      <c r="AE23" s="31">
        <f t="shared" si="15"/>
        <v>23</v>
      </c>
      <c r="AF23" s="31">
        <f t="shared" si="15"/>
        <v>101</v>
      </c>
    </row>
    <row r="24" spans="2:32" ht="23.1" customHeight="1" x14ac:dyDescent="0.25">
      <c r="B24" s="23" t="s">
        <v>51</v>
      </c>
      <c r="C24" s="49">
        <f>AVERAGE('25.10.19 CYANIKA-KISORO-24h'!C24,'26.10 CYANIKA-KISORO'!C24,'27.10 CYANIKA-KISORO'!C24)</f>
        <v>2.3333333333333335</v>
      </c>
      <c r="D24" s="49">
        <f>AVERAGE('25.10.19 CYANIKA-KISORO-24h'!D24,'26.10 CYANIKA-KISORO'!D24,'27.10 CYANIKA-KISORO'!D24)</f>
        <v>0.33333333333333331</v>
      </c>
      <c r="E24" s="49">
        <f>AVERAGE('25.10.19 CYANIKA-KISORO-24h'!E24,'26.10 CYANIKA-KISORO'!E24,'27.10 CYANIKA-KISORO'!E24)</f>
        <v>1.3333333333333333</v>
      </c>
      <c r="F24" s="49">
        <f>AVERAGE('25.10.19 CYANIKA-KISORO-24h'!F24,'26.10 CYANIKA-KISORO'!F24,'27.10 CYANIKA-KISORO'!F24)</f>
        <v>0</v>
      </c>
      <c r="G24" s="49">
        <f>AVERAGE('25.10.19 CYANIKA-KISORO-24h'!G24,'26.10 CYANIKA-KISORO'!G24,'27.10 CYANIKA-KISORO'!G24)</f>
        <v>0</v>
      </c>
      <c r="H24" s="49">
        <f>AVERAGE('25.10.19 CYANIKA-KISORO-24h'!H24,'26.10 CYANIKA-KISORO'!H24,'27.10 CYANIKA-KISORO'!H24)</f>
        <v>0</v>
      </c>
      <c r="I24" s="49">
        <f>AVERAGE('25.10.19 CYANIKA-KISORO-24h'!I24,'26.10 CYANIKA-KISORO'!I24,'27.10 CYANIKA-KISORO'!I24)</f>
        <v>0.66666666666666663</v>
      </c>
      <c r="J24" s="49">
        <f>AVERAGE('25.10.19 CYANIKA-KISORO-24h'!J24,'26.10 CYANIKA-KISORO'!J24,'27.10 CYANIKA-KISORO'!J24)</f>
        <v>0.33333333333333331</v>
      </c>
      <c r="K24" s="49">
        <f>AVERAGE('25.10.19 CYANIKA-KISORO-24h'!K24,'26.10 CYANIKA-KISORO'!K24,'27.10 CYANIKA-KISORO'!K24)</f>
        <v>0</v>
      </c>
      <c r="L24" s="49">
        <f>AVERAGE('25.10.19 CYANIKA-KISORO-24h'!L24,'26.10 CYANIKA-KISORO'!L24,'27.10 CYANIKA-KISORO'!L24)</f>
        <v>0</v>
      </c>
      <c r="M24" s="49">
        <f>AVERAGE('25.10.19 CYANIKA-KISORO-24h'!M24,'26.10 CYANIKA-KISORO'!M24,'27.10 CYANIKA-KISORO'!M24)</f>
        <v>33.333333333333336</v>
      </c>
      <c r="N24" s="49">
        <f>AVERAGE('25.10.19 CYANIKA-KISORO-24h'!N24,'26.10 CYANIKA-KISORO'!N24,'27.10 CYANIKA-KISORO'!N24)</f>
        <v>0</v>
      </c>
      <c r="O24" s="15">
        <f t="shared" si="0"/>
        <v>5</v>
      </c>
      <c r="P24" s="15">
        <f t="shared" si="1"/>
        <v>38.333333333333336</v>
      </c>
      <c r="R24" s="1" t="s">
        <v>148</v>
      </c>
      <c r="S24" s="34">
        <f>SUM(C66:C69)</f>
        <v>7</v>
      </c>
      <c r="T24" s="34">
        <f t="shared" ref="T24:AF24" si="16">SUM(D66:D69)</f>
        <v>3</v>
      </c>
      <c r="U24" s="34">
        <f t="shared" si="16"/>
        <v>4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50</v>
      </c>
      <c r="AD24" s="34">
        <f t="shared" si="16"/>
        <v>0</v>
      </c>
      <c r="AE24" s="31">
        <f t="shared" si="16"/>
        <v>15</v>
      </c>
      <c r="AF24" s="31">
        <f t="shared" si="16"/>
        <v>65</v>
      </c>
    </row>
    <row r="25" spans="2:32" ht="23.1" customHeight="1" x14ac:dyDescent="0.25">
      <c r="B25" s="23" t="s">
        <v>52</v>
      </c>
      <c r="C25" s="49">
        <f>AVERAGE('25.10.19 CYANIKA-KISORO-24h'!C25,'26.10 CYANIKA-KISORO'!C25,'27.10 CYANIKA-KISORO'!C25)</f>
        <v>2.3333333333333335</v>
      </c>
      <c r="D25" s="49">
        <f>AVERAGE('25.10.19 CYANIKA-KISORO-24h'!D25,'26.10 CYANIKA-KISORO'!D25,'27.10 CYANIKA-KISORO'!D25)</f>
        <v>1</v>
      </c>
      <c r="E25" s="49">
        <f>AVERAGE('25.10.19 CYANIKA-KISORO-24h'!E25,'26.10 CYANIKA-KISORO'!E25,'27.10 CYANIKA-KISORO'!E25)</f>
        <v>0.66666666666666663</v>
      </c>
      <c r="F25" s="49">
        <f>AVERAGE('25.10.19 CYANIKA-KISORO-24h'!F25,'26.10 CYANIKA-KISORO'!F25,'27.10 CYANIKA-KISORO'!F25)</f>
        <v>0</v>
      </c>
      <c r="G25" s="49">
        <f>AVERAGE('25.10.19 CYANIKA-KISORO-24h'!G25,'26.10 CYANIKA-KISORO'!G25,'27.10 CYANIKA-KISORO'!G25)</f>
        <v>0</v>
      </c>
      <c r="H25" s="49">
        <f>AVERAGE('25.10.19 CYANIKA-KISORO-24h'!H25,'26.10 CYANIKA-KISORO'!H25,'27.10 CYANIKA-KISORO'!H25)</f>
        <v>0</v>
      </c>
      <c r="I25" s="49">
        <f>AVERAGE('25.10.19 CYANIKA-KISORO-24h'!I25,'26.10 CYANIKA-KISORO'!I25,'27.10 CYANIKA-KISORO'!I25)</f>
        <v>0</v>
      </c>
      <c r="J25" s="49">
        <f>AVERAGE('25.10.19 CYANIKA-KISORO-24h'!J25,'26.10 CYANIKA-KISORO'!J25,'27.10 CYANIKA-KISORO'!J25)</f>
        <v>0.66666666666666663</v>
      </c>
      <c r="K25" s="49">
        <f>AVERAGE('25.10.19 CYANIKA-KISORO-24h'!K25,'26.10 CYANIKA-KISORO'!K25,'27.10 CYANIKA-KISORO'!K25)</f>
        <v>0</v>
      </c>
      <c r="L25" s="49">
        <f>AVERAGE('25.10.19 CYANIKA-KISORO-24h'!L25,'26.10 CYANIKA-KISORO'!L25,'27.10 CYANIKA-KISORO'!L25)</f>
        <v>0</v>
      </c>
      <c r="M25" s="49">
        <f>AVERAGE('25.10.19 CYANIKA-KISORO-24h'!M25,'26.10 CYANIKA-KISORO'!M25,'27.10 CYANIKA-KISORO'!M25)</f>
        <v>33</v>
      </c>
      <c r="N25" s="49">
        <f>AVERAGE('25.10.19 CYANIKA-KISORO-24h'!N25,'26.10 CYANIKA-KISORO'!N25,'27.10 CYANIKA-KISORO'!N25)</f>
        <v>0</v>
      </c>
      <c r="O25" s="15">
        <f t="shared" si="0"/>
        <v>4.666666666666667</v>
      </c>
      <c r="P25" s="15">
        <f t="shared" si="1"/>
        <v>37.666666666666664</v>
      </c>
      <c r="R25" s="1" t="s">
        <v>149</v>
      </c>
      <c r="S25" s="34">
        <f>SUM(C70:C73)</f>
        <v>8</v>
      </c>
      <c r="T25" s="34">
        <f t="shared" ref="T25:AF25" si="17">SUM(D70:D73)</f>
        <v>0</v>
      </c>
      <c r="U25" s="34">
        <f t="shared" si="17"/>
        <v>4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28</v>
      </c>
      <c r="AD25" s="34">
        <f t="shared" si="17"/>
        <v>0</v>
      </c>
      <c r="AE25" s="31">
        <f t="shared" si="17"/>
        <v>15</v>
      </c>
      <c r="AF25" s="31">
        <f t="shared" si="17"/>
        <v>43</v>
      </c>
    </row>
    <row r="26" spans="2:32" ht="23.1" customHeight="1" x14ac:dyDescent="0.25">
      <c r="B26" s="23" t="s">
        <v>53</v>
      </c>
      <c r="C26" s="49">
        <f>AVERAGE('25.10.19 CYANIKA-KISORO-24h'!C26,'26.10 CYANIKA-KISORO'!C26,'27.10 CYANIKA-KISORO'!C26)</f>
        <v>3</v>
      </c>
      <c r="D26" s="49">
        <f>AVERAGE('25.10.19 CYANIKA-KISORO-24h'!D26,'26.10 CYANIKA-KISORO'!D26,'27.10 CYANIKA-KISORO'!D26)</f>
        <v>1.6666666666666667</v>
      </c>
      <c r="E26" s="49">
        <f>AVERAGE('25.10.19 CYANIKA-KISORO-24h'!E26,'26.10 CYANIKA-KISORO'!E26,'27.10 CYANIKA-KISORO'!E26)</f>
        <v>0.33333333333333331</v>
      </c>
      <c r="F26" s="49">
        <f>AVERAGE('25.10.19 CYANIKA-KISORO-24h'!F26,'26.10 CYANIKA-KISORO'!F26,'27.10 CYANIKA-KISORO'!F26)</f>
        <v>0</v>
      </c>
      <c r="G26" s="49">
        <f>AVERAGE('25.10.19 CYANIKA-KISORO-24h'!G26,'26.10 CYANIKA-KISORO'!G26,'27.10 CYANIKA-KISORO'!G26)</f>
        <v>0</v>
      </c>
      <c r="H26" s="49">
        <f>AVERAGE('25.10.19 CYANIKA-KISORO-24h'!H26,'26.10 CYANIKA-KISORO'!H26,'27.10 CYANIKA-KISORO'!H26)</f>
        <v>0</v>
      </c>
      <c r="I26" s="49">
        <f>AVERAGE('25.10.19 CYANIKA-KISORO-24h'!I26,'26.10 CYANIKA-KISORO'!I26,'27.10 CYANIKA-KISORO'!I26)</f>
        <v>0.33333333333333331</v>
      </c>
      <c r="J26" s="49">
        <f>AVERAGE('25.10.19 CYANIKA-KISORO-24h'!J26,'26.10 CYANIKA-KISORO'!J26,'27.10 CYANIKA-KISORO'!J26)</f>
        <v>0.66666666666666663</v>
      </c>
      <c r="K26" s="49">
        <f>AVERAGE('25.10.19 CYANIKA-KISORO-24h'!K26,'26.10 CYANIKA-KISORO'!K26,'27.10 CYANIKA-KISORO'!K26)</f>
        <v>0</v>
      </c>
      <c r="L26" s="49">
        <f>AVERAGE('25.10.19 CYANIKA-KISORO-24h'!L26,'26.10 CYANIKA-KISORO'!L26,'27.10 CYANIKA-KISORO'!L26)</f>
        <v>0</v>
      </c>
      <c r="M26" s="49">
        <f>AVERAGE('25.10.19 CYANIKA-KISORO-24h'!M26,'26.10 CYANIKA-KISORO'!M26,'27.10 CYANIKA-KISORO'!M26)</f>
        <v>32.666666666666664</v>
      </c>
      <c r="N26" s="49">
        <f>AVERAGE('25.10.19 CYANIKA-KISORO-24h'!N26,'26.10 CYANIKA-KISORO'!N26,'27.10 CYANIKA-KISORO'!N26)</f>
        <v>0</v>
      </c>
      <c r="O26" s="15">
        <f t="shared" si="0"/>
        <v>6</v>
      </c>
      <c r="P26" s="15">
        <f t="shared" si="1"/>
        <v>38.666666666666664</v>
      </c>
      <c r="R26" s="1" t="s">
        <v>150</v>
      </c>
      <c r="S26" s="34">
        <f>SUM(C74:C77)</f>
        <v>5</v>
      </c>
      <c r="T26" s="34">
        <f t="shared" ref="T26:AF26" si="18">SUM(D74:D77)</f>
        <v>7</v>
      </c>
      <c r="U26" s="34">
        <f t="shared" si="18"/>
        <v>4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2</v>
      </c>
      <c r="AA26" s="34">
        <f t="shared" si="18"/>
        <v>0</v>
      </c>
      <c r="AB26" s="34">
        <f t="shared" si="18"/>
        <v>0</v>
      </c>
      <c r="AC26" s="34">
        <f t="shared" si="18"/>
        <v>11</v>
      </c>
      <c r="AD26" s="34">
        <f t="shared" si="18"/>
        <v>0</v>
      </c>
      <c r="AE26" s="31">
        <f t="shared" si="18"/>
        <v>20</v>
      </c>
      <c r="AF26" s="31">
        <f t="shared" si="18"/>
        <v>31</v>
      </c>
    </row>
    <row r="27" spans="2:32" ht="23.1" customHeight="1" x14ac:dyDescent="0.25">
      <c r="B27" s="23" t="s">
        <v>54</v>
      </c>
      <c r="C27" s="49">
        <f>AVERAGE('25.10.19 CYANIKA-KISORO-24h'!C27,'26.10 CYANIKA-KISORO'!C27,'27.10 CYANIKA-KISORO'!C27)</f>
        <v>3.3333333333333335</v>
      </c>
      <c r="D27" s="49">
        <f>AVERAGE('25.10.19 CYANIKA-KISORO-24h'!D27,'26.10 CYANIKA-KISORO'!D27,'27.10 CYANIKA-KISORO'!D27)</f>
        <v>0.66666666666666663</v>
      </c>
      <c r="E27" s="49">
        <f>AVERAGE('25.10.19 CYANIKA-KISORO-24h'!E27,'26.10 CYANIKA-KISORO'!E27,'27.10 CYANIKA-KISORO'!E27)</f>
        <v>0.66666666666666663</v>
      </c>
      <c r="F27" s="49">
        <f>AVERAGE('25.10.19 CYANIKA-KISORO-24h'!F27,'26.10 CYANIKA-KISORO'!F27,'27.10 CYANIKA-KISORO'!F27)</f>
        <v>0</v>
      </c>
      <c r="G27" s="49">
        <f>AVERAGE('25.10.19 CYANIKA-KISORO-24h'!G27,'26.10 CYANIKA-KISORO'!G27,'27.10 CYANIKA-KISORO'!G27)</f>
        <v>0</v>
      </c>
      <c r="H27" s="49">
        <f>AVERAGE('25.10.19 CYANIKA-KISORO-24h'!H27,'26.10 CYANIKA-KISORO'!H27,'27.10 CYANIKA-KISORO'!H27)</f>
        <v>0</v>
      </c>
      <c r="I27" s="49">
        <f>AVERAGE('25.10.19 CYANIKA-KISORO-24h'!I27,'26.10 CYANIKA-KISORO'!I27,'27.10 CYANIKA-KISORO'!I27)</f>
        <v>0.33333333333333331</v>
      </c>
      <c r="J27" s="49">
        <f>AVERAGE('25.10.19 CYANIKA-KISORO-24h'!J27,'26.10 CYANIKA-KISORO'!J27,'27.10 CYANIKA-KISORO'!J27)</f>
        <v>0</v>
      </c>
      <c r="K27" s="49">
        <f>AVERAGE('25.10.19 CYANIKA-KISORO-24h'!K27,'26.10 CYANIKA-KISORO'!K27,'27.10 CYANIKA-KISORO'!K27)</f>
        <v>0</v>
      </c>
      <c r="L27" s="49">
        <f>AVERAGE('25.10.19 CYANIKA-KISORO-24h'!L27,'26.10 CYANIKA-KISORO'!L27,'27.10 CYANIKA-KISORO'!L27)</f>
        <v>0</v>
      </c>
      <c r="M27" s="49">
        <f>AVERAGE('25.10.19 CYANIKA-KISORO-24h'!M27,'26.10 CYANIKA-KISORO'!M27,'27.10 CYANIKA-KISORO'!M27)</f>
        <v>31.666666666666668</v>
      </c>
      <c r="N27" s="49">
        <f>AVERAGE('25.10.19 CYANIKA-KISORO-24h'!N27,'26.10 CYANIKA-KISORO'!N27,'27.10 CYANIKA-KISORO'!N27)</f>
        <v>0</v>
      </c>
      <c r="O27" s="15">
        <f t="shared" si="0"/>
        <v>5</v>
      </c>
      <c r="P27" s="15">
        <f t="shared" si="1"/>
        <v>36.666666666666671</v>
      </c>
      <c r="R27" s="1" t="s">
        <v>151</v>
      </c>
      <c r="S27" s="34">
        <f>SUM(C78:C81)</f>
        <v>5</v>
      </c>
      <c r="T27" s="34">
        <f t="shared" ref="T27:AF27" si="19">SUM(D78:D81)</f>
        <v>2</v>
      </c>
      <c r="U27" s="34">
        <f t="shared" si="19"/>
        <v>4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2</v>
      </c>
      <c r="AA27" s="34">
        <f t="shared" si="19"/>
        <v>0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15</v>
      </c>
      <c r="AF27" s="31">
        <f t="shared" si="19"/>
        <v>17</v>
      </c>
    </row>
    <row r="28" spans="2:32" ht="23.1" customHeight="1" x14ac:dyDescent="0.25">
      <c r="B28" s="23" t="s">
        <v>55</v>
      </c>
      <c r="C28" s="49">
        <f>AVERAGE('25.10.19 CYANIKA-KISORO-24h'!C28,'26.10 CYANIKA-KISORO'!C28,'27.10 CYANIKA-KISORO'!C28)</f>
        <v>1.3333333333333333</v>
      </c>
      <c r="D28" s="49">
        <f>AVERAGE('25.10.19 CYANIKA-KISORO-24h'!D28,'26.10 CYANIKA-KISORO'!D28,'27.10 CYANIKA-KISORO'!D28)</f>
        <v>1</v>
      </c>
      <c r="E28" s="49">
        <f>AVERAGE('25.10.19 CYANIKA-KISORO-24h'!E28,'26.10 CYANIKA-KISORO'!E28,'27.10 CYANIKA-KISORO'!E28)</f>
        <v>0</v>
      </c>
      <c r="F28" s="49">
        <f>AVERAGE('25.10.19 CYANIKA-KISORO-24h'!F28,'26.10 CYANIKA-KISORO'!F28,'27.10 CYANIKA-KISORO'!F28)</f>
        <v>0</v>
      </c>
      <c r="G28" s="49">
        <f>AVERAGE('25.10.19 CYANIKA-KISORO-24h'!G28,'26.10 CYANIKA-KISORO'!G28,'27.10 CYANIKA-KISORO'!G28)</f>
        <v>0</v>
      </c>
      <c r="H28" s="49">
        <f>AVERAGE('25.10.19 CYANIKA-KISORO-24h'!H28,'26.10 CYANIKA-KISORO'!H28,'27.10 CYANIKA-KISORO'!H28)</f>
        <v>0</v>
      </c>
      <c r="I28" s="49">
        <f>AVERAGE('25.10.19 CYANIKA-KISORO-24h'!I28,'26.10 CYANIKA-KISORO'!I28,'27.10 CYANIKA-KISORO'!I28)</f>
        <v>0</v>
      </c>
      <c r="J28" s="49">
        <f>AVERAGE('25.10.19 CYANIKA-KISORO-24h'!J28,'26.10 CYANIKA-KISORO'!J28,'27.10 CYANIKA-KISORO'!J28)</f>
        <v>0.66666666666666663</v>
      </c>
      <c r="K28" s="49">
        <f>AVERAGE('25.10.19 CYANIKA-KISORO-24h'!K28,'26.10 CYANIKA-KISORO'!K28,'27.10 CYANIKA-KISORO'!K28)</f>
        <v>0</v>
      </c>
      <c r="L28" s="49">
        <f>AVERAGE('25.10.19 CYANIKA-KISORO-24h'!L28,'26.10 CYANIKA-KISORO'!L28,'27.10 CYANIKA-KISORO'!L28)</f>
        <v>0</v>
      </c>
      <c r="M28" s="49">
        <f>AVERAGE('25.10.19 CYANIKA-KISORO-24h'!M28,'26.10 CYANIKA-KISORO'!M28,'27.10 CYANIKA-KISORO'!M28)</f>
        <v>30.666666666666668</v>
      </c>
      <c r="N28" s="49">
        <f>AVERAGE('25.10.19 CYANIKA-KISORO-24h'!N28,'26.10 CYANIKA-KISORO'!N28,'27.10 CYANIKA-KISORO'!N28)</f>
        <v>0</v>
      </c>
      <c r="O28" s="15">
        <f t="shared" si="0"/>
        <v>2.9999999999999996</v>
      </c>
      <c r="P28" s="15">
        <f t="shared" si="1"/>
        <v>33.666666666666664</v>
      </c>
      <c r="R28" s="1" t="s">
        <v>152</v>
      </c>
      <c r="S28" s="34">
        <f>SUM(C82:C85)</f>
        <v>5</v>
      </c>
      <c r="T28" s="34">
        <f t="shared" ref="T28:AF28" si="20">SUM(D82:D85)</f>
        <v>4</v>
      </c>
      <c r="U28" s="34">
        <f t="shared" si="20"/>
        <v>2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4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15</v>
      </c>
      <c r="AF28" s="31">
        <f t="shared" si="20"/>
        <v>16</v>
      </c>
    </row>
    <row r="29" spans="2:32" ht="23.1" customHeight="1" x14ac:dyDescent="0.25">
      <c r="B29" s="23" t="s">
        <v>56</v>
      </c>
      <c r="C29" s="49">
        <f>AVERAGE('25.10.19 CYANIKA-KISORO-24h'!C29,'26.10 CYANIKA-KISORO'!C29,'27.10 CYANIKA-KISORO'!C29)</f>
        <v>2.3333333333333335</v>
      </c>
      <c r="D29" s="49">
        <f>AVERAGE('25.10.19 CYANIKA-KISORO-24h'!D29,'26.10 CYANIKA-KISORO'!D29,'27.10 CYANIKA-KISORO'!D29)</f>
        <v>1.3333333333333333</v>
      </c>
      <c r="E29" s="49">
        <f>AVERAGE('25.10.19 CYANIKA-KISORO-24h'!E29,'26.10 CYANIKA-KISORO'!E29,'27.10 CYANIKA-KISORO'!E29)</f>
        <v>0.66666666666666663</v>
      </c>
      <c r="F29" s="49">
        <f>AVERAGE('25.10.19 CYANIKA-KISORO-24h'!F29,'26.10 CYANIKA-KISORO'!F29,'27.10 CYANIKA-KISORO'!F29)</f>
        <v>0.33333333333333331</v>
      </c>
      <c r="G29" s="49">
        <f>AVERAGE('25.10.19 CYANIKA-KISORO-24h'!G29,'26.10 CYANIKA-KISORO'!G29,'27.10 CYANIKA-KISORO'!G29)</f>
        <v>0</v>
      </c>
      <c r="H29" s="49">
        <f>AVERAGE('25.10.19 CYANIKA-KISORO-24h'!H29,'26.10 CYANIKA-KISORO'!H29,'27.10 CYANIKA-KISORO'!H29)</f>
        <v>0</v>
      </c>
      <c r="I29" s="49">
        <f>AVERAGE('25.10.19 CYANIKA-KISORO-24h'!I29,'26.10 CYANIKA-KISORO'!I29,'27.10 CYANIKA-KISORO'!I29)</f>
        <v>0</v>
      </c>
      <c r="J29" s="49">
        <f>AVERAGE('25.10.19 CYANIKA-KISORO-24h'!J29,'26.10 CYANIKA-KISORO'!J29,'27.10 CYANIKA-KISORO'!J29)</f>
        <v>0</v>
      </c>
      <c r="K29" s="49">
        <f>AVERAGE('25.10.19 CYANIKA-KISORO-24h'!K29,'26.10 CYANIKA-KISORO'!K29,'27.10 CYANIKA-KISORO'!K29)</f>
        <v>0</v>
      </c>
      <c r="L29" s="49">
        <f>AVERAGE('25.10.19 CYANIKA-KISORO-24h'!L29,'26.10 CYANIKA-KISORO'!L29,'27.10 CYANIKA-KISORO'!L29)</f>
        <v>0</v>
      </c>
      <c r="M29" s="49">
        <f>AVERAGE('25.10.19 CYANIKA-KISORO-24h'!M29,'26.10 CYANIKA-KISORO'!M29,'27.10 CYANIKA-KISORO'!M29)</f>
        <v>36.333333333333336</v>
      </c>
      <c r="N29" s="49">
        <f>AVERAGE('25.10.19 CYANIKA-KISORO-24h'!N29,'26.10 CYANIKA-KISORO'!N29,'27.10 CYANIKA-KISORO'!N29)</f>
        <v>0</v>
      </c>
      <c r="O29" s="15">
        <f t="shared" si="0"/>
        <v>4.666666666666667</v>
      </c>
      <c r="P29" s="15">
        <f t="shared" si="1"/>
        <v>41</v>
      </c>
      <c r="R29" s="1" t="s">
        <v>153</v>
      </c>
      <c r="S29" s="34">
        <f>SUM(C86:C89)</f>
        <v>13</v>
      </c>
      <c r="T29" s="34">
        <f t="shared" ref="T29:AF29" si="21">SUM(D86:D89)</f>
        <v>7</v>
      </c>
      <c r="U29" s="34">
        <f t="shared" si="21"/>
        <v>4</v>
      </c>
      <c r="V29" s="34">
        <f t="shared" si="21"/>
        <v>0</v>
      </c>
      <c r="W29" s="34">
        <f t="shared" si="21"/>
        <v>0</v>
      </c>
      <c r="X29" s="34">
        <f t="shared" si="21"/>
        <v>1</v>
      </c>
      <c r="Y29" s="34">
        <f t="shared" si="21"/>
        <v>1</v>
      </c>
      <c r="Z29" s="34">
        <f t="shared" si="21"/>
        <v>4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30</v>
      </c>
      <c r="AF29" s="31">
        <f t="shared" si="21"/>
        <v>30</v>
      </c>
    </row>
    <row r="30" spans="2:32" ht="23.1" customHeight="1" x14ac:dyDescent="0.25">
      <c r="B30" s="23" t="s">
        <v>57</v>
      </c>
      <c r="C30" s="49">
        <f>AVERAGE('25.10.19 CYANIKA-KISORO-24h'!C30,'26.10 CYANIKA-KISORO'!C30,'27.10 CYANIKA-KISORO'!C30)</f>
        <v>2.3333333333333335</v>
      </c>
      <c r="D30" s="49">
        <f>AVERAGE('25.10.19 CYANIKA-KISORO-24h'!D30,'26.10 CYANIKA-KISORO'!D30,'27.10 CYANIKA-KISORO'!D30)</f>
        <v>0.66666666666666663</v>
      </c>
      <c r="E30" s="49">
        <f>AVERAGE('25.10.19 CYANIKA-KISORO-24h'!E30,'26.10 CYANIKA-KISORO'!E30,'27.10 CYANIKA-KISORO'!E30)</f>
        <v>0.66666666666666663</v>
      </c>
      <c r="F30" s="49">
        <f>AVERAGE('25.10.19 CYANIKA-KISORO-24h'!F30,'26.10 CYANIKA-KISORO'!F30,'27.10 CYANIKA-KISORO'!F30)</f>
        <v>0.33333333333333331</v>
      </c>
      <c r="G30" s="49">
        <f>AVERAGE('25.10.19 CYANIKA-KISORO-24h'!G30,'26.10 CYANIKA-KISORO'!G30,'27.10 CYANIKA-KISORO'!G30)</f>
        <v>0</v>
      </c>
      <c r="H30" s="49">
        <f>AVERAGE('25.10.19 CYANIKA-KISORO-24h'!H30,'26.10 CYANIKA-KISORO'!H30,'27.10 CYANIKA-KISORO'!H30)</f>
        <v>0</v>
      </c>
      <c r="I30" s="49">
        <f>AVERAGE('25.10.19 CYANIKA-KISORO-24h'!I30,'26.10 CYANIKA-KISORO'!I30,'27.10 CYANIKA-KISORO'!I30)</f>
        <v>0</v>
      </c>
      <c r="J30" s="49">
        <f>AVERAGE('25.10.19 CYANIKA-KISORO-24h'!J30,'26.10 CYANIKA-KISORO'!J30,'27.10 CYANIKA-KISORO'!J30)</f>
        <v>1</v>
      </c>
      <c r="K30" s="49">
        <f>AVERAGE('25.10.19 CYANIKA-KISORO-24h'!K30,'26.10 CYANIKA-KISORO'!K30,'27.10 CYANIKA-KISORO'!K30)</f>
        <v>0</v>
      </c>
      <c r="L30" s="49">
        <f>AVERAGE('25.10.19 CYANIKA-KISORO-24h'!L30,'26.10 CYANIKA-KISORO'!L30,'27.10 CYANIKA-KISORO'!L30)</f>
        <v>0</v>
      </c>
      <c r="M30" s="49">
        <f>AVERAGE('25.10.19 CYANIKA-KISORO-24h'!M30,'26.10 CYANIKA-KISORO'!M30,'27.10 CYANIKA-KISORO'!M30)</f>
        <v>28.333333333333332</v>
      </c>
      <c r="N30" s="49">
        <f>AVERAGE('25.10.19 CYANIKA-KISORO-24h'!N30,'26.10 CYANIKA-KISORO'!N30,'27.10 CYANIKA-KISORO'!N30)</f>
        <v>0</v>
      </c>
      <c r="O30" s="15">
        <f t="shared" si="0"/>
        <v>5</v>
      </c>
      <c r="P30" s="15">
        <f t="shared" si="1"/>
        <v>33.333333333333329</v>
      </c>
      <c r="R30" s="1" t="s">
        <v>154</v>
      </c>
      <c r="S30" s="34">
        <f>SUM(C90:C93)</f>
        <v>8</v>
      </c>
      <c r="T30" s="34">
        <f t="shared" ref="T30:AF30" si="22">SUM(D90:D93)</f>
        <v>6</v>
      </c>
      <c r="U30" s="34">
        <f t="shared" si="22"/>
        <v>5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4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25</v>
      </c>
      <c r="AF30" s="31">
        <f t="shared" si="22"/>
        <v>25</v>
      </c>
    </row>
    <row r="31" spans="2:32" ht="23.1" customHeight="1" x14ac:dyDescent="0.25">
      <c r="B31" s="24" t="s">
        <v>58</v>
      </c>
      <c r="C31" s="49">
        <f>AVERAGE('25.10.19 CYANIKA-KISORO-24h'!C31,'26.10 CYANIKA-KISORO'!C31,'27.10 CYANIKA-KISORO'!C31)</f>
        <v>0.66666666666666663</v>
      </c>
      <c r="D31" s="49">
        <f>AVERAGE('25.10.19 CYANIKA-KISORO-24h'!D31,'26.10 CYANIKA-KISORO'!D31,'27.10 CYANIKA-KISORO'!D31)</f>
        <v>0.66666666666666663</v>
      </c>
      <c r="E31" s="49">
        <f>AVERAGE('25.10.19 CYANIKA-KISORO-24h'!E31,'26.10 CYANIKA-KISORO'!E31,'27.10 CYANIKA-KISORO'!E31)</f>
        <v>1.3333333333333333</v>
      </c>
      <c r="F31" s="49">
        <f>AVERAGE('25.10.19 CYANIKA-KISORO-24h'!F31,'26.10 CYANIKA-KISORO'!F31,'27.10 CYANIKA-KISORO'!F31)</f>
        <v>0</v>
      </c>
      <c r="G31" s="49">
        <f>AVERAGE('25.10.19 CYANIKA-KISORO-24h'!G31,'26.10 CYANIKA-KISORO'!G31,'27.10 CYANIKA-KISORO'!G31)</f>
        <v>0</v>
      </c>
      <c r="H31" s="49">
        <f>AVERAGE('25.10.19 CYANIKA-KISORO-24h'!H31,'26.10 CYANIKA-KISORO'!H31,'27.10 CYANIKA-KISORO'!H31)</f>
        <v>0</v>
      </c>
      <c r="I31" s="49">
        <f>AVERAGE('25.10.19 CYANIKA-KISORO-24h'!I31,'26.10 CYANIKA-KISORO'!I31,'27.10 CYANIKA-KISORO'!I31)</f>
        <v>0</v>
      </c>
      <c r="J31" s="49">
        <f>AVERAGE('25.10.19 CYANIKA-KISORO-24h'!J31,'26.10 CYANIKA-KISORO'!J31,'27.10 CYANIKA-KISORO'!J31)</f>
        <v>0.33333333333333331</v>
      </c>
      <c r="K31" s="49">
        <f>AVERAGE('25.10.19 CYANIKA-KISORO-24h'!K31,'26.10 CYANIKA-KISORO'!K31,'27.10 CYANIKA-KISORO'!K31)</f>
        <v>0</v>
      </c>
      <c r="L31" s="49">
        <f>AVERAGE('25.10.19 CYANIKA-KISORO-24h'!L31,'26.10 CYANIKA-KISORO'!L31,'27.10 CYANIKA-KISORO'!L31)</f>
        <v>0</v>
      </c>
      <c r="M31" s="49">
        <f>AVERAGE('25.10.19 CYANIKA-KISORO-24h'!M31,'26.10 CYANIKA-KISORO'!M31,'27.10 CYANIKA-KISORO'!M31)</f>
        <v>32.666666666666664</v>
      </c>
      <c r="N31" s="49">
        <f>AVERAGE('25.10.19 CYANIKA-KISORO-24h'!N31,'26.10 CYANIKA-KISORO'!N31,'27.10 CYANIKA-KISORO'!N31)</f>
        <v>0</v>
      </c>
      <c r="O31" s="15">
        <f t="shared" si="0"/>
        <v>3</v>
      </c>
      <c r="P31" s="15">
        <f t="shared" si="1"/>
        <v>35.666666666666664</v>
      </c>
      <c r="R31" s="1" t="s">
        <v>155</v>
      </c>
      <c r="S31" s="34">
        <f>SUM(C94:C97)</f>
        <v>8</v>
      </c>
      <c r="T31" s="34">
        <f t="shared" ref="T31:AF31" si="23">SUM(D94:D97)</f>
        <v>3</v>
      </c>
      <c r="U31" s="34">
        <f t="shared" si="23"/>
        <v>4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7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25</v>
      </c>
      <c r="AF31" s="31">
        <f t="shared" si="23"/>
        <v>25</v>
      </c>
    </row>
    <row r="32" spans="2:32" ht="23.1" customHeight="1" x14ac:dyDescent="0.25">
      <c r="B32" s="24" t="s">
        <v>59</v>
      </c>
      <c r="C32" s="49">
        <f>AVERAGE('25.10.19 CYANIKA-KISORO-24h'!C32,'26.10 CYANIKA-KISORO'!C32,'27.10 CYANIKA-KISORO'!C32)</f>
        <v>1.6666666666666667</v>
      </c>
      <c r="D32" s="49">
        <f>AVERAGE('25.10.19 CYANIKA-KISORO-24h'!D32,'26.10 CYANIKA-KISORO'!D32,'27.10 CYANIKA-KISORO'!D32)</f>
        <v>0.66666666666666663</v>
      </c>
      <c r="E32" s="49">
        <f>AVERAGE('25.10.19 CYANIKA-KISORO-24h'!E32,'26.10 CYANIKA-KISORO'!E32,'27.10 CYANIKA-KISORO'!E32)</f>
        <v>0.66666666666666663</v>
      </c>
      <c r="F32" s="49">
        <f>AVERAGE('25.10.19 CYANIKA-KISORO-24h'!F32,'26.10 CYANIKA-KISORO'!F32,'27.10 CYANIKA-KISORO'!F32)</f>
        <v>0</v>
      </c>
      <c r="G32" s="49">
        <f>AVERAGE('25.10.19 CYANIKA-KISORO-24h'!G32,'26.10 CYANIKA-KISORO'!G32,'27.10 CYANIKA-KISORO'!G32)</f>
        <v>0</v>
      </c>
      <c r="H32" s="49">
        <f>AVERAGE('25.10.19 CYANIKA-KISORO-24h'!H32,'26.10 CYANIKA-KISORO'!H32,'27.10 CYANIKA-KISORO'!H32)</f>
        <v>0</v>
      </c>
      <c r="I32" s="49">
        <f>AVERAGE('25.10.19 CYANIKA-KISORO-24h'!I32,'26.10 CYANIKA-KISORO'!I32,'27.10 CYANIKA-KISORO'!I32)</f>
        <v>1</v>
      </c>
      <c r="J32" s="49">
        <f>AVERAGE('25.10.19 CYANIKA-KISORO-24h'!J32,'26.10 CYANIKA-KISORO'!J32,'27.10 CYANIKA-KISORO'!J32)</f>
        <v>0.33333333333333331</v>
      </c>
      <c r="K32" s="49">
        <f>AVERAGE('25.10.19 CYANIKA-KISORO-24h'!K32,'26.10 CYANIKA-KISORO'!K32,'27.10 CYANIKA-KISORO'!K32)</f>
        <v>0</v>
      </c>
      <c r="L32" s="49">
        <f>AVERAGE('25.10.19 CYANIKA-KISORO-24h'!L32,'26.10 CYANIKA-KISORO'!L32,'27.10 CYANIKA-KISORO'!L32)</f>
        <v>0</v>
      </c>
      <c r="M32" s="49">
        <f>AVERAGE('25.10.19 CYANIKA-KISORO-24h'!M32,'26.10 CYANIKA-KISORO'!M32,'27.10 CYANIKA-KISORO'!M32)</f>
        <v>24.333333333333332</v>
      </c>
      <c r="N32" s="49">
        <f>AVERAGE('25.10.19 CYANIKA-KISORO-24h'!N32,'26.10 CYANIKA-KISORO'!N32,'27.10 CYANIKA-KISORO'!N32)</f>
        <v>0</v>
      </c>
      <c r="O32" s="15">
        <f t="shared" si="0"/>
        <v>4.333333333333333</v>
      </c>
      <c r="P32" s="15">
        <f t="shared" si="1"/>
        <v>28.666666666666664</v>
      </c>
      <c r="R32" s="1" t="s">
        <v>156</v>
      </c>
      <c r="S32" s="34">
        <f>SUM(C98:C101)</f>
        <v>4</v>
      </c>
      <c r="T32" s="34">
        <f t="shared" ref="T32:AF32" si="24">SUM(D98:D101)</f>
        <v>1</v>
      </c>
      <c r="U32" s="34">
        <f t="shared" si="24"/>
        <v>3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6</v>
      </c>
      <c r="AA32" s="34">
        <f t="shared" si="24"/>
        <v>0</v>
      </c>
      <c r="AB32" s="34">
        <f t="shared" si="24"/>
        <v>0</v>
      </c>
      <c r="AC32" s="34">
        <f t="shared" si="24"/>
        <v>4</v>
      </c>
      <c r="AD32" s="34">
        <f t="shared" si="24"/>
        <v>0</v>
      </c>
      <c r="AE32" s="31">
        <f t="shared" si="24"/>
        <v>15</v>
      </c>
      <c r="AF32" s="31">
        <f t="shared" si="24"/>
        <v>19</v>
      </c>
    </row>
    <row r="33" spans="2:32" ht="23.1" customHeight="1" x14ac:dyDescent="0.25">
      <c r="B33" s="23" t="s">
        <v>60</v>
      </c>
      <c r="C33" s="49">
        <f>AVERAGE('25.10.19 CYANIKA-KISORO-24h'!C33,'26.10 CYANIKA-KISORO'!C33,'27.10 CYANIKA-KISORO'!C33)</f>
        <v>1.3333333333333333</v>
      </c>
      <c r="D33" s="49">
        <f>AVERAGE('25.10.19 CYANIKA-KISORO-24h'!D33,'26.10 CYANIKA-KISORO'!D33,'27.10 CYANIKA-KISORO'!D33)</f>
        <v>0.33333333333333331</v>
      </c>
      <c r="E33" s="49">
        <f>AVERAGE('25.10.19 CYANIKA-KISORO-24h'!E33,'26.10 CYANIKA-KISORO'!E33,'27.10 CYANIKA-KISORO'!E33)</f>
        <v>1</v>
      </c>
      <c r="F33" s="49">
        <f>AVERAGE('25.10.19 CYANIKA-KISORO-24h'!F33,'26.10 CYANIKA-KISORO'!F33,'27.10 CYANIKA-KISORO'!F33)</f>
        <v>0</v>
      </c>
      <c r="G33" s="49">
        <f>AVERAGE('25.10.19 CYANIKA-KISORO-24h'!G33,'26.10 CYANIKA-KISORO'!G33,'27.10 CYANIKA-KISORO'!G33)</f>
        <v>0</v>
      </c>
      <c r="H33" s="49">
        <f>AVERAGE('25.10.19 CYANIKA-KISORO-24h'!H33,'26.10 CYANIKA-KISORO'!H33,'27.10 CYANIKA-KISORO'!H33)</f>
        <v>0</v>
      </c>
      <c r="I33" s="49">
        <f>AVERAGE('25.10.19 CYANIKA-KISORO-24h'!I33,'26.10 CYANIKA-KISORO'!I33,'27.10 CYANIKA-KISORO'!I33)</f>
        <v>0</v>
      </c>
      <c r="J33" s="49">
        <f>AVERAGE('25.10.19 CYANIKA-KISORO-24h'!J33,'26.10 CYANIKA-KISORO'!J33,'27.10 CYANIKA-KISORO'!J33)</f>
        <v>0.33333333333333331</v>
      </c>
      <c r="K33" s="49">
        <f>AVERAGE('25.10.19 CYANIKA-KISORO-24h'!K33,'26.10 CYANIKA-KISORO'!K33,'27.10 CYANIKA-KISORO'!K33)</f>
        <v>0</v>
      </c>
      <c r="L33" s="49">
        <f>AVERAGE('25.10.19 CYANIKA-KISORO-24h'!L33,'26.10 CYANIKA-KISORO'!L33,'27.10 CYANIKA-KISORO'!L33)</f>
        <v>0</v>
      </c>
      <c r="M33" s="49">
        <f>AVERAGE('25.10.19 CYANIKA-KISORO-24h'!M33,'26.10 CYANIKA-KISORO'!M33,'27.10 CYANIKA-KISORO'!M33)</f>
        <v>31.333333333333332</v>
      </c>
      <c r="N33" s="49">
        <f>AVERAGE('25.10.19 CYANIKA-KISORO-24h'!N33,'26.10 CYANIKA-KISORO'!N33,'27.10 CYANIKA-KISORO'!N33)</f>
        <v>0</v>
      </c>
      <c r="O33" s="15">
        <f t="shared" si="0"/>
        <v>3</v>
      </c>
      <c r="P33" s="15">
        <f t="shared" si="1"/>
        <v>34.333333333333329</v>
      </c>
      <c r="R33" s="1" t="s">
        <v>157</v>
      </c>
      <c r="S33" s="34">
        <f>SUM(C102:C105)</f>
        <v>3</v>
      </c>
      <c r="T33" s="34">
        <f t="shared" ref="T33:AF33" si="25">SUM(D102:D105)</f>
        <v>2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15</v>
      </c>
      <c r="AD33" s="34">
        <f t="shared" si="25"/>
        <v>0</v>
      </c>
      <c r="AE33" s="31">
        <f t="shared" si="25"/>
        <v>6</v>
      </c>
      <c r="AF33" s="31">
        <f t="shared" si="25"/>
        <v>21</v>
      </c>
    </row>
    <row r="34" spans="2:32" ht="23.1" customHeight="1" x14ac:dyDescent="0.25">
      <c r="B34" s="24" t="s">
        <v>61</v>
      </c>
      <c r="C34" s="49">
        <f>AVERAGE('25.10.19 CYANIKA-KISORO-24h'!C34,'26.10 CYANIKA-KISORO'!C34,'27.10 CYANIKA-KISORO'!C34)</f>
        <v>2.3333333333333335</v>
      </c>
      <c r="D34" s="49">
        <f>AVERAGE('25.10.19 CYANIKA-KISORO-24h'!D34,'26.10 CYANIKA-KISORO'!D34,'27.10 CYANIKA-KISORO'!D34)</f>
        <v>0.66666666666666663</v>
      </c>
      <c r="E34" s="49">
        <f>AVERAGE('25.10.19 CYANIKA-KISORO-24h'!E34,'26.10 CYANIKA-KISORO'!E34,'27.10 CYANIKA-KISORO'!E34)</f>
        <v>1</v>
      </c>
      <c r="F34" s="49">
        <f>AVERAGE('25.10.19 CYANIKA-KISORO-24h'!F34,'26.10 CYANIKA-KISORO'!F34,'27.10 CYANIKA-KISORO'!F34)</f>
        <v>0</v>
      </c>
      <c r="G34" s="49">
        <f>AVERAGE('25.10.19 CYANIKA-KISORO-24h'!G34,'26.10 CYANIKA-KISORO'!G34,'27.10 CYANIKA-KISORO'!G34)</f>
        <v>0</v>
      </c>
      <c r="H34" s="49">
        <f>AVERAGE('25.10.19 CYANIKA-KISORO-24h'!H34,'26.10 CYANIKA-KISORO'!H34,'27.10 CYANIKA-KISORO'!H34)</f>
        <v>0</v>
      </c>
      <c r="I34" s="49">
        <f>AVERAGE('25.10.19 CYANIKA-KISORO-24h'!I34,'26.10 CYANIKA-KISORO'!I34,'27.10 CYANIKA-KISORO'!I34)</f>
        <v>0.33333333333333331</v>
      </c>
      <c r="J34" s="49">
        <f>AVERAGE('25.10.19 CYANIKA-KISORO-24h'!J34,'26.10 CYANIKA-KISORO'!J34,'27.10 CYANIKA-KISORO'!J34)</f>
        <v>0</v>
      </c>
      <c r="K34" s="49">
        <f>AVERAGE('25.10.19 CYANIKA-KISORO-24h'!K34,'26.10 CYANIKA-KISORO'!K34,'27.10 CYANIKA-KISORO'!K34)</f>
        <v>0</v>
      </c>
      <c r="L34" s="49">
        <f>AVERAGE('25.10.19 CYANIKA-KISORO-24h'!L34,'26.10 CYANIKA-KISORO'!L34,'27.10 CYANIKA-KISORO'!L34)</f>
        <v>0</v>
      </c>
      <c r="M34" s="49">
        <f>AVERAGE('25.10.19 CYANIKA-KISORO-24h'!M34,'26.10 CYANIKA-KISORO'!M34,'27.10 CYANIKA-KISORO'!M34)</f>
        <v>26</v>
      </c>
      <c r="N34" s="49">
        <f>AVERAGE('25.10.19 CYANIKA-KISORO-24h'!N34,'26.10 CYANIKA-KISORO'!N34,'27.10 CYANIKA-KISORO'!N34)</f>
        <v>0</v>
      </c>
      <c r="O34" s="15">
        <f t="shared" si="0"/>
        <v>4.333333333333333</v>
      </c>
      <c r="P34" s="15">
        <f t="shared" si="1"/>
        <v>30.333333333333332</v>
      </c>
      <c r="R34" s="51" t="s">
        <v>90</v>
      </c>
      <c r="S34" s="52">
        <f t="shared" ref="S34:AF34" si="26">MAX(S10:S12)</f>
        <v>8.6666666666666679</v>
      </c>
      <c r="T34" s="52">
        <f t="shared" si="26"/>
        <v>3.6666666666666665</v>
      </c>
      <c r="U34" s="52">
        <f t="shared" si="26"/>
        <v>3.6666666666666665</v>
      </c>
      <c r="V34" s="52">
        <f t="shared" si="26"/>
        <v>0.33333333333333331</v>
      </c>
      <c r="W34" s="52">
        <f t="shared" si="26"/>
        <v>0</v>
      </c>
      <c r="X34" s="52">
        <f t="shared" si="26"/>
        <v>0</v>
      </c>
      <c r="Y34" s="52">
        <f t="shared" si="26"/>
        <v>0.66666666666666663</v>
      </c>
      <c r="Z34" s="52">
        <f t="shared" si="26"/>
        <v>1.3333333333333333</v>
      </c>
      <c r="AA34" s="52">
        <f t="shared" si="26"/>
        <v>1.3333333333333333</v>
      </c>
      <c r="AB34" s="52">
        <f t="shared" si="26"/>
        <v>0</v>
      </c>
      <c r="AC34" s="52">
        <f t="shared" si="26"/>
        <v>86.666666666666657</v>
      </c>
      <c r="AD34" s="52">
        <f t="shared" si="26"/>
        <v>0</v>
      </c>
      <c r="AE34" s="40">
        <f t="shared" si="26"/>
        <v>18.000000000000004</v>
      </c>
      <c r="AF34" s="40">
        <f t="shared" si="26"/>
        <v>104.66666666666667</v>
      </c>
    </row>
    <row r="35" spans="2:32" ht="23.1" customHeight="1" x14ac:dyDescent="0.25">
      <c r="B35" s="24" t="s">
        <v>62</v>
      </c>
      <c r="C35" s="49">
        <f>AVERAGE('25.10.19 CYANIKA-KISORO-24h'!C35,'26.10 CYANIKA-KISORO'!C35,'27.10 CYANIKA-KISORO'!C35)</f>
        <v>1</v>
      </c>
      <c r="D35" s="49">
        <f>AVERAGE('25.10.19 CYANIKA-KISORO-24h'!D35,'26.10 CYANIKA-KISORO'!D35,'27.10 CYANIKA-KISORO'!D35)</f>
        <v>1.3333333333333333</v>
      </c>
      <c r="E35" s="49">
        <f>AVERAGE('25.10.19 CYANIKA-KISORO-24h'!E35,'26.10 CYANIKA-KISORO'!E35,'27.10 CYANIKA-KISORO'!E35)</f>
        <v>0.66666666666666663</v>
      </c>
      <c r="F35" s="49">
        <f>AVERAGE('25.10.19 CYANIKA-KISORO-24h'!F35,'26.10 CYANIKA-KISORO'!F35,'27.10 CYANIKA-KISORO'!F35)</f>
        <v>0.33333333333333331</v>
      </c>
      <c r="G35" s="49">
        <f>AVERAGE('25.10.19 CYANIKA-KISORO-24h'!G35,'26.10 CYANIKA-KISORO'!G35,'27.10 CYANIKA-KISORO'!G35)</f>
        <v>0</v>
      </c>
      <c r="H35" s="49">
        <f>AVERAGE('25.10.19 CYANIKA-KISORO-24h'!H35,'26.10 CYANIKA-KISORO'!H35,'27.10 CYANIKA-KISORO'!H35)</f>
        <v>0</v>
      </c>
      <c r="I35" s="49">
        <f>AVERAGE('25.10.19 CYANIKA-KISORO-24h'!I35,'26.10 CYANIKA-KISORO'!I35,'27.10 CYANIKA-KISORO'!I35)</f>
        <v>0</v>
      </c>
      <c r="J35" s="49">
        <f>AVERAGE('25.10.19 CYANIKA-KISORO-24h'!J35,'26.10 CYANIKA-KISORO'!J35,'27.10 CYANIKA-KISORO'!J35)</f>
        <v>0.33333333333333331</v>
      </c>
      <c r="K35" s="49">
        <f>AVERAGE('25.10.19 CYANIKA-KISORO-24h'!K35,'26.10 CYANIKA-KISORO'!K35,'27.10 CYANIKA-KISORO'!K35)</f>
        <v>0</v>
      </c>
      <c r="L35" s="49">
        <f>AVERAGE('25.10.19 CYANIKA-KISORO-24h'!L35,'26.10 CYANIKA-KISORO'!L35,'27.10 CYANIKA-KISORO'!L35)</f>
        <v>0</v>
      </c>
      <c r="M35" s="49">
        <f>AVERAGE('25.10.19 CYANIKA-KISORO-24h'!M35,'26.10 CYANIKA-KISORO'!M35,'27.10 CYANIKA-KISORO'!M35)</f>
        <v>31.333333333333332</v>
      </c>
      <c r="N35" s="49">
        <f>AVERAGE('25.10.19 CYANIKA-KISORO-24h'!N35,'26.10 CYANIKA-KISORO'!N35,'27.10 CYANIKA-KISORO'!N35)</f>
        <v>0</v>
      </c>
      <c r="O35" s="15">
        <f t="shared" si="0"/>
        <v>3.6666666666666665</v>
      </c>
      <c r="P35" s="15">
        <f t="shared" si="1"/>
        <v>35</v>
      </c>
      <c r="R35" s="51" t="s">
        <v>91</v>
      </c>
      <c r="S35" s="52">
        <f t="shared" ref="S35:AF35" si="27">MAX(S13:S18)</f>
        <v>10</v>
      </c>
      <c r="T35" s="52">
        <f t="shared" si="27"/>
        <v>4.666666666666667</v>
      </c>
      <c r="U35" s="52">
        <f t="shared" si="27"/>
        <v>4.3333333333333339</v>
      </c>
      <c r="V35" s="52">
        <f t="shared" si="27"/>
        <v>0.66666666666666663</v>
      </c>
      <c r="W35" s="52">
        <f t="shared" si="27"/>
        <v>0</v>
      </c>
      <c r="X35" s="52">
        <f t="shared" si="27"/>
        <v>0.33333333333333331</v>
      </c>
      <c r="Y35" s="52">
        <f t="shared" si="27"/>
        <v>1.3333333333333333</v>
      </c>
      <c r="Z35" s="52">
        <f t="shared" si="27"/>
        <v>2.333333333333333</v>
      </c>
      <c r="AA35" s="52">
        <f t="shared" si="27"/>
        <v>0</v>
      </c>
      <c r="AB35" s="52">
        <f t="shared" si="27"/>
        <v>0</v>
      </c>
      <c r="AC35" s="52">
        <f t="shared" si="27"/>
        <v>143.66666666666669</v>
      </c>
      <c r="AD35" s="52">
        <f t="shared" si="27"/>
        <v>0</v>
      </c>
      <c r="AE35" s="40">
        <f t="shared" si="27"/>
        <v>18.666666666666668</v>
      </c>
      <c r="AF35" s="40">
        <f t="shared" si="27"/>
        <v>159.33333333333334</v>
      </c>
    </row>
    <row r="36" spans="2:32" ht="23.1" customHeight="1" x14ac:dyDescent="0.25">
      <c r="B36" s="24" t="s">
        <v>63</v>
      </c>
      <c r="C36" s="49">
        <f>AVERAGE('25.10.19 CYANIKA-KISORO-24h'!C36,'26.10 CYANIKA-KISORO'!C36,'27.10 CYANIKA-KISORO'!C36)</f>
        <v>2.3333333333333335</v>
      </c>
      <c r="D36" s="49">
        <f>AVERAGE('25.10.19 CYANIKA-KISORO-24h'!D36,'26.10 CYANIKA-KISORO'!D36,'27.10 CYANIKA-KISORO'!D36)</f>
        <v>1</v>
      </c>
      <c r="E36" s="49">
        <f>AVERAGE('25.10.19 CYANIKA-KISORO-24h'!E36,'26.10 CYANIKA-KISORO'!E36,'27.10 CYANIKA-KISORO'!E36)</f>
        <v>2</v>
      </c>
      <c r="F36" s="49">
        <f>AVERAGE('25.10.19 CYANIKA-KISORO-24h'!F36,'26.10 CYANIKA-KISORO'!F36,'27.10 CYANIKA-KISORO'!F36)</f>
        <v>0</v>
      </c>
      <c r="G36" s="49">
        <f>AVERAGE('25.10.19 CYANIKA-KISORO-24h'!G36,'26.10 CYANIKA-KISORO'!G36,'27.10 CYANIKA-KISORO'!G36)</f>
        <v>0</v>
      </c>
      <c r="H36" s="49">
        <f>AVERAGE('25.10.19 CYANIKA-KISORO-24h'!H36,'26.10 CYANIKA-KISORO'!H36,'27.10 CYANIKA-KISORO'!H36)</f>
        <v>0</v>
      </c>
      <c r="I36" s="49">
        <f>AVERAGE('25.10.19 CYANIKA-KISORO-24h'!I36,'26.10 CYANIKA-KISORO'!I36,'27.10 CYANIKA-KISORO'!I36)</f>
        <v>0</v>
      </c>
      <c r="J36" s="49">
        <f>AVERAGE('25.10.19 CYANIKA-KISORO-24h'!J36,'26.10 CYANIKA-KISORO'!J36,'27.10 CYANIKA-KISORO'!J36)</f>
        <v>0.33333333333333331</v>
      </c>
      <c r="K36" s="49">
        <f>AVERAGE('25.10.19 CYANIKA-KISORO-24h'!K36,'26.10 CYANIKA-KISORO'!K36,'27.10 CYANIKA-KISORO'!K36)</f>
        <v>0</v>
      </c>
      <c r="L36" s="49">
        <f>AVERAGE('25.10.19 CYANIKA-KISORO-24h'!L36,'26.10 CYANIKA-KISORO'!L36,'27.10 CYANIKA-KISORO'!L36)</f>
        <v>0</v>
      </c>
      <c r="M36" s="49">
        <f>AVERAGE('25.10.19 CYANIKA-KISORO-24h'!M36,'26.10 CYANIKA-KISORO'!M36,'27.10 CYANIKA-KISORO'!M36)</f>
        <v>28.666666666666668</v>
      </c>
      <c r="N36" s="49">
        <f>AVERAGE('25.10.19 CYANIKA-KISORO-24h'!N36,'26.10 CYANIKA-KISORO'!N36,'27.10 CYANIKA-KISORO'!N36)</f>
        <v>0</v>
      </c>
      <c r="O36" s="15">
        <f t="shared" si="0"/>
        <v>5.666666666666667</v>
      </c>
      <c r="P36" s="15">
        <f t="shared" si="1"/>
        <v>34.333333333333336</v>
      </c>
      <c r="R36" s="51" t="s">
        <v>92</v>
      </c>
      <c r="S36" s="52">
        <f t="shared" ref="S36:AF36" si="28">MAX(S19:S21)</f>
        <v>9.3333333333333339</v>
      </c>
      <c r="T36" s="52">
        <f t="shared" si="28"/>
        <v>6.333333333333333</v>
      </c>
      <c r="U36" s="52">
        <f t="shared" si="28"/>
        <v>3.333333333333333</v>
      </c>
      <c r="V36" s="52">
        <f t="shared" si="28"/>
        <v>0.33333333333333331</v>
      </c>
      <c r="W36" s="52">
        <f t="shared" si="28"/>
        <v>0</v>
      </c>
      <c r="X36" s="52">
        <f t="shared" si="28"/>
        <v>0.33333333333333331</v>
      </c>
      <c r="Y36" s="52">
        <f t="shared" si="28"/>
        <v>1.3333333333333333</v>
      </c>
      <c r="Z36" s="52">
        <f t="shared" si="28"/>
        <v>5</v>
      </c>
      <c r="AA36" s="52">
        <f t="shared" si="28"/>
        <v>0</v>
      </c>
      <c r="AB36" s="52">
        <f t="shared" si="28"/>
        <v>0</v>
      </c>
      <c r="AC36" s="52">
        <f t="shared" si="28"/>
        <v>147.66666666666666</v>
      </c>
      <c r="AD36" s="52">
        <f t="shared" si="28"/>
        <v>0</v>
      </c>
      <c r="AE36" s="40">
        <f t="shared" si="28"/>
        <v>23.666666666666664</v>
      </c>
      <c r="AF36" s="40">
        <f t="shared" si="28"/>
        <v>167.66666666666666</v>
      </c>
    </row>
    <row r="37" spans="2:32" ht="23.1" customHeight="1" x14ac:dyDescent="0.25">
      <c r="B37" s="23" t="s">
        <v>64</v>
      </c>
      <c r="C37" s="49">
        <f>AVERAGE('25.10.19 CYANIKA-KISORO-24h'!C37,'26.10 CYANIKA-KISORO'!C37,'27.10 CYANIKA-KISORO'!C37)</f>
        <v>1.3333333333333333</v>
      </c>
      <c r="D37" s="49">
        <f>AVERAGE('25.10.19 CYANIKA-KISORO-24h'!D37,'26.10 CYANIKA-KISORO'!D37,'27.10 CYANIKA-KISORO'!D37)</f>
        <v>1</v>
      </c>
      <c r="E37" s="49">
        <f>AVERAGE('25.10.19 CYANIKA-KISORO-24h'!E37,'26.10 CYANIKA-KISORO'!E37,'27.10 CYANIKA-KISORO'!E37)</f>
        <v>0</v>
      </c>
      <c r="F37" s="49">
        <f>AVERAGE('25.10.19 CYANIKA-KISORO-24h'!F37,'26.10 CYANIKA-KISORO'!F37,'27.10 CYANIKA-KISORO'!F37)</f>
        <v>0</v>
      </c>
      <c r="G37" s="49">
        <f>AVERAGE('25.10.19 CYANIKA-KISORO-24h'!G37,'26.10 CYANIKA-KISORO'!G37,'27.10 CYANIKA-KISORO'!G37)</f>
        <v>0</v>
      </c>
      <c r="H37" s="49">
        <f>AVERAGE('25.10.19 CYANIKA-KISORO-24h'!H37,'26.10 CYANIKA-KISORO'!H37,'27.10 CYANIKA-KISORO'!H37)</f>
        <v>0</v>
      </c>
      <c r="I37" s="49">
        <f>AVERAGE('25.10.19 CYANIKA-KISORO-24h'!I37,'26.10 CYANIKA-KISORO'!I37,'27.10 CYANIKA-KISORO'!I37)</f>
        <v>0.33333333333333331</v>
      </c>
      <c r="J37" s="49">
        <f>AVERAGE('25.10.19 CYANIKA-KISORO-24h'!J37,'26.10 CYANIKA-KISORO'!J37,'27.10 CYANIKA-KISORO'!J37)</f>
        <v>1</v>
      </c>
      <c r="K37" s="49">
        <f>AVERAGE('25.10.19 CYANIKA-KISORO-24h'!K37,'26.10 CYANIKA-KISORO'!K37,'27.10 CYANIKA-KISORO'!K37)</f>
        <v>0</v>
      </c>
      <c r="L37" s="49">
        <f>AVERAGE('25.10.19 CYANIKA-KISORO-24h'!L37,'26.10 CYANIKA-KISORO'!L37,'27.10 CYANIKA-KISORO'!L37)</f>
        <v>0</v>
      </c>
      <c r="M37" s="49">
        <f>AVERAGE('25.10.19 CYANIKA-KISORO-24h'!M37,'26.10 CYANIKA-KISORO'!M37,'27.10 CYANIKA-KISORO'!M37)</f>
        <v>32.333333333333336</v>
      </c>
      <c r="N37" s="49">
        <f>AVERAGE('25.10.19 CYANIKA-KISORO-24h'!N37,'26.10 CYANIKA-KISORO'!N37,'27.10 CYANIKA-KISORO'!N37)</f>
        <v>0</v>
      </c>
      <c r="O37" s="15">
        <f t="shared" si="0"/>
        <v>3.6666666666666665</v>
      </c>
      <c r="P37" s="15">
        <f t="shared" si="1"/>
        <v>36</v>
      </c>
      <c r="R37" s="37" t="s">
        <v>85</v>
      </c>
      <c r="S37" s="53">
        <f t="shared" ref="S37:AF37" si="29">SUM(S10:S12)</f>
        <v>18</v>
      </c>
      <c r="T37" s="54">
        <f t="shared" si="29"/>
        <v>8.6666666666666661</v>
      </c>
      <c r="U37" s="54">
        <f t="shared" si="29"/>
        <v>7</v>
      </c>
      <c r="V37" s="54">
        <f t="shared" si="29"/>
        <v>0.66666666666666663</v>
      </c>
      <c r="W37" s="54">
        <f t="shared" si="29"/>
        <v>0</v>
      </c>
      <c r="X37" s="54">
        <f t="shared" si="29"/>
        <v>0</v>
      </c>
      <c r="Y37" s="54">
        <f t="shared" si="29"/>
        <v>2</v>
      </c>
      <c r="Z37" s="54">
        <f t="shared" si="29"/>
        <v>1.6666666666666665</v>
      </c>
      <c r="AA37" s="54">
        <f t="shared" si="29"/>
        <v>1.3333333333333333</v>
      </c>
      <c r="AB37" s="54">
        <f t="shared" si="29"/>
        <v>0</v>
      </c>
      <c r="AC37" s="54">
        <f t="shared" si="29"/>
        <v>173.33333333333331</v>
      </c>
      <c r="AD37" s="54">
        <f t="shared" si="29"/>
        <v>0</v>
      </c>
      <c r="AE37" s="55">
        <f t="shared" si="29"/>
        <v>39.333333333333329</v>
      </c>
      <c r="AF37" s="55">
        <f t="shared" si="29"/>
        <v>212.66666666666669</v>
      </c>
    </row>
    <row r="38" spans="2:32" ht="23.1" customHeight="1" x14ac:dyDescent="0.25">
      <c r="B38" s="24" t="s">
        <v>65</v>
      </c>
      <c r="C38" s="49">
        <f>AVERAGE('25.10.19 CYANIKA-KISORO-24h'!C38,'26.10 CYANIKA-KISORO'!C38,'27.10 CYANIKA-KISORO'!C38)</f>
        <v>1</v>
      </c>
      <c r="D38" s="49">
        <f>AVERAGE('25.10.19 CYANIKA-KISORO-24h'!D38,'26.10 CYANIKA-KISORO'!D38,'27.10 CYANIKA-KISORO'!D38)</f>
        <v>0.66666666666666663</v>
      </c>
      <c r="E38" s="49">
        <f>AVERAGE('25.10.19 CYANIKA-KISORO-24h'!E38,'26.10 CYANIKA-KISORO'!E38,'27.10 CYANIKA-KISORO'!E38)</f>
        <v>1.6666666666666667</v>
      </c>
      <c r="F38" s="49">
        <f>AVERAGE('25.10.19 CYANIKA-KISORO-24h'!F38,'26.10 CYANIKA-KISORO'!F38,'27.10 CYANIKA-KISORO'!F38)</f>
        <v>0</v>
      </c>
      <c r="G38" s="49">
        <f>AVERAGE('25.10.19 CYANIKA-KISORO-24h'!G38,'26.10 CYANIKA-KISORO'!G38,'27.10 CYANIKA-KISORO'!G38)</f>
        <v>0</v>
      </c>
      <c r="H38" s="49">
        <f>AVERAGE('25.10.19 CYANIKA-KISORO-24h'!H38,'26.10 CYANIKA-KISORO'!H38,'27.10 CYANIKA-KISORO'!H38)</f>
        <v>0.33333333333333331</v>
      </c>
      <c r="I38" s="49">
        <f>AVERAGE('25.10.19 CYANIKA-KISORO-24h'!I38,'26.10 CYANIKA-KISORO'!I38,'27.10 CYANIKA-KISORO'!I38)</f>
        <v>0.66666666666666663</v>
      </c>
      <c r="J38" s="49">
        <f>AVERAGE('25.10.19 CYANIKA-KISORO-24h'!J38,'26.10 CYANIKA-KISORO'!J38,'27.10 CYANIKA-KISORO'!J38)</f>
        <v>0.66666666666666663</v>
      </c>
      <c r="K38" s="49">
        <f>AVERAGE('25.10.19 CYANIKA-KISORO-24h'!K38,'26.10 CYANIKA-KISORO'!K38,'27.10 CYANIKA-KISORO'!K38)</f>
        <v>0</v>
      </c>
      <c r="L38" s="49">
        <f>AVERAGE('25.10.19 CYANIKA-KISORO-24h'!L38,'26.10 CYANIKA-KISORO'!L38,'27.10 CYANIKA-KISORO'!L38)</f>
        <v>0</v>
      </c>
      <c r="M38" s="49">
        <f>AVERAGE('25.10.19 CYANIKA-KISORO-24h'!M38,'26.10 CYANIKA-KISORO'!M38,'27.10 CYANIKA-KISORO'!M38)</f>
        <v>27.333333333333332</v>
      </c>
      <c r="N38" s="49">
        <f>AVERAGE('25.10.19 CYANIKA-KISORO-24h'!N38,'26.10 CYANIKA-KISORO'!N38,'27.10 CYANIKA-KISORO'!N38)</f>
        <v>0</v>
      </c>
      <c r="O38" s="15">
        <f t="shared" si="0"/>
        <v>5</v>
      </c>
      <c r="P38" s="15">
        <f t="shared" si="1"/>
        <v>32.333333333333329</v>
      </c>
      <c r="R38" s="28" t="s">
        <v>86</v>
      </c>
      <c r="S38" s="54">
        <f t="shared" ref="S38:AF38" si="30">SUM(S13:S18)</f>
        <v>42</v>
      </c>
      <c r="T38" s="54">
        <f t="shared" si="30"/>
        <v>23</v>
      </c>
      <c r="U38" s="54">
        <f t="shared" si="30"/>
        <v>18.333333333333332</v>
      </c>
      <c r="V38" s="54">
        <f t="shared" si="30"/>
        <v>1.9999999999999998</v>
      </c>
      <c r="W38" s="54">
        <f t="shared" si="30"/>
        <v>0</v>
      </c>
      <c r="X38" s="54">
        <f t="shared" si="30"/>
        <v>0.33333333333333331</v>
      </c>
      <c r="Y38" s="54">
        <f t="shared" si="30"/>
        <v>4.6666666666666661</v>
      </c>
      <c r="Z38" s="54">
        <f t="shared" si="30"/>
        <v>11</v>
      </c>
      <c r="AA38" s="54">
        <f t="shared" si="30"/>
        <v>0</v>
      </c>
      <c r="AB38" s="54">
        <f t="shared" si="30"/>
        <v>0</v>
      </c>
      <c r="AC38" s="54">
        <f t="shared" si="30"/>
        <v>750</v>
      </c>
      <c r="AD38" s="54">
        <f t="shared" si="30"/>
        <v>0</v>
      </c>
      <c r="AE38" s="55">
        <f t="shared" si="30"/>
        <v>101.33333333333334</v>
      </c>
      <c r="AF38" s="55">
        <f t="shared" si="30"/>
        <v>851.33333333333337</v>
      </c>
    </row>
    <row r="39" spans="2:32" ht="23.1" customHeight="1" x14ac:dyDescent="0.25">
      <c r="B39" s="24" t="s">
        <v>66</v>
      </c>
      <c r="C39" s="49">
        <f>AVERAGE('25.10.19 CYANIKA-KISORO-24h'!C39,'26.10 CYANIKA-KISORO'!C39,'27.10 CYANIKA-KISORO'!C39)</f>
        <v>1.3333333333333333</v>
      </c>
      <c r="D39" s="49">
        <f>AVERAGE('25.10.19 CYANIKA-KISORO-24h'!D39,'26.10 CYANIKA-KISORO'!D39,'27.10 CYANIKA-KISORO'!D39)</f>
        <v>1</v>
      </c>
      <c r="E39" s="49">
        <f>AVERAGE('25.10.19 CYANIKA-KISORO-24h'!E39,'26.10 CYANIKA-KISORO'!E39,'27.10 CYANIKA-KISORO'!E39)</f>
        <v>0</v>
      </c>
      <c r="F39" s="49">
        <f>AVERAGE('25.10.19 CYANIKA-KISORO-24h'!F39,'26.10 CYANIKA-KISORO'!F39,'27.10 CYANIKA-KISORO'!F39)</f>
        <v>0.33333333333333331</v>
      </c>
      <c r="G39" s="49">
        <f>AVERAGE('25.10.19 CYANIKA-KISORO-24h'!G39,'26.10 CYANIKA-KISORO'!G39,'27.10 CYANIKA-KISORO'!G39)</f>
        <v>0</v>
      </c>
      <c r="H39" s="49">
        <f>AVERAGE('25.10.19 CYANIKA-KISORO-24h'!H39,'26.10 CYANIKA-KISORO'!H39,'27.10 CYANIKA-KISORO'!H39)</f>
        <v>0</v>
      </c>
      <c r="I39" s="49">
        <f>AVERAGE('25.10.19 CYANIKA-KISORO-24h'!I39,'26.10 CYANIKA-KISORO'!I39,'27.10 CYANIKA-KISORO'!I39)</f>
        <v>0</v>
      </c>
      <c r="J39" s="49">
        <f>AVERAGE('25.10.19 CYANIKA-KISORO-24h'!J39,'26.10 CYANIKA-KISORO'!J39,'27.10 CYANIKA-KISORO'!J39)</f>
        <v>0.33333333333333331</v>
      </c>
      <c r="K39" s="49">
        <f>AVERAGE('25.10.19 CYANIKA-KISORO-24h'!K39,'26.10 CYANIKA-KISORO'!K39,'27.10 CYANIKA-KISORO'!K39)</f>
        <v>0</v>
      </c>
      <c r="L39" s="49">
        <f>AVERAGE('25.10.19 CYANIKA-KISORO-24h'!L39,'26.10 CYANIKA-KISORO'!L39,'27.10 CYANIKA-KISORO'!L39)</f>
        <v>0</v>
      </c>
      <c r="M39" s="49">
        <f>AVERAGE('25.10.19 CYANIKA-KISORO-24h'!M39,'26.10 CYANIKA-KISORO'!M39,'27.10 CYANIKA-KISORO'!M39)</f>
        <v>27</v>
      </c>
      <c r="N39" s="49">
        <f>AVERAGE('25.10.19 CYANIKA-KISORO-24h'!N39,'26.10 CYANIKA-KISORO'!N39,'27.10 CYANIKA-KISORO'!N39)</f>
        <v>0</v>
      </c>
      <c r="O39" s="15">
        <f t="shared" si="0"/>
        <v>3</v>
      </c>
      <c r="P39" s="15">
        <f t="shared" si="1"/>
        <v>30</v>
      </c>
      <c r="R39" s="29" t="s">
        <v>87</v>
      </c>
      <c r="S39" s="54">
        <f t="shared" ref="S39:AF39" si="31">SUM(S19:S21)</f>
        <v>28</v>
      </c>
      <c r="T39" s="54">
        <f t="shared" si="31"/>
        <v>12.666666666666666</v>
      </c>
      <c r="U39" s="54">
        <f t="shared" si="31"/>
        <v>9</v>
      </c>
      <c r="V39" s="54">
        <f t="shared" si="31"/>
        <v>0.33333333333333331</v>
      </c>
      <c r="W39" s="54">
        <f t="shared" si="31"/>
        <v>0</v>
      </c>
      <c r="X39" s="54">
        <f t="shared" si="31"/>
        <v>0.33333333333333331</v>
      </c>
      <c r="Y39" s="54">
        <f t="shared" si="31"/>
        <v>2</v>
      </c>
      <c r="Z39" s="54">
        <f t="shared" si="31"/>
        <v>12.666666666666666</v>
      </c>
      <c r="AA39" s="54">
        <f t="shared" si="31"/>
        <v>0</v>
      </c>
      <c r="AB39" s="54">
        <f t="shared" si="31"/>
        <v>0</v>
      </c>
      <c r="AC39" s="54">
        <f t="shared" si="31"/>
        <v>412.66666666666663</v>
      </c>
      <c r="AD39" s="54">
        <f t="shared" si="31"/>
        <v>0</v>
      </c>
      <c r="AE39" s="55">
        <f t="shared" si="31"/>
        <v>65</v>
      </c>
      <c r="AF39" s="55">
        <f t="shared" si="31"/>
        <v>477.66666666666669</v>
      </c>
    </row>
    <row r="40" spans="2:32" ht="23.1" customHeight="1" x14ac:dyDescent="0.25">
      <c r="B40" s="24" t="s">
        <v>67</v>
      </c>
      <c r="C40" s="49">
        <f>AVERAGE('25.10.19 CYANIKA-KISORO-24h'!C40,'26.10 CYANIKA-KISORO'!C40,'27.10 CYANIKA-KISORO'!C40)</f>
        <v>2.3333333333333335</v>
      </c>
      <c r="D40" s="49">
        <f>AVERAGE('25.10.19 CYANIKA-KISORO-24h'!D40,'26.10 CYANIKA-KISORO'!D40,'27.10 CYANIKA-KISORO'!D40)</f>
        <v>1</v>
      </c>
      <c r="E40" s="49">
        <f>AVERAGE('25.10.19 CYANIKA-KISORO-24h'!E40,'26.10 CYANIKA-KISORO'!E40,'27.10 CYANIKA-KISORO'!E40)</f>
        <v>0.66666666666666663</v>
      </c>
      <c r="F40" s="49">
        <f>AVERAGE('25.10.19 CYANIKA-KISORO-24h'!F40,'26.10 CYANIKA-KISORO'!F40,'27.10 CYANIKA-KISORO'!F40)</f>
        <v>0</v>
      </c>
      <c r="G40" s="49">
        <f>AVERAGE('25.10.19 CYANIKA-KISORO-24h'!G40,'26.10 CYANIKA-KISORO'!G40,'27.10 CYANIKA-KISORO'!G40)</f>
        <v>0</v>
      </c>
      <c r="H40" s="49">
        <f>AVERAGE('25.10.19 CYANIKA-KISORO-24h'!H40,'26.10 CYANIKA-KISORO'!H40,'27.10 CYANIKA-KISORO'!H40)</f>
        <v>0</v>
      </c>
      <c r="I40" s="49">
        <f>AVERAGE('25.10.19 CYANIKA-KISORO-24h'!I40,'26.10 CYANIKA-KISORO'!I40,'27.10 CYANIKA-KISORO'!I40)</f>
        <v>0</v>
      </c>
      <c r="J40" s="49">
        <f>AVERAGE('25.10.19 CYANIKA-KISORO-24h'!J40,'26.10 CYANIKA-KISORO'!J40,'27.10 CYANIKA-KISORO'!J40)</f>
        <v>0.66666666666666663</v>
      </c>
      <c r="K40" s="49">
        <f>AVERAGE('25.10.19 CYANIKA-KISORO-24h'!K40,'26.10 CYANIKA-KISORO'!K40,'27.10 CYANIKA-KISORO'!K40)</f>
        <v>0</v>
      </c>
      <c r="L40" s="49">
        <f>AVERAGE('25.10.19 CYANIKA-KISORO-24h'!L40,'26.10 CYANIKA-KISORO'!L40,'27.10 CYANIKA-KISORO'!L40)</f>
        <v>0</v>
      </c>
      <c r="M40" s="49">
        <f>AVERAGE('25.10.19 CYANIKA-KISORO-24h'!M40,'26.10 CYANIKA-KISORO'!M40,'27.10 CYANIKA-KISORO'!M40)</f>
        <v>35.333333333333336</v>
      </c>
      <c r="N40" s="49">
        <f>AVERAGE('25.10.19 CYANIKA-KISORO-24h'!N40,'26.10 CYANIKA-KISORO'!N40,'27.10 CYANIKA-KISORO'!N40)</f>
        <v>0</v>
      </c>
      <c r="O40" s="15">
        <f t="shared" si="0"/>
        <v>4.666666666666667</v>
      </c>
      <c r="P40" s="15">
        <f t="shared" si="1"/>
        <v>40</v>
      </c>
      <c r="R40" s="5" t="s">
        <v>17</v>
      </c>
      <c r="S40" s="54">
        <f t="shared" ref="S40:AF40" si="32">SUM(S10:S21)</f>
        <v>88</v>
      </c>
      <c r="T40" s="54">
        <f t="shared" si="32"/>
        <v>44.333333333333336</v>
      </c>
      <c r="U40" s="54">
        <f t="shared" si="32"/>
        <v>34.333333333333336</v>
      </c>
      <c r="V40" s="54">
        <f t="shared" si="32"/>
        <v>3</v>
      </c>
      <c r="W40" s="54">
        <f t="shared" si="32"/>
        <v>0</v>
      </c>
      <c r="X40" s="54">
        <f t="shared" si="32"/>
        <v>0.66666666666666663</v>
      </c>
      <c r="Y40" s="54">
        <f t="shared" si="32"/>
        <v>8.6666666666666661</v>
      </c>
      <c r="Z40" s="54">
        <f t="shared" si="32"/>
        <v>25.333333333333332</v>
      </c>
      <c r="AA40" s="54">
        <f t="shared" si="32"/>
        <v>1.3333333333333333</v>
      </c>
      <c r="AB40" s="54">
        <f t="shared" si="32"/>
        <v>0</v>
      </c>
      <c r="AC40" s="54">
        <f t="shared" si="32"/>
        <v>1336</v>
      </c>
      <c r="AD40" s="54">
        <f t="shared" si="32"/>
        <v>0</v>
      </c>
      <c r="AE40" s="55">
        <f t="shared" si="32"/>
        <v>205.66666666666669</v>
      </c>
      <c r="AF40" s="55">
        <f t="shared" si="32"/>
        <v>1541.6666666666667</v>
      </c>
    </row>
    <row r="41" spans="2:32" ht="23.1" customHeight="1" x14ac:dyDescent="0.25">
      <c r="B41" s="23" t="s">
        <v>68</v>
      </c>
      <c r="C41" s="49">
        <f>AVERAGE('25.10.19 CYANIKA-KISORO-24h'!C41,'26.10 CYANIKA-KISORO'!C41,'27.10 CYANIKA-KISORO'!C41)</f>
        <v>0.66666666666666663</v>
      </c>
      <c r="D41" s="49">
        <f>AVERAGE('25.10.19 CYANIKA-KISORO-24h'!D41,'26.10 CYANIKA-KISORO'!D41,'27.10 CYANIKA-KISORO'!D41)</f>
        <v>1</v>
      </c>
      <c r="E41" s="49">
        <f>AVERAGE('25.10.19 CYANIKA-KISORO-24h'!E41,'26.10 CYANIKA-KISORO'!E41,'27.10 CYANIKA-KISORO'!E41)</f>
        <v>0.33333333333333331</v>
      </c>
      <c r="F41" s="49">
        <f>AVERAGE('25.10.19 CYANIKA-KISORO-24h'!F41,'26.10 CYANIKA-KISORO'!F41,'27.10 CYANIKA-KISORO'!F41)</f>
        <v>0</v>
      </c>
      <c r="G41" s="49">
        <f>AVERAGE('25.10.19 CYANIKA-KISORO-24h'!G41,'26.10 CYANIKA-KISORO'!G41,'27.10 CYANIKA-KISORO'!G41)</f>
        <v>0</v>
      </c>
      <c r="H41" s="49">
        <f>AVERAGE('25.10.19 CYANIKA-KISORO-24h'!H41,'26.10 CYANIKA-KISORO'!H41,'27.10 CYANIKA-KISORO'!H41)</f>
        <v>0</v>
      </c>
      <c r="I41" s="49">
        <f>AVERAGE('25.10.19 CYANIKA-KISORO-24h'!I41,'26.10 CYANIKA-KISORO'!I41,'27.10 CYANIKA-KISORO'!I41)</f>
        <v>0.66666666666666663</v>
      </c>
      <c r="J41" s="49">
        <f>AVERAGE('25.10.19 CYANIKA-KISORO-24h'!J41,'26.10 CYANIKA-KISORO'!J41,'27.10 CYANIKA-KISORO'!J41)</f>
        <v>0.33333333333333331</v>
      </c>
      <c r="K41" s="49">
        <f>AVERAGE('25.10.19 CYANIKA-KISORO-24h'!K41,'26.10 CYANIKA-KISORO'!K41,'27.10 CYANIKA-KISORO'!K41)</f>
        <v>0</v>
      </c>
      <c r="L41" s="49">
        <f>AVERAGE('25.10.19 CYANIKA-KISORO-24h'!L41,'26.10 CYANIKA-KISORO'!L41,'27.10 CYANIKA-KISORO'!L41)</f>
        <v>0</v>
      </c>
      <c r="M41" s="49">
        <f>AVERAGE('25.10.19 CYANIKA-KISORO-24h'!M41,'26.10 CYANIKA-KISORO'!M41,'27.10 CYANIKA-KISORO'!M41)</f>
        <v>33</v>
      </c>
      <c r="N41" s="49">
        <f>AVERAGE('25.10.19 CYANIKA-KISORO-24h'!N41,'26.10 CYANIKA-KISORO'!N41,'27.10 CYANIKA-KISORO'!N41)</f>
        <v>0</v>
      </c>
      <c r="O41" s="15">
        <f t="shared" si="0"/>
        <v>3</v>
      </c>
      <c r="P41" s="15">
        <f t="shared" si="1"/>
        <v>36</v>
      </c>
      <c r="R41" s="5" t="s">
        <v>179</v>
      </c>
      <c r="S41" s="54">
        <f>SUM(S10:S33)</f>
        <v>167</v>
      </c>
      <c r="T41" s="54">
        <f t="shared" ref="T41:AD41" si="33">SUM(T10:T33)</f>
        <v>91.333333333333343</v>
      </c>
      <c r="U41" s="54">
        <f t="shared" si="33"/>
        <v>77.333333333333343</v>
      </c>
      <c r="V41" s="54">
        <f t="shared" si="33"/>
        <v>7</v>
      </c>
      <c r="W41" s="54">
        <f t="shared" si="33"/>
        <v>0</v>
      </c>
      <c r="X41" s="54">
        <f t="shared" si="33"/>
        <v>1.6666666666666665</v>
      </c>
      <c r="Y41" s="54">
        <f t="shared" si="33"/>
        <v>22.666666666666664</v>
      </c>
      <c r="Z41" s="54">
        <f t="shared" si="33"/>
        <v>60.333333333333329</v>
      </c>
      <c r="AA41" s="54">
        <f t="shared" si="33"/>
        <v>5.333333333333333</v>
      </c>
      <c r="AB41" s="54">
        <f t="shared" si="33"/>
        <v>0</v>
      </c>
      <c r="AC41" s="54">
        <f t="shared" si="33"/>
        <v>1637</v>
      </c>
      <c r="AD41" s="54">
        <f t="shared" si="33"/>
        <v>0</v>
      </c>
      <c r="AE41" s="55">
        <f>SUM(AE10:AE33)</f>
        <v>432.66666666666669</v>
      </c>
      <c r="AF41" s="55">
        <f>SUM(AF10:AF33)</f>
        <v>2069.666666666667</v>
      </c>
    </row>
    <row r="42" spans="2:32" ht="23.1" customHeight="1" x14ac:dyDescent="0.25">
      <c r="B42" s="24" t="s">
        <v>69</v>
      </c>
      <c r="C42" s="49">
        <f>AVERAGE('25.10.19 CYANIKA-KISORO-24h'!C42,'26.10 CYANIKA-KISORO'!C42,'27.10 CYANIKA-KISORO'!C42)</f>
        <v>2.3333333333333335</v>
      </c>
      <c r="D42" s="49">
        <f>AVERAGE('25.10.19 CYANIKA-KISORO-24h'!D42,'26.10 CYANIKA-KISORO'!D42,'27.10 CYANIKA-KISORO'!D42)</f>
        <v>0.66666666666666663</v>
      </c>
      <c r="E42" s="49">
        <f>AVERAGE('25.10.19 CYANIKA-KISORO-24h'!E42,'26.10 CYANIKA-KISORO'!E42,'27.10 CYANIKA-KISORO'!E42)</f>
        <v>0.66666666666666663</v>
      </c>
      <c r="F42" s="49">
        <f>AVERAGE('25.10.19 CYANIKA-KISORO-24h'!F42,'26.10 CYANIKA-KISORO'!F42,'27.10 CYANIKA-KISORO'!F42)</f>
        <v>0</v>
      </c>
      <c r="G42" s="49">
        <f>AVERAGE('25.10.19 CYANIKA-KISORO-24h'!G42,'26.10 CYANIKA-KISORO'!G42,'27.10 CYANIKA-KISORO'!G42)</f>
        <v>0</v>
      </c>
      <c r="H42" s="49">
        <f>AVERAGE('25.10.19 CYANIKA-KISORO-24h'!H42,'26.10 CYANIKA-KISORO'!H42,'27.10 CYANIKA-KISORO'!H42)</f>
        <v>0</v>
      </c>
      <c r="I42" s="49">
        <f>AVERAGE('25.10.19 CYANIKA-KISORO-24h'!I42,'26.10 CYANIKA-KISORO'!I42,'27.10 CYANIKA-KISORO'!I42)</f>
        <v>0</v>
      </c>
      <c r="J42" s="49">
        <f>AVERAGE('25.10.19 CYANIKA-KISORO-24h'!J42,'26.10 CYANIKA-KISORO'!J42,'27.10 CYANIKA-KISORO'!J42)</f>
        <v>0.33333333333333331</v>
      </c>
      <c r="K42" s="49">
        <f>AVERAGE('25.10.19 CYANIKA-KISORO-24h'!K42,'26.10 CYANIKA-KISORO'!K42,'27.10 CYANIKA-KISORO'!K42)</f>
        <v>0</v>
      </c>
      <c r="L42" s="49">
        <f>AVERAGE('25.10.19 CYANIKA-KISORO-24h'!L42,'26.10 CYANIKA-KISORO'!L42,'27.10 CYANIKA-KISORO'!L42)</f>
        <v>0</v>
      </c>
      <c r="M42" s="49">
        <f>AVERAGE('25.10.19 CYANIKA-KISORO-24h'!M42,'26.10 CYANIKA-KISORO'!M42,'27.10 CYANIKA-KISORO'!M42)</f>
        <v>40.333333333333336</v>
      </c>
      <c r="N42" s="49">
        <f>AVERAGE('25.10.19 CYANIKA-KISORO-24h'!N42,'26.10 CYANIKA-KISORO'!N42,'27.10 CYANIKA-KISORO'!N42)</f>
        <v>0</v>
      </c>
      <c r="O42" s="15">
        <f t="shared" si="0"/>
        <v>4</v>
      </c>
      <c r="P42" s="15">
        <f t="shared" si="1"/>
        <v>44.333333333333336</v>
      </c>
      <c r="R42" s="5" t="s">
        <v>160</v>
      </c>
      <c r="S42" s="48">
        <f>S41/S40</f>
        <v>1.8977272727272727</v>
      </c>
      <c r="T42" s="48">
        <f t="shared" ref="T42:AF42" si="34">T41/T40</f>
        <v>2.0601503759398496</v>
      </c>
      <c r="U42" s="48">
        <f t="shared" si="34"/>
        <v>2.2524271844660197</v>
      </c>
      <c r="V42" s="48">
        <f t="shared" si="34"/>
        <v>2.3333333333333335</v>
      </c>
      <c r="W42" s="48" t="e">
        <f t="shared" si="34"/>
        <v>#DIV/0!</v>
      </c>
      <c r="X42" s="48">
        <f t="shared" si="34"/>
        <v>2.5</v>
      </c>
      <c r="Y42" s="48">
        <f t="shared" si="34"/>
        <v>2.6153846153846154</v>
      </c>
      <c r="Z42" s="48">
        <f t="shared" si="34"/>
        <v>2.3815789473684208</v>
      </c>
      <c r="AA42" s="48">
        <f t="shared" si="34"/>
        <v>4</v>
      </c>
      <c r="AB42" s="48">
        <v>0</v>
      </c>
      <c r="AC42" s="48">
        <f t="shared" si="34"/>
        <v>1.2252994011976048</v>
      </c>
      <c r="AD42" s="48">
        <v>0</v>
      </c>
      <c r="AE42" s="56">
        <f t="shared" si="34"/>
        <v>2.1037277147487843</v>
      </c>
      <c r="AF42" s="56">
        <f t="shared" si="34"/>
        <v>1.3424864864864867</v>
      </c>
    </row>
    <row r="43" spans="2:32" ht="23.1" customHeight="1" x14ac:dyDescent="0.25">
      <c r="B43" s="23" t="s">
        <v>70</v>
      </c>
      <c r="C43" s="49">
        <f>AVERAGE('25.10.19 CYANIKA-KISORO-24h'!C43,'26.10 CYANIKA-KISORO'!C43,'27.10 CYANIKA-KISORO'!C43)</f>
        <v>0.66666666666666663</v>
      </c>
      <c r="D43" s="49">
        <f>AVERAGE('25.10.19 CYANIKA-KISORO-24h'!D43,'26.10 CYANIKA-KISORO'!D43,'27.10 CYANIKA-KISORO'!D43)</f>
        <v>1.6666666666666667</v>
      </c>
      <c r="E43" s="49">
        <f>AVERAGE('25.10.19 CYANIKA-KISORO-24h'!E43,'26.10 CYANIKA-KISORO'!E43,'27.10 CYANIKA-KISORO'!E43)</f>
        <v>0.66666666666666663</v>
      </c>
      <c r="F43" s="49">
        <f>AVERAGE('25.10.19 CYANIKA-KISORO-24h'!F43,'26.10 CYANIKA-KISORO'!F43,'27.10 CYANIKA-KISORO'!F43)</f>
        <v>0</v>
      </c>
      <c r="G43" s="49">
        <f>AVERAGE('25.10.19 CYANIKA-KISORO-24h'!G43,'26.10 CYANIKA-KISORO'!G43,'27.10 CYANIKA-KISORO'!G43)</f>
        <v>0</v>
      </c>
      <c r="H43" s="49">
        <f>AVERAGE('25.10.19 CYANIKA-KISORO-24h'!H43,'26.10 CYANIKA-KISORO'!H43,'27.10 CYANIKA-KISORO'!H43)</f>
        <v>0</v>
      </c>
      <c r="I43" s="49">
        <f>AVERAGE('25.10.19 CYANIKA-KISORO-24h'!I43,'26.10 CYANIKA-KISORO'!I43,'27.10 CYANIKA-KISORO'!I43)</f>
        <v>0</v>
      </c>
      <c r="J43" s="49">
        <f>AVERAGE('25.10.19 CYANIKA-KISORO-24h'!J43,'26.10 CYANIKA-KISORO'!J43,'27.10 CYANIKA-KISORO'!J43)</f>
        <v>0.66666666666666663</v>
      </c>
      <c r="K43" s="49">
        <f>AVERAGE('25.10.19 CYANIKA-KISORO-24h'!K43,'26.10 CYANIKA-KISORO'!K43,'27.10 CYANIKA-KISORO'!K43)</f>
        <v>0</v>
      </c>
      <c r="L43" s="49">
        <f>AVERAGE('25.10.19 CYANIKA-KISORO-24h'!L43,'26.10 CYANIKA-KISORO'!L43,'27.10 CYANIKA-KISORO'!L43)</f>
        <v>0</v>
      </c>
      <c r="M43" s="49">
        <f>AVERAGE('25.10.19 CYANIKA-KISORO-24h'!M43,'26.10 CYANIKA-KISORO'!M43,'27.10 CYANIKA-KISORO'!M43)</f>
        <v>36.666666666666664</v>
      </c>
      <c r="N43" s="49">
        <f>AVERAGE('25.10.19 CYANIKA-KISORO-24h'!N43,'26.10 CYANIKA-KISORO'!N43,'27.10 CYANIKA-KISORO'!N43)</f>
        <v>0</v>
      </c>
      <c r="O43" s="15">
        <f t="shared" si="0"/>
        <v>3.6666666666666665</v>
      </c>
      <c r="P43" s="15">
        <f t="shared" si="1"/>
        <v>40.333333333333329</v>
      </c>
    </row>
    <row r="44" spans="2:32" ht="23.1" customHeight="1" x14ac:dyDescent="0.25">
      <c r="B44" s="25" t="s">
        <v>71</v>
      </c>
      <c r="C44" s="49">
        <f>AVERAGE('25.10.19 CYANIKA-KISORO-24h'!C44,'26.10 CYANIKA-KISORO'!C44,'27.10 CYANIKA-KISORO'!C44)</f>
        <v>3.6666666666666665</v>
      </c>
      <c r="D44" s="49">
        <f>AVERAGE('25.10.19 CYANIKA-KISORO-24h'!D44,'26.10 CYANIKA-KISORO'!D44,'27.10 CYANIKA-KISORO'!D44)</f>
        <v>1</v>
      </c>
      <c r="E44" s="49">
        <f>AVERAGE('25.10.19 CYANIKA-KISORO-24h'!E44,'26.10 CYANIKA-KISORO'!E44,'27.10 CYANIKA-KISORO'!E44)</f>
        <v>0</v>
      </c>
      <c r="F44" s="49">
        <f>AVERAGE('25.10.19 CYANIKA-KISORO-24h'!F44,'26.10 CYANIKA-KISORO'!F44,'27.10 CYANIKA-KISORO'!F44)</f>
        <v>0</v>
      </c>
      <c r="G44" s="49">
        <f>AVERAGE('25.10.19 CYANIKA-KISORO-24h'!G44,'26.10 CYANIKA-KISORO'!G44,'27.10 CYANIKA-KISORO'!G44)</f>
        <v>0</v>
      </c>
      <c r="H44" s="49">
        <f>AVERAGE('25.10.19 CYANIKA-KISORO-24h'!H44,'26.10 CYANIKA-KISORO'!H44,'27.10 CYANIKA-KISORO'!H44)</f>
        <v>0</v>
      </c>
      <c r="I44" s="49">
        <f>AVERAGE('25.10.19 CYANIKA-KISORO-24h'!I44,'26.10 CYANIKA-KISORO'!I44,'27.10 CYANIKA-KISORO'!I44)</f>
        <v>0</v>
      </c>
      <c r="J44" s="49">
        <f>AVERAGE('25.10.19 CYANIKA-KISORO-24h'!J44,'26.10 CYANIKA-KISORO'!J44,'27.10 CYANIKA-KISORO'!J44)</f>
        <v>0.33333333333333331</v>
      </c>
      <c r="K44" s="49">
        <f>AVERAGE('25.10.19 CYANIKA-KISORO-24h'!K44,'26.10 CYANIKA-KISORO'!K44,'27.10 CYANIKA-KISORO'!K44)</f>
        <v>0</v>
      </c>
      <c r="L44" s="49">
        <f>AVERAGE('25.10.19 CYANIKA-KISORO-24h'!L44,'26.10 CYANIKA-KISORO'!L44,'27.10 CYANIKA-KISORO'!L44)</f>
        <v>0</v>
      </c>
      <c r="M44" s="49">
        <f>AVERAGE('25.10.19 CYANIKA-KISORO-24h'!M44,'26.10 CYANIKA-KISORO'!M44,'27.10 CYANIKA-KISORO'!M44)</f>
        <v>32.333333333333336</v>
      </c>
      <c r="N44" s="49">
        <f>AVERAGE('25.10.19 CYANIKA-KISORO-24h'!N44,'26.10 CYANIKA-KISORO'!N44,'27.10 CYANIKA-KISORO'!N44)</f>
        <v>0</v>
      </c>
      <c r="O44" s="15">
        <f t="shared" si="0"/>
        <v>4.9999999999999991</v>
      </c>
      <c r="P44" s="15">
        <f t="shared" si="1"/>
        <v>37.333333333333336</v>
      </c>
    </row>
    <row r="45" spans="2:32" ht="23.1" customHeight="1" x14ac:dyDescent="0.25">
      <c r="B45" s="23" t="s">
        <v>72</v>
      </c>
      <c r="C45" s="49">
        <f>AVERAGE('25.10.19 CYANIKA-KISORO-24h'!C45,'26.10 CYANIKA-KISORO'!C45,'27.10 CYANIKA-KISORO'!C45)</f>
        <v>0.33333333333333331</v>
      </c>
      <c r="D45" s="49">
        <f>AVERAGE('25.10.19 CYANIKA-KISORO-24h'!D45,'26.10 CYANIKA-KISORO'!D45,'27.10 CYANIKA-KISORO'!D45)</f>
        <v>0.66666666666666663</v>
      </c>
      <c r="E45" s="49">
        <f>AVERAGE('25.10.19 CYANIKA-KISORO-24h'!E45,'26.10 CYANIKA-KISORO'!E45,'27.10 CYANIKA-KISORO'!E45)</f>
        <v>1</v>
      </c>
      <c r="F45" s="49">
        <f>AVERAGE('25.10.19 CYANIKA-KISORO-24h'!F45,'26.10 CYANIKA-KISORO'!F45,'27.10 CYANIKA-KISORO'!F45)</f>
        <v>0</v>
      </c>
      <c r="G45" s="49">
        <f>AVERAGE('25.10.19 CYANIKA-KISORO-24h'!G45,'26.10 CYANIKA-KISORO'!G45,'27.10 CYANIKA-KISORO'!G45)</f>
        <v>0</v>
      </c>
      <c r="H45" s="49">
        <f>AVERAGE('25.10.19 CYANIKA-KISORO-24h'!H45,'26.10 CYANIKA-KISORO'!H45,'27.10 CYANIKA-KISORO'!H45)</f>
        <v>0</v>
      </c>
      <c r="I45" s="49">
        <f>AVERAGE('25.10.19 CYANIKA-KISORO-24h'!I45,'26.10 CYANIKA-KISORO'!I45,'27.10 CYANIKA-KISORO'!I45)</f>
        <v>0</v>
      </c>
      <c r="J45" s="49">
        <f>AVERAGE('25.10.19 CYANIKA-KISORO-24h'!J45,'26.10 CYANIKA-KISORO'!J45,'27.10 CYANIKA-KISORO'!J45)</f>
        <v>1</v>
      </c>
      <c r="K45" s="49">
        <f>AVERAGE('25.10.19 CYANIKA-KISORO-24h'!K45,'26.10 CYANIKA-KISORO'!K45,'27.10 CYANIKA-KISORO'!K45)</f>
        <v>0</v>
      </c>
      <c r="L45" s="49">
        <f>AVERAGE('25.10.19 CYANIKA-KISORO-24h'!L45,'26.10 CYANIKA-KISORO'!L45,'27.10 CYANIKA-KISORO'!L45)</f>
        <v>0</v>
      </c>
      <c r="M45" s="49">
        <f>AVERAGE('25.10.19 CYANIKA-KISORO-24h'!M45,'26.10 CYANIKA-KISORO'!M45,'27.10 CYANIKA-KISORO'!M45)</f>
        <v>34.333333333333336</v>
      </c>
      <c r="N45" s="49">
        <f>AVERAGE('25.10.19 CYANIKA-KISORO-24h'!N45,'26.10 CYANIKA-KISORO'!N45,'27.10 CYANIKA-KISORO'!N45)</f>
        <v>0</v>
      </c>
      <c r="O45" s="15">
        <f t="shared" si="0"/>
        <v>3</v>
      </c>
      <c r="P45" s="15">
        <f t="shared" si="1"/>
        <v>37.333333333333336</v>
      </c>
    </row>
    <row r="46" spans="2:32" ht="23.1" customHeight="1" x14ac:dyDescent="0.25">
      <c r="B46" s="24" t="s">
        <v>73</v>
      </c>
      <c r="C46" s="49">
        <f>AVERAGE('25.10.19 CYANIKA-KISORO-24h'!C46,'26.10 CYANIKA-KISORO'!C46,'27.10 CYANIKA-KISORO'!C46)</f>
        <v>2.6666666666666665</v>
      </c>
      <c r="D46" s="49">
        <f>AVERAGE('25.10.19 CYANIKA-KISORO-24h'!D46,'26.10 CYANIKA-KISORO'!D46,'27.10 CYANIKA-KISORO'!D46)</f>
        <v>0.33333333333333331</v>
      </c>
      <c r="E46" s="49">
        <f>AVERAGE('25.10.19 CYANIKA-KISORO-24h'!E46,'26.10 CYANIKA-KISORO'!E46,'27.10 CYANIKA-KISORO'!E46)</f>
        <v>0.33333333333333331</v>
      </c>
      <c r="F46" s="49">
        <f>AVERAGE('25.10.19 CYANIKA-KISORO-24h'!F46,'26.10 CYANIKA-KISORO'!F46,'27.10 CYANIKA-KISORO'!F46)</f>
        <v>0</v>
      </c>
      <c r="G46" s="49">
        <f>AVERAGE('25.10.19 CYANIKA-KISORO-24h'!G46,'26.10 CYANIKA-KISORO'!G46,'27.10 CYANIKA-KISORO'!G46)</f>
        <v>0</v>
      </c>
      <c r="H46" s="49">
        <f>AVERAGE('25.10.19 CYANIKA-KISORO-24h'!H46,'26.10 CYANIKA-KISORO'!H46,'27.10 CYANIKA-KISORO'!H46)</f>
        <v>0</v>
      </c>
      <c r="I46" s="49">
        <f>AVERAGE('25.10.19 CYANIKA-KISORO-24h'!I46,'26.10 CYANIKA-KISORO'!I46,'27.10 CYANIKA-KISORO'!I46)</f>
        <v>0</v>
      </c>
      <c r="J46" s="49">
        <f>AVERAGE('25.10.19 CYANIKA-KISORO-24h'!J46,'26.10 CYANIKA-KISORO'!J46,'27.10 CYANIKA-KISORO'!J46)</f>
        <v>1.3333333333333333</v>
      </c>
      <c r="K46" s="49">
        <f>AVERAGE('25.10.19 CYANIKA-KISORO-24h'!K46,'26.10 CYANIKA-KISORO'!K46,'27.10 CYANIKA-KISORO'!K46)</f>
        <v>0</v>
      </c>
      <c r="L46" s="49">
        <f>AVERAGE('25.10.19 CYANIKA-KISORO-24h'!L46,'26.10 CYANIKA-KISORO'!L46,'27.10 CYANIKA-KISORO'!L46)</f>
        <v>0</v>
      </c>
      <c r="M46" s="49">
        <f>AVERAGE('25.10.19 CYANIKA-KISORO-24h'!M46,'26.10 CYANIKA-KISORO'!M46,'27.10 CYANIKA-KISORO'!M46)</f>
        <v>33.666666666666664</v>
      </c>
      <c r="N46" s="49">
        <f>AVERAGE('25.10.19 CYANIKA-KISORO-24h'!N46,'26.10 CYANIKA-KISORO'!N46,'27.10 CYANIKA-KISORO'!N46)</f>
        <v>0</v>
      </c>
      <c r="O46" s="15">
        <f t="shared" si="0"/>
        <v>4.666666666666667</v>
      </c>
      <c r="P46" s="15">
        <f t="shared" si="1"/>
        <v>38.333333333333329</v>
      </c>
      <c r="R46" s="8"/>
      <c r="T46"/>
    </row>
    <row r="47" spans="2:32" ht="23.1" customHeight="1" x14ac:dyDescent="0.25">
      <c r="B47" s="24" t="s">
        <v>74</v>
      </c>
      <c r="C47" s="49">
        <f>AVERAGE('25.10.19 CYANIKA-KISORO-24h'!C47,'26.10 CYANIKA-KISORO'!C47,'27.10 CYANIKA-KISORO'!C47)</f>
        <v>1.6666666666666667</v>
      </c>
      <c r="D47" s="49">
        <f>AVERAGE('25.10.19 CYANIKA-KISORO-24h'!D47,'26.10 CYANIKA-KISORO'!D47,'27.10 CYANIKA-KISORO'!D47)</f>
        <v>1.6666666666666667</v>
      </c>
      <c r="E47" s="49">
        <f>AVERAGE('25.10.19 CYANIKA-KISORO-24h'!E47,'26.10 CYANIKA-KISORO'!E47,'27.10 CYANIKA-KISORO'!E47)</f>
        <v>1</v>
      </c>
      <c r="F47" s="49">
        <f>AVERAGE('25.10.19 CYANIKA-KISORO-24h'!F47,'26.10 CYANIKA-KISORO'!F47,'27.10 CYANIKA-KISORO'!F47)</f>
        <v>0</v>
      </c>
      <c r="G47" s="49">
        <f>AVERAGE('25.10.19 CYANIKA-KISORO-24h'!G47,'26.10 CYANIKA-KISORO'!G47,'27.10 CYANIKA-KISORO'!G47)</f>
        <v>0</v>
      </c>
      <c r="H47" s="49">
        <f>AVERAGE('25.10.19 CYANIKA-KISORO-24h'!H47,'26.10 CYANIKA-KISORO'!H47,'27.10 CYANIKA-KISORO'!H47)</f>
        <v>0.33333333333333331</v>
      </c>
      <c r="I47" s="49">
        <f>AVERAGE('25.10.19 CYANIKA-KISORO-24h'!I47,'26.10 CYANIKA-KISORO'!I47,'27.10 CYANIKA-KISORO'!I47)</f>
        <v>0</v>
      </c>
      <c r="J47" s="49">
        <f>AVERAGE('25.10.19 CYANIKA-KISORO-24h'!J47,'26.10 CYANIKA-KISORO'!J47,'27.10 CYANIKA-KISORO'!J47)</f>
        <v>0.33333333333333331</v>
      </c>
      <c r="K47" s="49">
        <f>AVERAGE('25.10.19 CYANIKA-KISORO-24h'!K47,'26.10 CYANIKA-KISORO'!K47,'27.10 CYANIKA-KISORO'!K47)</f>
        <v>0</v>
      </c>
      <c r="L47" s="49">
        <f>AVERAGE('25.10.19 CYANIKA-KISORO-24h'!L47,'26.10 CYANIKA-KISORO'!L47,'27.10 CYANIKA-KISORO'!L47)</f>
        <v>0</v>
      </c>
      <c r="M47" s="49">
        <f>AVERAGE('25.10.19 CYANIKA-KISORO-24h'!M47,'26.10 CYANIKA-KISORO'!M47,'27.10 CYANIKA-KISORO'!M47)</f>
        <v>40.666666666666664</v>
      </c>
      <c r="N47" s="49">
        <f>AVERAGE('25.10.19 CYANIKA-KISORO-24h'!N47,'26.10 CYANIKA-KISORO'!N47,'27.10 CYANIKA-KISORO'!N47)</f>
        <v>0</v>
      </c>
      <c r="O47" s="15">
        <f t="shared" si="0"/>
        <v>5</v>
      </c>
      <c r="P47" s="15">
        <f t="shared" si="1"/>
        <v>45.666666666666664</v>
      </c>
      <c r="R47" s="8"/>
      <c r="T47"/>
    </row>
    <row r="48" spans="2:32" ht="23.1" customHeight="1" x14ac:dyDescent="0.25">
      <c r="B48" s="24" t="s">
        <v>75</v>
      </c>
      <c r="C48" s="49">
        <f>AVERAGE('25.10.19 CYANIKA-KISORO-24h'!C48,'26.10 CYANIKA-KISORO'!C48,'27.10 CYANIKA-KISORO'!C48)</f>
        <v>2.6666666666666665</v>
      </c>
      <c r="D48" s="49">
        <f>AVERAGE('25.10.19 CYANIKA-KISORO-24h'!D48,'26.10 CYANIKA-KISORO'!D48,'27.10 CYANIKA-KISORO'!D48)</f>
        <v>0.66666666666666663</v>
      </c>
      <c r="E48" s="49">
        <f>AVERAGE('25.10.19 CYANIKA-KISORO-24h'!E48,'26.10 CYANIKA-KISORO'!E48,'27.10 CYANIKA-KISORO'!E48)</f>
        <v>0.33333333333333331</v>
      </c>
      <c r="F48" s="49">
        <f>AVERAGE('25.10.19 CYANIKA-KISORO-24h'!F48,'26.10 CYANIKA-KISORO'!F48,'27.10 CYANIKA-KISORO'!F48)</f>
        <v>0</v>
      </c>
      <c r="G48" s="49">
        <f>AVERAGE('25.10.19 CYANIKA-KISORO-24h'!G48,'26.10 CYANIKA-KISORO'!G48,'27.10 CYANIKA-KISORO'!G48)</f>
        <v>0</v>
      </c>
      <c r="H48" s="49">
        <f>AVERAGE('25.10.19 CYANIKA-KISORO-24h'!H48,'26.10 CYANIKA-KISORO'!H48,'27.10 CYANIKA-KISORO'!H48)</f>
        <v>0</v>
      </c>
      <c r="I48" s="49">
        <f>AVERAGE('25.10.19 CYANIKA-KISORO-24h'!I48,'26.10 CYANIKA-KISORO'!I48,'27.10 CYANIKA-KISORO'!I48)</f>
        <v>0</v>
      </c>
      <c r="J48" s="49">
        <f>AVERAGE('25.10.19 CYANIKA-KISORO-24h'!J48,'26.10 CYANIKA-KISORO'!J48,'27.10 CYANIKA-KISORO'!J48)</f>
        <v>1</v>
      </c>
      <c r="K48" s="49">
        <f>AVERAGE('25.10.19 CYANIKA-KISORO-24h'!K48,'26.10 CYANIKA-KISORO'!K48,'27.10 CYANIKA-KISORO'!K48)</f>
        <v>0</v>
      </c>
      <c r="L48" s="49">
        <f>AVERAGE('25.10.19 CYANIKA-KISORO-24h'!L48,'26.10 CYANIKA-KISORO'!L48,'27.10 CYANIKA-KISORO'!L48)</f>
        <v>0</v>
      </c>
      <c r="M48" s="49">
        <f>AVERAGE('25.10.19 CYANIKA-KISORO-24h'!M48,'26.10 CYANIKA-KISORO'!M48,'27.10 CYANIKA-KISORO'!M48)</f>
        <v>36</v>
      </c>
      <c r="N48" s="49">
        <f>AVERAGE('25.10.19 CYANIKA-KISORO-24h'!N48,'26.10 CYANIKA-KISORO'!N48,'27.10 CYANIKA-KISORO'!N48)</f>
        <v>0</v>
      </c>
      <c r="O48" s="15">
        <f t="shared" si="0"/>
        <v>4.6666666666666661</v>
      </c>
      <c r="P48" s="15">
        <f t="shared" si="1"/>
        <v>40.666666666666664</v>
      </c>
      <c r="R48" s="8"/>
      <c r="T48"/>
    </row>
    <row r="49" spans="2:20" ht="23.1" customHeight="1" x14ac:dyDescent="0.25">
      <c r="B49" s="23" t="s">
        <v>76</v>
      </c>
      <c r="C49" s="49">
        <f>AVERAGE('25.10.19 CYANIKA-KISORO-24h'!C49,'26.10 CYANIKA-KISORO'!C49,'27.10 CYANIKA-KISORO'!C49)</f>
        <v>2.3333333333333335</v>
      </c>
      <c r="D49" s="49">
        <f>AVERAGE('25.10.19 CYANIKA-KISORO-24h'!D49,'26.10 CYANIKA-KISORO'!D49,'27.10 CYANIKA-KISORO'!D49)</f>
        <v>0.66666666666666663</v>
      </c>
      <c r="E49" s="49">
        <f>AVERAGE('25.10.19 CYANIKA-KISORO-24h'!E49,'26.10 CYANIKA-KISORO'!E49,'27.10 CYANIKA-KISORO'!E49)</f>
        <v>1.3333333333333333</v>
      </c>
      <c r="F49" s="49">
        <f>AVERAGE('25.10.19 CYANIKA-KISORO-24h'!F49,'26.10 CYANIKA-KISORO'!F49,'27.10 CYANIKA-KISORO'!F49)</f>
        <v>0</v>
      </c>
      <c r="G49" s="49">
        <f>AVERAGE('25.10.19 CYANIKA-KISORO-24h'!G49,'26.10 CYANIKA-KISORO'!G49,'27.10 CYANIKA-KISORO'!G49)</f>
        <v>0</v>
      </c>
      <c r="H49" s="49">
        <f>AVERAGE('25.10.19 CYANIKA-KISORO-24h'!H49,'26.10 CYANIKA-KISORO'!H49,'27.10 CYANIKA-KISORO'!H49)</f>
        <v>0</v>
      </c>
      <c r="I49" s="49">
        <f>AVERAGE('25.10.19 CYANIKA-KISORO-24h'!I49,'26.10 CYANIKA-KISORO'!I49,'27.10 CYANIKA-KISORO'!I49)</f>
        <v>0.33333333333333331</v>
      </c>
      <c r="J49" s="49">
        <f>AVERAGE('25.10.19 CYANIKA-KISORO-24h'!J49,'26.10 CYANIKA-KISORO'!J49,'27.10 CYANIKA-KISORO'!J49)</f>
        <v>1</v>
      </c>
      <c r="K49" s="49">
        <f>AVERAGE('25.10.19 CYANIKA-KISORO-24h'!K49,'26.10 CYANIKA-KISORO'!K49,'27.10 CYANIKA-KISORO'!K49)</f>
        <v>0</v>
      </c>
      <c r="L49" s="49">
        <f>AVERAGE('25.10.19 CYANIKA-KISORO-24h'!L49,'26.10 CYANIKA-KISORO'!L49,'27.10 CYANIKA-KISORO'!L49)</f>
        <v>0</v>
      </c>
      <c r="M49" s="49">
        <f>AVERAGE('25.10.19 CYANIKA-KISORO-24h'!M49,'26.10 CYANIKA-KISORO'!M49,'27.10 CYANIKA-KISORO'!M49)</f>
        <v>37.333333333333336</v>
      </c>
      <c r="N49" s="49">
        <f>AVERAGE('25.10.19 CYANIKA-KISORO-24h'!N49,'26.10 CYANIKA-KISORO'!N49,'27.10 CYANIKA-KISORO'!N49)</f>
        <v>0</v>
      </c>
      <c r="O49" s="15">
        <f t="shared" si="0"/>
        <v>5.6666666666666661</v>
      </c>
      <c r="P49" s="15">
        <f t="shared" si="1"/>
        <v>43</v>
      </c>
      <c r="R49" s="8"/>
      <c r="T49"/>
    </row>
    <row r="50" spans="2:20" ht="23.1" customHeight="1" x14ac:dyDescent="0.25">
      <c r="B50" s="24" t="s">
        <v>77</v>
      </c>
      <c r="C50" s="49">
        <f>AVERAGE('25.10.19 CYANIKA-KISORO-24h'!C50,'26.10 CYANIKA-KISORO'!C50,'27.10 CYANIKA-KISORO'!C50)</f>
        <v>2</v>
      </c>
      <c r="D50" s="49">
        <f>AVERAGE('25.10.19 CYANIKA-KISORO-24h'!D50,'26.10 CYANIKA-KISORO'!D50,'27.10 CYANIKA-KISORO'!D50)</f>
        <v>1.6666666666666667</v>
      </c>
      <c r="E50" s="49">
        <f>AVERAGE('25.10.19 CYANIKA-KISORO-24h'!E50,'26.10 CYANIKA-KISORO'!E50,'27.10 CYANIKA-KISORO'!E50)</f>
        <v>0.33333333333333331</v>
      </c>
      <c r="F50" s="49">
        <f>AVERAGE('25.10.19 CYANIKA-KISORO-24h'!F50,'26.10 CYANIKA-KISORO'!F50,'27.10 CYANIKA-KISORO'!F50)</f>
        <v>0</v>
      </c>
      <c r="G50" s="49">
        <f>AVERAGE('25.10.19 CYANIKA-KISORO-24h'!G50,'26.10 CYANIKA-KISORO'!G50,'27.10 CYANIKA-KISORO'!G50)</f>
        <v>0</v>
      </c>
      <c r="H50" s="49">
        <f>AVERAGE('25.10.19 CYANIKA-KISORO-24h'!H50,'26.10 CYANIKA-KISORO'!H50,'27.10 CYANIKA-KISORO'!H50)</f>
        <v>0</v>
      </c>
      <c r="I50" s="49">
        <f>AVERAGE('25.10.19 CYANIKA-KISORO-24h'!I50,'26.10 CYANIKA-KISORO'!I50,'27.10 CYANIKA-KISORO'!I50)</f>
        <v>0</v>
      </c>
      <c r="J50" s="49">
        <f>AVERAGE('25.10.19 CYANIKA-KISORO-24h'!J50,'26.10 CYANIKA-KISORO'!J50,'27.10 CYANIKA-KISORO'!J50)</f>
        <v>0.33333333333333331</v>
      </c>
      <c r="K50" s="49">
        <f>AVERAGE('25.10.19 CYANIKA-KISORO-24h'!K50,'26.10 CYANIKA-KISORO'!K50,'27.10 CYANIKA-KISORO'!K50)</f>
        <v>0</v>
      </c>
      <c r="L50" s="49">
        <f>AVERAGE('25.10.19 CYANIKA-KISORO-24h'!L50,'26.10 CYANIKA-KISORO'!L50,'27.10 CYANIKA-KISORO'!L50)</f>
        <v>0</v>
      </c>
      <c r="M50" s="49">
        <f>AVERAGE('25.10.19 CYANIKA-KISORO-24h'!M50,'26.10 CYANIKA-KISORO'!M50,'27.10 CYANIKA-KISORO'!M50)</f>
        <v>30.666666666666668</v>
      </c>
      <c r="N50" s="49">
        <f>AVERAGE('25.10.19 CYANIKA-KISORO-24h'!N50,'26.10 CYANIKA-KISORO'!N50,'27.10 CYANIKA-KISORO'!N50)</f>
        <v>0</v>
      </c>
      <c r="O50" s="15">
        <f t="shared" si="0"/>
        <v>4.333333333333333</v>
      </c>
      <c r="P50" s="15">
        <f t="shared" si="1"/>
        <v>35</v>
      </c>
      <c r="R50" s="8"/>
      <c r="T50"/>
    </row>
    <row r="51" spans="2:20" ht="23.1" customHeight="1" x14ac:dyDescent="0.25">
      <c r="B51" s="24" t="s">
        <v>78</v>
      </c>
      <c r="C51" s="49">
        <f>AVERAGE('25.10.19 CYANIKA-KISORO-24h'!C51,'26.10 CYANIKA-KISORO'!C51,'27.10 CYANIKA-KISORO'!C51)</f>
        <v>2</v>
      </c>
      <c r="D51" s="49">
        <f>AVERAGE('25.10.19 CYANIKA-KISORO-24h'!D51,'26.10 CYANIKA-KISORO'!D51,'27.10 CYANIKA-KISORO'!D51)</f>
        <v>2</v>
      </c>
      <c r="E51" s="49">
        <f>AVERAGE('25.10.19 CYANIKA-KISORO-24h'!E51,'26.10 CYANIKA-KISORO'!E51,'27.10 CYANIKA-KISORO'!E51)</f>
        <v>1</v>
      </c>
      <c r="F51" s="49">
        <f>AVERAGE('25.10.19 CYANIKA-KISORO-24h'!F51,'26.10 CYANIKA-KISORO'!F51,'27.10 CYANIKA-KISORO'!F51)</f>
        <v>0</v>
      </c>
      <c r="G51" s="49">
        <f>AVERAGE('25.10.19 CYANIKA-KISORO-24h'!G51,'26.10 CYANIKA-KISORO'!G51,'27.10 CYANIKA-KISORO'!G51)</f>
        <v>0</v>
      </c>
      <c r="H51" s="49">
        <f>AVERAGE('25.10.19 CYANIKA-KISORO-24h'!H51,'26.10 CYANIKA-KISORO'!H51,'27.10 CYANIKA-KISORO'!H51)</f>
        <v>0</v>
      </c>
      <c r="I51" s="49">
        <f>AVERAGE('25.10.19 CYANIKA-KISORO-24h'!I51,'26.10 CYANIKA-KISORO'!I51,'27.10 CYANIKA-KISORO'!I51)</f>
        <v>0</v>
      </c>
      <c r="J51" s="49">
        <f>AVERAGE('25.10.19 CYANIKA-KISORO-24h'!J51,'26.10 CYANIKA-KISORO'!J51,'27.10 CYANIKA-KISORO'!J51)</f>
        <v>1.6666666666666667</v>
      </c>
      <c r="K51" s="49">
        <f>AVERAGE('25.10.19 CYANIKA-KISORO-24h'!K51,'26.10 CYANIKA-KISORO'!K51,'27.10 CYANIKA-KISORO'!K51)</f>
        <v>0</v>
      </c>
      <c r="L51" s="49">
        <f>AVERAGE('25.10.19 CYANIKA-KISORO-24h'!L51,'26.10 CYANIKA-KISORO'!L51,'27.10 CYANIKA-KISORO'!L51)</f>
        <v>0</v>
      </c>
      <c r="M51" s="49">
        <f>AVERAGE('25.10.19 CYANIKA-KISORO-24h'!M51,'26.10 CYANIKA-KISORO'!M51,'27.10 CYANIKA-KISORO'!M51)</f>
        <v>36.666666666666664</v>
      </c>
      <c r="N51" s="49">
        <f>AVERAGE('25.10.19 CYANIKA-KISORO-24h'!N51,'26.10 CYANIKA-KISORO'!N51,'27.10 CYANIKA-KISORO'!N51)</f>
        <v>0</v>
      </c>
      <c r="O51" s="15">
        <f t="shared" si="0"/>
        <v>6.666666666666667</v>
      </c>
      <c r="P51" s="15">
        <f t="shared" si="1"/>
        <v>43.333333333333329</v>
      </c>
      <c r="R51" s="8"/>
      <c r="T51"/>
    </row>
    <row r="52" spans="2:20" ht="23.1" customHeight="1" x14ac:dyDescent="0.25">
      <c r="B52" s="24" t="s">
        <v>79</v>
      </c>
      <c r="C52" s="49">
        <f>AVERAGE('25.10.19 CYANIKA-KISORO-24h'!C52,'26.10 CYANIKA-KISORO'!C52,'27.10 CYANIKA-KISORO'!C52)</f>
        <v>2</v>
      </c>
      <c r="D52" s="49">
        <f>AVERAGE('25.10.19 CYANIKA-KISORO-24h'!D52,'26.10 CYANIKA-KISORO'!D52,'27.10 CYANIKA-KISORO'!D52)</f>
        <v>1.3333333333333333</v>
      </c>
      <c r="E52" s="49">
        <f>AVERAGE('25.10.19 CYANIKA-KISORO-24h'!E52,'26.10 CYANIKA-KISORO'!E52,'27.10 CYANIKA-KISORO'!E52)</f>
        <v>1.3333333333333333</v>
      </c>
      <c r="F52" s="49">
        <f>AVERAGE('25.10.19 CYANIKA-KISORO-24h'!F52,'26.10 CYANIKA-KISORO'!F52,'27.10 CYANIKA-KISORO'!F52)</f>
        <v>0.33333333333333331</v>
      </c>
      <c r="G52" s="49">
        <f>AVERAGE('25.10.19 CYANIKA-KISORO-24h'!G52,'26.10 CYANIKA-KISORO'!G52,'27.10 CYANIKA-KISORO'!G52)</f>
        <v>0</v>
      </c>
      <c r="H52" s="49">
        <f>AVERAGE('25.10.19 CYANIKA-KISORO-24h'!H52,'26.10 CYANIKA-KISORO'!H52,'27.10 CYANIKA-KISORO'!H52)</f>
        <v>0</v>
      </c>
      <c r="I52" s="49">
        <f>AVERAGE('25.10.19 CYANIKA-KISORO-24h'!I52,'26.10 CYANIKA-KISORO'!I52,'27.10 CYANIKA-KISORO'!I52)</f>
        <v>0</v>
      </c>
      <c r="J52" s="49">
        <f>AVERAGE('25.10.19 CYANIKA-KISORO-24h'!J52,'26.10 CYANIKA-KISORO'!J52,'27.10 CYANIKA-KISORO'!J52)</f>
        <v>1.6666666666666667</v>
      </c>
      <c r="K52" s="49">
        <f>AVERAGE('25.10.19 CYANIKA-KISORO-24h'!K52,'26.10 CYANIKA-KISORO'!K52,'27.10 CYANIKA-KISORO'!K52)</f>
        <v>0</v>
      </c>
      <c r="L52" s="49">
        <f>AVERAGE('25.10.19 CYANIKA-KISORO-24h'!L52,'26.10 CYANIKA-KISORO'!L52,'27.10 CYANIKA-KISORO'!L52)</f>
        <v>0</v>
      </c>
      <c r="M52" s="49">
        <f>AVERAGE('25.10.19 CYANIKA-KISORO-24h'!M52,'26.10 CYANIKA-KISORO'!M52,'27.10 CYANIKA-KISORO'!M52)</f>
        <v>36.666666666666664</v>
      </c>
      <c r="N52" s="49">
        <f>AVERAGE('25.10.19 CYANIKA-KISORO-24h'!N52,'26.10 CYANIKA-KISORO'!N52,'27.10 CYANIKA-KISORO'!N52)</f>
        <v>0</v>
      </c>
      <c r="O52" s="15">
        <f t="shared" si="0"/>
        <v>6.6666666666666661</v>
      </c>
      <c r="P52" s="15">
        <f t="shared" si="1"/>
        <v>43.333333333333329</v>
      </c>
      <c r="R52" s="8"/>
      <c r="T52"/>
    </row>
    <row r="53" spans="2:20" ht="23.1" customHeight="1" x14ac:dyDescent="0.25">
      <c r="B53" s="23" t="s">
        <v>80</v>
      </c>
      <c r="C53" s="49">
        <f>AVERAGE('25.10.19 CYANIKA-KISORO-24h'!C53,'26.10 CYANIKA-KISORO'!C53,'27.10 CYANIKA-KISORO'!C53)</f>
        <v>3.3333333333333335</v>
      </c>
      <c r="D53" s="49">
        <f>AVERAGE('25.10.19 CYANIKA-KISORO-24h'!D53,'26.10 CYANIKA-KISORO'!D53,'27.10 CYANIKA-KISORO'!D53)</f>
        <v>1.3333333333333333</v>
      </c>
      <c r="E53" s="49">
        <f>AVERAGE('25.10.19 CYANIKA-KISORO-24h'!E53,'26.10 CYANIKA-KISORO'!E53,'27.10 CYANIKA-KISORO'!E53)</f>
        <v>0.66666666666666663</v>
      </c>
      <c r="F53" s="49">
        <f>AVERAGE('25.10.19 CYANIKA-KISORO-24h'!F53,'26.10 CYANIKA-KISORO'!F53,'27.10 CYANIKA-KISORO'!F53)</f>
        <v>0</v>
      </c>
      <c r="G53" s="49">
        <f>AVERAGE('25.10.19 CYANIKA-KISORO-24h'!G53,'26.10 CYANIKA-KISORO'!G53,'27.10 CYANIKA-KISORO'!G53)</f>
        <v>0</v>
      </c>
      <c r="H53" s="49">
        <f>AVERAGE('25.10.19 CYANIKA-KISORO-24h'!H53,'26.10 CYANIKA-KISORO'!H53,'27.10 CYANIKA-KISORO'!H53)</f>
        <v>0</v>
      </c>
      <c r="I53" s="49">
        <f>AVERAGE('25.10.19 CYANIKA-KISORO-24h'!I53,'26.10 CYANIKA-KISORO'!I53,'27.10 CYANIKA-KISORO'!I53)</f>
        <v>0.33333333333333331</v>
      </c>
      <c r="J53" s="49">
        <f>AVERAGE('25.10.19 CYANIKA-KISORO-24h'!J53,'26.10 CYANIKA-KISORO'!J53,'27.10 CYANIKA-KISORO'!J53)</f>
        <v>0.33333333333333331</v>
      </c>
      <c r="K53" s="49">
        <f>AVERAGE('25.10.19 CYANIKA-KISORO-24h'!K53,'26.10 CYANIKA-KISORO'!K53,'27.10 CYANIKA-KISORO'!K53)</f>
        <v>0</v>
      </c>
      <c r="L53" s="49">
        <f>AVERAGE('25.10.19 CYANIKA-KISORO-24h'!L53,'26.10 CYANIKA-KISORO'!L53,'27.10 CYANIKA-KISORO'!L53)</f>
        <v>0</v>
      </c>
      <c r="M53" s="49">
        <f>AVERAGE('25.10.19 CYANIKA-KISORO-24h'!M53,'26.10 CYANIKA-KISORO'!M53,'27.10 CYANIKA-KISORO'!M53)</f>
        <v>37.666666666666664</v>
      </c>
      <c r="N53" s="49">
        <f>AVERAGE('25.10.19 CYANIKA-KISORO-24h'!N53,'26.10 CYANIKA-KISORO'!N53,'27.10 CYANIKA-KISORO'!N53)</f>
        <v>0</v>
      </c>
      <c r="O53" s="15">
        <f t="shared" si="0"/>
        <v>6</v>
      </c>
      <c r="P53" s="15">
        <f t="shared" si="1"/>
        <v>43.666666666666664</v>
      </c>
      <c r="R53" s="8"/>
      <c r="T53"/>
    </row>
    <row r="54" spans="2:20" ht="23.1" customHeight="1" x14ac:dyDescent="0.25">
      <c r="B54" s="23" t="s">
        <v>81</v>
      </c>
      <c r="C54" s="49">
        <f>AVERAGE('25.10.19 CYANIKA-KISORO-24h'!C54,'26.10 CYANIKA-KISORO'!C54,'27.10 CYANIKA-KISORO'!C54)</f>
        <v>3.3333333333333335</v>
      </c>
      <c r="D54" s="49">
        <f>AVERAGE('25.10.19 CYANIKA-KISORO-24h'!D54,'26.10 CYANIKA-KISORO'!D54,'27.10 CYANIKA-KISORO'!D54)</f>
        <v>0.33333333333333331</v>
      </c>
      <c r="E54" s="49">
        <f>AVERAGE('25.10.19 CYANIKA-KISORO-24h'!E54,'26.10 CYANIKA-KISORO'!E54,'27.10 CYANIKA-KISORO'!E54)</f>
        <v>0.66666666666666663</v>
      </c>
      <c r="F54" s="49">
        <f>AVERAGE('25.10.19 CYANIKA-KISORO-24h'!F54,'26.10 CYANIKA-KISORO'!F54,'27.10 CYANIKA-KISORO'!F54)</f>
        <v>0</v>
      </c>
      <c r="G54" s="49">
        <f>AVERAGE('25.10.19 CYANIKA-KISORO-24h'!G54,'26.10 CYANIKA-KISORO'!G54,'27.10 CYANIKA-KISORO'!G54)</f>
        <v>0</v>
      </c>
      <c r="H54" s="49">
        <f>AVERAGE('25.10.19 CYANIKA-KISORO-24h'!H54,'26.10 CYANIKA-KISORO'!H54,'27.10 CYANIKA-KISORO'!H54)</f>
        <v>0</v>
      </c>
      <c r="I54" s="49">
        <f>AVERAGE('25.10.19 CYANIKA-KISORO-24h'!I54,'26.10 CYANIKA-KISORO'!I54,'27.10 CYANIKA-KISORO'!I54)</f>
        <v>0</v>
      </c>
      <c r="J54" s="49">
        <f>AVERAGE('25.10.19 CYANIKA-KISORO-24h'!J54,'26.10 CYANIKA-KISORO'!J54,'27.10 CYANIKA-KISORO'!J54)</f>
        <v>1</v>
      </c>
      <c r="K54" s="49">
        <f>AVERAGE('25.10.19 CYANIKA-KISORO-24h'!K54,'26.10 CYANIKA-KISORO'!K54,'27.10 CYANIKA-KISORO'!K54)</f>
        <v>0</v>
      </c>
      <c r="L54" s="49">
        <f>AVERAGE('25.10.19 CYANIKA-KISORO-24h'!L54,'26.10 CYANIKA-KISORO'!L54,'27.10 CYANIKA-KISORO'!L54)</f>
        <v>0</v>
      </c>
      <c r="M54" s="49">
        <f>AVERAGE('25.10.19 CYANIKA-KISORO-24h'!M54,'26.10 CYANIKA-KISORO'!M54,'27.10 CYANIKA-KISORO'!M54)</f>
        <v>28.666666666666668</v>
      </c>
      <c r="N54" s="49">
        <f>AVERAGE('25.10.19 CYANIKA-KISORO-24h'!N54,'26.10 CYANIKA-KISORO'!N54,'27.10 CYANIKA-KISORO'!N54)</f>
        <v>0</v>
      </c>
      <c r="O54" s="15">
        <f t="shared" si="0"/>
        <v>5.3333333333333339</v>
      </c>
      <c r="P54" s="15">
        <f t="shared" si="1"/>
        <v>34</v>
      </c>
      <c r="R54" s="8"/>
      <c r="T54"/>
    </row>
    <row r="55" spans="2:20" ht="23.1" customHeight="1" x14ac:dyDescent="0.25">
      <c r="B55" s="23" t="s">
        <v>82</v>
      </c>
      <c r="C55" s="49">
        <f>AVERAGE('25.10.19 CYANIKA-KISORO-24h'!C55,'26.10 CYANIKA-KISORO'!C55,'27.10 CYANIKA-KISORO'!C55)</f>
        <v>2.6666666666666665</v>
      </c>
      <c r="D55" s="49">
        <f>AVERAGE('25.10.19 CYANIKA-KISORO-24h'!D55,'26.10 CYANIKA-KISORO'!D55,'27.10 CYANIKA-KISORO'!D55)</f>
        <v>1</v>
      </c>
      <c r="E55" s="49">
        <f>AVERAGE('25.10.19 CYANIKA-KISORO-24h'!E55,'26.10 CYANIKA-KISORO'!E55,'27.10 CYANIKA-KISORO'!E55)</f>
        <v>0.33333333333333331</v>
      </c>
      <c r="F55" s="49">
        <f>AVERAGE('25.10.19 CYANIKA-KISORO-24h'!F55,'26.10 CYANIKA-KISORO'!F55,'27.10 CYANIKA-KISORO'!F55)</f>
        <v>0</v>
      </c>
      <c r="G55" s="49">
        <f>AVERAGE('25.10.19 CYANIKA-KISORO-24h'!G55,'26.10 CYANIKA-KISORO'!G55,'27.10 CYANIKA-KISORO'!G55)</f>
        <v>0</v>
      </c>
      <c r="H55" s="49">
        <f>AVERAGE('25.10.19 CYANIKA-KISORO-24h'!H55,'26.10 CYANIKA-KISORO'!H55,'27.10 CYANIKA-KISORO'!H55)</f>
        <v>0</v>
      </c>
      <c r="I55" s="49">
        <f>AVERAGE('25.10.19 CYANIKA-KISORO-24h'!I55,'26.10 CYANIKA-KISORO'!I55,'27.10 CYANIKA-KISORO'!I55)</f>
        <v>0.33333333333333331</v>
      </c>
      <c r="J55" s="49">
        <f>AVERAGE('25.10.19 CYANIKA-KISORO-24h'!J55,'26.10 CYANIKA-KISORO'!J55,'27.10 CYANIKA-KISORO'!J55)</f>
        <v>0.66666666666666663</v>
      </c>
      <c r="K55" s="49">
        <f>AVERAGE('25.10.19 CYANIKA-KISORO-24h'!K55,'26.10 CYANIKA-KISORO'!K55,'27.10 CYANIKA-KISORO'!K55)</f>
        <v>0</v>
      </c>
      <c r="L55" s="49">
        <f>AVERAGE('25.10.19 CYANIKA-KISORO-24h'!L55,'26.10 CYANIKA-KISORO'!L55,'27.10 CYANIKA-KISORO'!L55)</f>
        <v>0</v>
      </c>
      <c r="M55" s="49">
        <f>AVERAGE('25.10.19 CYANIKA-KISORO-24h'!M55,'26.10 CYANIKA-KISORO'!M55,'27.10 CYANIKA-KISORO'!M55)</f>
        <v>30</v>
      </c>
      <c r="N55" s="49">
        <f>AVERAGE('25.10.19 CYANIKA-KISORO-24h'!N55,'26.10 CYANIKA-KISORO'!N55,'27.10 CYANIKA-KISORO'!N55)</f>
        <v>0</v>
      </c>
      <c r="O55" s="15">
        <f t="shared" si="0"/>
        <v>5</v>
      </c>
      <c r="P55" s="15">
        <f t="shared" si="1"/>
        <v>35</v>
      </c>
      <c r="R55" s="8"/>
      <c r="T55"/>
    </row>
    <row r="56" spans="2:20" ht="23.1" customHeight="1" x14ac:dyDescent="0.25">
      <c r="B56" s="23" t="s">
        <v>83</v>
      </c>
      <c r="C56" s="49">
        <f>AVERAGE('25.10.19 CYANIKA-KISORO-24h'!C56,'26.10 CYANIKA-KISORO'!C56,'27.10 CYANIKA-KISORO'!C56)</f>
        <v>1.6666666666666667</v>
      </c>
      <c r="D56" s="49">
        <f>AVERAGE('25.10.19 CYANIKA-KISORO-24h'!D56,'26.10 CYANIKA-KISORO'!D56,'27.10 CYANIKA-KISORO'!D56)</f>
        <v>0</v>
      </c>
      <c r="E56" s="49">
        <f>AVERAGE('25.10.19 CYANIKA-KISORO-24h'!E56,'26.10 CYANIKA-KISORO'!E56,'27.10 CYANIKA-KISORO'!E56)</f>
        <v>0.33333333333333331</v>
      </c>
      <c r="F56" s="49">
        <f>AVERAGE('25.10.19 CYANIKA-KISORO-24h'!F56,'26.10 CYANIKA-KISORO'!F56,'27.10 CYANIKA-KISORO'!F56)</f>
        <v>0</v>
      </c>
      <c r="G56" s="49">
        <f>AVERAGE('25.10.19 CYANIKA-KISORO-24h'!G56,'26.10 CYANIKA-KISORO'!G56,'27.10 CYANIKA-KISORO'!G56)</f>
        <v>0</v>
      </c>
      <c r="H56" s="49">
        <f>AVERAGE('25.10.19 CYANIKA-KISORO-24h'!H56,'26.10 CYANIKA-KISORO'!H56,'27.10 CYANIKA-KISORO'!H56)</f>
        <v>0</v>
      </c>
      <c r="I56" s="49">
        <f>AVERAGE('25.10.19 CYANIKA-KISORO-24h'!I56,'26.10 CYANIKA-KISORO'!I56,'27.10 CYANIKA-KISORO'!I56)</f>
        <v>0.66666666666666663</v>
      </c>
      <c r="J56" s="49">
        <f>AVERAGE('25.10.19 CYANIKA-KISORO-24h'!J56,'26.10 CYANIKA-KISORO'!J56,'27.10 CYANIKA-KISORO'!J56)</f>
        <v>2.6666666666666665</v>
      </c>
      <c r="K56" s="49">
        <f>AVERAGE('25.10.19 CYANIKA-KISORO-24h'!K56,'26.10 CYANIKA-KISORO'!K56,'27.10 CYANIKA-KISORO'!K56)</f>
        <v>0</v>
      </c>
      <c r="L56" s="49">
        <f>AVERAGE('25.10.19 CYANIKA-KISORO-24h'!L56,'26.10 CYANIKA-KISORO'!L56,'27.10 CYANIKA-KISORO'!L56)</f>
        <v>0</v>
      </c>
      <c r="M56" s="49">
        <f>AVERAGE('25.10.19 CYANIKA-KISORO-24h'!M56,'26.10 CYANIKA-KISORO'!M56,'27.10 CYANIKA-KISORO'!M56)</f>
        <v>35</v>
      </c>
      <c r="N56" s="49">
        <f>AVERAGE('25.10.19 CYANIKA-KISORO-24h'!N56,'26.10 CYANIKA-KISORO'!N56,'27.10 CYANIKA-KISORO'!N56)</f>
        <v>0</v>
      </c>
      <c r="O56" s="15">
        <f t="shared" si="0"/>
        <v>5.333333333333333</v>
      </c>
      <c r="P56" s="15">
        <f t="shared" si="1"/>
        <v>40.333333333333336</v>
      </c>
      <c r="R56" s="8"/>
      <c r="T56"/>
    </row>
    <row r="57" spans="2:20" ht="23.1" customHeight="1" x14ac:dyDescent="0.25">
      <c r="B57" s="23" t="s">
        <v>84</v>
      </c>
      <c r="C57" s="49">
        <f>AVERAGE('25.10.19 CYANIKA-KISORO-24h'!C57,'26.10 CYANIKA-KISORO'!C57,'27.10 CYANIKA-KISORO'!C57)</f>
        <v>1.6666666666666667</v>
      </c>
      <c r="D57" s="49">
        <f>AVERAGE('25.10.19 CYANIKA-KISORO-24h'!D57,'26.10 CYANIKA-KISORO'!D57,'27.10 CYANIKA-KISORO'!D57)</f>
        <v>1.6666666666666667</v>
      </c>
      <c r="E57" s="49">
        <f>AVERAGE('25.10.19 CYANIKA-KISORO-24h'!E57,'26.10 CYANIKA-KISORO'!E57,'27.10 CYANIKA-KISORO'!E57)</f>
        <v>1.3333333333333333</v>
      </c>
      <c r="F57" s="49">
        <f>AVERAGE('25.10.19 CYANIKA-KISORO-24h'!F57,'26.10 CYANIKA-KISORO'!F57,'27.10 CYANIKA-KISORO'!F57)</f>
        <v>0</v>
      </c>
      <c r="G57" s="49">
        <f>AVERAGE('25.10.19 CYANIKA-KISORO-24h'!G57,'26.10 CYANIKA-KISORO'!G57,'27.10 CYANIKA-KISORO'!G57)</f>
        <v>0</v>
      </c>
      <c r="H57" s="49">
        <f>AVERAGE('25.10.19 CYANIKA-KISORO-24h'!H57,'26.10 CYANIKA-KISORO'!H57,'27.10 CYANIKA-KISORO'!H57)</f>
        <v>0</v>
      </c>
      <c r="I57" s="49">
        <f>AVERAGE('25.10.19 CYANIKA-KISORO-24h'!I57,'26.10 CYANIKA-KISORO'!I57,'27.10 CYANIKA-KISORO'!I57)</f>
        <v>0.33333333333333331</v>
      </c>
      <c r="J57" s="49">
        <f>AVERAGE('25.10.19 CYANIKA-KISORO-24h'!J57,'26.10 CYANIKA-KISORO'!J57,'27.10 CYANIKA-KISORO'!J57)</f>
        <v>0.66666666666666663</v>
      </c>
      <c r="K57" s="49">
        <f>AVERAGE('25.10.19 CYANIKA-KISORO-24h'!K57,'26.10 CYANIKA-KISORO'!K57,'27.10 CYANIKA-KISORO'!K57)</f>
        <v>0</v>
      </c>
      <c r="L57" s="49">
        <f>AVERAGE('25.10.19 CYANIKA-KISORO-24h'!L57,'26.10 CYANIKA-KISORO'!L57,'27.10 CYANIKA-KISORO'!L57)</f>
        <v>0</v>
      </c>
      <c r="M57" s="49">
        <f>AVERAGE('25.10.19 CYANIKA-KISORO-24h'!M57,'26.10 CYANIKA-KISORO'!M57,'27.10 CYANIKA-KISORO'!M57)</f>
        <v>29.666666666666668</v>
      </c>
      <c r="N57" s="49">
        <f>AVERAGE('25.10.19 CYANIKA-KISORO-24h'!N57,'26.10 CYANIKA-KISORO'!N57,'27.10 CYANIKA-KISORO'!N57)</f>
        <v>0</v>
      </c>
      <c r="O57" s="15">
        <f t="shared" si="0"/>
        <v>5.666666666666667</v>
      </c>
      <c r="P57" s="15">
        <f t="shared" si="1"/>
        <v>35.333333333333336</v>
      </c>
      <c r="R57" s="8"/>
      <c r="T57"/>
    </row>
    <row r="58" spans="2:20" ht="23.1" customHeight="1" x14ac:dyDescent="0.25">
      <c r="B58" s="23" t="s">
        <v>99</v>
      </c>
      <c r="C58" s="49">
        <f>AVERAGE('25.10.19 CYANIKA-KISORO-24h'!C18)</f>
        <v>3</v>
      </c>
      <c r="D58" s="49">
        <f>AVERAGE('25.10.19 CYANIKA-KISORO-24h'!D18)</f>
        <v>3</v>
      </c>
      <c r="E58" s="49">
        <f>AVERAGE('25.10.19 CYANIKA-KISORO-24h'!E18)</f>
        <v>0</v>
      </c>
      <c r="F58" s="49">
        <f>AVERAGE('25.10.19 CYANIKA-KISORO-24h'!F18)</f>
        <v>0</v>
      </c>
      <c r="G58" s="49">
        <f>AVERAGE('25.10.19 CYANIKA-KISORO-24h'!G18)</f>
        <v>0</v>
      </c>
      <c r="H58" s="49">
        <f>AVERAGE('25.10.19 CYANIKA-KISORO-24h'!H18)</f>
        <v>0</v>
      </c>
      <c r="I58" s="49">
        <f>AVERAGE('25.10.19 CYANIKA-KISORO-24h'!I18)</f>
        <v>0</v>
      </c>
      <c r="J58" s="49">
        <f>AVERAGE('25.10.19 CYANIKA-KISORO-24h'!J18)</f>
        <v>0</v>
      </c>
      <c r="K58" s="49">
        <f>AVERAGE('25.10.19 CYANIKA-KISORO-24h'!K18)</f>
        <v>1</v>
      </c>
      <c r="L58" s="49">
        <f>AVERAGE('25.10.19 CYANIKA-KISORO-24h'!L18)</f>
        <v>0</v>
      </c>
      <c r="M58" s="49">
        <v>34</v>
      </c>
      <c r="N58" s="49">
        <f>AVERAGE('25.10.19 CYANIKA-KISORO-24h'!N18)</f>
        <v>0</v>
      </c>
      <c r="O58" s="15">
        <f t="shared" si="0"/>
        <v>7</v>
      </c>
      <c r="P58" s="15">
        <f t="shared" si="1"/>
        <v>41</v>
      </c>
      <c r="R58" s="8"/>
      <c r="T58"/>
    </row>
    <row r="59" spans="2:20" ht="23.1" customHeight="1" x14ac:dyDescent="0.25">
      <c r="B59" s="23" t="s">
        <v>100</v>
      </c>
      <c r="C59" s="49">
        <f>AVERAGE('25.10.19 CYANIKA-KISORO-24h'!C19)</f>
        <v>1</v>
      </c>
      <c r="D59" s="49">
        <f>AVERAGE('25.10.19 CYANIKA-KISORO-24h'!D19)</f>
        <v>1</v>
      </c>
      <c r="E59" s="49">
        <f>AVERAGE('25.10.19 CYANIKA-KISORO-24h'!E19)</f>
        <v>1</v>
      </c>
      <c r="F59" s="49">
        <f>AVERAGE('25.10.19 CYANIKA-KISORO-24h'!F19)</f>
        <v>0</v>
      </c>
      <c r="G59" s="49">
        <f>AVERAGE('25.10.19 CYANIKA-KISORO-24h'!G19)</f>
        <v>0</v>
      </c>
      <c r="H59" s="49">
        <f>AVERAGE('25.10.19 CYANIKA-KISORO-24h'!H19)</f>
        <v>0</v>
      </c>
      <c r="I59" s="49">
        <f>AVERAGE('25.10.19 CYANIKA-KISORO-24h'!I19)</f>
        <v>2</v>
      </c>
      <c r="J59" s="49">
        <f>AVERAGE('25.10.19 CYANIKA-KISORO-24h'!J19)</f>
        <v>0</v>
      </c>
      <c r="K59" s="49">
        <f>AVERAGE('25.10.19 CYANIKA-KISORO-24h'!K19)</f>
        <v>0</v>
      </c>
      <c r="L59" s="49">
        <f>AVERAGE('25.10.19 CYANIKA-KISORO-24h'!L19)</f>
        <v>0</v>
      </c>
      <c r="M59" s="49">
        <v>30</v>
      </c>
      <c r="N59" s="49">
        <f>AVERAGE('25.10.19 CYANIKA-KISORO-24h'!N19)</f>
        <v>0</v>
      </c>
      <c r="O59" s="15">
        <f t="shared" si="0"/>
        <v>5</v>
      </c>
      <c r="P59" s="15">
        <f t="shared" si="1"/>
        <v>35</v>
      </c>
      <c r="R59" s="8"/>
      <c r="T59"/>
    </row>
    <row r="60" spans="2:20" ht="23.1" customHeight="1" x14ac:dyDescent="0.25">
      <c r="B60" s="23" t="s">
        <v>101</v>
      </c>
      <c r="C60" s="49">
        <f>AVERAGE('25.10.19 CYANIKA-KISORO-24h'!C20)</f>
        <v>4</v>
      </c>
      <c r="D60" s="49">
        <f>AVERAGE('25.10.19 CYANIKA-KISORO-24h'!D20)</f>
        <v>0</v>
      </c>
      <c r="E60" s="49">
        <f>AVERAGE('25.10.19 CYANIKA-KISORO-24h'!E20)</f>
        <v>1</v>
      </c>
      <c r="F60" s="49">
        <f>AVERAGE('25.10.19 CYANIKA-KISORO-24h'!F20)</f>
        <v>0</v>
      </c>
      <c r="G60" s="49">
        <f>AVERAGE('25.10.19 CYANIKA-KISORO-24h'!G20)</f>
        <v>0</v>
      </c>
      <c r="H60" s="49">
        <f>AVERAGE('25.10.19 CYANIKA-KISORO-24h'!H20)</f>
        <v>0</v>
      </c>
      <c r="I60" s="49">
        <f>AVERAGE('25.10.19 CYANIKA-KISORO-24h'!I20)</f>
        <v>0</v>
      </c>
      <c r="J60" s="49">
        <f>AVERAGE('25.10.19 CYANIKA-KISORO-24h'!J20)</f>
        <v>0</v>
      </c>
      <c r="K60" s="49">
        <f>AVERAGE('25.10.19 CYANIKA-KISORO-24h'!K20)</f>
        <v>2</v>
      </c>
      <c r="L60" s="49">
        <f>AVERAGE('25.10.19 CYANIKA-KISORO-24h'!L20)</f>
        <v>0</v>
      </c>
      <c r="M60" s="49">
        <v>25</v>
      </c>
      <c r="N60" s="49">
        <f>AVERAGE('25.10.19 CYANIKA-KISORO-24h'!N20)</f>
        <v>0</v>
      </c>
      <c r="O60" s="15">
        <f t="shared" si="0"/>
        <v>7</v>
      </c>
      <c r="P60" s="15">
        <f t="shared" si="1"/>
        <v>32</v>
      </c>
      <c r="R60" s="8"/>
      <c r="T60"/>
    </row>
    <row r="61" spans="2:20" ht="23.1" customHeight="1" x14ac:dyDescent="0.25">
      <c r="B61" s="23" t="s">
        <v>102</v>
      </c>
      <c r="C61" s="49">
        <f>AVERAGE('25.10.19 CYANIKA-KISORO-24h'!C21)</f>
        <v>2</v>
      </c>
      <c r="D61" s="49">
        <f>AVERAGE('25.10.19 CYANIKA-KISORO-24h'!D21)</f>
        <v>1</v>
      </c>
      <c r="E61" s="49">
        <f>AVERAGE('25.10.19 CYANIKA-KISORO-24h'!E21)</f>
        <v>0</v>
      </c>
      <c r="F61" s="49">
        <f>AVERAGE('25.10.19 CYANIKA-KISORO-24h'!F21)</f>
        <v>0</v>
      </c>
      <c r="G61" s="49">
        <f>AVERAGE('25.10.19 CYANIKA-KISORO-24h'!G21)</f>
        <v>0</v>
      </c>
      <c r="H61" s="49">
        <f>AVERAGE('25.10.19 CYANIKA-KISORO-24h'!H21)</f>
        <v>0</v>
      </c>
      <c r="I61" s="49">
        <f>AVERAGE('25.10.19 CYANIKA-KISORO-24h'!I21)</f>
        <v>0</v>
      </c>
      <c r="J61" s="49">
        <f>AVERAGE('25.10.19 CYANIKA-KISORO-24h'!J21)</f>
        <v>0</v>
      </c>
      <c r="K61" s="49">
        <f>AVERAGE('25.10.19 CYANIKA-KISORO-24h'!K21)</f>
        <v>1</v>
      </c>
      <c r="L61" s="49">
        <f>AVERAGE('25.10.19 CYANIKA-KISORO-24h'!L21)</f>
        <v>0</v>
      </c>
      <c r="M61" s="49">
        <v>23</v>
      </c>
      <c r="N61" s="49">
        <f>AVERAGE('25.10.19 CYANIKA-KISORO-24h'!N21)</f>
        <v>0</v>
      </c>
      <c r="O61" s="15">
        <f t="shared" si="0"/>
        <v>4</v>
      </c>
      <c r="P61" s="15">
        <f t="shared" si="1"/>
        <v>27</v>
      </c>
      <c r="R61" s="8"/>
      <c r="T61"/>
    </row>
    <row r="62" spans="2:20" ht="23.1" customHeight="1" x14ac:dyDescent="0.25">
      <c r="B62" s="23" t="s">
        <v>107</v>
      </c>
      <c r="C62" s="49">
        <f>AVERAGE('25.10.19 CYANIKA-KISORO-24h'!C22)</f>
        <v>0</v>
      </c>
      <c r="D62" s="49">
        <f>AVERAGE('25.10.19 CYANIKA-KISORO-24h'!D22)</f>
        <v>2</v>
      </c>
      <c r="E62" s="49">
        <f>AVERAGE('25.10.19 CYANIKA-KISORO-24h'!E22)</f>
        <v>0</v>
      </c>
      <c r="F62" s="49">
        <f>AVERAGE('25.10.19 CYANIKA-KISORO-24h'!F22)</f>
        <v>0</v>
      </c>
      <c r="G62" s="49">
        <f>AVERAGE('25.10.19 CYANIKA-KISORO-24h'!G22)</f>
        <v>0</v>
      </c>
      <c r="H62" s="49">
        <f>AVERAGE('25.10.19 CYANIKA-KISORO-24h'!H22)</f>
        <v>0</v>
      </c>
      <c r="I62" s="49">
        <f>AVERAGE('25.10.19 CYANIKA-KISORO-24h'!I22)</f>
        <v>1</v>
      </c>
      <c r="J62" s="49">
        <f>AVERAGE('25.10.19 CYANIKA-KISORO-24h'!J22)</f>
        <v>1</v>
      </c>
      <c r="K62" s="49">
        <f>AVERAGE('25.10.19 CYANIKA-KISORO-24h'!K22)</f>
        <v>0</v>
      </c>
      <c r="L62" s="49">
        <f>AVERAGE('25.10.19 CYANIKA-KISORO-24h'!L22)</f>
        <v>0</v>
      </c>
      <c r="M62" s="49">
        <v>26</v>
      </c>
      <c r="N62" s="49">
        <f>AVERAGE('25.10.19 CYANIKA-KISORO-24h'!N22)</f>
        <v>0</v>
      </c>
      <c r="O62" s="15">
        <f t="shared" si="0"/>
        <v>4</v>
      </c>
      <c r="P62" s="15">
        <f t="shared" si="1"/>
        <v>30</v>
      </c>
      <c r="R62" s="8"/>
      <c r="T62"/>
    </row>
    <row r="63" spans="2:20" ht="23.1" customHeight="1" x14ac:dyDescent="0.25">
      <c r="B63" s="23" t="s">
        <v>108</v>
      </c>
      <c r="C63" s="49">
        <f>AVERAGE('25.10.19 CYANIKA-KISORO-24h'!C23)</f>
        <v>1</v>
      </c>
      <c r="D63" s="49">
        <f>AVERAGE('25.10.19 CYANIKA-KISORO-24h'!D23)</f>
        <v>3</v>
      </c>
      <c r="E63" s="49">
        <f>AVERAGE('25.10.19 CYANIKA-KISORO-24h'!E23)</f>
        <v>4</v>
      </c>
      <c r="F63" s="49">
        <f>AVERAGE('25.10.19 CYANIKA-KISORO-24h'!F23)</f>
        <v>1</v>
      </c>
      <c r="G63" s="49">
        <f>AVERAGE('25.10.19 CYANIKA-KISORO-24h'!G23)</f>
        <v>0</v>
      </c>
      <c r="H63" s="49">
        <f>AVERAGE('25.10.19 CYANIKA-KISORO-24h'!H23)</f>
        <v>0</v>
      </c>
      <c r="I63" s="49">
        <f>AVERAGE('25.10.19 CYANIKA-KISORO-24h'!I23)</f>
        <v>0</v>
      </c>
      <c r="J63" s="49">
        <f>AVERAGE('25.10.19 CYANIKA-KISORO-24h'!J23)</f>
        <v>0</v>
      </c>
      <c r="K63" s="49">
        <f>AVERAGE('25.10.19 CYANIKA-KISORO-24h'!K23)</f>
        <v>0</v>
      </c>
      <c r="L63" s="49">
        <f>AVERAGE('25.10.19 CYANIKA-KISORO-24h'!L23)</f>
        <v>0</v>
      </c>
      <c r="M63" s="49">
        <v>16</v>
      </c>
      <c r="N63" s="49">
        <f>AVERAGE('25.10.19 CYANIKA-KISORO-24h'!N23)</f>
        <v>0</v>
      </c>
      <c r="O63" s="15">
        <f t="shared" si="0"/>
        <v>9</v>
      </c>
      <c r="P63" s="15">
        <f t="shared" si="1"/>
        <v>25</v>
      </c>
      <c r="R63" s="8"/>
      <c r="T63"/>
    </row>
    <row r="64" spans="2:20" ht="23.1" customHeight="1" x14ac:dyDescent="0.25">
      <c r="B64" s="23" t="s">
        <v>109</v>
      </c>
      <c r="C64" s="49">
        <f>AVERAGE('25.10.19 CYANIKA-KISORO-24h'!C24)</f>
        <v>1</v>
      </c>
      <c r="D64" s="49">
        <f>AVERAGE('25.10.19 CYANIKA-KISORO-24h'!D24)</f>
        <v>0</v>
      </c>
      <c r="E64" s="49">
        <f>AVERAGE('25.10.19 CYANIKA-KISORO-24h'!E24)</f>
        <v>2</v>
      </c>
      <c r="F64" s="49">
        <f>AVERAGE('25.10.19 CYANIKA-KISORO-24h'!F24)</f>
        <v>0</v>
      </c>
      <c r="G64" s="49">
        <f>AVERAGE('25.10.19 CYANIKA-KISORO-24h'!G24)</f>
        <v>0</v>
      </c>
      <c r="H64" s="49">
        <f>AVERAGE('25.10.19 CYANIKA-KISORO-24h'!H24)</f>
        <v>0</v>
      </c>
      <c r="I64" s="49">
        <f>AVERAGE('25.10.19 CYANIKA-KISORO-24h'!I24)</f>
        <v>1</v>
      </c>
      <c r="J64" s="49">
        <f>AVERAGE('25.10.19 CYANIKA-KISORO-24h'!J24)</f>
        <v>1</v>
      </c>
      <c r="K64" s="49">
        <f>AVERAGE('25.10.19 CYANIKA-KISORO-24h'!K24)</f>
        <v>0</v>
      </c>
      <c r="L64" s="49">
        <f>AVERAGE('25.10.19 CYANIKA-KISORO-24h'!L24)</f>
        <v>0</v>
      </c>
      <c r="M64" s="49">
        <f>AVERAGE('25.10.19 KISORO-CYANIKA-24h'!M64)</f>
        <v>20</v>
      </c>
      <c r="N64" s="49">
        <f>AVERAGE('25.10.19 CYANIKA-KISORO-24h'!N24)</f>
        <v>0</v>
      </c>
      <c r="O64" s="15">
        <f t="shared" si="0"/>
        <v>5</v>
      </c>
      <c r="P64" s="15">
        <f t="shared" si="1"/>
        <v>25</v>
      </c>
      <c r="R64" s="8"/>
      <c r="T64"/>
    </row>
    <row r="65" spans="2:20" ht="23.1" customHeight="1" x14ac:dyDescent="0.25">
      <c r="B65" s="23" t="s">
        <v>158</v>
      </c>
      <c r="C65" s="49">
        <f>AVERAGE('25.10.19 CYANIKA-KISORO-24h'!C25)</f>
        <v>1</v>
      </c>
      <c r="D65" s="49">
        <f>AVERAGE('25.10.19 CYANIKA-KISORO-24h'!D25)</f>
        <v>2</v>
      </c>
      <c r="E65" s="49">
        <f>AVERAGE('25.10.19 CYANIKA-KISORO-24h'!E25)</f>
        <v>0</v>
      </c>
      <c r="F65" s="49">
        <f>AVERAGE('25.10.19 CYANIKA-KISORO-24h'!F25)</f>
        <v>0</v>
      </c>
      <c r="G65" s="49">
        <f>AVERAGE('25.10.19 CYANIKA-KISORO-24h'!G25)</f>
        <v>0</v>
      </c>
      <c r="H65" s="49">
        <f>AVERAGE('25.10.19 CYANIKA-KISORO-24h'!H25)</f>
        <v>0</v>
      </c>
      <c r="I65" s="49">
        <f>AVERAGE('25.10.19 CYANIKA-KISORO-24h'!I25)</f>
        <v>0</v>
      </c>
      <c r="J65" s="49">
        <f>AVERAGE('25.10.19 CYANIKA-KISORO-24h'!J25)</f>
        <v>2</v>
      </c>
      <c r="K65" s="49">
        <f>AVERAGE('25.10.19 CYANIKA-KISORO-24h'!K25)</f>
        <v>0</v>
      </c>
      <c r="L65" s="49">
        <f>AVERAGE('25.10.19 CYANIKA-KISORO-24h'!L25)</f>
        <v>0</v>
      </c>
      <c r="M65" s="49">
        <f>AVERAGE('25.10.19 KISORO-CYANIKA-24h'!M65)</f>
        <v>16</v>
      </c>
      <c r="N65" s="49">
        <f>AVERAGE('25.10.19 CYANIKA-KISORO-24h'!N25)</f>
        <v>0</v>
      </c>
      <c r="O65" s="15">
        <f t="shared" si="0"/>
        <v>5</v>
      </c>
      <c r="P65" s="15">
        <f t="shared" si="1"/>
        <v>21</v>
      </c>
      <c r="R65" s="8"/>
      <c r="T65"/>
    </row>
    <row r="66" spans="2:20" ht="23.1" customHeight="1" x14ac:dyDescent="0.25">
      <c r="B66" s="23" t="s">
        <v>103</v>
      </c>
      <c r="C66" s="49">
        <f>AVERAGE('25.10.19 CYANIKA-KISORO-24h'!C26)</f>
        <v>1</v>
      </c>
      <c r="D66" s="49">
        <f>AVERAGE('25.10.19 CYANIKA-KISORO-24h'!D26)</f>
        <v>1</v>
      </c>
      <c r="E66" s="49">
        <f>AVERAGE('25.10.19 CYANIKA-KISORO-24h'!E26)</f>
        <v>1</v>
      </c>
      <c r="F66" s="49">
        <f>AVERAGE('25.10.19 CYANIKA-KISORO-24h'!F26)</f>
        <v>0</v>
      </c>
      <c r="G66" s="49">
        <f>AVERAGE('25.10.19 CYANIKA-KISORO-24h'!G26)</f>
        <v>0</v>
      </c>
      <c r="H66" s="49">
        <f>AVERAGE('25.10.19 CYANIKA-KISORO-24h'!H26)</f>
        <v>0</v>
      </c>
      <c r="I66" s="49">
        <f>AVERAGE('25.10.19 CYANIKA-KISORO-24h'!I26)</f>
        <v>0</v>
      </c>
      <c r="J66" s="49">
        <f>AVERAGE('25.10.19 CYANIKA-KISORO-24h'!J26)</f>
        <v>1</v>
      </c>
      <c r="K66" s="49">
        <f>AVERAGE('25.10.19 CYANIKA-KISORO-24h'!K26)</f>
        <v>0</v>
      </c>
      <c r="L66" s="49">
        <f>AVERAGE('25.10.19 CYANIKA-KISORO-24h'!L26)</f>
        <v>0</v>
      </c>
      <c r="M66" s="49">
        <f>AVERAGE('25.10.19 KISORO-CYANIKA-24h'!M66)</f>
        <v>14</v>
      </c>
      <c r="N66" s="49">
        <f>AVERAGE('25.10.19 CYANIKA-KISORO-24h'!N26)</f>
        <v>0</v>
      </c>
      <c r="O66" s="15">
        <f t="shared" si="0"/>
        <v>4</v>
      </c>
      <c r="P66" s="15">
        <f t="shared" si="1"/>
        <v>18</v>
      </c>
      <c r="R66" s="8"/>
      <c r="T66"/>
    </row>
    <row r="67" spans="2:20" ht="23.1" customHeight="1" x14ac:dyDescent="0.25">
      <c r="B67" s="23" t="s">
        <v>104</v>
      </c>
      <c r="C67" s="49">
        <f>AVERAGE('25.10.19 CYANIKA-KISORO-24h'!C27)</f>
        <v>2</v>
      </c>
      <c r="D67" s="49">
        <f>AVERAGE('25.10.19 CYANIKA-KISORO-24h'!D27)</f>
        <v>0</v>
      </c>
      <c r="E67" s="49">
        <f>AVERAGE('25.10.19 CYANIKA-KISORO-24h'!E27)</f>
        <v>1</v>
      </c>
      <c r="F67" s="49">
        <f>AVERAGE('25.10.19 CYANIKA-KISORO-24h'!F27)</f>
        <v>0</v>
      </c>
      <c r="G67" s="49">
        <f>AVERAGE('25.10.19 CYANIKA-KISORO-24h'!G27)</f>
        <v>0</v>
      </c>
      <c r="H67" s="49">
        <f>AVERAGE('25.10.19 CYANIKA-KISORO-24h'!H27)</f>
        <v>0</v>
      </c>
      <c r="I67" s="49">
        <f>AVERAGE('25.10.19 CYANIKA-KISORO-24h'!I27)</f>
        <v>0</v>
      </c>
      <c r="J67" s="49">
        <f>AVERAGE('25.10.19 CYANIKA-KISORO-24h'!J27)</f>
        <v>0</v>
      </c>
      <c r="K67" s="49">
        <f>AVERAGE('25.10.19 CYANIKA-KISORO-24h'!K27)</f>
        <v>0</v>
      </c>
      <c r="L67" s="49">
        <f>AVERAGE('25.10.19 CYANIKA-KISORO-24h'!L27)</f>
        <v>0</v>
      </c>
      <c r="M67" s="49">
        <f>AVERAGE('25.10.19 KISORO-CYANIKA-24h'!M67)</f>
        <v>15</v>
      </c>
      <c r="N67" s="49">
        <f>AVERAGE('25.10.19 CYANIKA-KISORO-24h'!N27)</f>
        <v>0</v>
      </c>
      <c r="O67" s="15">
        <f t="shared" si="0"/>
        <v>3</v>
      </c>
      <c r="P67" s="15">
        <f t="shared" si="1"/>
        <v>18</v>
      </c>
      <c r="R67" s="8"/>
      <c r="T67"/>
    </row>
    <row r="68" spans="2:20" ht="23.1" customHeight="1" x14ac:dyDescent="0.25">
      <c r="B68" s="23" t="s">
        <v>105</v>
      </c>
      <c r="C68" s="49">
        <f>AVERAGE('25.10.19 CYANIKA-KISORO-24h'!C28)</f>
        <v>1</v>
      </c>
      <c r="D68" s="49">
        <f>AVERAGE('25.10.19 CYANIKA-KISORO-24h'!D28)</f>
        <v>1</v>
      </c>
      <c r="E68" s="49">
        <f>AVERAGE('25.10.19 CYANIKA-KISORO-24h'!E28)</f>
        <v>0</v>
      </c>
      <c r="F68" s="49">
        <f>AVERAGE('25.10.19 CYANIKA-KISORO-24h'!F28)</f>
        <v>0</v>
      </c>
      <c r="G68" s="49">
        <f>AVERAGE('25.10.19 CYANIKA-KISORO-24h'!G28)</f>
        <v>0</v>
      </c>
      <c r="H68" s="49">
        <f>AVERAGE('25.10.19 CYANIKA-KISORO-24h'!H28)</f>
        <v>0</v>
      </c>
      <c r="I68" s="49">
        <f>AVERAGE('25.10.19 CYANIKA-KISORO-24h'!I28)</f>
        <v>0</v>
      </c>
      <c r="J68" s="49">
        <f>AVERAGE('25.10.19 CYANIKA-KISORO-24h'!J28)</f>
        <v>0</v>
      </c>
      <c r="K68" s="49">
        <f>AVERAGE('25.10.19 CYANIKA-KISORO-24h'!K28)</f>
        <v>0</v>
      </c>
      <c r="L68" s="49">
        <f>AVERAGE('25.10.19 CYANIKA-KISORO-24h'!L28)</f>
        <v>0</v>
      </c>
      <c r="M68" s="49">
        <v>10</v>
      </c>
      <c r="N68" s="49">
        <f>AVERAGE('25.10.19 CYANIKA-KISORO-24h'!N28)</f>
        <v>0</v>
      </c>
      <c r="O68" s="15">
        <f t="shared" si="0"/>
        <v>2</v>
      </c>
      <c r="P68" s="15">
        <f t="shared" si="1"/>
        <v>12</v>
      </c>
      <c r="R68" s="8"/>
      <c r="T68"/>
    </row>
    <row r="69" spans="2:20" ht="23.1" customHeight="1" x14ac:dyDescent="0.25">
      <c r="B69" s="23" t="s">
        <v>106</v>
      </c>
      <c r="C69" s="49">
        <f>AVERAGE('25.10.19 CYANIKA-KISORO-24h'!C29)</f>
        <v>3</v>
      </c>
      <c r="D69" s="49">
        <f>AVERAGE('25.10.19 CYANIKA-KISORO-24h'!D29)</f>
        <v>1</v>
      </c>
      <c r="E69" s="49">
        <f>AVERAGE('25.10.19 CYANIKA-KISORO-24h'!E29)</f>
        <v>2</v>
      </c>
      <c r="F69" s="49">
        <f>AVERAGE('25.10.19 CYANIKA-KISORO-24h'!F29)</f>
        <v>0</v>
      </c>
      <c r="G69" s="49">
        <f>AVERAGE('25.10.19 CYANIKA-KISORO-24h'!G29)</f>
        <v>0</v>
      </c>
      <c r="H69" s="49">
        <f>AVERAGE('25.10.19 CYANIKA-KISORO-24h'!H29)</f>
        <v>0</v>
      </c>
      <c r="I69" s="49">
        <f>AVERAGE('25.10.19 CYANIKA-KISORO-24h'!I29)</f>
        <v>0</v>
      </c>
      <c r="J69" s="49">
        <f>AVERAGE('25.10.19 CYANIKA-KISORO-24h'!J29)</f>
        <v>0</v>
      </c>
      <c r="K69" s="49">
        <f>AVERAGE('25.10.19 CYANIKA-KISORO-24h'!K29)</f>
        <v>0</v>
      </c>
      <c r="L69" s="49">
        <f>AVERAGE('25.10.19 CYANIKA-KISORO-24h'!L29)</f>
        <v>0</v>
      </c>
      <c r="M69" s="49">
        <f>AVERAGE('25.10.19 KISORO-CYANIKA-24h'!M69)</f>
        <v>11</v>
      </c>
      <c r="N69" s="49">
        <f>AVERAGE('25.10.19 CYANIKA-KISORO-24h'!N29)</f>
        <v>0</v>
      </c>
      <c r="O69" s="15">
        <f t="shared" si="0"/>
        <v>6</v>
      </c>
      <c r="P69" s="15">
        <f t="shared" si="1"/>
        <v>17</v>
      </c>
      <c r="R69" s="8"/>
      <c r="T69"/>
    </row>
    <row r="70" spans="2:20" ht="23.1" customHeight="1" x14ac:dyDescent="0.25">
      <c r="B70" s="23" t="s">
        <v>110</v>
      </c>
      <c r="C70" s="49">
        <f>AVERAGE('25.10.19 CYANIKA-KISORO-24h'!C30)</f>
        <v>5</v>
      </c>
      <c r="D70" s="49">
        <f>AVERAGE('25.10.19 CYANIKA-KISORO-24h'!D30)</f>
        <v>0</v>
      </c>
      <c r="E70" s="49">
        <f>AVERAGE('25.10.19 CYANIKA-KISORO-24h'!E30)</f>
        <v>0</v>
      </c>
      <c r="F70" s="49">
        <f>AVERAGE('25.10.19 CYANIKA-KISORO-24h'!F30)</f>
        <v>1</v>
      </c>
      <c r="G70" s="49">
        <f>AVERAGE('25.10.19 CYANIKA-KISORO-24h'!G30)</f>
        <v>0</v>
      </c>
      <c r="H70" s="49">
        <f>AVERAGE('25.10.19 CYANIKA-KISORO-24h'!H30)</f>
        <v>0</v>
      </c>
      <c r="I70" s="49">
        <f>AVERAGE('25.10.19 CYANIKA-KISORO-24h'!I30)</f>
        <v>0</v>
      </c>
      <c r="J70" s="49">
        <f>AVERAGE('25.10.19 CYANIKA-KISORO-24h'!J30)</f>
        <v>1</v>
      </c>
      <c r="K70" s="49">
        <f>AVERAGE('25.10.19 CYANIKA-KISORO-24h'!K30)</f>
        <v>0</v>
      </c>
      <c r="L70" s="49">
        <f>AVERAGE('25.10.19 CYANIKA-KISORO-24h'!L30)</f>
        <v>0</v>
      </c>
      <c r="M70" s="49">
        <f>AVERAGE('25.10.19 KISORO-CYANIKA-24h'!M70)</f>
        <v>8</v>
      </c>
      <c r="N70" s="49">
        <f>AVERAGE('25.10.19 CYANIKA-KISORO-24h'!N30)</f>
        <v>0</v>
      </c>
      <c r="O70" s="15">
        <f t="shared" si="0"/>
        <v>7</v>
      </c>
      <c r="P70" s="15">
        <f t="shared" si="1"/>
        <v>15</v>
      </c>
      <c r="R70" s="8"/>
      <c r="T70"/>
    </row>
    <row r="71" spans="2:20" ht="23.1" customHeight="1" x14ac:dyDescent="0.25">
      <c r="B71" s="23" t="s">
        <v>111</v>
      </c>
      <c r="C71" s="49">
        <f>AVERAGE('25.10.19 CYANIKA-KISORO-24h'!C31)</f>
        <v>0</v>
      </c>
      <c r="D71" s="49">
        <f>AVERAGE('25.10.19 CYANIKA-KISORO-24h'!D31)</f>
        <v>0</v>
      </c>
      <c r="E71" s="49">
        <f>AVERAGE('25.10.19 CYANIKA-KISORO-24h'!E31)</f>
        <v>2</v>
      </c>
      <c r="F71" s="49">
        <f>AVERAGE('25.10.19 CYANIKA-KISORO-24h'!F31)</f>
        <v>0</v>
      </c>
      <c r="G71" s="49">
        <f>AVERAGE('25.10.19 CYANIKA-KISORO-24h'!G31)</f>
        <v>0</v>
      </c>
      <c r="H71" s="49">
        <f>AVERAGE('25.10.19 CYANIKA-KISORO-24h'!H31)</f>
        <v>0</v>
      </c>
      <c r="I71" s="49">
        <f>AVERAGE('25.10.19 CYANIKA-KISORO-24h'!I31)</f>
        <v>0</v>
      </c>
      <c r="J71" s="49">
        <f>AVERAGE('25.10.19 CYANIKA-KISORO-24h'!J31)</f>
        <v>0</v>
      </c>
      <c r="K71" s="49">
        <f>AVERAGE('25.10.19 CYANIKA-KISORO-24h'!K31)</f>
        <v>0</v>
      </c>
      <c r="L71" s="49">
        <f>AVERAGE('25.10.19 CYANIKA-KISORO-24h'!L31)</f>
        <v>0</v>
      </c>
      <c r="M71" s="49">
        <f>AVERAGE('25.10.19 KISORO-CYANIKA-24h'!M71)</f>
        <v>10</v>
      </c>
      <c r="N71" s="49">
        <f>AVERAGE('25.10.19 CYANIKA-KISORO-24h'!N31)</f>
        <v>0</v>
      </c>
      <c r="O71" s="15">
        <f t="shared" si="0"/>
        <v>2</v>
      </c>
      <c r="P71" s="15">
        <f t="shared" si="1"/>
        <v>12</v>
      </c>
      <c r="R71" s="8"/>
      <c r="T71"/>
    </row>
    <row r="72" spans="2:20" ht="23.1" customHeight="1" x14ac:dyDescent="0.25">
      <c r="B72" s="23" t="s">
        <v>112</v>
      </c>
      <c r="C72" s="49">
        <f>AVERAGE('25.10.19 CYANIKA-KISORO-24h'!C32)</f>
        <v>2</v>
      </c>
      <c r="D72" s="49">
        <f>AVERAGE('25.10.19 CYANIKA-KISORO-24h'!D32)</f>
        <v>0</v>
      </c>
      <c r="E72" s="49">
        <f>AVERAGE('25.10.19 CYANIKA-KISORO-24h'!E32)</f>
        <v>1</v>
      </c>
      <c r="F72" s="49">
        <f>AVERAGE('25.10.19 CYANIKA-KISORO-24h'!F32)</f>
        <v>0</v>
      </c>
      <c r="G72" s="49">
        <f>AVERAGE('25.10.19 CYANIKA-KISORO-24h'!G32)</f>
        <v>0</v>
      </c>
      <c r="H72" s="49">
        <f>AVERAGE('25.10.19 CYANIKA-KISORO-24h'!H32)</f>
        <v>0</v>
      </c>
      <c r="I72" s="49">
        <f>AVERAGE('25.10.19 CYANIKA-KISORO-24h'!I32)</f>
        <v>1</v>
      </c>
      <c r="J72" s="49">
        <f>AVERAGE('25.10.19 CYANIKA-KISORO-24h'!J32)</f>
        <v>0</v>
      </c>
      <c r="K72" s="49">
        <f>AVERAGE('25.10.19 CYANIKA-KISORO-24h'!K32)</f>
        <v>0</v>
      </c>
      <c r="L72" s="49">
        <f>AVERAGE('25.10.19 CYANIKA-KISORO-24h'!L32)</f>
        <v>0</v>
      </c>
      <c r="M72" s="49">
        <f>AVERAGE('25.10.19 KISORO-CYANIKA-24h'!M72)</f>
        <v>4</v>
      </c>
      <c r="N72" s="49">
        <f>AVERAGE('25.10.19 CYANIKA-KISORO-24h'!N32)</f>
        <v>0</v>
      </c>
      <c r="O72" s="15">
        <f t="shared" si="0"/>
        <v>4</v>
      </c>
      <c r="P72" s="15">
        <f t="shared" si="1"/>
        <v>8</v>
      </c>
      <c r="R72" s="8"/>
      <c r="T72"/>
    </row>
    <row r="73" spans="2:20" ht="23.1" customHeight="1" x14ac:dyDescent="0.25">
      <c r="B73" s="23" t="s">
        <v>113</v>
      </c>
      <c r="C73" s="49">
        <f>AVERAGE('25.10.19 CYANIKA-KISORO-24h'!C33)</f>
        <v>1</v>
      </c>
      <c r="D73" s="49">
        <f>AVERAGE('25.10.19 CYANIKA-KISORO-24h'!D33)</f>
        <v>0</v>
      </c>
      <c r="E73" s="49">
        <f>AVERAGE('25.10.19 CYANIKA-KISORO-24h'!E33)</f>
        <v>1</v>
      </c>
      <c r="F73" s="49">
        <f>AVERAGE('25.10.19 CYANIKA-KISORO-24h'!F33)</f>
        <v>0</v>
      </c>
      <c r="G73" s="49">
        <f>AVERAGE('25.10.19 CYANIKA-KISORO-24h'!G33)</f>
        <v>0</v>
      </c>
      <c r="H73" s="49">
        <f>AVERAGE('25.10.19 CYANIKA-KISORO-24h'!H33)</f>
        <v>0</v>
      </c>
      <c r="I73" s="49">
        <f>AVERAGE('25.10.19 CYANIKA-KISORO-24h'!I33)</f>
        <v>0</v>
      </c>
      <c r="J73" s="49">
        <f>AVERAGE('25.10.19 CYANIKA-KISORO-24h'!J33)</f>
        <v>0</v>
      </c>
      <c r="K73" s="49">
        <f>AVERAGE('25.10.19 CYANIKA-KISORO-24h'!K33)</f>
        <v>0</v>
      </c>
      <c r="L73" s="49">
        <f>AVERAGE('25.10.19 CYANIKA-KISORO-24h'!L33)</f>
        <v>0</v>
      </c>
      <c r="M73" s="49">
        <f>AVERAGE('25.10.19 KISORO-CYANIKA-24h'!M73)</f>
        <v>6</v>
      </c>
      <c r="N73" s="49">
        <f>AVERAGE('25.10.19 CYANIKA-KISORO-24h'!N33)</f>
        <v>0</v>
      </c>
      <c r="O73" s="15">
        <f t="shared" si="0"/>
        <v>2</v>
      </c>
      <c r="P73" s="15">
        <f t="shared" si="1"/>
        <v>8</v>
      </c>
      <c r="R73" s="8"/>
      <c r="T73"/>
    </row>
    <row r="74" spans="2:20" ht="23.1" customHeight="1" x14ac:dyDescent="0.25">
      <c r="B74" s="23" t="s">
        <v>114</v>
      </c>
      <c r="C74" s="49">
        <f>AVERAGE('25.10.19 CYANIKA-KISORO-24h'!C34)</f>
        <v>2</v>
      </c>
      <c r="D74" s="49">
        <f>AVERAGE('25.10.19 CYANIKA-KISORO-24h'!D34)</f>
        <v>0</v>
      </c>
      <c r="E74" s="49">
        <f>AVERAGE('25.10.19 CYANIKA-KISORO-24h'!E34)</f>
        <v>2</v>
      </c>
      <c r="F74" s="49">
        <f>AVERAGE('25.10.19 CYANIKA-KISORO-24h'!F34)</f>
        <v>0</v>
      </c>
      <c r="G74" s="49">
        <f>AVERAGE('25.10.19 CYANIKA-KISORO-24h'!G34)</f>
        <v>0</v>
      </c>
      <c r="H74" s="49">
        <f>AVERAGE('25.10.19 CYANIKA-KISORO-24h'!H34)</f>
        <v>0</v>
      </c>
      <c r="I74" s="49">
        <f>AVERAGE('25.10.19 CYANIKA-KISORO-24h'!I34)</f>
        <v>0</v>
      </c>
      <c r="J74" s="49">
        <f>AVERAGE('25.10.19 CYANIKA-KISORO-24h'!J34)</f>
        <v>0</v>
      </c>
      <c r="K74" s="49">
        <f>AVERAGE('25.10.19 CYANIKA-KISORO-24h'!K34)</f>
        <v>0</v>
      </c>
      <c r="L74" s="49">
        <f>AVERAGE('25.10.19 CYANIKA-KISORO-24h'!L34)</f>
        <v>0</v>
      </c>
      <c r="M74" s="49">
        <f>AVERAGE('25.10.19 KISORO-CYANIKA-24h'!M74)</f>
        <v>3</v>
      </c>
      <c r="N74" s="49">
        <f>AVERAGE('25.10.19 CYANIKA-KISORO-24h'!N34)</f>
        <v>0</v>
      </c>
      <c r="O74" s="15">
        <f t="shared" ref="O74:O105" si="35">SUM(C74:L74,N74)</f>
        <v>4</v>
      </c>
      <c r="P74" s="15">
        <f t="shared" ref="P74:P105" si="36">SUM(C74:N74)</f>
        <v>7</v>
      </c>
      <c r="R74" s="8"/>
      <c r="T74"/>
    </row>
    <row r="75" spans="2:20" ht="23.1" customHeight="1" x14ac:dyDescent="0.25">
      <c r="B75" s="23" t="s">
        <v>115</v>
      </c>
      <c r="C75" s="49">
        <f>AVERAGE('25.10.19 CYANIKA-KISORO-24h'!C35)</f>
        <v>0</v>
      </c>
      <c r="D75" s="49">
        <f>AVERAGE('25.10.19 CYANIKA-KISORO-24h'!D35)</f>
        <v>2</v>
      </c>
      <c r="E75" s="49">
        <f>AVERAGE('25.10.19 CYANIKA-KISORO-24h'!E35)</f>
        <v>0</v>
      </c>
      <c r="F75" s="49">
        <f>AVERAGE('25.10.19 CYANIKA-KISORO-24h'!F35)</f>
        <v>1</v>
      </c>
      <c r="G75" s="49">
        <f>AVERAGE('25.10.19 CYANIKA-KISORO-24h'!G35)</f>
        <v>0</v>
      </c>
      <c r="H75" s="49">
        <f>AVERAGE('25.10.19 CYANIKA-KISORO-24h'!H35)</f>
        <v>0</v>
      </c>
      <c r="I75" s="49">
        <f>AVERAGE('25.10.19 CYANIKA-KISORO-24h'!I35)</f>
        <v>0</v>
      </c>
      <c r="J75" s="49">
        <f>AVERAGE('25.10.19 CYANIKA-KISORO-24h'!J35)</f>
        <v>0</v>
      </c>
      <c r="K75" s="49">
        <f>AVERAGE('25.10.19 CYANIKA-KISORO-24h'!K35)</f>
        <v>0</v>
      </c>
      <c r="L75" s="49">
        <f>AVERAGE('25.10.19 CYANIKA-KISORO-24h'!L35)</f>
        <v>0</v>
      </c>
      <c r="M75" s="49">
        <f>AVERAGE('25.10.19 KISORO-CYANIKA-24h'!M75)</f>
        <v>4</v>
      </c>
      <c r="N75" s="49">
        <f>AVERAGE('25.10.19 CYANIKA-KISORO-24h'!N35)</f>
        <v>0</v>
      </c>
      <c r="O75" s="15">
        <f t="shared" si="35"/>
        <v>3</v>
      </c>
      <c r="P75" s="15">
        <f t="shared" si="36"/>
        <v>7</v>
      </c>
      <c r="R75" s="8"/>
      <c r="T75"/>
    </row>
    <row r="76" spans="2:20" ht="23.1" customHeight="1" x14ac:dyDescent="0.25">
      <c r="B76" s="23" t="s">
        <v>116</v>
      </c>
      <c r="C76" s="49">
        <f>AVERAGE('25.10.19 CYANIKA-KISORO-24h'!C36)</f>
        <v>2</v>
      </c>
      <c r="D76" s="49">
        <f>AVERAGE('25.10.19 CYANIKA-KISORO-24h'!D36)</f>
        <v>2</v>
      </c>
      <c r="E76" s="49">
        <f>AVERAGE('25.10.19 CYANIKA-KISORO-24h'!E36)</f>
        <v>2</v>
      </c>
      <c r="F76" s="49">
        <f>AVERAGE('25.10.19 CYANIKA-KISORO-24h'!F36)</f>
        <v>0</v>
      </c>
      <c r="G76" s="49">
        <f>AVERAGE('25.10.19 CYANIKA-KISORO-24h'!G36)</f>
        <v>0</v>
      </c>
      <c r="H76" s="49">
        <f>AVERAGE('25.10.19 CYANIKA-KISORO-24h'!H36)</f>
        <v>0</v>
      </c>
      <c r="I76" s="49">
        <f>AVERAGE('25.10.19 CYANIKA-KISORO-24h'!I36)</f>
        <v>0</v>
      </c>
      <c r="J76" s="49">
        <f>AVERAGE('25.10.19 CYANIKA-KISORO-24h'!J36)</f>
        <v>0</v>
      </c>
      <c r="K76" s="49">
        <f>AVERAGE('25.10.19 CYANIKA-KISORO-24h'!K36)</f>
        <v>0</v>
      </c>
      <c r="L76" s="49">
        <f>AVERAGE('25.10.19 CYANIKA-KISORO-24h'!L36)</f>
        <v>0</v>
      </c>
      <c r="M76" s="49">
        <f>AVERAGE('25.10.19 KISORO-CYANIKA-24h'!M76)</f>
        <v>2</v>
      </c>
      <c r="N76" s="49">
        <f>AVERAGE('25.10.19 CYANIKA-KISORO-24h'!N36)</f>
        <v>0</v>
      </c>
      <c r="O76" s="15">
        <f t="shared" si="35"/>
        <v>6</v>
      </c>
      <c r="P76" s="15">
        <f t="shared" si="36"/>
        <v>8</v>
      </c>
      <c r="R76" s="8"/>
      <c r="T76"/>
    </row>
    <row r="77" spans="2:20" ht="23.1" customHeight="1" x14ac:dyDescent="0.25">
      <c r="B77" s="23" t="s">
        <v>117</v>
      </c>
      <c r="C77" s="49">
        <f>AVERAGE('25.10.19 CYANIKA-KISORO-24h'!C37)</f>
        <v>1</v>
      </c>
      <c r="D77" s="49">
        <f>AVERAGE('25.10.19 CYANIKA-KISORO-24h'!D37)</f>
        <v>3</v>
      </c>
      <c r="E77" s="49">
        <f>AVERAGE('25.10.19 CYANIKA-KISORO-24h'!E37)</f>
        <v>0</v>
      </c>
      <c r="F77" s="49">
        <f>AVERAGE('25.10.19 CYANIKA-KISORO-24h'!F37)</f>
        <v>0</v>
      </c>
      <c r="G77" s="49">
        <f>AVERAGE('25.10.19 CYANIKA-KISORO-24h'!G37)</f>
        <v>0</v>
      </c>
      <c r="H77" s="49">
        <f>AVERAGE('25.10.19 CYANIKA-KISORO-24h'!H37)</f>
        <v>0</v>
      </c>
      <c r="I77" s="49">
        <f>AVERAGE('25.10.19 CYANIKA-KISORO-24h'!I37)</f>
        <v>1</v>
      </c>
      <c r="J77" s="49">
        <f>AVERAGE('25.10.19 CYANIKA-KISORO-24h'!J37)</f>
        <v>2</v>
      </c>
      <c r="K77" s="49">
        <f>AVERAGE('25.10.19 CYANIKA-KISORO-24h'!K37)</f>
        <v>0</v>
      </c>
      <c r="L77" s="49">
        <f>AVERAGE('25.10.19 CYANIKA-KISORO-24h'!L37)</f>
        <v>0</v>
      </c>
      <c r="M77" s="49">
        <f>AVERAGE('25.10.19 KISORO-CYANIKA-24h'!M77)</f>
        <v>2</v>
      </c>
      <c r="N77" s="49">
        <f>AVERAGE('25.10.19 CYANIKA-KISORO-24h'!N37)</f>
        <v>0</v>
      </c>
      <c r="O77" s="15">
        <f t="shared" si="35"/>
        <v>7</v>
      </c>
      <c r="P77" s="15">
        <f t="shared" si="36"/>
        <v>9</v>
      </c>
      <c r="R77" s="8"/>
      <c r="T77"/>
    </row>
    <row r="78" spans="2:20" ht="23.1" customHeight="1" x14ac:dyDescent="0.25">
      <c r="B78" s="24" t="s">
        <v>118</v>
      </c>
      <c r="C78" s="49">
        <f>AVERAGE('25.10.19 CYANIKA-KISORO-24h'!C38)</f>
        <v>2</v>
      </c>
      <c r="D78" s="49">
        <f>AVERAGE('25.10.19 CYANIKA-KISORO-24h'!D38)</f>
        <v>0</v>
      </c>
      <c r="E78" s="49">
        <f>AVERAGE('25.10.19 CYANIKA-KISORO-24h'!E38)</f>
        <v>2</v>
      </c>
      <c r="F78" s="49">
        <f>AVERAGE('25.10.19 CYANIKA-KISORO-24h'!F38)</f>
        <v>0</v>
      </c>
      <c r="G78" s="49">
        <f>AVERAGE('25.10.19 CYANIKA-KISORO-24h'!G38)</f>
        <v>0</v>
      </c>
      <c r="H78" s="49">
        <f>AVERAGE('25.10.19 CYANIKA-KISORO-24h'!H38)</f>
        <v>0</v>
      </c>
      <c r="I78" s="49">
        <f>AVERAGE('25.10.19 CYANIKA-KISORO-24h'!I38)</f>
        <v>1</v>
      </c>
      <c r="J78" s="49">
        <f>AVERAGE('25.10.19 CYANIKA-KISORO-24h'!J38)</f>
        <v>1</v>
      </c>
      <c r="K78" s="49">
        <f>AVERAGE('25.10.19 CYANIKA-KISORO-24h'!K38)</f>
        <v>0</v>
      </c>
      <c r="L78" s="49">
        <f>AVERAGE('25.10.19 CYANIKA-KISORO-24h'!L38)</f>
        <v>0</v>
      </c>
      <c r="M78" s="49">
        <f>AVERAGE('25.10.19 KISORO-CYANIKA-24h'!M78)</f>
        <v>1</v>
      </c>
      <c r="N78" s="49">
        <f>AVERAGE('25.10.19 CYANIKA-KISORO-24h'!N38)</f>
        <v>0</v>
      </c>
      <c r="O78" s="15">
        <f t="shared" si="35"/>
        <v>6</v>
      </c>
      <c r="P78" s="15">
        <f t="shared" si="36"/>
        <v>7</v>
      </c>
      <c r="R78" s="8"/>
      <c r="T78"/>
    </row>
    <row r="79" spans="2:20" ht="23.1" customHeight="1" x14ac:dyDescent="0.25">
      <c r="B79" s="23" t="s">
        <v>119</v>
      </c>
      <c r="C79" s="49">
        <f>AVERAGE('25.10.19 CYANIKA-KISORO-24h'!C39)</f>
        <v>2</v>
      </c>
      <c r="D79" s="49">
        <f>AVERAGE('25.10.19 CYANIKA-KISORO-24h'!D39)</f>
        <v>0</v>
      </c>
      <c r="E79" s="49">
        <f>AVERAGE('25.10.19 CYANIKA-KISORO-24h'!E39)</f>
        <v>0</v>
      </c>
      <c r="F79" s="49">
        <f>AVERAGE('25.10.19 CYANIKA-KISORO-24h'!F39)</f>
        <v>0</v>
      </c>
      <c r="G79" s="49">
        <f>AVERAGE('25.10.19 CYANIKA-KISORO-24h'!G39)</f>
        <v>0</v>
      </c>
      <c r="H79" s="49">
        <f>AVERAGE('25.10.19 CYANIKA-KISORO-24h'!H39)</f>
        <v>0</v>
      </c>
      <c r="I79" s="49">
        <f>AVERAGE('25.10.19 CYANIKA-KISORO-24h'!I39)</f>
        <v>0</v>
      </c>
      <c r="J79" s="49">
        <f>AVERAGE('25.10.19 CYANIKA-KISORO-24h'!J39)</f>
        <v>0</v>
      </c>
      <c r="K79" s="49">
        <f>AVERAGE('25.10.19 CYANIKA-KISORO-24h'!K39)</f>
        <v>0</v>
      </c>
      <c r="L79" s="49">
        <f>AVERAGE('25.10.19 CYANIKA-KISORO-24h'!L39)</f>
        <v>0</v>
      </c>
      <c r="M79" s="49">
        <f>AVERAGE('25.10.19 KISORO-CYANIKA-24h'!M79)</f>
        <v>0</v>
      </c>
      <c r="N79" s="49">
        <f>AVERAGE('25.10.19 CYANIKA-KISORO-24h'!N39)</f>
        <v>0</v>
      </c>
      <c r="O79" s="15">
        <f t="shared" si="35"/>
        <v>2</v>
      </c>
      <c r="P79" s="15">
        <f t="shared" si="36"/>
        <v>2</v>
      </c>
      <c r="R79" s="8"/>
      <c r="T79"/>
    </row>
    <row r="80" spans="2:20" ht="23.1" customHeight="1" x14ac:dyDescent="0.25">
      <c r="B80" s="25" t="s">
        <v>120</v>
      </c>
      <c r="C80" s="49">
        <f>AVERAGE('25.10.19 CYANIKA-KISORO-24h'!C40)</f>
        <v>0</v>
      </c>
      <c r="D80" s="49">
        <f>AVERAGE('25.10.19 CYANIKA-KISORO-24h'!D40)</f>
        <v>1</v>
      </c>
      <c r="E80" s="49">
        <f>AVERAGE('25.10.19 CYANIKA-KISORO-24h'!E40)</f>
        <v>2</v>
      </c>
      <c r="F80" s="49">
        <f>AVERAGE('25.10.19 CYANIKA-KISORO-24h'!F40)</f>
        <v>0</v>
      </c>
      <c r="G80" s="49">
        <f>AVERAGE('25.10.19 CYANIKA-KISORO-24h'!G40)</f>
        <v>0</v>
      </c>
      <c r="H80" s="49">
        <f>AVERAGE('25.10.19 CYANIKA-KISORO-24h'!H40)</f>
        <v>0</v>
      </c>
      <c r="I80" s="49">
        <f>AVERAGE('25.10.19 CYANIKA-KISORO-24h'!I40)</f>
        <v>0</v>
      </c>
      <c r="J80" s="49">
        <f>AVERAGE('25.10.19 CYANIKA-KISORO-24h'!J40)</f>
        <v>0</v>
      </c>
      <c r="K80" s="49">
        <f>AVERAGE('25.10.19 CYANIKA-KISORO-24h'!K40)</f>
        <v>0</v>
      </c>
      <c r="L80" s="49">
        <f>AVERAGE('25.10.19 CYANIKA-KISORO-24h'!L40)</f>
        <v>0</v>
      </c>
      <c r="M80" s="49">
        <f>AVERAGE('25.10.19 KISORO-CYANIKA-24h'!M80)</f>
        <v>1</v>
      </c>
      <c r="N80" s="49">
        <f>AVERAGE('25.10.19 CYANIKA-KISORO-24h'!N40)</f>
        <v>0</v>
      </c>
      <c r="O80" s="15">
        <f t="shared" si="35"/>
        <v>3</v>
      </c>
      <c r="P80" s="15">
        <f t="shared" si="36"/>
        <v>4</v>
      </c>
      <c r="R80" s="8"/>
      <c r="T80"/>
    </row>
    <row r="81" spans="2:20" ht="23.1" customHeight="1" x14ac:dyDescent="0.25">
      <c r="B81" s="23" t="s">
        <v>121</v>
      </c>
      <c r="C81" s="49">
        <f>AVERAGE('25.10.19 CYANIKA-KISORO-24h'!C41)</f>
        <v>1</v>
      </c>
      <c r="D81" s="49">
        <f>AVERAGE('25.10.19 CYANIKA-KISORO-24h'!D41)</f>
        <v>1</v>
      </c>
      <c r="E81" s="49">
        <f>AVERAGE('25.10.19 CYANIKA-KISORO-24h'!E41)</f>
        <v>0</v>
      </c>
      <c r="F81" s="49">
        <f>AVERAGE('25.10.19 CYANIKA-KISORO-24h'!F41)</f>
        <v>0</v>
      </c>
      <c r="G81" s="49">
        <f>AVERAGE('25.10.19 CYANIKA-KISORO-24h'!G41)</f>
        <v>0</v>
      </c>
      <c r="H81" s="49">
        <f>AVERAGE('25.10.19 CYANIKA-KISORO-24h'!H41)</f>
        <v>0</v>
      </c>
      <c r="I81" s="49">
        <f>AVERAGE('25.10.19 CYANIKA-KISORO-24h'!I41)</f>
        <v>1</v>
      </c>
      <c r="J81" s="49">
        <f>AVERAGE('25.10.19 CYANIKA-KISORO-24h'!J41)</f>
        <v>1</v>
      </c>
      <c r="K81" s="49">
        <f>AVERAGE('25.10.19 CYANIKA-KISORO-24h'!K41)</f>
        <v>0</v>
      </c>
      <c r="L81" s="49">
        <f>AVERAGE('25.10.19 CYANIKA-KISORO-24h'!L41)</f>
        <v>0</v>
      </c>
      <c r="M81" s="49">
        <f>AVERAGE('25.10.19 KISORO-CYANIKA-24h'!M81)</f>
        <v>0</v>
      </c>
      <c r="N81" s="49">
        <f>AVERAGE('25.10.19 CYANIKA-KISORO-24h'!N41)</f>
        <v>0</v>
      </c>
      <c r="O81" s="15">
        <f t="shared" si="35"/>
        <v>4</v>
      </c>
      <c r="P81" s="15">
        <f t="shared" si="36"/>
        <v>4</v>
      </c>
      <c r="R81" s="8"/>
      <c r="T81"/>
    </row>
    <row r="82" spans="2:20" ht="23.1" customHeight="1" x14ac:dyDescent="0.25">
      <c r="B82" s="24" t="s">
        <v>122</v>
      </c>
      <c r="C82" s="49">
        <f>AVERAGE('25.10.19 CYANIKA-KISORO-24h'!C42)</f>
        <v>0</v>
      </c>
      <c r="D82" s="49">
        <f>AVERAGE('25.10.19 CYANIKA-KISORO-24h'!D42)</f>
        <v>0</v>
      </c>
      <c r="E82" s="49">
        <f>AVERAGE('25.10.19 CYANIKA-KISORO-24h'!E42)</f>
        <v>1</v>
      </c>
      <c r="F82" s="49">
        <f>AVERAGE('25.10.19 CYANIKA-KISORO-24h'!F42)</f>
        <v>0</v>
      </c>
      <c r="G82" s="49">
        <f>AVERAGE('25.10.19 CYANIKA-KISORO-24h'!G42)</f>
        <v>0</v>
      </c>
      <c r="H82" s="49">
        <f>AVERAGE('25.10.19 CYANIKA-KISORO-24h'!H42)</f>
        <v>0</v>
      </c>
      <c r="I82" s="49">
        <f>AVERAGE('25.10.19 CYANIKA-KISORO-24h'!I42)</f>
        <v>0</v>
      </c>
      <c r="J82" s="49">
        <f>AVERAGE('25.10.19 CYANIKA-KISORO-24h'!J42)</f>
        <v>1</v>
      </c>
      <c r="K82" s="49">
        <f>AVERAGE('25.10.19 CYANIKA-KISORO-24h'!K42)</f>
        <v>0</v>
      </c>
      <c r="L82" s="49">
        <f>AVERAGE('25.10.19 CYANIKA-KISORO-24h'!L42)</f>
        <v>0</v>
      </c>
      <c r="M82" s="49">
        <f>AVERAGE('25.10.19 KISORO-CYANIKA-24h'!M82)</f>
        <v>1</v>
      </c>
      <c r="N82" s="49">
        <f>AVERAGE('25.10.19 CYANIKA-KISORO-24h'!N42)</f>
        <v>0</v>
      </c>
      <c r="O82" s="15">
        <f t="shared" si="35"/>
        <v>2</v>
      </c>
      <c r="P82" s="15">
        <f t="shared" si="36"/>
        <v>3</v>
      </c>
      <c r="R82" s="8"/>
      <c r="T82"/>
    </row>
    <row r="83" spans="2:20" ht="23.1" customHeight="1" x14ac:dyDescent="0.25">
      <c r="B83" s="23" t="s">
        <v>123</v>
      </c>
      <c r="C83" s="49">
        <f>AVERAGE('25.10.19 CYANIKA-KISORO-24h'!C43)</f>
        <v>1</v>
      </c>
      <c r="D83" s="49">
        <f>AVERAGE('25.10.19 CYANIKA-KISORO-24h'!D43)</f>
        <v>1</v>
      </c>
      <c r="E83" s="49">
        <f>AVERAGE('25.10.19 CYANIKA-KISORO-24h'!E43)</f>
        <v>1</v>
      </c>
      <c r="F83" s="49">
        <f>AVERAGE('25.10.19 CYANIKA-KISORO-24h'!F43)</f>
        <v>0</v>
      </c>
      <c r="G83" s="49">
        <f>AVERAGE('25.10.19 CYANIKA-KISORO-24h'!G43)</f>
        <v>0</v>
      </c>
      <c r="H83" s="49">
        <f>AVERAGE('25.10.19 CYANIKA-KISORO-24h'!H43)</f>
        <v>0</v>
      </c>
      <c r="I83" s="49">
        <f>AVERAGE('25.10.19 CYANIKA-KISORO-24h'!I43)</f>
        <v>0</v>
      </c>
      <c r="J83" s="49">
        <f>AVERAGE('25.10.19 CYANIKA-KISORO-24h'!J43)</f>
        <v>1</v>
      </c>
      <c r="K83" s="49">
        <f>AVERAGE('25.10.19 CYANIKA-KISORO-24h'!K43)</f>
        <v>0</v>
      </c>
      <c r="L83" s="49">
        <f>AVERAGE('25.10.19 CYANIKA-KISORO-24h'!L43)</f>
        <v>0</v>
      </c>
      <c r="M83" s="49">
        <f>AVERAGE('25.10.19 KISORO-CYANIKA-24h'!M83)</f>
        <v>0</v>
      </c>
      <c r="N83" s="49">
        <f>AVERAGE('25.10.19 CYANIKA-KISORO-24h'!N43)</f>
        <v>0</v>
      </c>
      <c r="O83" s="15">
        <f t="shared" si="35"/>
        <v>4</v>
      </c>
      <c r="P83" s="15">
        <f t="shared" si="36"/>
        <v>4</v>
      </c>
      <c r="R83" s="8"/>
      <c r="T83"/>
    </row>
    <row r="84" spans="2:20" ht="23.1" customHeight="1" x14ac:dyDescent="0.25">
      <c r="B84" s="25" t="s">
        <v>124</v>
      </c>
      <c r="C84" s="49">
        <f>AVERAGE('25.10.19 CYANIKA-KISORO-24h'!C44)</f>
        <v>4</v>
      </c>
      <c r="D84" s="49">
        <f>AVERAGE('25.10.19 CYANIKA-KISORO-24h'!D44)</f>
        <v>3</v>
      </c>
      <c r="E84" s="49">
        <f>AVERAGE('25.10.19 CYANIKA-KISORO-24h'!E44)</f>
        <v>0</v>
      </c>
      <c r="F84" s="49">
        <f>AVERAGE('25.10.19 CYANIKA-KISORO-24h'!F44)</f>
        <v>0</v>
      </c>
      <c r="G84" s="49">
        <f>AVERAGE('25.10.19 CYANIKA-KISORO-24h'!G44)</f>
        <v>0</v>
      </c>
      <c r="H84" s="49">
        <f>AVERAGE('25.10.19 CYANIKA-KISORO-24h'!H44)</f>
        <v>0</v>
      </c>
      <c r="I84" s="49">
        <f>AVERAGE('25.10.19 CYANIKA-KISORO-24h'!I44)</f>
        <v>0</v>
      </c>
      <c r="J84" s="49">
        <f>AVERAGE('25.10.19 CYANIKA-KISORO-24h'!J44)</f>
        <v>0</v>
      </c>
      <c r="K84" s="49">
        <f>AVERAGE('25.10.19 CYANIKA-KISORO-24h'!K44)</f>
        <v>0</v>
      </c>
      <c r="L84" s="49">
        <f>AVERAGE('25.10.19 CYANIKA-KISORO-24h'!L44)</f>
        <v>0</v>
      </c>
      <c r="M84" s="49">
        <f>AVERAGE('25.10.19 KISORO-CYANIKA-24h'!M84)</f>
        <v>0</v>
      </c>
      <c r="N84" s="49">
        <f>AVERAGE('25.10.19 CYANIKA-KISORO-24h'!N44)</f>
        <v>0</v>
      </c>
      <c r="O84" s="15">
        <f t="shared" si="35"/>
        <v>7</v>
      </c>
      <c r="P84" s="15">
        <f t="shared" si="36"/>
        <v>7</v>
      </c>
      <c r="R84" s="8"/>
      <c r="T84"/>
    </row>
    <row r="85" spans="2:20" ht="23.1" customHeight="1" x14ac:dyDescent="0.25">
      <c r="B85" s="23" t="s">
        <v>125</v>
      </c>
      <c r="C85" s="49">
        <f>AVERAGE('25.10.19 CYANIKA-KISORO-24h'!C45)</f>
        <v>0</v>
      </c>
      <c r="D85" s="49">
        <f>AVERAGE('25.10.19 CYANIKA-KISORO-24h'!D45)</f>
        <v>0</v>
      </c>
      <c r="E85" s="49">
        <f>AVERAGE('25.10.19 CYANIKA-KISORO-24h'!E45)</f>
        <v>0</v>
      </c>
      <c r="F85" s="49">
        <f>AVERAGE('25.10.19 CYANIKA-KISORO-24h'!F45)</f>
        <v>0</v>
      </c>
      <c r="G85" s="49">
        <f>AVERAGE('25.10.19 CYANIKA-KISORO-24h'!G45)</f>
        <v>0</v>
      </c>
      <c r="H85" s="49">
        <f>AVERAGE('25.10.19 CYANIKA-KISORO-24h'!H45)</f>
        <v>0</v>
      </c>
      <c r="I85" s="49">
        <f>AVERAGE('25.10.19 CYANIKA-KISORO-24h'!I45)</f>
        <v>0</v>
      </c>
      <c r="J85" s="49">
        <f>AVERAGE('25.10.19 CYANIKA-KISORO-24h'!J45)</f>
        <v>2</v>
      </c>
      <c r="K85" s="49">
        <f>AVERAGE('25.10.19 CYANIKA-KISORO-24h'!K45)</f>
        <v>0</v>
      </c>
      <c r="L85" s="49">
        <f>AVERAGE('25.10.19 CYANIKA-KISORO-24h'!L45)</f>
        <v>0</v>
      </c>
      <c r="M85" s="49">
        <f>AVERAGE('25.10.19 KISORO-CYANIKA-24h'!M85)</f>
        <v>0</v>
      </c>
      <c r="N85" s="49">
        <f>AVERAGE('25.10.19 CYANIKA-KISORO-24h'!N45)</f>
        <v>0</v>
      </c>
      <c r="O85" s="15">
        <f t="shared" si="35"/>
        <v>2</v>
      </c>
      <c r="P85" s="15">
        <f t="shared" si="36"/>
        <v>2</v>
      </c>
      <c r="R85" s="8"/>
      <c r="T85"/>
    </row>
    <row r="86" spans="2:20" ht="23.1" customHeight="1" x14ac:dyDescent="0.25">
      <c r="B86" s="24" t="s">
        <v>126</v>
      </c>
      <c r="C86" s="49">
        <f>AVERAGE('25.10.19 CYANIKA-KISORO-24h'!C46)</f>
        <v>4</v>
      </c>
      <c r="D86" s="49">
        <f>AVERAGE('25.10.19 CYANIKA-KISORO-24h'!D46)</f>
        <v>0</v>
      </c>
      <c r="E86" s="49">
        <f>AVERAGE('25.10.19 CYANIKA-KISORO-24h'!E46)</f>
        <v>1</v>
      </c>
      <c r="F86" s="49">
        <f>AVERAGE('25.10.19 CYANIKA-KISORO-24h'!F46)</f>
        <v>0</v>
      </c>
      <c r="G86" s="49">
        <f>AVERAGE('25.10.19 CYANIKA-KISORO-24h'!G46)</f>
        <v>0</v>
      </c>
      <c r="H86" s="49">
        <f>AVERAGE('25.10.19 CYANIKA-KISORO-24h'!H46)</f>
        <v>0</v>
      </c>
      <c r="I86" s="49">
        <f>AVERAGE('25.10.19 CYANIKA-KISORO-24h'!I46)</f>
        <v>0</v>
      </c>
      <c r="J86" s="49">
        <f>AVERAGE('25.10.19 CYANIKA-KISORO-24h'!J46)</f>
        <v>0</v>
      </c>
      <c r="K86" s="49">
        <f>AVERAGE('25.10.19 CYANIKA-KISORO-24h'!K46)</f>
        <v>0</v>
      </c>
      <c r="L86" s="49">
        <f>AVERAGE('25.10.19 CYANIKA-KISORO-24h'!L46)</f>
        <v>0</v>
      </c>
      <c r="M86" s="49">
        <f>AVERAGE('25.10.19 KISORO-CYANIKA-24h'!M86)</f>
        <v>0</v>
      </c>
      <c r="N86" s="49">
        <f>AVERAGE('25.10.19 CYANIKA-KISORO-24h'!N46)</f>
        <v>0</v>
      </c>
      <c r="O86" s="15">
        <f t="shared" si="35"/>
        <v>5</v>
      </c>
      <c r="P86" s="15">
        <f t="shared" si="36"/>
        <v>5</v>
      </c>
      <c r="R86" s="8"/>
      <c r="T86"/>
    </row>
    <row r="87" spans="2:20" ht="23.1" customHeight="1" x14ac:dyDescent="0.25">
      <c r="B87" s="23" t="s">
        <v>127</v>
      </c>
      <c r="C87" s="49">
        <f>AVERAGE('25.10.19 CYANIKA-KISORO-24h'!C47)</f>
        <v>2</v>
      </c>
      <c r="D87" s="49">
        <f>AVERAGE('25.10.19 CYANIKA-KISORO-24h'!D47)</f>
        <v>4</v>
      </c>
      <c r="E87" s="49">
        <f>AVERAGE('25.10.19 CYANIKA-KISORO-24h'!E47)</f>
        <v>1</v>
      </c>
      <c r="F87" s="49">
        <f>AVERAGE('25.10.19 CYANIKA-KISORO-24h'!F47)</f>
        <v>0</v>
      </c>
      <c r="G87" s="49">
        <f>AVERAGE('25.10.19 CYANIKA-KISORO-24h'!G47)</f>
        <v>0</v>
      </c>
      <c r="H87" s="49">
        <f>AVERAGE('25.10.19 CYANIKA-KISORO-24h'!H47)</f>
        <v>1</v>
      </c>
      <c r="I87" s="49">
        <f>AVERAGE('25.10.19 CYANIKA-KISORO-24h'!I47)</f>
        <v>0</v>
      </c>
      <c r="J87" s="49">
        <f>AVERAGE('25.10.19 CYANIKA-KISORO-24h'!J47)</f>
        <v>0</v>
      </c>
      <c r="K87" s="49">
        <f>AVERAGE('25.10.19 CYANIKA-KISORO-24h'!K47)</f>
        <v>0</v>
      </c>
      <c r="L87" s="49">
        <f>AVERAGE('25.10.19 CYANIKA-KISORO-24h'!L47)</f>
        <v>0</v>
      </c>
      <c r="M87" s="49">
        <f>AVERAGE('25.10.19 KISORO-CYANIKA-24h'!M87)</f>
        <v>0</v>
      </c>
      <c r="N87" s="49">
        <f>AVERAGE('25.10.19 CYANIKA-KISORO-24h'!N47)</f>
        <v>0</v>
      </c>
      <c r="O87" s="15">
        <f t="shared" si="35"/>
        <v>8</v>
      </c>
      <c r="P87" s="15">
        <f t="shared" si="36"/>
        <v>8</v>
      </c>
      <c r="R87" s="8"/>
      <c r="T87"/>
    </row>
    <row r="88" spans="2:20" ht="23.1" customHeight="1" x14ac:dyDescent="0.25">
      <c r="B88" s="25" t="s">
        <v>128</v>
      </c>
      <c r="C88" s="49">
        <f>AVERAGE('25.10.19 CYANIKA-KISORO-24h'!C48)</f>
        <v>2</v>
      </c>
      <c r="D88" s="49">
        <f>AVERAGE('25.10.19 CYANIKA-KISORO-24h'!D48)</f>
        <v>1</v>
      </c>
      <c r="E88" s="49">
        <f>AVERAGE('25.10.19 CYANIKA-KISORO-24h'!E48)</f>
        <v>0</v>
      </c>
      <c r="F88" s="49">
        <f>AVERAGE('25.10.19 CYANIKA-KISORO-24h'!F48)</f>
        <v>0</v>
      </c>
      <c r="G88" s="49">
        <f>AVERAGE('25.10.19 CYANIKA-KISORO-24h'!G48)</f>
        <v>0</v>
      </c>
      <c r="H88" s="49">
        <f>AVERAGE('25.10.19 CYANIKA-KISORO-24h'!H48)</f>
        <v>0</v>
      </c>
      <c r="I88" s="49">
        <f>AVERAGE('25.10.19 CYANIKA-KISORO-24h'!I48)</f>
        <v>0</v>
      </c>
      <c r="J88" s="49">
        <f>AVERAGE('25.10.19 CYANIKA-KISORO-24h'!J48)</f>
        <v>2</v>
      </c>
      <c r="K88" s="49">
        <f>AVERAGE('25.10.19 CYANIKA-KISORO-24h'!K48)</f>
        <v>0</v>
      </c>
      <c r="L88" s="49">
        <f>AVERAGE('25.10.19 CYANIKA-KISORO-24h'!L48)</f>
        <v>0</v>
      </c>
      <c r="M88" s="49">
        <f>AVERAGE('25.10.19 KISORO-CYANIKA-24h'!M88)</f>
        <v>0</v>
      </c>
      <c r="N88" s="49">
        <f>AVERAGE('25.10.19 CYANIKA-KISORO-24h'!N48)</f>
        <v>0</v>
      </c>
      <c r="O88" s="15">
        <f t="shared" si="35"/>
        <v>5</v>
      </c>
      <c r="P88" s="15">
        <f t="shared" si="36"/>
        <v>5</v>
      </c>
      <c r="R88" s="8"/>
      <c r="T88"/>
    </row>
    <row r="89" spans="2:20" ht="23.1" customHeight="1" x14ac:dyDescent="0.25">
      <c r="B89" s="23" t="s">
        <v>129</v>
      </c>
      <c r="C89" s="49">
        <f>AVERAGE('25.10.19 CYANIKA-KISORO-24h'!C49)</f>
        <v>5</v>
      </c>
      <c r="D89" s="49">
        <f>AVERAGE('25.10.19 CYANIKA-KISORO-24h'!D49)</f>
        <v>2</v>
      </c>
      <c r="E89" s="49">
        <f>AVERAGE('25.10.19 CYANIKA-KISORO-24h'!E49)</f>
        <v>2</v>
      </c>
      <c r="F89" s="49">
        <f>AVERAGE('25.10.19 CYANIKA-KISORO-24h'!F49)</f>
        <v>0</v>
      </c>
      <c r="G89" s="49">
        <f>AVERAGE('25.10.19 CYANIKA-KISORO-24h'!G49)</f>
        <v>0</v>
      </c>
      <c r="H89" s="49">
        <f>AVERAGE('25.10.19 CYANIKA-KISORO-24h'!H49)</f>
        <v>0</v>
      </c>
      <c r="I89" s="49">
        <f>AVERAGE('25.10.19 CYANIKA-KISORO-24h'!I49)</f>
        <v>1</v>
      </c>
      <c r="J89" s="49">
        <f>AVERAGE('25.10.19 CYANIKA-KISORO-24h'!J49)</f>
        <v>2</v>
      </c>
      <c r="K89" s="49">
        <f>AVERAGE('25.10.19 CYANIKA-KISORO-24h'!K49)</f>
        <v>0</v>
      </c>
      <c r="L89" s="49">
        <f>AVERAGE('25.10.19 CYANIKA-KISORO-24h'!L49)</f>
        <v>0</v>
      </c>
      <c r="M89" s="49">
        <f>AVERAGE('25.10.19 KISORO-CYANIKA-24h'!M89)</f>
        <v>0</v>
      </c>
      <c r="N89" s="49">
        <f>AVERAGE('25.10.19 CYANIKA-KISORO-24h'!N49)</f>
        <v>0</v>
      </c>
      <c r="O89" s="15">
        <f t="shared" si="35"/>
        <v>12</v>
      </c>
      <c r="P89" s="15">
        <f t="shared" si="36"/>
        <v>12</v>
      </c>
      <c r="R89" s="8"/>
      <c r="T89"/>
    </row>
    <row r="90" spans="2:20" ht="23.1" customHeight="1" x14ac:dyDescent="0.25">
      <c r="B90" s="24" t="s">
        <v>130</v>
      </c>
      <c r="C90" s="49">
        <f>AVERAGE('25.10.19 CYANIKA-KISORO-24h'!C50)</f>
        <v>2</v>
      </c>
      <c r="D90" s="49">
        <f>AVERAGE('25.10.19 CYANIKA-KISORO-24h'!D50)</f>
        <v>3</v>
      </c>
      <c r="E90" s="49">
        <f>AVERAGE('25.10.19 CYANIKA-KISORO-24h'!E50)</f>
        <v>0</v>
      </c>
      <c r="F90" s="49">
        <f>AVERAGE('25.10.19 CYANIKA-KISORO-24h'!F50)</f>
        <v>0</v>
      </c>
      <c r="G90" s="49">
        <f>AVERAGE('25.10.19 CYANIKA-KISORO-24h'!G50)</f>
        <v>0</v>
      </c>
      <c r="H90" s="49">
        <f>AVERAGE('25.10.19 CYANIKA-KISORO-24h'!H50)</f>
        <v>0</v>
      </c>
      <c r="I90" s="49">
        <f>AVERAGE('25.10.19 CYANIKA-KISORO-24h'!I50)</f>
        <v>0</v>
      </c>
      <c r="J90" s="49">
        <f>AVERAGE('25.10.19 CYANIKA-KISORO-24h'!J50)</f>
        <v>0</v>
      </c>
      <c r="K90" s="49">
        <f>AVERAGE('25.10.19 CYANIKA-KISORO-24h'!K50)</f>
        <v>0</v>
      </c>
      <c r="L90" s="49">
        <f>AVERAGE('25.10.19 CYANIKA-KISORO-24h'!L50)</f>
        <v>0</v>
      </c>
      <c r="M90" s="49">
        <f>AVERAGE('25.10.19 KISORO-CYANIKA-24h'!M90)</f>
        <v>0</v>
      </c>
      <c r="N90" s="49">
        <f>AVERAGE('25.10.19 CYANIKA-KISORO-24h'!N50)</f>
        <v>0</v>
      </c>
      <c r="O90" s="15">
        <f t="shared" si="35"/>
        <v>5</v>
      </c>
      <c r="P90" s="15">
        <f t="shared" si="36"/>
        <v>5</v>
      </c>
      <c r="R90" s="8"/>
      <c r="T90"/>
    </row>
    <row r="91" spans="2:20" ht="23.1" customHeight="1" x14ac:dyDescent="0.25">
      <c r="B91" s="23" t="s">
        <v>131</v>
      </c>
      <c r="C91" s="49">
        <f>AVERAGE('25.10.19 CYANIKA-KISORO-24h'!C51)</f>
        <v>0</v>
      </c>
      <c r="D91" s="49">
        <f>AVERAGE('25.10.19 CYANIKA-KISORO-24h'!D51)</f>
        <v>2</v>
      </c>
      <c r="E91" s="49">
        <f>AVERAGE('25.10.19 CYANIKA-KISORO-24h'!E51)</f>
        <v>2</v>
      </c>
      <c r="F91" s="49">
        <f>AVERAGE('25.10.19 CYANIKA-KISORO-24h'!F51)</f>
        <v>0</v>
      </c>
      <c r="G91" s="49">
        <f>AVERAGE('25.10.19 CYANIKA-KISORO-24h'!G51)</f>
        <v>0</v>
      </c>
      <c r="H91" s="49">
        <f>AVERAGE('25.10.19 CYANIKA-KISORO-24h'!H51)</f>
        <v>0</v>
      </c>
      <c r="I91" s="49">
        <f>AVERAGE('25.10.19 CYANIKA-KISORO-24h'!I51)</f>
        <v>0</v>
      </c>
      <c r="J91" s="49">
        <f>AVERAGE('25.10.19 CYANIKA-KISORO-24h'!J51)</f>
        <v>2</v>
      </c>
      <c r="K91" s="49">
        <f>AVERAGE('25.10.19 CYANIKA-KISORO-24h'!K51)</f>
        <v>0</v>
      </c>
      <c r="L91" s="49">
        <f>AVERAGE('25.10.19 CYANIKA-KISORO-24h'!L51)</f>
        <v>0</v>
      </c>
      <c r="M91" s="49">
        <f>AVERAGE('25.10.19 KISORO-CYANIKA-24h'!M91)</f>
        <v>0</v>
      </c>
      <c r="N91" s="49">
        <f>AVERAGE('25.10.19 CYANIKA-KISORO-24h'!N51)</f>
        <v>0</v>
      </c>
      <c r="O91" s="15">
        <f t="shared" si="35"/>
        <v>6</v>
      </c>
      <c r="P91" s="15">
        <f t="shared" si="36"/>
        <v>6</v>
      </c>
      <c r="R91" s="8"/>
      <c r="T91"/>
    </row>
    <row r="92" spans="2:20" ht="23.1" customHeight="1" x14ac:dyDescent="0.25">
      <c r="B92" s="25" t="s">
        <v>132</v>
      </c>
      <c r="C92" s="49">
        <f>AVERAGE('25.10.19 CYANIKA-KISORO-24h'!C52)</f>
        <v>1</v>
      </c>
      <c r="D92" s="49">
        <f>AVERAGE('25.10.19 CYANIKA-KISORO-24h'!D52)</f>
        <v>1</v>
      </c>
      <c r="E92" s="49">
        <f>AVERAGE('25.10.19 CYANIKA-KISORO-24h'!E52)</f>
        <v>2</v>
      </c>
      <c r="F92" s="49">
        <f>AVERAGE('25.10.19 CYANIKA-KISORO-24h'!F52)</f>
        <v>1</v>
      </c>
      <c r="G92" s="49">
        <f>AVERAGE('25.10.19 CYANIKA-KISORO-24h'!G52)</f>
        <v>0</v>
      </c>
      <c r="H92" s="49">
        <f>AVERAGE('25.10.19 CYANIKA-KISORO-24h'!H52)</f>
        <v>0</v>
      </c>
      <c r="I92" s="49">
        <f>AVERAGE('25.10.19 CYANIKA-KISORO-24h'!I52)</f>
        <v>0</v>
      </c>
      <c r="J92" s="49">
        <f>AVERAGE('25.10.19 CYANIKA-KISORO-24h'!J52)</f>
        <v>1</v>
      </c>
      <c r="K92" s="49">
        <f>AVERAGE('25.10.19 CYANIKA-KISORO-24h'!K52)</f>
        <v>0</v>
      </c>
      <c r="L92" s="49">
        <f>AVERAGE('25.10.19 CYANIKA-KISORO-24h'!L52)</f>
        <v>0</v>
      </c>
      <c r="M92" s="49">
        <f>AVERAGE('25.10.19 KISORO-CYANIKA-24h'!M92)</f>
        <v>0</v>
      </c>
      <c r="N92" s="49">
        <f>AVERAGE('25.10.19 CYANIKA-KISORO-24h'!N52)</f>
        <v>0</v>
      </c>
      <c r="O92" s="15">
        <f t="shared" si="35"/>
        <v>6</v>
      </c>
      <c r="P92" s="15">
        <f t="shared" si="36"/>
        <v>6</v>
      </c>
      <c r="R92" s="8"/>
      <c r="T92"/>
    </row>
    <row r="93" spans="2:20" ht="23.1" customHeight="1" x14ac:dyDescent="0.25">
      <c r="B93" s="23" t="s">
        <v>133</v>
      </c>
      <c r="C93" s="49">
        <f>AVERAGE('25.10.19 CYANIKA-KISORO-24h'!C53)</f>
        <v>5</v>
      </c>
      <c r="D93" s="49">
        <f>AVERAGE('25.10.19 CYANIKA-KISORO-24h'!D53)</f>
        <v>0</v>
      </c>
      <c r="E93" s="49">
        <f>AVERAGE('25.10.19 CYANIKA-KISORO-24h'!E53)</f>
        <v>1</v>
      </c>
      <c r="F93" s="49">
        <f>AVERAGE('25.10.19 CYANIKA-KISORO-24h'!F53)</f>
        <v>0</v>
      </c>
      <c r="G93" s="49">
        <f>AVERAGE('25.10.19 CYANIKA-KISORO-24h'!G53)</f>
        <v>0</v>
      </c>
      <c r="H93" s="49">
        <f>AVERAGE('25.10.19 CYANIKA-KISORO-24h'!H53)</f>
        <v>0</v>
      </c>
      <c r="I93" s="49">
        <f>AVERAGE('25.10.19 CYANIKA-KISORO-24h'!I53)</f>
        <v>1</v>
      </c>
      <c r="J93" s="49">
        <f>AVERAGE('25.10.19 CYANIKA-KISORO-24h'!J53)</f>
        <v>1</v>
      </c>
      <c r="K93" s="49">
        <f>AVERAGE('25.10.19 CYANIKA-KISORO-24h'!K53)</f>
        <v>0</v>
      </c>
      <c r="L93" s="49">
        <f>AVERAGE('25.10.19 CYANIKA-KISORO-24h'!L53)</f>
        <v>0</v>
      </c>
      <c r="M93" s="49">
        <f>AVERAGE('25.10.19 KISORO-CYANIKA-24h'!M93)</f>
        <v>0</v>
      </c>
      <c r="N93" s="49">
        <f>AVERAGE('25.10.19 CYANIKA-KISORO-24h'!N53)</f>
        <v>0</v>
      </c>
      <c r="O93" s="15">
        <f t="shared" si="35"/>
        <v>8</v>
      </c>
      <c r="P93" s="15">
        <f t="shared" si="36"/>
        <v>8</v>
      </c>
      <c r="R93" s="8"/>
      <c r="T93"/>
    </row>
    <row r="94" spans="2:20" ht="23.1" customHeight="1" x14ac:dyDescent="0.25">
      <c r="B94" s="24" t="s">
        <v>134</v>
      </c>
      <c r="C94" s="49">
        <f>AVERAGE('25.10.19 CYANIKA-KISORO-24h'!C54)</f>
        <v>4</v>
      </c>
      <c r="D94" s="49">
        <f>AVERAGE('25.10.19 CYANIKA-KISORO-24h'!D54)</f>
        <v>0</v>
      </c>
      <c r="E94" s="49">
        <f>AVERAGE('25.10.19 CYANIKA-KISORO-24h'!E54)</f>
        <v>1</v>
      </c>
      <c r="F94" s="49">
        <f>AVERAGE('25.10.19 CYANIKA-KISORO-24h'!F54)</f>
        <v>0</v>
      </c>
      <c r="G94" s="49">
        <f>AVERAGE('25.10.19 CYANIKA-KISORO-24h'!G54)</f>
        <v>0</v>
      </c>
      <c r="H94" s="49">
        <f>AVERAGE('25.10.19 CYANIKA-KISORO-24h'!H54)</f>
        <v>0</v>
      </c>
      <c r="I94" s="49">
        <f>AVERAGE('25.10.19 CYANIKA-KISORO-24h'!I54)</f>
        <v>0</v>
      </c>
      <c r="J94" s="49">
        <f>AVERAGE('25.10.19 CYANIKA-KISORO-24h'!J54)</f>
        <v>0</v>
      </c>
      <c r="K94" s="49">
        <f>AVERAGE('25.10.19 CYANIKA-KISORO-24h'!K54)</f>
        <v>0</v>
      </c>
      <c r="L94" s="49">
        <f>AVERAGE('25.10.19 CYANIKA-KISORO-24h'!L54)</f>
        <v>0</v>
      </c>
      <c r="M94" s="49">
        <f>AVERAGE('25.10.19 KISORO-CYANIKA-24h'!M94)</f>
        <v>0</v>
      </c>
      <c r="N94" s="49">
        <f>AVERAGE('25.10.19 CYANIKA-KISORO-24h'!N54)</f>
        <v>0</v>
      </c>
      <c r="O94" s="15">
        <f t="shared" si="35"/>
        <v>5</v>
      </c>
      <c r="P94" s="15">
        <f t="shared" si="36"/>
        <v>5</v>
      </c>
      <c r="R94" s="8"/>
      <c r="T94"/>
    </row>
    <row r="95" spans="2:20" ht="23.1" customHeight="1" x14ac:dyDescent="0.25">
      <c r="B95" s="23" t="s">
        <v>135</v>
      </c>
      <c r="C95" s="49">
        <f>AVERAGE('25.10.19 CYANIKA-KISORO-24h'!C55)</f>
        <v>2</v>
      </c>
      <c r="D95" s="49">
        <f>AVERAGE('25.10.19 CYANIKA-KISORO-24h'!D55)</f>
        <v>2</v>
      </c>
      <c r="E95" s="49">
        <f>AVERAGE('25.10.19 CYANIKA-KISORO-24h'!E55)</f>
        <v>0</v>
      </c>
      <c r="F95" s="49">
        <f>AVERAGE('25.10.19 CYANIKA-KISORO-24h'!F55)</f>
        <v>0</v>
      </c>
      <c r="G95" s="49">
        <f>AVERAGE('25.10.19 CYANIKA-KISORO-24h'!G55)</f>
        <v>0</v>
      </c>
      <c r="H95" s="49">
        <f>AVERAGE('25.10.19 CYANIKA-KISORO-24h'!H55)</f>
        <v>0</v>
      </c>
      <c r="I95" s="49">
        <f>AVERAGE('25.10.19 CYANIKA-KISORO-24h'!I55)</f>
        <v>1</v>
      </c>
      <c r="J95" s="49">
        <f>AVERAGE('25.10.19 CYANIKA-KISORO-24h'!J55)</f>
        <v>1</v>
      </c>
      <c r="K95" s="49">
        <f>AVERAGE('25.10.19 CYANIKA-KISORO-24h'!K55)</f>
        <v>0</v>
      </c>
      <c r="L95" s="49">
        <f>AVERAGE('25.10.19 CYANIKA-KISORO-24h'!L55)</f>
        <v>0</v>
      </c>
      <c r="M95" s="49">
        <f>AVERAGE('25.10.19 KISORO-CYANIKA-24h'!M95)</f>
        <v>0</v>
      </c>
      <c r="N95" s="49">
        <f>AVERAGE('25.10.19 CYANIKA-KISORO-24h'!N55)</f>
        <v>0</v>
      </c>
      <c r="O95" s="15">
        <f t="shared" si="35"/>
        <v>6</v>
      </c>
      <c r="P95" s="15">
        <f t="shared" si="36"/>
        <v>6</v>
      </c>
      <c r="R95" s="8"/>
      <c r="T95"/>
    </row>
    <row r="96" spans="2:20" ht="23.1" customHeight="1" x14ac:dyDescent="0.25">
      <c r="B96" s="25" t="s">
        <v>136</v>
      </c>
      <c r="C96" s="49">
        <f>AVERAGE('25.10.19 CYANIKA-KISORO-24h'!C56)</f>
        <v>1</v>
      </c>
      <c r="D96" s="49">
        <f>AVERAGE('25.10.19 CYANIKA-KISORO-24h'!D56)</f>
        <v>0</v>
      </c>
      <c r="E96" s="49">
        <f>AVERAGE('25.10.19 CYANIKA-KISORO-24h'!E56)</f>
        <v>0</v>
      </c>
      <c r="F96" s="49">
        <f>AVERAGE('25.10.19 CYANIKA-KISORO-24h'!F56)</f>
        <v>0</v>
      </c>
      <c r="G96" s="49">
        <f>AVERAGE('25.10.19 CYANIKA-KISORO-24h'!G56)</f>
        <v>0</v>
      </c>
      <c r="H96" s="49">
        <f>AVERAGE('25.10.19 CYANIKA-KISORO-24h'!H56)</f>
        <v>0</v>
      </c>
      <c r="I96" s="49">
        <f>AVERAGE('25.10.19 CYANIKA-KISORO-24h'!I56)</f>
        <v>1</v>
      </c>
      <c r="J96" s="49">
        <f>AVERAGE('25.10.19 CYANIKA-KISORO-24h'!J56)</f>
        <v>6</v>
      </c>
      <c r="K96" s="49">
        <f>AVERAGE('25.10.19 CYANIKA-KISORO-24h'!K56)</f>
        <v>0</v>
      </c>
      <c r="L96" s="49">
        <f>AVERAGE('25.10.19 CYANIKA-KISORO-24h'!L56)</f>
        <v>0</v>
      </c>
      <c r="M96" s="49">
        <f>AVERAGE('25.10.19 KISORO-CYANIKA-24h'!M96)</f>
        <v>0</v>
      </c>
      <c r="N96" s="49">
        <f>AVERAGE('25.10.19 CYANIKA-KISORO-24h'!N56)</f>
        <v>0</v>
      </c>
      <c r="O96" s="15">
        <f t="shared" si="35"/>
        <v>8</v>
      </c>
      <c r="P96" s="15">
        <f t="shared" si="36"/>
        <v>8</v>
      </c>
      <c r="R96" s="8"/>
      <c r="T96"/>
    </row>
    <row r="97" spans="2:20" ht="23.1" customHeight="1" x14ac:dyDescent="0.25">
      <c r="B97" s="23" t="s">
        <v>137</v>
      </c>
      <c r="C97" s="49">
        <f>AVERAGE('25.10.19 CYANIKA-KISORO-24h'!C57)</f>
        <v>1</v>
      </c>
      <c r="D97" s="49">
        <f>AVERAGE('25.10.19 CYANIKA-KISORO-24h'!D57)</f>
        <v>1</v>
      </c>
      <c r="E97" s="49">
        <f>AVERAGE('25.10.19 CYANIKA-KISORO-24h'!E57)</f>
        <v>3</v>
      </c>
      <c r="F97" s="49">
        <f>AVERAGE('25.10.19 CYANIKA-KISORO-24h'!F57)</f>
        <v>0</v>
      </c>
      <c r="G97" s="49">
        <f>AVERAGE('25.10.19 CYANIKA-KISORO-24h'!G57)</f>
        <v>0</v>
      </c>
      <c r="H97" s="49">
        <f>AVERAGE('25.10.19 CYANIKA-KISORO-24h'!H57)</f>
        <v>0</v>
      </c>
      <c r="I97" s="49">
        <f>AVERAGE('25.10.19 CYANIKA-KISORO-24h'!I57)</f>
        <v>1</v>
      </c>
      <c r="J97" s="49">
        <f>AVERAGE('25.10.19 CYANIKA-KISORO-24h'!J57)</f>
        <v>0</v>
      </c>
      <c r="K97" s="49">
        <f>AVERAGE('25.10.19 CYANIKA-KISORO-24h'!K57)</f>
        <v>0</v>
      </c>
      <c r="L97" s="49">
        <f>AVERAGE('25.10.19 CYANIKA-KISORO-24h'!L57)</f>
        <v>0</v>
      </c>
      <c r="M97" s="49">
        <f>AVERAGE('25.10.19 KISORO-CYANIKA-24h'!M97)</f>
        <v>0</v>
      </c>
      <c r="N97" s="49">
        <f>AVERAGE('25.10.19 CYANIKA-KISORO-24h'!N57)</f>
        <v>0</v>
      </c>
      <c r="O97" s="15">
        <f t="shared" si="35"/>
        <v>6</v>
      </c>
      <c r="P97" s="15">
        <f t="shared" si="36"/>
        <v>6</v>
      </c>
      <c r="R97" s="8"/>
      <c r="T97"/>
    </row>
    <row r="98" spans="2:20" ht="23.1" customHeight="1" x14ac:dyDescent="0.25">
      <c r="B98" s="24" t="s">
        <v>138</v>
      </c>
      <c r="C98" s="49">
        <f>AVERAGE('25.10.19 CYANIKA-KISORO-24h'!C58)</f>
        <v>2</v>
      </c>
      <c r="D98" s="49">
        <f>AVERAGE('25.10.19 CYANIKA-KISORO-24h'!D58)</f>
        <v>0</v>
      </c>
      <c r="E98" s="49">
        <f>AVERAGE('25.10.19 CYANIKA-KISORO-24h'!E58)</f>
        <v>0</v>
      </c>
      <c r="F98" s="49">
        <f>AVERAGE('25.10.19 CYANIKA-KISORO-24h'!F58)</f>
        <v>0</v>
      </c>
      <c r="G98" s="49">
        <f>AVERAGE('25.10.19 CYANIKA-KISORO-24h'!G58)</f>
        <v>0</v>
      </c>
      <c r="H98" s="49">
        <f>AVERAGE('25.10.19 CYANIKA-KISORO-24h'!H58)</f>
        <v>0</v>
      </c>
      <c r="I98" s="49">
        <f>AVERAGE('25.10.19 CYANIKA-KISORO-24h'!I58)</f>
        <v>0</v>
      </c>
      <c r="J98" s="49">
        <f>AVERAGE('25.10.19 CYANIKA-KISORO-24h'!J58)</f>
        <v>2</v>
      </c>
      <c r="K98" s="49">
        <f>AVERAGE('25.10.19 CYANIKA-KISORO-24h'!K58)</f>
        <v>0</v>
      </c>
      <c r="L98" s="49">
        <f>AVERAGE('25.10.19 CYANIKA-KISORO-24h'!L58)</f>
        <v>0</v>
      </c>
      <c r="M98" s="49">
        <f>AVERAGE('25.10.19 KISORO-CYANIKA-24h'!M98)</f>
        <v>1</v>
      </c>
      <c r="N98" s="49">
        <f>AVERAGE('25.10.19 CYANIKA-KISORO-24h'!N58)</f>
        <v>0</v>
      </c>
      <c r="O98" s="15">
        <f t="shared" si="35"/>
        <v>4</v>
      </c>
      <c r="P98" s="15">
        <f t="shared" si="36"/>
        <v>5</v>
      </c>
      <c r="R98" s="8"/>
      <c r="T98"/>
    </row>
    <row r="99" spans="2:20" ht="23.1" customHeight="1" x14ac:dyDescent="0.25">
      <c r="B99" s="23" t="s">
        <v>139</v>
      </c>
      <c r="C99" s="49">
        <f>AVERAGE('25.10.19 CYANIKA-KISORO-24h'!C59)</f>
        <v>2</v>
      </c>
      <c r="D99" s="49">
        <f>AVERAGE('25.10.19 CYANIKA-KISORO-24h'!D59)</f>
        <v>0</v>
      </c>
      <c r="E99" s="49">
        <f>AVERAGE('25.10.19 CYANIKA-KISORO-24h'!E59)</f>
        <v>1</v>
      </c>
      <c r="F99" s="49">
        <f>AVERAGE('25.10.19 CYANIKA-KISORO-24h'!F59)</f>
        <v>0</v>
      </c>
      <c r="G99" s="49">
        <f>AVERAGE('25.10.19 CYANIKA-KISORO-24h'!G59)</f>
        <v>0</v>
      </c>
      <c r="H99" s="49">
        <f>AVERAGE('25.10.19 CYANIKA-KISORO-24h'!H59)</f>
        <v>0</v>
      </c>
      <c r="I99" s="49">
        <f>AVERAGE('25.10.19 CYANIKA-KISORO-24h'!I59)</f>
        <v>0</v>
      </c>
      <c r="J99" s="49">
        <f>AVERAGE('25.10.19 CYANIKA-KISORO-24h'!J59)</f>
        <v>2</v>
      </c>
      <c r="K99" s="49">
        <f>AVERAGE('25.10.19 CYANIKA-KISORO-24h'!K59)</f>
        <v>0</v>
      </c>
      <c r="L99" s="49">
        <f>AVERAGE('25.10.19 CYANIKA-KISORO-24h'!L59)</f>
        <v>0</v>
      </c>
      <c r="M99" s="49">
        <f>AVERAGE('25.10.19 KISORO-CYANIKA-24h'!M99)</f>
        <v>0</v>
      </c>
      <c r="N99" s="49">
        <f>AVERAGE('25.10.19 CYANIKA-KISORO-24h'!N59)</f>
        <v>0</v>
      </c>
      <c r="O99" s="15">
        <f t="shared" si="35"/>
        <v>5</v>
      </c>
      <c r="P99" s="15">
        <f t="shared" si="36"/>
        <v>5</v>
      </c>
      <c r="R99" s="8"/>
      <c r="T99"/>
    </row>
    <row r="100" spans="2:20" ht="23.1" customHeight="1" x14ac:dyDescent="0.25">
      <c r="B100" s="25" t="s">
        <v>140</v>
      </c>
      <c r="C100" s="49">
        <f>AVERAGE('25.10.19 CYANIKA-KISORO-24h'!C60)</f>
        <v>0</v>
      </c>
      <c r="D100" s="49">
        <f>AVERAGE('25.10.19 CYANIKA-KISORO-24h'!D60)</f>
        <v>1</v>
      </c>
      <c r="E100" s="49">
        <f>AVERAGE('25.10.19 CYANIKA-KISORO-24h'!E60)</f>
        <v>0</v>
      </c>
      <c r="F100" s="49">
        <f>AVERAGE('25.10.19 CYANIKA-KISORO-24h'!F60)</f>
        <v>0</v>
      </c>
      <c r="G100" s="49">
        <f>AVERAGE('25.10.19 CYANIKA-KISORO-24h'!G60)</f>
        <v>0</v>
      </c>
      <c r="H100" s="49">
        <f>AVERAGE('25.10.19 CYANIKA-KISORO-24h'!H60)</f>
        <v>0</v>
      </c>
      <c r="I100" s="49">
        <f>AVERAGE('25.10.19 CYANIKA-KISORO-24h'!I60)</f>
        <v>0</v>
      </c>
      <c r="J100" s="49">
        <f>AVERAGE('25.10.19 CYANIKA-KISORO-24h'!J60)</f>
        <v>0</v>
      </c>
      <c r="K100" s="49">
        <f>AVERAGE('25.10.19 CYANIKA-KISORO-24h'!K60)</f>
        <v>0</v>
      </c>
      <c r="L100" s="49">
        <f>AVERAGE('25.10.19 CYANIKA-KISORO-24h'!L60)</f>
        <v>0</v>
      </c>
      <c r="M100" s="49">
        <f>AVERAGE('25.10.19 KISORO-CYANIKA-24h'!M100)</f>
        <v>2</v>
      </c>
      <c r="N100" s="49">
        <f>AVERAGE('25.10.19 CYANIKA-KISORO-24h'!N60)</f>
        <v>0</v>
      </c>
      <c r="O100" s="15">
        <f t="shared" si="35"/>
        <v>1</v>
      </c>
      <c r="P100" s="15">
        <f t="shared" si="36"/>
        <v>3</v>
      </c>
      <c r="R100" s="8"/>
      <c r="T100"/>
    </row>
    <row r="101" spans="2:20" ht="23.1" customHeight="1" x14ac:dyDescent="0.25">
      <c r="B101" s="23" t="s">
        <v>141</v>
      </c>
      <c r="C101" s="49">
        <f>AVERAGE('25.10.19 CYANIKA-KISORO-24h'!C61)</f>
        <v>0</v>
      </c>
      <c r="D101" s="49">
        <f>AVERAGE('25.10.19 CYANIKA-KISORO-24h'!D61)</f>
        <v>0</v>
      </c>
      <c r="E101" s="49">
        <f>AVERAGE('25.10.19 CYANIKA-KISORO-24h'!E61)</f>
        <v>2</v>
      </c>
      <c r="F101" s="49">
        <f>AVERAGE('25.10.19 CYANIKA-KISORO-24h'!F61)</f>
        <v>0</v>
      </c>
      <c r="G101" s="49">
        <f>AVERAGE('25.10.19 CYANIKA-KISORO-24h'!G61)</f>
        <v>0</v>
      </c>
      <c r="H101" s="49">
        <f>AVERAGE('25.10.19 CYANIKA-KISORO-24h'!H61)</f>
        <v>0</v>
      </c>
      <c r="I101" s="49">
        <f>AVERAGE('25.10.19 CYANIKA-KISORO-24h'!I61)</f>
        <v>1</v>
      </c>
      <c r="J101" s="49">
        <f>AVERAGE('25.10.19 CYANIKA-KISORO-24h'!J61)</f>
        <v>2</v>
      </c>
      <c r="K101" s="49">
        <f>AVERAGE('25.10.19 CYANIKA-KISORO-24h'!K61)</f>
        <v>0</v>
      </c>
      <c r="L101" s="49">
        <f>AVERAGE('25.10.19 CYANIKA-KISORO-24h'!L61)</f>
        <v>0</v>
      </c>
      <c r="M101" s="49">
        <f>AVERAGE('25.10.19 KISORO-CYANIKA-24h'!M101)</f>
        <v>1</v>
      </c>
      <c r="N101" s="49">
        <f>AVERAGE('25.10.19 CYANIKA-KISORO-24h'!N61)</f>
        <v>0</v>
      </c>
      <c r="O101" s="15">
        <f t="shared" si="35"/>
        <v>5</v>
      </c>
      <c r="P101" s="15">
        <f t="shared" si="36"/>
        <v>6</v>
      </c>
      <c r="R101" s="8"/>
      <c r="T101"/>
    </row>
    <row r="102" spans="2:20" ht="23.1" customHeight="1" x14ac:dyDescent="0.25">
      <c r="B102" s="24" t="s">
        <v>142</v>
      </c>
      <c r="C102" s="49">
        <f>AVERAGE('25.10.19 CYANIKA-KISORO-24h'!C62)</f>
        <v>1</v>
      </c>
      <c r="D102" s="49">
        <f>AVERAGE('25.10.19 CYANIKA-KISORO-24h'!D62)</f>
        <v>2</v>
      </c>
      <c r="E102" s="49">
        <f>AVERAGE('25.10.19 CYANIKA-KISORO-24h'!E62)</f>
        <v>0</v>
      </c>
      <c r="F102" s="49">
        <f>AVERAGE('25.10.19 CYANIKA-KISORO-24h'!F62)</f>
        <v>0</v>
      </c>
      <c r="G102" s="49">
        <f>AVERAGE('25.10.19 CYANIKA-KISORO-24h'!G62)</f>
        <v>0</v>
      </c>
      <c r="H102" s="49">
        <f>AVERAGE('25.10.19 CYANIKA-KISORO-24h'!H62)</f>
        <v>0</v>
      </c>
      <c r="I102" s="49">
        <f>AVERAGE('25.10.19 CYANIKA-KISORO-24h'!I62)</f>
        <v>0</v>
      </c>
      <c r="J102" s="49">
        <f>AVERAGE('25.10.19 CYANIKA-KISORO-24h'!J62)</f>
        <v>0</v>
      </c>
      <c r="K102" s="49">
        <f>AVERAGE('25.10.19 CYANIKA-KISORO-24h'!K62)</f>
        <v>0</v>
      </c>
      <c r="L102" s="49">
        <f>AVERAGE('25.10.19 CYANIKA-KISORO-24h'!L62)</f>
        <v>0</v>
      </c>
      <c r="M102" s="49">
        <f>AVERAGE('25.10.19 KISORO-CYANIKA-24h'!M102)</f>
        <v>1</v>
      </c>
      <c r="N102" s="49">
        <f>AVERAGE('25.10.19 CYANIKA-KISORO-24h'!N62)</f>
        <v>0</v>
      </c>
      <c r="O102" s="15">
        <f t="shared" si="35"/>
        <v>3</v>
      </c>
      <c r="P102" s="15">
        <f t="shared" si="36"/>
        <v>4</v>
      </c>
      <c r="R102" s="8"/>
      <c r="T102"/>
    </row>
    <row r="103" spans="2:20" ht="23.1" customHeight="1" x14ac:dyDescent="0.25">
      <c r="B103" s="23" t="s">
        <v>143</v>
      </c>
      <c r="C103" s="49">
        <f>AVERAGE('25.10.19 CYANIKA-KISORO-24h'!C63)</f>
        <v>2</v>
      </c>
      <c r="D103" s="49">
        <f>AVERAGE('25.10.19 CYANIKA-KISORO-24h'!D63)</f>
        <v>0</v>
      </c>
      <c r="E103" s="49">
        <f>AVERAGE('25.10.19 CYANIKA-KISORO-24h'!E63)</f>
        <v>0</v>
      </c>
      <c r="F103" s="49">
        <f>AVERAGE('25.10.19 CYANIKA-KISORO-24h'!F63)</f>
        <v>0</v>
      </c>
      <c r="G103" s="49">
        <f>AVERAGE('25.10.19 CYANIKA-KISORO-24h'!G63)</f>
        <v>0</v>
      </c>
      <c r="H103" s="49">
        <f>AVERAGE('25.10.19 CYANIKA-KISORO-24h'!H63)</f>
        <v>0</v>
      </c>
      <c r="I103" s="49">
        <f>AVERAGE('25.10.19 CYANIKA-KISORO-24h'!I63)</f>
        <v>0</v>
      </c>
      <c r="J103" s="49">
        <f>AVERAGE('25.10.19 CYANIKA-KISORO-24h'!J63)</f>
        <v>0</v>
      </c>
      <c r="K103" s="49">
        <f>AVERAGE('25.10.19 CYANIKA-KISORO-24h'!K63)</f>
        <v>0</v>
      </c>
      <c r="L103" s="49">
        <f>AVERAGE('25.10.19 CYANIKA-KISORO-24h'!L63)</f>
        <v>0</v>
      </c>
      <c r="M103" s="49">
        <f>AVERAGE('25.10.19 KISORO-CYANIKA-24h'!M103)</f>
        <v>2</v>
      </c>
      <c r="N103" s="49">
        <f>AVERAGE('25.10.19 CYANIKA-KISORO-24h'!N63)</f>
        <v>0</v>
      </c>
      <c r="O103" s="15">
        <f t="shared" si="35"/>
        <v>2</v>
      </c>
      <c r="P103" s="15">
        <f t="shared" si="36"/>
        <v>4</v>
      </c>
      <c r="R103" s="8"/>
      <c r="T103"/>
    </row>
    <row r="104" spans="2:20" ht="23.1" customHeight="1" x14ac:dyDescent="0.25">
      <c r="B104" s="25" t="s">
        <v>144</v>
      </c>
      <c r="C104" s="49">
        <f>AVERAGE('25.10.19 CYANIKA-KISORO-24h'!C64)</f>
        <v>0</v>
      </c>
      <c r="D104" s="49">
        <f>AVERAGE('25.10.19 CYANIKA-KISORO-24h'!D64)</f>
        <v>0</v>
      </c>
      <c r="E104" s="49">
        <f>AVERAGE('25.10.19 CYANIKA-KISORO-24h'!E64)</f>
        <v>1</v>
      </c>
      <c r="F104" s="49">
        <f>AVERAGE('25.10.19 CYANIKA-KISORO-24h'!F64)</f>
        <v>0</v>
      </c>
      <c r="G104" s="49">
        <f>AVERAGE('25.10.19 CYANIKA-KISORO-24h'!G64)</f>
        <v>0</v>
      </c>
      <c r="H104" s="49">
        <f>AVERAGE('25.10.19 CYANIKA-KISORO-24h'!H64)</f>
        <v>0</v>
      </c>
      <c r="I104" s="49">
        <f>AVERAGE('25.10.19 CYANIKA-KISORO-24h'!I64)</f>
        <v>0</v>
      </c>
      <c r="J104" s="49">
        <f>AVERAGE('25.10.19 CYANIKA-KISORO-24h'!J64)</f>
        <v>0</v>
      </c>
      <c r="K104" s="49">
        <f>AVERAGE('25.10.19 CYANIKA-KISORO-24h'!K64)</f>
        <v>0</v>
      </c>
      <c r="L104" s="49">
        <f>AVERAGE('25.10.19 CYANIKA-KISORO-24h'!L64)</f>
        <v>0</v>
      </c>
      <c r="M104" s="49">
        <f>AVERAGE('25.10.19 KISORO-CYANIKA-24h'!M104)</f>
        <v>4</v>
      </c>
      <c r="N104" s="49">
        <f>AVERAGE('25.10.19 CYANIKA-KISORO-24h'!N64)</f>
        <v>0</v>
      </c>
      <c r="O104" s="15">
        <f t="shared" si="35"/>
        <v>1</v>
      </c>
      <c r="P104" s="15">
        <f t="shared" si="36"/>
        <v>5</v>
      </c>
      <c r="R104" s="8"/>
      <c r="T104"/>
    </row>
    <row r="105" spans="2:20" ht="23.1" customHeight="1" x14ac:dyDescent="0.25">
      <c r="B105" s="23" t="s">
        <v>145</v>
      </c>
      <c r="C105" s="49">
        <f>AVERAGE('25.10.19 CYANIKA-KISORO-24h'!C65)</f>
        <v>0</v>
      </c>
      <c r="D105" s="49">
        <f>AVERAGE('25.10.19 CYANIKA-KISORO-24h'!D65)</f>
        <v>0</v>
      </c>
      <c r="E105" s="49">
        <f>AVERAGE('25.10.19 CYANIKA-KISORO-24h'!E65)</f>
        <v>0</v>
      </c>
      <c r="F105" s="49">
        <f>AVERAGE('25.10.19 CYANIKA-KISORO-24h'!F65)</f>
        <v>0</v>
      </c>
      <c r="G105" s="49">
        <f>AVERAGE('25.10.19 CYANIKA-KISORO-24h'!G65)</f>
        <v>0</v>
      </c>
      <c r="H105" s="49">
        <f>AVERAGE('25.10.19 CYANIKA-KISORO-24h'!H65)</f>
        <v>0</v>
      </c>
      <c r="I105" s="49">
        <f>AVERAGE('25.10.19 CYANIKA-KISORO-24h'!I65)</f>
        <v>0</v>
      </c>
      <c r="J105" s="49">
        <f>AVERAGE('25.10.19 CYANIKA-KISORO-24h'!J65)</f>
        <v>0</v>
      </c>
      <c r="K105" s="49">
        <f>AVERAGE('25.10.19 CYANIKA-KISORO-24h'!K65)</f>
        <v>0</v>
      </c>
      <c r="L105" s="49">
        <f>AVERAGE('25.10.19 CYANIKA-KISORO-24h'!L65)</f>
        <v>0</v>
      </c>
      <c r="M105" s="49">
        <v>8</v>
      </c>
      <c r="N105" s="49">
        <f>AVERAGE('25.10.19 CYANIKA-KISORO-24h'!N65)</f>
        <v>0</v>
      </c>
      <c r="O105" s="15">
        <f t="shared" si="35"/>
        <v>0</v>
      </c>
      <c r="P105" s="15">
        <f t="shared" si="36"/>
        <v>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167</v>
      </c>
      <c r="D106" s="16">
        <f t="shared" ref="D106:P106" si="37">SUM(D10:D105)</f>
        <v>91.333333333333343</v>
      </c>
      <c r="E106" s="16">
        <f t="shared" si="37"/>
        <v>77.333333333333343</v>
      </c>
      <c r="F106" s="16">
        <f t="shared" si="37"/>
        <v>7</v>
      </c>
      <c r="G106" s="16">
        <f t="shared" si="37"/>
        <v>0</v>
      </c>
      <c r="H106" s="16">
        <f t="shared" si="37"/>
        <v>1.6666666666666665</v>
      </c>
      <c r="I106" s="16">
        <f t="shared" si="37"/>
        <v>22.666666666666664</v>
      </c>
      <c r="J106" s="16">
        <f t="shared" si="37"/>
        <v>60.333333333333343</v>
      </c>
      <c r="K106" s="16">
        <f t="shared" si="37"/>
        <v>5.333333333333333</v>
      </c>
      <c r="L106" s="16">
        <f t="shared" si="37"/>
        <v>0</v>
      </c>
      <c r="M106" s="16">
        <f t="shared" si="37"/>
        <v>1637.0000000000007</v>
      </c>
      <c r="N106" s="16">
        <f t="shared" si="37"/>
        <v>0</v>
      </c>
      <c r="O106" s="16">
        <f t="shared" si="37"/>
        <v>432.66666666666663</v>
      </c>
      <c r="P106" s="16">
        <f t="shared" si="37"/>
        <v>2069.6666666666665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8.0689321952005164E-2</v>
      </c>
      <c r="D107" s="43">
        <f t="shared" si="38"/>
        <v>4.4129489450797241E-2</v>
      </c>
      <c r="E107" s="43">
        <f t="shared" si="38"/>
        <v>3.7365115155419557E-2</v>
      </c>
      <c r="F107" s="43">
        <f t="shared" si="38"/>
        <v>3.3821871476888391E-3</v>
      </c>
      <c r="G107" s="43">
        <f t="shared" si="38"/>
        <v>0</v>
      </c>
      <c r="H107" s="43">
        <f t="shared" si="38"/>
        <v>8.0528265421162828E-4</v>
      </c>
      <c r="I107" s="43">
        <f t="shared" si="38"/>
        <v>1.0951844097278144E-2</v>
      </c>
      <c r="J107" s="43">
        <f t="shared" si="38"/>
        <v>2.915123208246095E-2</v>
      </c>
      <c r="K107" s="43">
        <f t="shared" si="38"/>
        <v>2.5769044934772106E-3</v>
      </c>
      <c r="L107" s="43">
        <f t="shared" si="38"/>
        <v>0</v>
      </c>
      <c r="M107" s="43">
        <f t="shared" si="38"/>
        <v>0.79094862296666169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0.38597842835130974</v>
      </c>
      <c r="D108" s="44">
        <f t="shared" ref="D108:N108" si="39">D106/$O$106</f>
        <v>0.21109399075500773</v>
      </c>
      <c r="E108" s="44">
        <f t="shared" si="39"/>
        <v>0.17873651771956861</v>
      </c>
      <c r="F108" s="44">
        <f t="shared" si="39"/>
        <v>1.6178736517719571E-2</v>
      </c>
      <c r="G108" s="44">
        <f t="shared" si="39"/>
        <v>0</v>
      </c>
      <c r="H108" s="44">
        <f t="shared" si="39"/>
        <v>3.852080123266564E-3</v>
      </c>
      <c r="I108" s="44">
        <f t="shared" si="39"/>
        <v>5.2388289676425268E-2</v>
      </c>
      <c r="J108" s="44">
        <f t="shared" si="39"/>
        <v>0.13944530046224965</v>
      </c>
      <c r="K108" s="44">
        <f t="shared" si="39"/>
        <v>1.2326656394453005E-2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B1:AF174"/>
  <sheetViews>
    <sheetView view="pageBreakPreview" topLeftCell="A57" zoomScale="60" workbookViewId="0">
      <selection activeCell="M105" sqref="M59: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">
        <v>176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58" t="s">
        <v>175</v>
      </c>
      <c r="H5" s="59"/>
      <c r="I5" s="14"/>
      <c r="J5" s="2" t="s">
        <v>5</v>
      </c>
      <c r="K5" s="58" t="s">
        <v>177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58" t="s">
        <v>166</v>
      </c>
      <c r="E6" s="59"/>
      <c r="F6" s="2" t="s">
        <v>2</v>
      </c>
      <c r="G6" s="58" t="s">
        <v>164</v>
      </c>
      <c r="H6" s="59"/>
      <c r="J6" s="2" t="s">
        <v>21</v>
      </c>
      <c r="K6" s="58" t="s">
        <v>168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AVERAGE('25.10.19 KISORO-CYANIKA-24h'!C10,'26.10 KISORO-CYANIKA'!C10,'27.10 KISORO-CYANIKA'!C10)</f>
        <v>2</v>
      </c>
      <c r="D10" s="49">
        <f>AVERAGE('25.10.19 KISORO-CYANIKA-24h'!D10,'26.10 KISORO-CYANIKA'!D10,'27.10 KISORO-CYANIKA'!D10)</f>
        <v>0</v>
      </c>
      <c r="E10" s="49">
        <f>AVERAGE('25.10.19 KISORO-CYANIKA-24h'!E10,'26.10 KISORO-CYANIKA'!E10,'27.10 KISORO-CYANIKA'!E10)</f>
        <v>0.33333333333333331</v>
      </c>
      <c r="F10" s="49">
        <f>AVERAGE('25.10.19 KISORO-CYANIKA-24h'!F10,'26.10 KISORO-CYANIKA'!F10,'27.10 KISORO-CYANIKA'!F10)</f>
        <v>0</v>
      </c>
      <c r="G10" s="49">
        <f>AVERAGE('25.10.19 KISORO-CYANIKA-24h'!G10,'26.10 KISORO-CYANIKA'!G10,'27.10 KISORO-CYANIKA'!G10)</f>
        <v>0</v>
      </c>
      <c r="H10" s="49">
        <f>AVERAGE('25.10.19 KISORO-CYANIKA-24h'!H10,'26.10 KISORO-CYANIKA'!H10,'27.10 KISORO-CYANIKA'!H10)</f>
        <v>0</v>
      </c>
      <c r="I10" s="49">
        <f>AVERAGE('25.10.19 KISORO-CYANIKA-24h'!I10,'26.10 KISORO-CYANIKA'!I10,'27.10 KISORO-CYANIKA'!I10)</f>
        <v>0</v>
      </c>
      <c r="J10" s="49">
        <f>AVERAGE('25.10.19 KISORO-CYANIKA-24h'!J10,'26.10 KISORO-CYANIKA'!J10,'27.10 KISORO-CYANIKA'!J10)</f>
        <v>0</v>
      </c>
      <c r="K10" s="49">
        <f>AVERAGE('25.10.19 KISORO-CYANIKA-24h'!K10,'26.10 KISORO-CYANIKA'!K10,'27.10 KISORO-CYANIKA'!K10)</f>
        <v>0</v>
      </c>
      <c r="L10" s="49">
        <f>AVERAGE('25.10.19 KISORO-CYANIKA-24h'!L10,'26.10 KISORO-CYANIKA'!L10,'27.10 KISORO-CYANIKA'!L10)</f>
        <v>0</v>
      </c>
      <c r="M10" s="49">
        <f>AVERAGE('25.10.19 KISORO-CYANIKA-24h'!M10,'26.10 KISORO-CYANIKA'!M10,'27.10 KISORO-CYANIKA'!M10)</f>
        <v>9</v>
      </c>
      <c r="N10" s="49">
        <f>AVERAGE('25.10.19 KISORO-CYANIKA-24h'!N10,'26.10 KISORO-CYANIKA'!N10,'27.10 KISORO-CYANIKA'!N10)</f>
        <v>0</v>
      </c>
      <c r="O10" s="15">
        <f t="shared" ref="O10:O73" si="0">SUM(C10:L10,N10)</f>
        <v>2.3333333333333335</v>
      </c>
      <c r="P10" s="15">
        <f t="shared" ref="P10:P73" si="1">SUM(C10:N10)</f>
        <v>11.333333333333334</v>
      </c>
      <c r="R10" s="1" t="s">
        <v>6</v>
      </c>
      <c r="S10" s="17">
        <f t="shared" ref="S10:AF10" si="2">SUM(C10:C13)</f>
        <v>3.6666666666666665</v>
      </c>
      <c r="T10" s="17">
        <f t="shared" si="2"/>
        <v>1</v>
      </c>
      <c r="U10" s="17">
        <f t="shared" si="2"/>
        <v>1.3333333333333333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41.333333333333336</v>
      </c>
      <c r="AD10" s="17">
        <f t="shared" si="2"/>
        <v>0</v>
      </c>
      <c r="AE10" s="31">
        <f t="shared" si="2"/>
        <v>7</v>
      </c>
      <c r="AF10" s="31">
        <f t="shared" si="2"/>
        <v>48.333333333333336</v>
      </c>
    </row>
    <row r="11" spans="2:32" s="6" customFormat="1" ht="23.1" customHeight="1" x14ac:dyDescent="0.25">
      <c r="B11" s="23" t="s">
        <v>38</v>
      </c>
      <c r="C11" s="49">
        <f>AVERAGE('25.10.19 KISORO-CYANIKA-24h'!C11,'26.10 KISORO-CYANIKA'!C11,'27.10 KISORO-CYANIKA'!C11)</f>
        <v>0.66666666666666663</v>
      </c>
      <c r="D11" s="49">
        <f>AVERAGE('25.10.19 KISORO-CYANIKA-24h'!D11,'26.10 KISORO-CYANIKA'!D11,'27.10 KISORO-CYANIKA'!D11)</f>
        <v>0.33333333333333331</v>
      </c>
      <c r="E11" s="49">
        <f>AVERAGE('25.10.19 KISORO-CYANIKA-24h'!E11,'26.10 KISORO-CYANIKA'!E11,'27.10 KISORO-CYANIKA'!E11)</f>
        <v>0.33333333333333331</v>
      </c>
      <c r="F11" s="49">
        <f>AVERAGE('25.10.19 KISORO-CYANIKA-24h'!F11,'26.10 KISORO-CYANIKA'!F11,'27.10 KISORO-CYANIKA'!F11)</f>
        <v>0</v>
      </c>
      <c r="G11" s="49">
        <f>AVERAGE('25.10.19 KISORO-CYANIKA-24h'!G11,'26.10 KISORO-CYANIKA'!G11,'27.10 KISORO-CYANIKA'!G11)</f>
        <v>0</v>
      </c>
      <c r="H11" s="49">
        <f>AVERAGE('25.10.19 KISORO-CYANIKA-24h'!H11,'26.10 KISORO-CYANIKA'!H11,'27.10 KISORO-CYANIKA'!H11)</f>
        <v>0</v>
      </c>
      <c r="I11" s="49">
        <f>AVERAGE('25.10.19 KISORO-CYANIKA-24h'!I11,'26.10 KISORO-CYANIKA'!I11,'27.10 KISORO-CYANIKA'!I11)</f>
        <v>0</v>
      </c>
      <c r="J11" s="49">
        <f>AVERAGE('25.10.19 KISORO-CYANIKA-24h'!J11,'26.10 KISORO-CYANIKA'!J11,'27.10 KISORO-CYANIKA'!J11)</f>
        <v>0.66666666666666663</v>
      </c>
      <c r="K11" s="49">
        <f>AVERAGE('25.10.19 KISORO-CYANIKA-24h'!K11,'26.10 KISORO-CYANIKA'!K11,'27.10 KISORO-CYANIKA'!K11)</f>
        <v>0</v>
      </c>
      <c r="L11" s="49">
        <f>AVERAGE('25.10.19 KISORO-CYANIKA-24h'!L11,'26.10 KISORO-CYANIKA'!L11,'27.10 KISORO-CYANIKA'!L11)</f>
        <v>0</v>
      </c>
      <c r="M11" s="49">
        <f>AVERAGE('25.10.19 KISORO-CYANIKA-24h'!M11,'26.10 KISORO-CYANIKA'!M11,'27.10 KISORO-CYANIKA'!M11)</f>
        <v>12.333333333333334</v>
      </c>
      <c r="N11" s="49">
        <f>AVERAGE('25.10.19 KISORO-CYANIKA-24h'!N11,'26.10 KISORO-CYANIKA'!N11,'27.10 KISORO-CYANIKA'!N11)</f>
        <v>0</v>
      </c>
      <c r="O11" s="15">
        <f t="shared" si="0"/>
        <v>2</v>
      </c>
      <c r="P11" s="15">
        <f t="shared" si="1"/>
        <v>14.333333333333334</v>
      </c>
      <c r="R11" s="1" t="s">
        <v>7</v>
      </c>
      <c r="S11" s="17">
        <f t="shared" ref="S11:AF11" si="3">SUM(C14:C17)</f>
        <v>3.6666666666666661</v>
      </c>
      <c r="T11" s="17">
        <f t="shared" si="3"/>
        <v>1.6666666666666665</v>
      </c>
      <c r="U11" s="17">
        <f t="shared" si="3"/>
        <v>1.6666666666666665</v>
      </c>
      <c r="V11" s="17">
        <f t="shared" si="3"/>
        <v>0.33333333333333331</v>
      </c>
      <c r="W11" s="17">
        <f t="shared" si="3"/>
        <v>0</v>
      </c>
      <c r="X11" s="17">
        <f t="shared" si="3"/>
        <v>0</v>
      </c>
      <c r="Y11" s="17">
        <f t="shared" si="3"/>
        <v>0.33333333333333331</v>
      </c>
      <c r="Z11" s="17">
        <f t="shared" si="3"/>
        <v>1.3333333333333333</v>
      </c>
      <c r="AA11" s="17">
        <f t="shared" si="3"/>
        <v>0</v>
      </c>
      <c r="AB11" s="17">
        <f t="shared" si="3"/>
        <v>0</v>
      </c>
      <c r="AC11" s="17">
        <f t="shared" si="3"/>
        <v>64.666666666666657</v>
      </c>
      <c r="AD11" s="17">
        <f t="shared" si="3"/>
        <v>0</v>
      </c>
      <c r="AE11" s="31">
        <f t="shared" si="3"/>
        <v>9</v>
      </c>
      <c r="AF11" s="31">
        <f t="shared" si="3"/>
        <v>73.666666666666671</v>
      </c>
    </row>
    <row r="12" spans="2:32" ht="23.1" customHeight="1" x14ac:dyDescent="0.25">
      <c r="B12" s="23" t="s">
        <v>39</v>
      </c>
      <c r="C12" s="49">
        <f>AVERAGE('25.10.19 KISORO-CYANIKA-24h'!C12,'26.10 KISORO-CYANIKA'!C12,'27.10 KISORO-CYANIKA'!C12)</f>
        <v>0.33333333333333331</v>
      </c>
      <c r="D12" s="49">
        <f>AVERAGE('25.10.19 KISORO-CYANIKA-24h'!D12,'26.10 KISORO-CYANIKA'!D12,'27.10 KISORO-CYANIKA'!D12)</f>
        <v>0</v>
      </c>
      <c r="E12" s="49">
        <f>AVERAGE('25.10.19 KISORO-CYANIKA-24h'!E12,'26.10 KISORO-CYANIKA'!E12,'27.10 KISORO-CYANIKA'!E12)</f>
        <v>0</v>
      </c>
      <c r="F12" s="49">
        <f>AVERAGE('25.10.19 KISORO-CYANIKA-24h'!F12,'26.10 KISORO-CYANIKA'!F12,'27.10 KISORO-CYANIKA'!F12)</f>
        <v>0</v>
      </c>
      <c r="G12" s="49">
        <f>AVERAGE('25.10.19 KISORO-CYANIKA-24h'!G12,'26.10 KISORO-CYANIKA'!G12,'27.10 KISORO-CYANIKA'!G12)</f>
        <v>0</v>
      </c>
      <c r="H12" s="49">
        <f>AVERAGE('25.10.19 KISORO-CYANIKA-24h'!H12,'26.10 KISORO-CYANIKA'!H12,'27.10 KISORO-CYANIKA'!H12)</f>
        <v>0</v>
      </c>
      <c r="I12" s="49">
        <f>AVERAGE('25.10.19 KISORO-CYANIKA-24h'!I12,'26.10 KISORO-CYANIKA'!I12,'27.10 KISORO-CYANIKA'!I12)</f>
        <v>0</v>
      </c>
      <c r="J12" s="49">
        <f>AVERAGE('25.10.19 KISORO-CYANIKA-24h'!J12,'26.10 KISORO-CYANIKA'!J12,'27.10 KISORO-CYANIKA'!J12)</f>
        <v>0</v>
      </c>
      <c r="K12" s="49">
        <f>AVERAGE('25.10.19 KISORO-CYANIKA-24h'!K12,'26.10 KISORO-CYANIKA'!K12,'27.10 KISORO-CYANIKA'!K12)</f>
        <v>0</v>
      </c>
      <c r="L12" s="49">
        <f>AVERAGE('25.10.19 KISORO-CYANIKA-24h'!L12,'26.10 KISORO-CYANIKA'!L12,'27.10 KISORO-CYANIKA'!L12)</f>
        <v>0</v>
      </c>
      <c r="M12" s="49">
        <f>AVERAGE('25.10.19 KISORO-CYANIKA-24h'!M12,'26.10 KISORO-CYANIKA'!M12,'27.10 KISORO-CYANIKA'!M12)</f>
        <v>10</v>
      </c>
      <c r="N12" s="49">
        <f>AVERAGE('25.10.19 KISORO-CYANIKA-24h'!N12,'26.10 KISORO-CYANIKA'!N12,'27.10 KISORO-CYANIKA'!N12)</f>
        <v>0</v>
      </c>
      <c r="O12" s="15">
        <f t="shared" si="0"/>
        <v>0.33333333333333331</v>
      </c>
      <c r="P12" s="15">
        <f t="shared" si="1"/>
        <v>10.333333333333334</v>
      </c>
      <c r="R12" s="1" t="s">
        <v>8</v>
      </c>
      <c r="S12" s="17">
        <f t="shared" ref="S12:AF12" si="4">SUM(C18:C21)</f>
        <v>1.6666666666666665</v>
      </c>
      <c r="T12" s="17">
        <f t="shared" si="4"/>
        <v>3.333333333333333</v>
      </c>
      <c r="U12" s="17">
        <f t="shared" si="4"/>
        <v>2.3333333333333335</v>
      </c>
      <c r="V12" s="17">
        <f t="shared" si="4"/>
        <v>0.33333333333333331</v>
      </c>
      <c r="W12" s="17">
        <f t="shared" si="4"/>
        <v>0</v>
      </c>
      <c r="X12" s="17">
        <f t="shared" si="4"/>
        <v>0</v>
      </c>
      <c r="Y12" s="17">
        <f t="shared" si="4"/>
        <v>0.66666666666666663</v>
      </c>
      <c r="Z12" s="17">
        <f t="shared" si="4"/>
        <v>3.6666666666666661</v>
      </c>
      <c r="AA12" s="17">
        <f t="shared" si="4"/>
        <v>0</v>
      </c>
      <c r="AB12" s="17">
        <f t="shared" si="4"/>
        <v>0</v>
      </c>
      <c r="AC12" s="17">
        <f t="shared" si="4"/>
        <v>103</v>
      </c>
      <c r="AD12" s="17">
        <f t="shared" si="4"/>
        <v>0</v>
      </c>
      <c r="AE12" s="31">
        <f t="shared" si="4"/>
        <v>12</v>
      </c>
      <c r="AF12" s="31">
        <f t="shared" si="4"/>
        <v>115</v>
      </c>
    </row>
    <row r="13" spans="2:32" ht="23.1" customHeight="1" x14ac:dyDescent="0.25">
      <c r="B13" s="23" t="s">
        <v>40</v>
      </c>
      <c r="C13" s="49">
        <f>AVERAGE('25.10.19 KISORO-CYANIKA-24h'!C13,'26.10 KISORO-CYANIKA'!C13,'27.10 KISORO-CYANIKA'!C13)</f>
        <v>0.66666666666666663</v>
      </c>
      <c r="D13" s="49">
        <f>AVERAGE('25.10.19 KISORO-CYANIKA-24h'!D13,'26.10 KISORO-CYANIKA'!D13,'27.10 KISORO-CYANIKA'!D13)</f>
        <v>0.66666666666666663</v>
      </c>
      <c r="E13" s="49">
        <f>AVERAGE('25.10.19 KISORO-CYANIKA-24h'!E13,'26.10 KISORO-CYANIKA'!E13,'27.10 KISORO-CYANIKA'!E13)</f>
        <v>0.66666666666666663</v>
      </c>
      <c r="F13" s="49">
        <f>AVERAGE('25.10.19 KISORO-CYANIKA-24h'!F13,'26.10 KISORO-CYANIKA'!F13,'27.10 KISORO-CYANIKA'!F13)</f>
        <v>0</v>
      </c>
      <c r="G13" s="49">
        <f>AVERAGE('25.10.19 KISORO-CYANIKA-24h'!G13,'26.10 KISORO-CYANIKA'!G13,'27.10 KISORO-CYANIKA'!G13)</f>
        <v>0</v>
      </c>
      <c r="H13" s="49">
        <f>AVERAGE('25.10.19 KISORO-CYANIKA-24h'!H13,'26.10 KISORO-CYANIKA'!H13,'27.10 KISORO-CYANIKA'!H13)</f>
        <v>0</v>
      </c>
      <c r="I13" s="49">
        <f>AVERAGE('25.10.19 KISORO-CYANIKA-24h'!I13,'26.10 KISORO-CYANIKA'!I13,'27.10 KISORO-CYANIKA'!I13)</f>
        <v>0</v>
      </c>
      <c r="J13" s="49">
        <f>AVERAGE('25.10.19 KISORO-CYANIKA-24h'!J13,'26.10 KISORO-CYANIKA'!J13,'27.10 KISORO-CYANIKA'!J13)</f>
        <v>0.33333333333333331</v>
      </c>
      <c r="K13" s="49">
        <f>AVERAGE('25.10.19 KISORO-CYANIKA-24h'!K13,'26.10 KISORO-CYANIKA'!K13,'27.10 KISORO-CYANIKA'!K13)</f>
        <v>0</v>
      </c>
      <c r="L13" s="49">
        <f>AVERAGE('25.10.19 KISORO-CYANIKA-24h'!L13,'26.10 KISORO-CYANIKA'!L13,'27.10 KISORO-CYANIKA'!L13)</f>
        <v>0</v>
      </c>
      <c r="M13" s="49">
        <f>AVERAGE('25.10.19 KISORO-CYANIKA-24h'!M13,'26.10 KISORO-CYANIKA'!M13,'27.10 KISORO-CYANIKA'!M13)</f>
        <v>10</v>
      </c>
      <c r="N13" s="49">
        <f>AVERAGE('25.10.19 KISORO-CYANIKA-24h'!N13,'26.10 KISORO-CYANIKA'!N13,'27.10 KISORO-CYANIKA'!N13)</f>
        <v>0</v>
      </c>
      <c r="O13" s="15">
        <f t="shared" si="0"/>
        <v>2.3333333333333335</v>
      </c>
      <c r="P13" s="15">
        <f t="shared" si="1"/>
        <v>12.333333333333334</v>
      </c>
      <c r="R13" s="1" t="s">
        <v>9</v>
      </c>
      <c r="S13" s="17">
        <f t="shared" ref="S13:AF13" si="5">SUM(C22:C25)</f>
        <v>8.6666666666666661</v>
      </c>
      <c r="T13" s="17">
        <f t="shared" si="5"/>
        <v>1.6666666666666665</v>
      </c>
      <c r="U13" s="17">
        <f t="shared" si="5"/>
        <v>2.9999999999999996</v>
      </c>
      <c r="V13" s="17">
        <f t="shared" si="5"/>
        <v>1</v>
      </c>
      <c r="W13" s="17">
        <f t="shared" si="5"/>
        <v>0.33333333333333331</v>
      </c>
      <c r="X13" s="17">
        <f t="shared" si="5"/>
        <v>0</v>
      </c>
      <c r="Y13" s="17">
        <f t="shared" si="5"/>
        <v>2</v>
      </c>
      <c r="Z13" s="17">
        <f t="shared" si="5"/>
        <v>3</v>
      </c>
      <c r="AA13" s="17">
        <f t="shared" si="5"/>
        <v>0.33333333333333331</v>
      </c>
      <c r="AB13" s="17">
        <f t="shared" si="5"/>
        <v>0</v>
      </c>
      <c r="AC13" s="17">
        <f t="shared" si="5"/>
        <v>131.66666666666666</v>
      </c>
      <c r="AD13" s="17">
        <f t="shared" si="5"/>
        <v>0</v>
      </c>
      <c r="AE13" s="31">
        <f t="shared" si="5"/>
        <v>20</v>
      </c>
      <c r="AF13" s="31">
        <f t="shared" si="5"/>
        <v>151.66666666666669</v>
      </c>
    </row>
    <row r="14" spans="2:32" ht="23.1" customHeight="1" x14ac:dyDescent="0.25">
      <c r="B14" s="23" t="s">
        <v>41</v>
      </c>
      <c r="C14" s="49">
        <f>AVERAGE('25.10.19 KISORO-CYANIKA-24h'!C14,'26.10 KISORO-CYANIKA'!C14,'27.10 KISORO-CYANIKA'!C14)</f>
        <v>0.66666666666666663</v>
      </c>
      <c r="D14" s="49">
        <f>AVERAGE('25.10.19 KISORO-CYANIKA-24h'!D14,'26.10 KISORO-CYANIKA'!D14,'27.10 KISORO-CYANIKA'!D14)</f>
        <v>1</v>
      </c>
      <c r="E14" s="49">
        <f>AVERAGE('25.10.19 KISORO-CYANIKA-24h'!E14,'26.10 KISORO-CYANIKA'!E14,'27.10 KISORO-CYANIKA'!E14)</f>
        <v>1.3333333333333333</v>
      </c>
      <c r="F14" s="49">
        <f>AVERAGE('25.10.19 KISORO-CYANIKA-24h'!F14,'26.10 KISORO-CYANIKA'!F14,'27.10 KISORO-CYANIKA'!F14)</f>
        <v>0</v>
      </c>
      <c r="G14" s="49">
        <f>AVERAGE('25.10.19 KISORO-CYANIKA-24h'!G14,'26.10 KISORO-CYANIKA'!G14,'27.10 KISORO-CYANIKA'!G14)</f>
        <v>0</v>
      </c>
      <c r="H14" s="49">
        <f>AVERAGE('25.10.19 KISORO-CYANIKA-24h'!H14,'26.10 KISORO-CYANIKA'!H14,'27.10 KISORO-CYANIKA'!H14)</f>
        <v>0</v>
      </c>
      <c r="I14" s="49">
        <f>AVERAGE('25.10.19 KISORO-CYANIKA-24h'!I14,'26.10 KISORO-CYANIKA'!I14,'27.10 KISORO-CYANIKA'!I14)</f>
        <v>0.33333333333333331</v>
      </c>
      <c r="J14" s="49">
        <f>AVERAGE('25.10.19 KISORO-CYANIKA-24h'!J14,'26.10 KISORO-CYANIKA'!J14,'27.10 KISORO-CYANIKA'!J14)</f>
        <v>0</v>
      </c>
      <c r="K14" s="49">
        <f>AVERAGE('25.10.19 KISORO-CYANIKA-24h'!K14,'26.10 KISORO-CYANIKA'!K14,'27.10 KISORO-CYANIKA'!K14)</f>
        <v>0</v>
      </c>
      <c r="L14" s="49">
        <f>AVERAGE('25.10.19 KISORO-CYANIKA-24h'!L14,'26.10 KISORO-CYANIKA'!L14,'27.10 KISORO-CYANIKA'!L14)</f>
        <v>0</v>
      </c>
      <c r="M14" s="49">
        <f>AVERAGE('25.10.19 KISORO-CYANIKA-24h'!M14,'26.10 KISORO-CYANIKA'!M14,'27.10 KISORO-CYANIKA'!M14)</f>
        <v>11</v>
      </c>
      <c r="N14" s="49">
        <f>AVERAGE('25.10.19 KISORO-CYANIKA-24h'!N14,'26.10 KISORO-CYANIKA'!N14,'27.10 KISORO-CYANIKA'!N14)</f>
        <v>0</v>
      </c>
      <c r="O14" s="15">
        <f t="shared" si="0"/>
        <v>3.3333333333333335</v>
      </c>
      <c r="P14" s="15">
        <f t="shared" si="1"/>
        <v>14.333333333333334</v>
      </c>
      <c r="R14" s="1" t="s">
        <v>10</v>
      </c>
      <c r="S14" s="17">
        <f t="shared" ref="S14:AF14" si="6">SUM(C26:C29)</f>
        <v>10</v>
      </c>
      <c r="T14" s="17">
        <f t="shared" si="6"/>
        <v>4</v>
      </c>
      <c r="U14" s="17">
        <f t="shared" si="6"/>
        <v>2</v>
      </c>
      <c r="V14" s="17">
        <f t="shared" si="6"/>
        <v>0.33333333333333331</v>
      </c>
      <c r="W14" s="17">
        <f t="shared" si="6"/>
        <v>0</v>
      </c>
      <c r="X14" s="17">
        <f t="shared" si="6"/>
        <v>0.33333333333333331</v>
      </c>
      <c r="Y14" s="17">
        <f t="shared" si="6"/>
        <v>2</v>
      </c>
      <c r="Z14" s="17">
        <f t="shared" si="6"/>
        <v>0.66666666666666663</v>
      </c>
      <c r="AA14" s="17">
        <f t="shared" si="6"/>
        <v>0</v>
      </c>
      <c r="AB14" s="17">
        <f t="shared" si="6"/>
        <v>0</v>
      </c>
      <c r="AC14" s="17">
        <f t="shared" si="6"/>
        <v>139</v>
      </c>
      <c r="AD14" s="17">
        <f t="shared" si="6"/>
        <v>0</v>
      </c>
      <c r="AE14" s="31">
        <f t="shared" si="6"/>
        <v>19.333333333333332</v>
      </c>
      <c r="AF14" s="31">
        <f t="shared" si="6"/>
        <v>158.33333333333334</v>
      </c>
    </row>
    <row r="15" spans="2:32" ht="23.1" customHeight="1" x14ac:dyDescent="0.25">
      <c r="B15" s="23" t="s">
        <v>42</v>
      </c>
      <c r="C15" s="49">
        <f>AVERAGE('25.10.19 KISORO-CYANIKA-24h'!C15,'26.10 KISORO-CYANIKA'!C15,'27.10 KISORO-CYANIKA'!C15)</f>
        <v>1</v>
      </c>
      <c r="D15" s="49">
        <f>AVERAGE('25.10.19 KISORO-CYANIKA-24h'!D15,'26.10 KISORO-CYANIKA'!D15,'27.10 KISORO-CYANIKA'!D15)</f>
        <v>0</v>
      </c>
      <c r="E15" s="49">
        <f>AVERAGE('25.10.19 KISORO-CYANIKA-24h'!E15,'26.10 KISORO-CYANIKA'!E15,'27.10 KISORO-CYANIKA'!E15)</f>
        <v>0</v>
      </c>
      <c r="F15" s="49">
        <f>AVERAGE('25.10.19 KISORO-CYANIKA-24h'!F15,'26.10 KISORO-CYANIKA'!F15,'27.10 KISORO-CYANIKA'!F15)</f>
        <v>0.33333333333333331</v>
      </c>
      <c r="G15" s="49">
        <f>AVERAGE('25.10.19 KISORO-CYANIKA-24h'!G15,'26.10 KISORO-CYANIKA'!G15,'27.10 KISORO-CYANIKA'!G15)</f>
        <v>0</v>
      </c>
      <c r="H15" s="49">
        <f>AVERAGE('25.10.19 KISORO-CYANIKA-24h'!H15,'26.10 KISORO-CYANIKA'!H15,'27.10 KISORO-CYANIKA'!H15)</f>
        <v>0</v>
      </c>
      <c r="I15" s="49">
        <f>AVERAGE('25.10.19 KISORO-CYANIKA-24h'!I15,'26.10 KISORO-CYANIKA'!I15,'27.10 KISORO-CYANIKA'!I15)</f>
        <v>0</v>
      </c>
      <c r="J15" s="49">
        <f>AVERAGE('25.10.19 KISORO-CYANIKA-24h'!J15,'26.10 KISORO-CYANIKA'!J15,'27.10 KISORO-CYANIKA'!J15)</f>
        <v>0.66666666666666663</v>
      </c>
      <c r="K15" s="49">
        <f>AVERAGE('25.10.19 KISORO-CYANIKA-24h'!K15,'26.10 KISORO-CYANIKA'!K15,'27.10 KISORO-CYANIKA'!K15)</f>
        <v>0</v>
      </c>
      <c r="L15" s="49">
        <f>AVERAGE('25.10.19 KISORO-CYANIKA-24h'!L15,'26.10 KISORO-CYANIKA'!L15,'27.10 KISORO-CYANIKA'!L15)</f>
        <v>0</v>
      </c>
      <c r="M15" s="49">
        <f>AVERAGE('25.10.19 KISORO-CYANIKA-24h'!M15,'26.10 KISORO-CYANIKA'!M15,'27.10 KISORO-CYANIKA'!M15)</f>
        <v>14</v>
      </c>
      <c r="N15" s="49">
        <f>AVERAGE('25.10.19 KISORO-CYANIKA-24h'!N15,'26.10 KISORO-CYANIKA'!N15,'27.10 KISORO-CYANIKA'!N15)</f>
        <v>0</v>
      </c>
      <c r="O15" s="15">
        <f t="shared" si="0"/>
        <v>2</v>
      </c>
      <c r="P15" s="15">
        <f t="shared" si="1"/>
        <v>16</v>
      </c>
      <c r="R15" s="1" t="s">
        <v>11</v>
      </c>
      <c r="S15" s="17">
        <f t="shared" ref="S15:AF15" si="7">SUM(C30:C33)</f>
        <v>7.666666666666667</v>
      </c>
      <c r="T15" s="17">
        <f t="shared" si="7"/>
        <v>3.6666666666666665</v>
      </c>
      <c r="U15" s="17">
        <f t="shared" si="7"/>
        <v>4.333333333333333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2.333333333333333</v>
      </c>
      <c r="Z15" s="17">
        <f t="shared" si="7"/>
        <v>2.333333333333333</v>
      </c>
      <c r="AA15" s="17">
        <f t="shared" si="7"/>
        <v>0</v>
      </c>
      <c r="AB15" s="17">
        <f t="shared" si="7"/>
        <v>0</v>
      </c>
      <c r="AC15" s="17">
        <f t="shared" si="7"/>
        <v>131</v>
      </c>
      <c r="AD15" s="17">
        <f t="shared" si="7"/>
        <v>0</v>
      </c>
      <c r="AE15" s="31">
        <f t="shared" si="7"/>
        <v>20.333333333333332</v>
      </c>
      <c r="AF15" s="31">
        <f t="shared" si="7"/>
        <v>151.33333333333334</v>
      </c>
    </row>
    <row r="16" spans="2:32" ht="23.1" customHeight="1" x14ac:dyDescent="0.25">
      <c r="B16" s="23" t="s">
        <v>43</v>
      </c>
      <c r="C16" s="49">
        <f>AVERAGE('25.10.19 KISORO-CYANIKA-24h'!C16,'26.10 KISORO-CYANIKA'!C16,'27.10 KISORO-CYANIKA'!C16)</f>
        <v>0.66666666666666663</v>
      </c>
      <c r="D16" s="49">
        <f>AVERAGE('25.10.19 KISORO-CYANIKA-24h'!D16,'26.10 KISORO-CYANIKA'!D16,'27.10 KISORO-CYANIKA'!D16)</f>
        <v>0.66666666666666663</v>
      </c>
      <c r="E16" s="49">
        <f>AVERAGE('25.10.19 KISORO-CYANIKA-24h'!E16,'26.10 KISORO-CYANIKA'!E16,'27.10 KISORO-CYANIKA'!E16)</f>
        <v>0</v>
      </c>
      <c r="F16" s="49">
        <f>AVERAGE('25.10.19 KISORO-CYANIKA-24h'!F16,'26.10 KISORO-CYANIKA'!F16,'27.10 KISORO-CYANIKA'!F16)</f>
        <v>0</v>
      </c>
      <c r="G16" s="49">
        <f>AVERAGE('25.10.19 KISORO-CYANIKA-24h'!G16,'26.10 KISORO-CYANIKA'!G16,'27.10 KISORO-CYANIKA'!G16)</f>
        <v>0</v>
      </c>
      <c r="H16" s="49">
        <f>AVERAGE('25.10.19 KISORO-CYANIKA-24h'!H16,'26.10 KISORO-CYANIKA'!H16,'27.10 KISORO-CYANIKA'!H16)</f>
        <v>0</v>
      </c>
      <c r="I16" s="49">
        <f>AVERAGE('25.10.19 KISORO-CYANIKA-24h'!I16,'26.10 KISORO-CYANIKA'!I16,'27.10 KISORO-CYANIKA'!I16)</f>
        <v>0</v>
      </c>
      <c r="J16" s="49">
        <f>AVERAGE('25.10.19 KISORO-CYANIKA-24h'!J16,'26.10 KISORO-CYANIKA'!J16,'27.10 KISORO-CYANIKA'!J16)</f>
        <v>0.33333333333333331</v>
      </c>
      <c r="K16" s="49">
        <f>AVERAGE('25.10.19 KISORO-CYANIKA-24h'!K16,'26.10 KISORO-CYANIKA'!K16,'27.10 KISORO-CYANIKA'!K16)</f>
        <v>0</v>
      </c>
      <c r="L16" s="49">
        <f>AVERAGE('25.10.19 KISORO-CYANIKA-24h'!L16,'26.10 KISORO-CYANIKA'!L16,'27.10 KISORO-CYANIKA'!L16)</f>
        <v>0</v>
      </c>
      <c r="M16" s="49">
        <f>AVERAGE('25.10.19 KISORO-CYANIKA-24h'!M16,'26.10 KISORO-CYANIKA'!M16,'27.10 KISORO-CYANIKA'!M16)</f>
        <v>19.333333333333332</v>
      </c>
      <c r="N16" s="49">
        <f>AVERAGE('25.10.19 KISORO-CYANIKA-24h'!N16,'26.10 KISORO-CYANIKA'!N16,'27.10 KISORO-CYANIKA'!N16)</f>
        <v>0</v>
      </c>
      <c r="O16" s="15">
        <f t="shared" si="0"/>
        <v>1.6666666666666665</v>
      </c>
      <c r="P16" s="15">
        <f t="shared" si="1"/>
        <v>21</v>
      </c>
      <c r="R16" s="1" t="s">
        <v>12</v>
      </c>
      <c r="S16" s="17">
        <f t="shared" ref="S16:AF16" si="8">SUM(C34:C37)</f>
        <v>9.6666666666666661</v>
      </c>
      <c r="T16" s="17">
        <f t="shared" si="8"/>
        <v>4.666666666666667</v>
      </c>
      <c r="U16" s="17">
        <f t="shared" si="8"/>
        <v>3</v>
      </c>
      <c r="V16" s="17">
        <f t="shared" si="8"/>
        <v>0.33333333333333331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0.66666666666666663</v>
      </c>
      <c r="AA16" s="17">
        <f t="shared" si="8"/>
        <v>0</v>
      </c>
      <c r="AB16" s="17">
        <f t="shared" si="8"/>
        <v>0</v>
      </c>
      <c r="AC16" s="17">
        <f t="shared" si="8"/>
        <v>129.33333333333331</v>
      </c>
      <c r="AD16" s="17">
        <f t="shared" si="8"/>
        <v>0</v>
      </c>
      <c r="AE16" s="31">
        <f t="shared" si="8"/>
        <v>21.333333333333332</v>
      </c>
      <c r="AF16" s="31">
        <f t="shared" si="8"/>
        <v>150.66666666666666</v>
      </c>
    </row>
    <row r="17" spans="2:32" ht="23.1" customHeight="1" x14ac:dyDescent="0.25">
      <c r="B17" s="23" t="s">
        <v>44</v>
      </c>
      <c r="C17" s="49">
        <f>AVERAGE('25.10.19 KISORO-CYANIKA-24h'!C17,'26.10 KISORO-CYANIKA'!C17,'27.10 KISORO-CYANIKA'!C17)</f>
        <v>1.3333333333333333</v>
      </c>
      <c r="D17" s="49">
        <f>AVERAGE('25.10.19 KISORO-CYANIKA-24h'!D17,'26.10 KISORO-CYANIKA'!D17,'27.10 KISORO-CYANIKA'!D17)</f>
        <v>0</v>
      </c>
      <c r="E17" s="49">
        <f>AVERAGE('25.10.19 KISORO-CYANIKA-24h'!E17,'26.10 KISORO-CYANIKA'!E17,'27.10 KISORO-CYANIKA'!E17)</f>
        <v>0.33333333333333331</v>
      </c>
      <c r="F17" s="49">
        <f>AVERAGE('25.10.19 KISORO-CYANIKA-24h'!F17,'26.10 KISORO-CYANIKA'!F17,'27.10 KISORO-CYANIKA'!F17)</f>
        <v>0</v>
      </c>
      <c r="G17" s="49">
        <f>AVERAGE('25.10.19 KISORO-CYANIKA-24h'!G17,'26.10 KISORO-CYANIKA'!G17,'27.10 KISORO-CYANIKA'!G17)</f>
        <v>0</v>
      </c>
      <c r="H17" s="49">
        <f>AVERAGE('25.10.19 KISORO-CYANIKA-24h'!H17,'26.10 KISORO-CYANIKA'!H17,'27.10 KISORO-CYANIKA'!H17)</f>
        <v>0</v>
      </c>
      <c r="I17" s="49">
        <f>AVERAGE('25.10.19 KISORO-CYANIKA-24h'!I17,'26.10 KISORO-CYANIKA'!I17,'27.10 KISORO-CYANIKA'!I17)</f>
        <v>0</v>
      </c>
      <c r="J17" s="49">
        <f>AVERAGE('25.10.19 KISORO-CYANIKA-24h'!J17,'26.10 KISORO-CYANIKA'!J17,'27.10 KISORO-CYANIKA'!J17)</f>
        <v>0.33333333333333331</v>
      </c>
      <c r="K17" s="49">
        <f>AVERAGE('25.10.19 KISORO-CYANIKA-24h'!K17,'26.10 KISORO-CYANIKA'!K17,'27.10 KISORO-CYANIKA'!K17)</f>
        <v>0</v>
      </c>
      <c r="L17" s="49">
        <f>AVERAGE('25.10.19 KISORO-CYANIKA-24h'!L17,'26.10 KISORO-CYANIKA'!L17,'27.10 KISORO-CYANIKA'!L17)</f>
        <v>0</v>
      </c>
      <c r="M17" s="49">
        <f>AVERAGE('25.10.19 KISORO-CYANIKA-24h'!M17,'26.10 KISORO-CYANIKA'!M17,'27.10 KISORO-CYANIKA'!M17)</f>
        <v>20.333333333333332</v>
      </c>
      <c r="N17" s="49">
        <f>AVERAGE('25.10.19 KISORO-CYANIKA-24h'!N17,'26.10 KISORO-CYANIKA'!N17,'27.10 KISORO-CYANIKA'!N17)</f>
        <v>0</v>
      </c>
      <c r="O17" s="15">
        <f t="shared" si="0"/>
        <v>1.9999999999999998</v>
      </c>
      <c r="P17" s="15">
        <f t="shared" si="1"/>
        <v>22.333333333333332</v>
      </c>
      <c r="R17" s="1" t="s">
        <v>13</v>
      </c>
      <c r="S17" s="17">
        <f t="shared" ref="S17:AF17" si="9">SUM(C38:C41)</f>
        <v>9</v>
      </c>
      <c r="T17" s="17">
        <f t="shared" si="9"/>
        <v>3.333333333333333</v>
      </c>
      <c r="U17" s="17">
        <f t="shared" si="9"/>
        <v>3.6666666666666661</v>
      </c>
      <c r="V17" s="17">
        <f t="shared" si="9"/>
        <v>0</v>
      </c>
      <c r="W17" s="17">
        <f t="shared" si="9"/>
        <v>0</v>
      </c>
      <c r="X17" s="17">
        <f t="shared" si="9"/>
        <v>0.66666666666666663</v>
      </c>
      <c r="Y17" s="17">
        <f t="shared" si="9"/>
        <v>2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146.33333333333334</v>
      </c>
      <c r="AD17" s="17">
        <f t="shared" si="9"/>
        <v>0</v>
      </c>
      <c r="AE17" s="31">
        <f t="shared" si="9"/>
        <v>19.666666666666664</v>
      </c>
      <c r="AF17" s="31">
        <f t="shared" si="9"/>
        <v>166</v>
      </c>
    </row>
    <row r="18" spans="2:32" ht="23.1" customHeight="1" x14ac:dyDescent="0.25">
      <c r="B18" s="23" t="s">
        <v>45</v>
      </c>
      <c r="C18" s="49">
        <f>AVERAGE('25.10.19 KISORO-CYANIKA-24h'!C18,'26.10 KISORO-CYANIKA'!C18,'27.10 KISORO-CYANIKA'!C18)</f>
        <v>0.66666666666666663</v>
      </c>
      <c r="D18" s="49">
        <f>AVERAGE('25.10.19 KISORO-CYANIKA-24h'!D18,'26.10 KISORO-CYANIKA'!D18,'27.10 KISORO-CYANIKA'!D18)</f>
        <v>0.66666666666666663</v>
      </c>
      <c r="E18" s="49">
        <f>AVERAGE('25.10.19 KISORO-CYANIKA-24h'!E18,'26.10 KISORO-CYANIKA'!E18,'27.10 KISORO-CYANIKA'!E18)</f>
        <v>0.66666666666666663</v>
      </c>
      <c r="F18" s="49">
        <f>AVERAGE('25.10.19 KISORO-CYANIKA-24h'!F18,'26.10 KISORO-CYANIKA'!F18,'27.10 KISORO-CYANIKA'!F18)</f>
        <v>0</v>
      </c>
      <c r="G18" s="49">
        <f>AVERAGE('25.10.19 KISORO-CYANIKA-24h'!G18,'26.10 KISORO-CYANIKA'!G18,'27.10 KISORO-CYANIKA'!G18)</f>
        <v>0</v>
      </c>
      <c r="H18" s="49">
        <f>AVERAGE('25.10.19 KISORO-CYANIKA-24h'!H18,'26.10 KISORO-CYANIKA'!H18,'27.10 KISORO-CYANIKA'!H18)</f>
        <v>0</v>
      </c>
      <c r="I18" s="49">
        <f>AVERAGE('25.10.19 KISORO-CYANIKA-24h'!I18,'26.10 KISORO-CYANIKA'!I18,'27.10 KISORO-CYANIKA'!I18)</f>
        <v>0</v>
      </c>
      <c r="J18" s="49">
        <f>AVERAGE('25.10.19 KISORO-CYANIKA-24h'!J18,'26.10 KISORO-CYANIKA'!J18,'27.10 KISORO-CYANIKA'!J18)</f>
        <v>1</v>
      </c>
      <c r="K18" s="49">
        <f>AVERAGE('25.10.19 KISORO-CYANIKA-24h'!K18,'26.10 KISORO-CYANIKA'!K18,'27.10 KISORO-CYANIKA'!K18)</f>
        <v>0</v>
      </c>
      <c r="L18" s="49">
        <f>AVERAGE('25.10.19 KISORO-CYANIKA-24h'!L18,'26.10 KISORO-CYANIKA'!L18,'27.10 KISORO-CYANIKA'!L18)</f>
        <v>0</v>
      </c>
      <c r="M18" s="49">
        <f>AVERAGE('25.10.19 KISORO-CYANIKA-24h'!M18,'26.10 KISORO-CYANIKA'!M18,'27.10 KISORO-CYANIKA'!M18)</f>
        <v>21.666666666666668</v>
      </c>
      <c r="N18" s="49">
        <f>AVERAGE('25.10.19 KISORO-CYANIKA-24h'!N18,'26.10 KISORO-CYANIKA'!N18,'27.10 KISORO-CYANIKA'!N18)</f>
        <v>0</v>
      </c>
      <c r="O18" s="15">
        <f t="shared" si="0"/>
        <v>3</v>
      </c>
      <c r="P18" s="15">
        <f t="shared" si="1"/>
        <v>24.666666666666668</v>
      </c>
      <c r="R18" s="1" t="s">
        <v>14</v>
      </c>
      <c r="S18" s="17">
        <f t="shared" ref="S18:AF18" si="10">SUM(C42:C45)</f>
        <v>13.333333333333334</v>
      </c>
      <c r="T18" s="17">
        <f t="shared" si="10"/>
        <v>5.0000000000000009</v>
      </c>
      <c r="U18" s="17">
        <f t="shared" si="10"/>
        <v>3</v>
      </c>
      <c r="V18" s="17">
        <f t="shared" si="10"/>
        <v>0.33333333333333331</v>
      </c>
      <c r="W18" s="17">
        <f t="shared" si="10"/>
        <v>0</v>
      </c>
      <c r="X18" s="17">
        <f t="shared" si="10"/>
        <v>0</v>
      </c>
      <c r="Y18" s="17">
        <f t="shared" si="10"/>
        <v>1.6666666666666665</v>
      </c>
      <c r="Z18" s="17">
        <f t="shared" si="10"/>
        <v>0.66666666666666663</v>
      </c>
      <c r="AA18" s="17">
        <f t="shared" si="10"/>
        <v>0</v>
      </c>
      <c r="AB18" s="17">
        <f t="shared" si="10"/>
        <v>0</v>
      </c>
      <c r="AC18" s="17">
        <f t="shared" si="10"/>
        <v>159.33333333333334</v>
      </c>
      <c r="AD18" s="17">
        <f t="shared" si="10"/>
        <v>0</v>
      </c>
      <c r="AE18" s="31">
        <f t="shared" si="10"/>
        <v>24</v>
      </c>
      <c r="AF18" s="31">
        <f t="shared" si="10"/>
        <v>183.33333333333334</v>
      </c>
    </row>
    <row r="19" spans="2:32" ht="23.1" customHeight="1" x14ac:dyDescent="0.25">
      <c r="B19" s="23" t="s">
        <v>46</v>
      </c>
      <c r="C19" s="49">
        <f>AVERAGE('25.10.19 KISORO-CYANIKA-24h'!C19,'26.10 KISORO-CYANIKA'!C19,'27.10 KISORO-CYANIKA'!C19)</f>
        <v>0</v>
      </c>
      <c r="D19" s="49">
        <f>AVERAGE('25.10.19 KISORO-CYANIKA-24h'!D19,'26.10 KISORO-CYANIKA'!D19,'27.10 KISORO-CYANIKA'!D19)</f>
        <v>1.3333333333333333</v>
      </c>
      <c r="E19" s="49">
        <f>AVERAGE('25.10.19 KISORO-CYANIKA-24h'!E19,'26.10 KISORO-CYANIKA'!E19,'27.10 KISORO-CYANIKA'!E19)</f>
        <v>0.33333333333333331</v>
      </c>
      <c r="F19" s="49">
        <f>AVERAGE('25.10.19 KISORO-CYANIKA-24h'!F19,'26.10 KISORO-CYANIKA'!F19,'27.10 KISORO-CYANIKA'!F19)</f>
        <v>0.33333333333333331</v>
      </c>
      <c r="G19" s="49">
        <f>AVERAGE('25.10.19 KISORO-CYANIKA-24h'!G19,'26.10 KISORO-CYANIKA'!G19,'27.10 KISORO-CYANIKA'!G19)</f>
        <v>0</v>
      </c>
      <c r="H19" s="49">
        <f>AVERAGE('25.10.19 KISORO-CYANIKA-24h'!H19,'26.10 KISORO-CYANIKA'!H19,'27.10 KISORO-CYANIKA'!H19)</f>
        <v>0</v>
      </c>
      <c r="I19" s="49">
        <f>AVERAGE('25.10.19 KISORO-CYANIKA-24h'!I19,'26.10 KISORO-CYANIKA'!I19,'27.10 KISORO-CYANIKA'!I19)</f>
        <v>0.33333333333333331</v>
      </c>
      <c r="J19" s="49">
        <f>AVERAGE('25.10.19 KISORO-CYANIKA-24h'!J19,'26.10 KISORO-CYANIKA'!J19,'27.10 KISORO-CYANIKA'!J19)</f>
        <v>0</v>
      </c>
      <c r="K19" s="49">
        <f>AVERAGE('25.10.19 KISORO-CYANIKA-24h'!K19,'26.10 KISORO-CYANIKA'!K19,'27.10 KISORO-CYANIKA'!K19)</f>
        <v>0</v>
      </c>
      <c r="L19" s="49">
        <f>AVERAGE('25.10.19 KISORO-CYANIKA-24h'!L19,'26.10 KISORO-CYANIKA'!L19,'27.10 KISORO-CYANIKA'!L19)</f>
        <v>0</v>
      </c>
      <c r="M19" s="49">
        <f>AVERAGE('25.10.19 KISORO-CYANIKA-24h'!M19,'26.10 KISORO-CYANIKA'!M19,'27.10 KISORO-CYANIKA'!M19)</f>
        <v>21.333333333333332</v>
      </c>
      <c r="N19" s="49">
        <f>AVERAGE('25.10.19 KISORO-CYANIKA-24h'!N19,'26.10 KISORO-CYANIKA'!N19,'27.10 KISORO-CYANIKA'!N19)</f>
        <v>0</v>
      </c>
      <c r="O19" s="15">
        <f t="shared" si="0"/>
        <v>2.333333333333333</v>
      </c>
      <c r="P19" s="15">
        <f t="shared" si="1"/>
        <v>23.666666666666664</v>
      </c>
      <c r="R19" s="1" t="s">
        <v>15</v>
      </c>
      <c r="S19" s="17">
        <f t="shared" ref="S19:AF19" si="11">SUM(C46:C49)</f>
        <v>11</v>
      </c>
      <c r="T19" s="17">
        <f t="shared" si="11"/>
        <v>7</v>
      </c>
      <c r="U19" s="17">
        <f t="shared" si="11"/>
        <v>2.6666666666666665</v>
      </c>
      <c r="V19" s="17">
        <f t="shared" si="11"/>
        <v>0.33333333333333331</v>
      </c>
      <c r="W19" s="17">
        <f t="shared" si="11"/>
        <v>0</v>
      </c>
      <c r="X19" s="17">
        <f t="shared" si="11"/>
        <v>0</v>
      </c>
      <c r="Y19" s="17">
        <f t="shared" si="11"/>
        <v>1.3333333333333333</v>
      </c>
      <c r="Z19" s="17">
        <f t="shared" si="11"/>
        <v>0.66666666666666663</v>
      </c>
      <c r="AA19" s="17">
        <f t="shared" si="11"/>
        <v>0</v>
      </c>
      <c r="AB19" s="17">
        <f t="shared" si="11"/>
        <v>0</v>
      </c>
      <c r="AC19" s="17">
        <f t="shared" si="11"/>
        <v>171.66666666666669</v>
      </c>
      <c r="AD19" s="17">
        <f t="shared" si="11"/>
        <v>0</v>
      </c>
      <c r="AE19" s="31">
        <f t="shared" si="11"/>
        <v>22.999999999999996</v>
      </c>
      <c r="AF19" s="31">
        <f t="shared" si="11"/>
        <v>194.66666666666669</v>
      </c>
    </row>
    <row r="20" spans="2:32" ht="23.1" customHeight="1" x14ac:dyDescent="0.25">
      <c r="B20" s="23" t="s">
        <v>47</v>
      </c>
      <c r="C20" s="49">
        <f>AVERAGE('25.10.19 KISORO-CYANIKA-24h'!C20,'26.10 KISORO-CYANIKA'!C20,'27.10 KISORO-CYANIKA'!C20)</f>
        <v>0.66666666666666663</v>
      </c>
      <c r="D20" s="49">
        <f>AVERAGE('25.10.19 KISORO-CYANIKA-24h'!D20,'26.10 KISORO-CYANIKA'!D20,'27.10 KISORO-CYANIKA'!D20)</f>
        <v>0.66666666666666663</v>
      </c>
      <c r="E20" s="49">
        <f>AVERAGE('25.10.19 KISORO-CYANIKA-24h'!E20,'26.10 KISORO-CYANIKA'!E20,'27.10 KISORO-CYANIKA'!E20)</f>
        <v>1</v>
      </c>
      <c r="F20" s="49">
        <f>AVERAGE('25.10.19 KISORO-CYANIKA-24h'!F20,'26.10 KISORO-CYANIKA'!F20,'27.10 KISORO-CYANIKA'!F20)</f>
        <v>0</v>
      </c>
      <c r="G20" s="49">
        <f>AVERAGE('25.10.19 KISORO-CYANIKA-24h'!G20,'26.10 KISORO-CYANIKA'!G20,'27.10 KISORO-CYANIKA'!G20)</f>
        <v>0</v>
      </c>
      <c r="H20" s="49">
        <f>AVERAGE('25.10.19 KISORO-CYANIKA-24h'!H20,'26.10 KISORO-CYANIKA'!H20,'27.10 KISORO-CYANIKA'!H20)</f>
        <v>0</v>
      </c>
      <c r="I20" s="49">
        <f>AVERAGE('25.10.19 KISORO-CYANIKA-24h'!I20,'26.10 KISORO-CYANIKA'!I20,'27.10 KISORO-CYANIKA'!I20)</f>
        <v>0</v>
      </c>
      <c r="J20" s="49">
        <f>AVERAGE('25.10.19 KISORO-CYANIKA-24h'!J20,'26.10 KISORO-CYANIKA'!J20,'27.10 KISORO-CYANIKA'!J20)</f>
        <v>1.3333333333333333</v>
      </c>
      <c r="K20" s="49">
        <f>AVERAGE('25.10.19 KISORO-CYANIKA-24h'!K20,'26.10 KISORO-CYANIKA'!K20,'27.10 KISORO-CYANIKA'!K20)</f>
        <v>0</v>
      </c>
      <c r="L20" s="49">
        <f>AVERAGE('25.10.19 KISORO-CYANIKA-24h'!L20,'26.10 KISORO-CYANIKA'!L20,'27.10 KISORO-CYANIKA'!L20)</f>
        <v>0</v>
      </c>
      <c r="M20" s="49">
        <f>AVERAGE('25.10.19 KISORO-CYANIKA-24h'!M20,'26.10 KISORO-CYANIKA'!M20,'27.10 KISORO-CYANIKA'!M20)</f>
        <v>27</v>
      </c>
      <c r="N20" s="49">
        <f>AVERAGE('25.10.19 KISORO-CYANIKA-24h'!N20,'26.10 KISORO-CYANIKA'!N20,'27.10 KISORO-CYANIKA'!N20)</f>
        <v>0</v>
      </c>
      <c r="O20" s="15">
        <f t="shared" si="0"/>
        <v>3.6666666666666661</v>
      </c>
      <c r="P20" s="15">
        <f t="shared" si="1"/>
        <v>30.666666666666664</v>
      </c>
      <c r="R20" s="1" t="s">
        <v>16</v>
      </c>
      <c r="S20" s="17">
        <f t="shared" ref="S20:AF20" si="12">SUM(C50:C53)</f>
        <v>7.6666666666666661</v>
      </c>
      <c r="T20" s="17">
        <f t="shared" si="12"/>
        <v>4</v>
      </c>
      <c r="U20" s="17">
        <f t="shared" si="12"/>
        <v>4</v>
      </c>
      <c r="V20" s="17">
        <f t="shared" si="12"/>
        <v>0.33333333333333331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178.33333333333334</v>
      </c>
      <c r="AD20" s="17">
        <f t="shared" si="12"/>
        <v>0</v>
      </c>
      <c r="AE20" s="31">
        <f t="shared" si="12"/>
        <v>19</v>
      </c>
      <c r="AF20" s="31">
        <f t="shared" si="12"/>
        <v>197.33333333333331</v>
      </c>
    </row>
    <row r="21" spans="2:32" ht="23.1" customHeight="1" x14ac:dyDescent="0.25">
      <c r="B21" s="23" t="s">
        <v>48</v>
      </c>
      <c r="C21" s="49">
        <f>AVERAGE('25.10.19 KISORO-CYANIKA-24h'!C21,'26.10 KISORO-CYANIKA'!C21,'27.10 KISORO-CYANIKA'!C21)</f>
        <v>0.33333333333333331</v>
      </c>
      <c r="D21" s="49">
        <f>AVERAGE('25.10.19 KISORO-CYANIKA-24h'!D21,'26.10 KISORO-CYANIKA'!D21,'27.10 KISORO-CYANIKA'!D21)</f>
        <v>0.66666666666666663</v>
      </c>
      <c r="E21" s="49">
        <f>AVERAGE('25.10.19 KISORO-CYANIKA-24h'!E21,'26.10 KISORO-CYANIKA'!E21,'27.10 KISORO-CYANIKA'!E21)</f>
        <v>0.33333333333333331</v>
      </c>
      <c r="F21" s="49">
        <f>AVERAGE('25.10.19 KISORO-CYANIKA-24h'!F21,'26.10 KISORO-CYANIKA'!F21,'27.10 KISORO-CYANIKA'!F21)</f>
        <v>0</v>
      </c>
      <c r="G21" s="49">
        <f>AVERAGE('25.10.19 KISORO-CYANIKA-24h'!G21,'26.10 KISORO-CYANIKA'!G21,'27.10 KISORO-CYANIKA'!G21)</f>
        <v>0</v>
      </c>
      <c r="H21" s="49">
        <f>AVERAGE('25.10.19 KISORO-CYANIKA-24h'!H21,'26.10 KISORO-CYANIKA'!H21,'27.10 KISORO-CYANIKA'!H21)</f>
        <v>0</v>
      </c>
      <c r="I21" s="49">
        <f>AVERAGE('25.10.19 KISORO-CYANIKA-24h'!I21,'26.10 KISORO-CYANIKA'!I21,'27.10 KISORO-CYANIKA'!I21)</f>
        <v>0.33333333333333331</v>
      </c>
      <c r="J21" s="49">
        <f>AVERAGE('25.10.19 KISORO-CYANIKA-24h'!J21,'26.10 KISORO-CYANIKA'!J21,'27.10 KISORO-CYANIKA'!J21)</f>
        <v>1.3333333333333333</v>
      </c>
      <c r="K21" s="49">
        <f>AVERAGE('25.10.19 KISORO-CYANIKA-24h'!K21,'26.10 KISORO-CYANIKA'!K21,'27.10 KISORO-CYANIKA'!K21)</f>
        <v>0</v>
      </c>
      <c r="L21" s="49">
        <f>AVERAGE('25.10.19 KISORO-CYANIKA-24h'!L21,'26.10 KISORO-CYANIKA'!L21,'27.10 KISORO-CYANIKA'!L21)</f>
        <v>0</v>
      </c>
      <c r="M21" s="49">
        <f>AVERAGE('25.10.19 KISORO-CYANIKA-24h'!M21,'26.10 KISORO-CYANIKA'!M21,'27.10 KISORO-CYANIKA'!M21)</f>
        <v>33</v>
      </c>
      <c r="N21" s="49">
        <f>AVERAGE('25.10.19 KISORO-CYANIKA-24h'!N21,'26.10 KISORO-CYANIKA'!N21,'27.10 KISORO-CYANIKA'!N21)</f>
        <v>0</v>
      </c>
      <c r="O21" s="15">
        <f t="shared" si="0"/>
        <v>3</v>
      </c>
      <c r="P21" s="15">
        <f t="shared" si="1"/>
        <v>36</v>
      </c>
      <c r="R21" s="36" t="s">
        <v>20</v>
      </c>
      <c r="S21" s="34">
        <f t="shared" ref="S21:AF21" si="13">SUM(C54:C57)</f>
        <v>11</v>
      </c>
      <c r="T21" s="17">
        <f t="shared" si="13"/>
        <v>6</v>
      </c>
      <c r="U21" s="17">
        <f t="shared" si="13"/>
        <v>4.6666666666666661</v>
      </c>
      <c r="V21" s="17">
        <f t="shared" si="13"/>
        <v>0.66666666666666663</v>
      </c>
      <c r="W21" s="17">
        <f t="shared" si="13"/>
        <v>0</v>
      </c>
      <c r="X21" s="17">
        <f t="shared" si="13"/>
        <v>0</v>
      </c>
      <c r="Y21" s="17">
        <f t="shared" si="13"/>
        <v>1.6666666666666665</v>
      </c>
      <c r="Z21" s="17">
        <f t="shared" si="13"/>
        <v>1.6666666666666665</v>
      </c>
      <c r="AA21" s="17">
        <f t="shared" si="13"/>
        <v>0</v>
      </c>
      <c r="AB21" s="17">
        <f t="shared" si="13"/>
        <v>0</v>
      </c>
      <c r="AC21" s="17">
        <f t="shared" si="13"/>
        <v>180.66666666666669</v>
      </c>
      <c r="AD21" s="17">
        <f t="shared" si="13"/>
        <v>0</v>
      </c>
      <c r="AE21" s="31">
        <f t="shared" si="13"/>
        <v>25.666666666666664</v>
      </c>
      <c r="AF21" s="31">
        <f t="shared" si="13"/>
        <v>206.33333333333334</v>
      </c>
    </row>
    <row r="22" spans="2:32" ht="23.1" customHeight="1" x14ac:dyDescent="0.25">
      <c r="B22" s="23" t="s">
        <v>49</v>
      </c>
      <c r="C22" s="49">
        <f>AVERAGE('25.10.19 KISORO-CYANIKA-24h'!C22,'26.10 KISORO-CYANIKA'!C22,'27.10 KISORO-CYANIKA'!C22)</f>
        <v>1.3333333333333333</v>
      </c>
      <c r="D22" s="49">
        <f>AVERAGE('25.10.19 KISORO-CYANIKA-24h'!D22,'26.10 KISORO-CYANIKA'!D22,'27.10 KISORO-CYANIKA'!D22)</f>
        <v>0.33333333333333331</v>
      </c>
      <c r="E22" s="49">
        <f>AVERAGE('25.10.19 KISORO-CYANIKA-24h'!E22,'26.10 KISORO-CYANIKA'!E22,'27.10 KISORO-CYANIKA'!E22)</f>
        <v>1.3333333333333333</v>
      </c>
      <c r="F22" s="49">
        <f>AVERAGE('25.10.19 KISORO-CYANIKA-24h'!F22,'26.10 KISORO-CYANIKA'!F22,'27.10 KISORO-CYANIKA'!F22)</f>
        <v>0</v>
      </c>
      <c r="G22" s="49">
        <f>AVERAGE('25.10.19 KISORO-CYANIKA-24h'!G22,'26.10 KISORO-CYANIKA'!G22,'27.10 KISORO-CYANIKA'!G22)</f>
        <v>0</v>
      </c>
      <c r="H22" s="49">
        <f>AVERAGE('25.10.19 KISORO-CYANIKA-24h'!H22,'26.10 KISORO-CYANIKA'!H22,'27.10 KISORO-CYANIKA'!H22)</f>
        <v>0</v>
      </c>
      <c r="I22" s="49">
        <f>AVERAGE('25.10.19 KISORO-CYANIKA-24h'!I22,'26.10 KISORO-CYANIKA'!I22,'27.10 KISORO-CYANIKA'!I22)</f>
        <v>0.66666666666666663</v>
      </c>
      <c r="J22" s="49">
        <f>AVERAGE('25.10.19 KISORO-CYANIKA-24h'!J22,'26.10 KISORO-CYANIKA'!J22,'27.10 KISORO-CYANIKA'!J22)</f>
        <v>0</v>
      </c>
      <c r="K22" s="49">
        <f>AVERAGE('25.10.19 KISORO-CYANIKA-24h'!K22,'26.10 KISORO-CYANIKA'!K22,'27.10 KISORO-CYANIKA'!K22)</f>
        <v>0.33333333333333331</v>
      </c>
      <c r="L22" s="49">
        <f>AVERAGE('25.10.19 KISORO-CYANIKA-24h'!L22,'26.10 KISORO-CYANIKA'!L22,'27.10 KISORO-CYANIKA'!L22)</f>
        <v>0</v>
      </c>
      <c r="M22" s="49">
        <f>AVERAGE('25.10.19 KISORO-CYANIKA-24h'!M22,'26.10 KISORO-CYANIKA'!M22,'27.10 KISORO-CYANIKA'!M22)</f>
        <v>28.666666666666668</v>
      </c>
      <c r="N22" s="49">
        <f>AVERAGE('25.10.19 KISORO-CYANIKA-24h'!N22,'26.10 KISORO-CYANIKA'!N22,'27.10 KISORO-CYANIKA'!N22)</f>
        <v>0</v>
      </c>
      <c r="O22" s="15">
        <f t="shared" si="0"/>
        <v>4</v>
      </c>
      <c r="P22" s="15">
        <f t="shared" si="1"/>
        <v>32.666666666666671</v>
      </c>
      <c r="R22" s="1" t="s">
        <v>146</v>
      </c>
      <c r="S22" s="34">
        <f>SUM(C58:C61)</f>
        <v>16</v>
      </c>
      <c r="T22" s="34">
        <f t="shared" ref="T22:AF22" si="14">SUM(D58:D61)</f>
        <v>3</v>
      </c>
      <c r="U22" s="34">
        <f t="shared" si="14"/>
        <v>5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4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212</v>
      </c>
      <c r="AD22" s="34">
        <f t="shared" si="14"/>
        <v>0</v>
      </c>
      <c r="AE22" s="31">
        <f t="shared" si="14"/>
        <v>31</v>
      </c>
      <c r="AF22" s="31">
        <f t="shared" si="14"/>
        <v>243</v>
      </c>
    </row>
    <row r="23" spans="2:32" ht="23.1" customHeight="1" x14ac:dyDescent="0.25">
      <c r="B23" s="23" t="s">
        <v>50</v>
      </c>
      <c r="C23" s="49">
        <f>AVERAGE('25.10.19 KISORO-CYANIKA-24h'!C23,'26.10 KISORO-CYANIKA'!C23,'27.10 KISORO-CYANIKA'!C23)</f>
        <v>2.3333333333333335</v>
      </c>
      <c r="D23" s="49">
        <f>AVERAGE('25.10.19 KISORO-CYANIKA-24h'!D23,'26.10 KISORO-CYANIKA'!D23,'27.10 KISORO-CYANIKA'!D23)</f>
        <v>0</v>
      </c>
      <c r="E23" s="49">
        <f>AVERAGE('25.10.19 KISORO-CYANIKA-24h'!E23,'26.10 KISORO-CYANIKA'!E23,'27.10 KISORO-CYANIKA'!E23)</f>
        <v>0</v>
      </c>
      <c r="F23" s="49">
        <f>AVERAGE('25.10.19 KISORO-CYANIKA-24h'!F23,'26.10 KISORO-CYANIKA'!F23,'27.10 KISORO-CYANIKA'!F23)</f>
        <v>0</v>
      </c>
      <c r="G23" s="49">
        <f>AVERAGE('25.10.19 KISORO-CYANIKA-24h'!G23,'26.10 KISORO-CYANIKA'!G23,'27.10 KISORO-CYANIKA'!G23)</f>
        <v>0.33333333333333331</v>
      </c>
      <c r="H23" s="49">
        <f>AVERAGE('25.10.19 KISORO-CYANIKA-24h'!H23,'26.10 KISORO-CYANIKA'!H23,'27.10 KISORO-CYANIKA'!H23)</f>
        <v>0</v>
      </c>
      <c r="I23" s="49">
        <f>AVERAGE('25.10.19 KISORO-CYANIKA-24h'!I23,'26.10 KISORO-CYANIKA'!I23,'27.10 KISORO-CYANIKA'!I23)</f>
        <v>0</v>
      </c>
      <c r="J23" s="49">
        <f>AVERAGE('25.10.19 KISORO-CYANIKA-24h'!J23,'26.10 KISORO-CYANIKA'!J23,'27.10 KISORO-CYANIKA'!J23)</f>
        <v>0.66666666666666663</v>
      </c>
      <c r="K23" s="49">
        <f>AVERAGE('25.10.19 KISORO-CYANIKA-24h'!K23,'26.10 KISORO-CYANIKA'!K23,'27.10 KISORO-CYANIKA'!K23)</f>
        <v>0</v>
      </c>
      <c r="L23" s="49">
        <f>AVERAGE('25.10.19 KISORO-CYANIKA-24h'!L23,'26.10 KISORO-CYANIKA'!L23,'27.10 KISORO-CYANIKA'!L23)</f>
        <v>0</v>
      </c>
      <c r="M23" s="49">
        <f>AVERAGE('25.10.19 KISORO-CYANIKA-24h'!M23,'26.10 KISORO-CYANIKA'!M23,'27.10 KISORO-CYANIKA'!M23)</f>
        <v>35.333333333333336</v>
      </c>
      <c r="N23" s="49">
        <f>AVERAGE('25.10.19 KISORO-CYANIKA-24h'!N23,'26.10 KISORO-CYANIKA'!N23,'27.10 KISORO-CYANIKA'!N23)</f>
        <v>0</v>
      </c>
      <c r="O23" s="15">
        <f t="shared" si="0"/>
        <v>3.3333333333333335</v>
      </c>
      <c r="P23" s="15">
        <f t="shared" si="1"/>
        <v>38.666666666666671</v>
      </c>
      <c r="R23" s="1" t="s">
        <v>147</v>
      </c>
      <c r="S23" s="34">
        <f>SUM(C62:C65)</f>
        <v>13</v>
      </c>
      <c r="T23" s="34">
        <f t="shared" ref="T23:AF23" si="15">SUM(D62:D65)</f>
        <v>1</v>
      </c>
      <c r="U23" s="34">
        <f t="shared" si="15"/>
        <v>3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98</v>
      </c>
      <c r="AD23" s="34">
        <f t="shared" si="15"/>
        <v>0</v>
      </c>
      <c r="AE23" s="31">
        <f t="shared" si="15"/>
        <v>18</v>
      </c>
      <c r="AF23" s="31">
        <f t="shared" si="15"/>
        <v>116</v>
      </c>
    </row>
    <row r="24" spans="2:32" ht="23.1" customHeight="1" x14ac:dyDescent="0.25">
      <c r="B24" s="23" t="s">
        <v>51</v>
      </c>
      <c r="C24" s="49">
        <f>AVERAGE('25.10.19 KISORO-CYANIKA-24h'!C24,'26.10 KISORO-CYANIKA'!C24,'27.10 KISORO-CYANIKA'!C24)</f>
        <v>2.3333333333333335</v>
      </c>
      <c r="D24" s="49">
        <f>AVERAGE('25.10.19 KISORO-CYANIKA-24h'!D24,'26.10 KISORO-CYANIKA'!D24,'27.10 KISORO-CYANIKA'!D24)</f>
        <v>1</v>
      </c>
      <c r="E24" s="49">
        <f>AVERAGE('25.10.19 KISORO-CYANIKA-24h'!E24,'26.10 KISORO-CYANIKA'!E24,'27.10 KISORO-CYANIKA'!E24)</f>
        <v>1</v>
      </c>
      <c r="F24" s="49">
        <f>AVERAGE('25.10.19 KISORO-CYANIKA-24h'!F24,'26.10 KISORO-CYANIKA'!F24,'27.10 KISORO-CYANIKA'!F24)</f>
        <v>0.66666666666666663</v>
      </c>
      <c r="G24" s="49">
        <f>AVERAGE('25.10.19 KISORO-CYANIKA-24h'!G24,'26.10 KISORO-CYANIKA'!G24,'27.10 KISORO-CYANIKA'!G24)</f>
        <v>0</v>
      </c>
      <c r="H24" s="49">
        <f>AVERAGE('25.10.19 KISORO-CYANIKA-24h'!H24,'26.10 KISORO-CYANIKA'!H24,'27.10 KISORO-CYANIKA'!H24)</f>
        <v>0</v>
      </c>
      <c r="I24" s="49">
        <f>AVERAGE('25.10.19 KISORO-CYANIKA-24h'!I24,'26.10 KISORO-CYANIKA'!I24,'27.10 KISORO-CYANIKA'!I24)</f>
        <v>0.66666666666666663</v>
      </c>
      <c r="J24" s="49">
        <f>AVERAGE('25.10.19 KISORO-CYANIKA-24h'!J24,'26.10 KISORO-CYANIKA'!J24,'27.10 KISORO-CYANIKA'!J24)</f>
        <v>1</v>
      </c>
      <c r="K24" s="49">
        <f>AVERAGE('25.10.19 KISORO-CYANIKA-24h'!K24,'26.10 KISORO-CYANIKA'!K24,'27.10 KISORO-CYANIKA'!K24)</f>
        <v>0</v>
      </c>
      <c r="L24" s="49">
        <f>AVERAGE('25.10.19 KISORO-CYANIKA-24h'!L24,'26.10 KISORO-CYANIKA'!L24,'27.10 KISORO-CYANIKA'!L24)</f>
        <v>0</v>
      </c>
      <c r="M24" s="49">
        <f>AVERAGE('25.10.19 KISORO-CYANIKA-24h'!M24,'26.10 KISORO-CYANIKA'!M24,'27.10 KISORO-CYANIKA'!M24)</f>
        <v>33.666666666666664</v>
      </c>
      <c r="N24" s="49">
        <f>AVERAGE('25.10.19 KISORO-CYANIKA-24h'!N24,'26.10 KISORO-CYANIKA'!N24,'27.10 KISORO-CYANIKA'!N24)</f>
        <v>0</v>
      </c>
      <c r="O24" s="15">
        <f t="shared" si="0"/>
        <v>6.6666666666666679</v>
      </c>
      <c r="P24" s="15">
        <f t="shared" si="1"/>
        <v>40.333333333333329</v>
      </c>
      <c r="R24" s="1" t="s">
        <v>148</v>
      </c>
      <c r="S24" s="34">
        <f>SUM(C66:C69)</f>
        <v>20</v>
      </c>
      <c r="T24" s="34">
        <f t="shared" ref="T24:AF24" si="16">SUM(D66:D69)</f>
        <v>6</v>
      </c>
      <c r="U24" s="34">
        <f t="shared" si="16"/>
        <v>1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51</v>
      </c>
      <c r="AD24" s="34">
        <f t="shared" si="16"/>
        <v>0</v>
      </c>
      <c r="AE24" s="31">
        <f t="shared" si="16"/>
        <v>28</v>
      </c>
      <c r="AF24" s="31">
        <f t="shared" si="16"/>
        <v>79</v>
      </c>
    </row>
    <row r="25" spans="2:32" ht="23.1" customHeight="1" x14ac:dyDescent="0.25">
      <c r="B25" s="23" t="s">
        <v>52</v>
      </c>
      <c r="C25" s="49">
        <f>AVERAGE('25.10.19 KISORO-CYANIKA-24h'!C25,'26.10 KISORO-CYANIKA'!C25,'27.10 KISORO-CYANIKA'!C25)</f>
        <v>2.6666666666666665</v>
      </c>
      <c r="D25" s="49">
        <f>AVERAGE('25.10.19 KISORO-CYANIKA-24h'!D25,'26.10 KISORO-CYANIKA'!D25,'27.10 KISORO-CYANIKA'!D25)</f>
        <v>0.33333333333333331</v>
      </c>
      <c r="E25" s="49">
        <f>AVERAGE('25.10.19 KISORO-CYANIKA-24h'!E25,'26.10 KISORO-CYANIKA'!E25,'27.10 KISORO-CYANIKA'!E25)</f>
        <v>0.66666666666666663</v>
      </c>
      <c r="F25" s="49">
        <f>AVERAGE('25.10.19 KISORO-CYANIKA-24h'!F25,'26.10 KISORO-CYANIKA'!F25,'27.10 KISORO-CYANIKA'!F25)</f>
        <v>0.33333333333333331</v>
      </c>
      <c r="G25" s="49">
        <f>AVERAGE('25.10.19 KISORO-CYANIKA-24h'!G25,'26.10 KISORO-CYANIKA'!G25,'27.10 KISORO-CYANIKA'!G25)</f>
        <v>0</v>
      </c>
      <c r="H25" s="49">
        <f>AVERAGE('25.10.19 KISORO-CYANIKA-24h'!H25,'26.10 KISORO-CYANIKA'!H25,'27.10 KISORO-CYANIKA'!H25)</f>
        <v>0</v>
      </c>
      <c r="I25" s="49">
        <f>AVERAGE('25.10.19 KISORO-CYANIKA-24h'!I25,'26.10 KISORO-CYANIKA'!I25,'27.10 KISORO-CYANIKA'!I25)</f>
        <v>0.66666666666666663</v>
      </c>
      <c r="J25" s="49">
        <f>AVERAGE('25.10.19 KISORO-CYANIKA-24h'!J25,'26.10 KISORO-CYANIKA'!J25,'27.10 KISORO-CYANIKA'!J25)</f>
        <v>1.3333333333333333</v>
      </c>
      <c r="K25" s="49">
        <f>AVERAGE('25.10.19 KISORO-CYANIKA-24h'!K25,'26.10 KISORO-CYANIKA'!K25,'27.10 KISORO-CYANIKA'!K25)</f>
        <v>0</v>
      </c>
      <c r="L25" s="49">
        <f>AVERAGE('25.10.19 KISORO-CYANIKA-24h'!L25,'26.10 KISORO-CYANIKA'!L25,'27.10 KISORO-CYANIKA'!L25)</f>
        <v>0</v>
      </c>
      <c r="M25" s="49">
        <f>AVERAGE('25.10.19 KISORO-CYANIKA-24h'!M25,'26.10 KISORO-CYANIKA'!M25,'27.10 KISORO-CYANIKA'!M25)</f>
        <v>34</v>
      </c>
      <c r="N25" s="49">
        <f>AVERAGE('25.10.19 KISORO-CYANIKA-24h'!N25,'26.10 KISORO-CYANIKA'!N25,'27.10 KISORO-CYANIKA'!N25)</f>
        <v>0</v>
      </c>
      <c r="O25" s="15">
        <f t="shared" si="0"/>
        <v>6</v>
      </c>
      <c r="P25" s="15">
        <f t="shared" si="1"/>
        <v>40</v>
      </c>
      <c r="R25" s="1" t="s">
        <v>149</v>
      </c>
      <c r="S25" s="34">
        <f>SUM(C70:C73)</f>
        <v>18</v>
      </c>
      <c r="T25" s="34">
        <f t="shared" ref="T25:AF25" si="17">SUM(D70:D73)</f>
        <v>2</v>
      </c>
      <c r="U25" s="34">
        <f t="shared" si="17"/>
        <v>2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28</v>
      </c>
      <c r="AD25" s="34">
        <f t="shared" si="17"/>
        <v>0</v>
      </c>
      <c r="AE25" s="31">
        <f t="shared" si="17"/>
        <v>22</v>
      </c>
      <c r="AF25" s="31">
        <f t="shared" si="17"/>
        <v>50</v>
      </c>
    </row>
    <row r="26" spans="2:32" ht="23.1" customHeight="1" x14ac:dyDescent="0.25">
      <c r="B26" s="23" t="s">
        <v>53</v>
      </c>
      <c r="C26" s="49">
        <f>AVERAGE('25.10.19 KISORO-CYANIKA-24h'!C26,'26.10 KISORO-CYANIKA'!C26,'27.10 KISORO-CYANIKA'!C26)</f>
        <v>2</v>
      </c>
      <c r="D26" s="49">
        <f>AVERAGE('25.10.19 KISORO-CYANIKA-24h'!D26,'26.10 KISORO-CYANIKA'!D26,'27.10 KISORO-CYANIKA'!D26)</f>
        <v>1</v>
      </c>
      <c r="E26" s="49">
        <f>AVERAGE('25.10.19 KISORO-CYANIKA-24h'!E26,'26.10 KISORO-CYANIKA'!E26,'27.10 KISORO-CYANIKA'!E26)</f>
        <v>0.33333333333333331</v>
      </c>
      <c r="F26" s="49">
        <f>AVERAGE('25.10.19 KISORO-CYANIKA-24h'!F26,'26.10 KISORO-CYANIKA'!F26,'27.10 KISORO-CYANIKA'!F26)</f>
        <v>0</v>
      </c>
      <c r="G26" s="49">
        <f>AVERAGE('25.10.19 KISORO-CYANIKA-24h'!G26,'26.10 KISORO-CYANIKA'!G26,'27.10 KISORO-CYANIKA'!G26)</f>
        <v>0</v>
      </c>
      <c r="H26" s="49">
        <f>AVERAGE('25.10.19 KISORO-CYANIKA-24h'!H26,'26.10 KISORO-CYANIKA'!H26,'27.10 KISORO-CYANIKA'!H26)</f>
        <v>0</v>
      </c>
      <c r="I26" s="49">
        <f>AVERAGE('25.10.19 KISORO-CYANIKA-24h'!I26,'26.10 KISORO-CYANIKA'!I26,'27.10 KISORO-CYANIKA'!I26)</f>
        <v>0.33333333333333331</v>
      </c>
      <c r="J26" s="49">
        <f>AVERAGE('25.10.19 KISORO-CYANIKA-24h'!J26,'26.10 KISORO-CYANIKA'!J26,'27.10 KISORO-CYANIKA'!J26)</f>
        <v>0</v>
      </c>
      <c r="K26" s="49">
        <f>AVERAGE('25.10.19 KISORO-CYANIKA-24h'!K26,'26.10 KISORO-CYANIKA'!K26,'27.10 KISORO-CYANIKA'!K26)</f>
        <v>0</v>
      </c>
      <c r="L26" s="49">
        <f>AVERAGE('25.10.19 KISORO-CYANIKA-24h'!L26,'26.10 KISORO-CYANIKA'!L26,'27.10 KISORO-CYANIKA'!L26)</f>
        <v>0</v>
      </c>
      <c r="M26" s="49">
        <f>AVERAGE('25.10.19 KISORO-CYANIKA-24h'!M26,'26.10 KISORO-CYANIKA'!M26,'27.10 KISORO-CYANIKA'!M26)</f>
        <v>32.666666666666664</v>
      </c>
      <c r="N26" s="49">
        <f>AVERAGE('25.10.19 KISORO-CYANIKA-24h'!N26,'26.10 KISORO-CYANIKA'!N26,'27.10 KISORO-CYANIKA'!N26)</f>
        <v>0</v>
      </c>
      <c r="O26" s="15">
        <f t="shared" si="0"/>
        <v>3.666666666666667</v>
      </c>
      <c r="P26" s="15">
        <f t="shared" si="1"/>
        <v>36.333333333333329</v>
      </c>
      <c r="R26" s="1" t="s">
        <v>150</v>
      </c>
      <c r="S26" s="34">
        <f>SUM(C74:C77)</f>
        <v>3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11</v>
      </c>
      <c r="AD26" s="34">
        <f t="shared" si="18"/>
        <v>0</v>
      </c>
      <c r="AE26" s="31">
        <f t="shared" si="18"/>
        <v>4</v>
      </c>
      <c r="AF26" s="31">
        <f t="shared" si="18"/>
        <v>15</v>
      </c>
    </row>
    <row r="27" spans="2:32" ht="23.1" customHeight="1" x14ac:dyDescent="0.25">
      <c r="B27" s="23" t="s">
        <v>54</v>
      </c>
      <c r="C27" s="49">
        <f>AVERAGE('25.10.19 KISORO-CYANIKA-24h'!C27,'26.10 KISORO-CYANIKA'!C27,'27.10 KISORO-CYANIKA'!C27)</f>
        <v>1.6666666666666667</v>
      </c>
      <c r="D27" s="49">
        <f>AVERAGE('25.10.19 KISORO-CYANIKA-24h'!D27,'26.10 KISORO-CYANIKA'!D27,'27.10 KISORO-CYANIKA'!D27)</f>
        <v>0.66666666666666663</v>
      </c>
      <c r="E27" s="49">
        <f>AVERAGE('25.10.19 KISORO-CYANIKA-24h'!E27,'26.10 KISORO-CYANIKA'!E27,'27.10 KISORO-CYANIKA'!E27)</f>
        <v>0</v>
      </c>
      <c r="F27" s="49">
        <f>AVERAGE('25.10.19 KISORO-CYANIKA-24h'!F27,'26.10 KISORO-CYANIKA'!F27,'27.10 KISORO-CYANIKA'!F27)</f>
        <v>0</v>
      </c>
      <c r="G27" s="49">
        <f>AVERAGE('25.10.19 KISORO-CYANIKA-24h'!G27,'26.10 KISORO-CYANIKA'!G27,'27.10 KISORO-CYANIKA'!G27)</f>
        <v>0</v>
      </c>
      <c r="H27" s="49">
        <f>AVERAGE('25.10.19 KISORO-CYANIKA-24h'!H27,'26.10 KISORO-CYANIKA'!H27,'27.10 KISORO-CYANIKA'!H27)</f>
        <v>0.33333333333333331</v>
      </c>
      <c r="I27" s="49">
        <f>AVERAGE('25.10.19 KISORO-CYANIKA-24h'!I27,'26.10 KISORO-CYANIKA'!I27,'27.10 KISORO-CYANIKA'!I27)</f>
        <v>0.66666666666666663</v>
      </c>
      <c r="J27" s="49">
        <f>AVERAGE('25.10.19 KISORO-CYANIKA-24h'!J27,'26.10 KISORO-CYANIKA'!J27,'27.10 KISORO-CYANIKA'!J27)</f>
        <v>0.33333333333333331</v>
      </c>
      <c r="K27" s="49">
        <f>AVERAGE('25.10.19 KISORO-CYANIKA-24h'!K27,'26.10 KISORO-CYANIKA'!K27,'27.10 KISORO-CYANIKA'!K27)</f>
        <v>0</v>
      </c>
      <c r="L27" s="49">
        <f>AVERAGE('25.10.19 KISORO-CYANIKA-24h'!L27,'26.10 KISORO-CYANIKA'!L27,'27.10 KISORO-CYANIKA'!L27)</f>
        <v>0</v>
      </c>
      <c r="M27" s="49">
        <f>AVERAGE('25.10.19 KISORO-CYANIKA-24h'!M27,'26.10 KISORO-CYANIKA'!M27,'27.10 KISORO-CYANIKA'!M27)</f>
        <v>39.333333333333336</v>
      </c>
      <c r="N27" s="49">
        <f>AVERAGE('25.10.19 KISORO-CYANIKA-24h'!N27,'26.10 KISORO-CYANIKA'!N27,'27.10 KISORO-CYANIKA'!N27)</f>
        <v>0</v>
      </c>
      <c r="O27" s="15">
        <f t="shared" si="0"/>
        <v>3.666666666666667</v>
      </c>
      <c r="P27" s="15">
        <f t="shared" si="1"/>
        <v>43</v>
      </c>
      <c r="R27" s="1" t="s">
        <v>151</v>
      </c>
      <c r="S27" s="34">
        <f>SUM(C78:C81)</f>
        <v>2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2</v>
      </c>
      <c r="AF27" s="31">
        <f t="shared" si="19"/>
        <v>4</v>
      </c>
    </row>
    <row r="28" spans="2:32" ht="23.1" customHeight="1" x14ac:dyDescent="0.25">
      <c r="B28" s="23" t="s">
        <v>55</v>
      </c>
      <c r="C28" s="49">
        <f>AVERAGE('25.10.19 KISORO-CYANIKA-24h'!C28,'26.10 KISORO-CYANIKA'!C28,'27.10 KISORO-CYANIKA'!C28)</f>
        <v>3</v>
      </c>
      <c r="D28" s="49">
        <f>AVERAGE('25.10.19 KISORO-CYANIKA-24h'!D28,'26.10 KISORO-CYANIKA'!D28,'27.10 KISORO-CYANIKA'!D28)</f>
        <v>1.3333333333333333</v>
      </c>
      <c r="E28" s="49">
        <f>AVERAGE('25.10.19 KISORO-CYANIKA-24h'!E28,'26.10 KISORO-CYANIKA'!E28,'27.10 KISORO-CYANIKA'!E28)</f>
        <v>1</v>
      </c>
      <c r="F28" s="49">
        <f>AVERAGE('25.10.19 KISORO-CYANIKA-24h'!F28,'26.10 KISORO-CYANIKA'!F28,'27.10 KISORO-CYANIKA'!F28)</f>
        <v>0.33333333333333331</v>
      </c>
      <c r="G28" s="49">
        <f>AVERAGE('25.10.19 KISORO-CYANIKA-24h'!G28,'26.10 KISORO-CYANIKA'!G28,'27.10 KISORO-CYANIKA'!G28)</f>
        <v>0</v>
      </c>
      <c r="H28" s="49">
        <f>AVERAGE('25.10.19 KISORO-CYANIKA-24h'!H28,'26.10 KISORO-CYANIKA'!H28,'27.10 KISORO-CYANIKA'!H28)</f>
        <v>0</v>
      </c>
      <c r="I28" s="49">
        <f>AVERAGE('25.10.19 KISORO-CYANIKA-24h'!I28,'26.10 KISORO-CYANIKA'!I28,'27.10 KISORO-CYANIKA'!I28)</f>
        <v>0.33333333333333331</v>
      </c>
      <c r="J28" s="49">
        <f>AVERAGE('25.10.19 KISORO-CYANIKA-24h'!J28,'26.10 KISORO-CYANIKA'!J28,'27.10 KISORO-CYANIKA'!J28)</f>
        <v>0</v>
      </c>
      <c r="K28" s="49">
        <f>AVERAGE('25.10.19 KISORO-CYANIKA-24h'!K28,'26.10 KISORO-CYANIKA'!K28,'27.10 KISORO-CYANIKA'!K28)</f>
        <v>0</v>
      </c>
      <c r="L28" s="49">
        <f>AVERAGE('25.10.19 KISORO-CYANIKA-24h'!L28,'26.10 KISORO-CYANIKA'!L28,'27.10 KISORO-CYANIKA'!L28)</f>
        <v>0</v>
      </c>
      <c r="M28" s="49">
        <f>AVERAGE('25.10.19 KISORO-CYANIKA-24h'!M28,'26.10 KISORO-CYANIKA'!M28,'27.10 KISORO-CYANIKA'!M28)</f>
        <v>33.666666666666664</v>
      </c>
      <c r="N28" s="49">
        <f>AVERAGE('25.10.19 KISORO-CYANIKA-24h'!N28,'26.10 KISORO-CYANIKA'!N28,'27.10 KISORO-CYANIKA'!N28)</f>
        <v>0</v>
      </c>
      <c r="O28" s="15">
        <f t="shared" si="0"/>
        <v>5.9999999999999991</v>
      </c>
      <c r="P28" s="15">
        <f t="shared" si="1"/>
        <v>39.666666666666664</v>
      </c>
      <c r="R28" s="1" t="s">
        <v>152</v>
      </c>
      <c r="S28" s="34">
        <f>SUM(C82:C85)</f>
        <v>0</v>
      </c>
      <c r="T28" s="34">
        <f t="shared" ref="T28:AF28" si="20">SUM(D82:D85)</f>
        <v>1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1</v>
      </c>
      <c r="AF28" s="31">
        <f t="shared" si="20"/>
        <v>2</v>
      </c>
    </row>
    <row r="29" spans="2:32" ht="23.1" customHeight="1" x14ac:dyDescent="0.25">
      <c r="B29" s="23" t="s">
        <v>56</v>
      </c>
      <c r="C29" s="49">
        <f>AVERAGE('25.10.19 KISORO-CYANIKA-24h'!C29,'26.10 KISORO-CYANIKA'!C29,'27.10 KISORO-CYANIKA'!C29)</f>
        <v>3.3333333333333335</v>
      </c>
      <c r="D29" s="49">
        <f>AVERAGE('25.10.19 KISORO-CYANIKA-24h'!D29,'26.10 KISORO-CYANIKA'!D29,'27.10 KISORO-CYANIKA'!D29)</f>
        <v>1</v>
      </c>
      <c r="E29" s="49">
        <f>AVERAGE('25.10.19 KISORO-CYANIKA-24h'!E29,'26.10 KISORO-CYANIKA'!E29,'27.10 KISORO-CYANIKA'!E29)</f>
        <v>0.66666666666666663</v>
      </c>
      <c r="F29" s="49">
        <f>AVERAGE('25.10.19 KISORO-CYANIKA-24h'!F29,'26.10 KISORO-CYANIKA'!F29,'27.10 KISORO-CYANIKA'!F29)</f>
        <v>0</v>
      </c>
      <c r="G29" s="49">
        <f>AVERAGE('25.10.19 KISORO-CYANIKA-24h'!G29,'26.10 KISORO-CYANIKA'!G29,'27.10 KISORO-CYANIKA'!G29)</f>
        <v>0</v>
      </c>
      <c r="H29" s="49">
        <f>AVERAGE('25.10.19 KISORO-CYANIKA-24h'!H29,'26.10 KISORO-CYANIKA'!H29,'27.10 KISORO-CYANIKA'!H29)</f>
        <v>0</v>
      </c>
      <c r="I29" s="49">
        <f>AVERAGE('25.10.19 KISORO-CYANIKA-24h'!I29,'26.10 KISORO-CYANIKA'!I29,'27.10 KISORO-CYANIKA'!I29)</f>
        <v>0.66666666666666663</v>
      </c>
      <c r="J29" s="49">
        <f>AVERAGE('25.10.19 KISORO-CYANIKA-24h'!J29,'26.10 KISORO-CYANIKA'!J29,'27.10 KISORO-CYANIKA'!J29)</f>
        <v>0.33333333333333331</v>
      </c>
      <c r="K29" s="49">
        <f>AVERAGE('25.10.19 KISORO-CYANIKA-24h'!K29,'26.10 KISORO-CYANIKA'!K29,'27.10 KISORO-CYANIKA'!K29)</f>
        <v>0</v>
      </c>
      <c r="L29" s="49">
        <f>AVERAGE('25.10.19 KISORO-CYANIKA-24h'!L29,'26.10 KISORO-CYANIKA'!L29,'27.10 KISORO-CYANIKA'!L29)</f>
        <v>0</v>
      </c>
      <c r="M29" s="49">
        <f>AVERAGE('25.10.19 KISORO-CYANIKA-24h'!M29,'26.10 KISORO-CYANIKA'!M29,'27.10 KISORO-CYANIKA'!M29)</f>
        <v>33.333333333333336</v>
      </c>
      <c r="N29" s="49">
        <f>AVERAGE('25.10.19 KISORO-CYANIKA-24h'!N29,'26.10 KISORO-CYANIKA'!N29,'27.10 KISORO-CYANIKA'!N29)</f>
        <v>0</v>
      </c>
      <c r="O29" s="15">
        <f t="shared" si="0"/>
        <v>6.0000000000000009</v>
      </c>
      <c r="P29" s="15">
        <f t="shared" si="1"/>
        <v>39.333333333333336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1</v>
      </c>
      <c r="AF29" s="31">
        <f t="shared" si="21"/>
        <v>1</v>
      </c>
    </row>
    <row r="30" spans="2:32" ht="23.1" customHeight="1" x14ac:dyDescent="0.25">
      <c r="B30" s="23" t="s">
        <v>57</v>
      </c>
      <c r="C30" s="49">
        <f>AVERAGE('25.10.19 KISORO-CYANIKA-24h'!C30,'26.10 KISORO-CYANIKA'!C30,'27.10 KISORO-CYANIKA'!C30)</f>
        <v>0.66666666666666663</v>
      </c>
      <c r="D30" s="49">
        <f>AVERAGE('25.10.19 KISORO-CYANIKA-24h'!D30,'26.10 KISORO-CYANIKA'!D30,'27.10 KISORO-CYANIKA'!D30)</f>
        <v>1</v>
      </c>
      <c r="E30" s="49">
        <f>AVERAGE('25.10.19 KISORO-CYANIKA-24h'!E30,'26.10 KISORO-CYANIKA'!E30,'27.10 KISORO-CYANIKA'!E30)</f>
        <v>2</v>
      </c>
      <c r="F30" s="49">
        <f>AVERAGE('25.10.19 KISORO-CYANIKA-24h'!F30,'26.10 KISORO-CYANIKA'!F30,'27.10 KISORO-CYANIKA'!F30)</f>
        <v>0</v>
      </c>
      <c r="G30" s="49">
        <f>AVERAGE('25.10.19 KISORO-CYANIKA-24h'!G30,'26.10 KISORO-CYANIKA'!G30,'27.10 KISORO-CYANIKA'!G30)</f>
        <v>0</v>
      </c>
      <c r="H30" s="49">
        <f>AVERAGE('25.10.19 KISORO-CYANIKA-24h'!H30,'26.10 KISORO-CYANIKA'!H30,'27.10 KISORO-CYANIKA'!H30)</f>
        <v>0</v>
      </c>
      <c r="I30" s="49">
        <f>AVERAGE('25.10.19 KISORO-CYANIKA-24h'!I30,'26.10 KISORO-CYANIKA'!I30,'27.10 KISORO-CYANIKA'!I30)</f>
        <v>1</v>
      </c>
      <c r="J30" s="49">
        <f>AVERAGE('25.10.19 KISORO-CYANIKA-24h'!J30,'26.10 KISORO-CYANIKA'!J30,'27.10 KISORO-CYANIKA'!J30)</f>
        <v>0.66666666666666663</v>
      </c>
      <c r="K30" s="49">
        <f>AVERAGE('25.10.19 KISORO-CYANIKA-24h'!K30,'26.10 KISORO-CYANIKA'!K30,'27.10 KISORO-CYANIKA'!K30)</f>
        <v>0</v>
      </c>
      <c r="L30" s="49">
        <f>AVERAGE('25.10.19 KISORO-CYANIKA-24h'!L30,'26.10 KISORO-CYANIKA'!L30,'27.10 KISORO-CYANIKA'!L30)</f>
        <v>0</v>
      </c>
      <c r="M30" s="49">
        <f>AVERAGE('25.10.19 KISORO-CYANIKA-24h'!M30,'26.10 KISORO-CYANIKA'!M30,'27.10 KISORO-CYANIKA'!M30)</f>
        <v>36</v>
      </c>
      <c r="N30" s="49">
        <f>AVERAGE('25.10.19 KISORO-CYANIKA-24h'!N30,'26.10 KISORO-CYANIKA'!N30,'27.10 KISORO-CYANIKA'!N30)</f>
        <v>0</v>
      </c>
      <c r="O30" s="15">
        <f t="shared" si="0"/>
        <v>5.333333333333333</v>
      </c>
      <c r="P30" s="15">
        <f t="shared" si="1"/>
        <v>41.333333333333336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0</v>
      </c>
      <c r="AF30" s="31">
        <f t="shared" si="22"/>
        <v>0</v>
      </c>
    </row>
    <row r="31" spans="2:32" ht="23.1" customHeight="1" x14ac:dyDescent="0.25">
      <c r="B31" s="24" t="s">
        <v>58</v>
      </c>
      <c r="C31" s="49">
        <f>AVERAGE('25.10.19 KISORO-CYANIKA-24h'!C31,'26.10 KISORO-CYANIKA'!C31,'27.10 KISORO-CYANIKA'!C31)</f>
        <v>4</v>
      </c>
      <c r="D31" s="49">
        <f>AVERAGE('25.10.19 KISORO-CYANIKA-24h'!D31,'26.10 KISORO-CYANIKA'!D31,'27.10 KISORO-CYANIKA'!D31)</f>
        <v>0.66666666666666663</v>
      </c>
      <c r="E31" s="49">
        <f>AVERAGE('25.10.19 KISORO-CYANIKA-24h'!E31,'26.10 KISORO-CYANIKA'!E31,'27.10 KISORO-CYANIKA'!E31)</f>
        <v>1</v>
      </c>
      <c r="F31" s="49">
        <f>AVERAGE('25.10.19 KISORO-CYANIKA-24h'!F31,'26.10 KISORO-CYANIKA'!F31,'27.10 KISORO-CYANIKA'!F31)</f>
        <v>0</v>
      </c>
      <c r="G31" s="49">
        <f>AVERAGE('25.10.19 KISORO-CYANIKA-24h'!G31,'26.10 KISORO-CYANIKA'!G31,'27.10 KISORO-CYANIKA'!G31)</f>
        <v>0</v>
      </c>
      <c r="H31" s="49">
        <f>AVERAGE('25.10.19 KISORO-CYANIKA-24h'!H31,'26.10 KISORO-CYANIKA'!H31,'27.10 KISORO-CYANIKA'!H31)</f>
        <v>0</v>
      </c>
      <c r="I31" s="49">
        <f>AVERAGE('25.10.19 KISORO-CYANIKA-24h'!I31,'26.10 KISORO-CYANIKA'!I31,'27.10 KISORO-CYANIKA'!I31)</f>
        <v>0.66666666666666663</v>
      </c>
      <c r="J31" s="49">
        <f>AVERAGE('25.10.19 KISORO-CYANIKA-24h'!J31,'26.10 KISORO-CYANIKA'!J31,'27.10 KISORO-CYANIKA'!J31)</f>
        <v>0.33333333333333331</v>
      </c>
      <c r="K31" s="49">
        <f>AVERAGE('25.10.19 KISORO-CYANIKA-24h'!K31,'26.10 KISORO-CYANIKA'!K31,'27.10 KISORO-CYANIKA'!K31)</f>
        <v>0</v>
      </c>
      <c r="L31" s="49">
        <f>AVERAGE('25.10.19 KISORO-CYANIKA-24h'!L31,'26.10 KISORO-CYANIKA'!L31,'27.10 KISORO-CYANIKA'!L31)</f>
        <v>0</v>
      </c>
      <c r="M31" s="49">
        <f>AVERAGE('25.10.19 KISORO-CYANIKA-24h'!M31,'26.10 KISORO-CYANIKA'!M31,'27.10 KISORO-CYANIKA'!M31)</f>
        <v>30.333333333333332</v>
      </c>
      <c r="N31" s="49">
        <f>AVERAGE('25.10.19 KISORO-CYANIKA-24h'!N31,'26.10 KISORO-CYANIKA'!N31,'27.10 KISORO-CYANIKA'!N31)</f>
        <v>0</v>
      </c>
      <c r="O31" s="15">
        <f t="shared" si="0"/>
        <v>6.666666666666667</v>
      </c>
      <c r="P31" s="15">
        <f t="shared" si="1"/>
        <v>37</v>
      </c>
      <c r="R31" s="1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2</v>
      </c>
      <c r="AF31" s="31">
        <f t="shared" si="23"/>
        <v>2</v>
      </c>
    </row>
    <row r="32" spans="2:32" ht="23.1" customHeight="1" x14ac:dyDescent="0.25">
      <c r="B32" s="24" t="s">
        <v>59</v>
      </c>
      <c r="C32" s="49">
        <f>AVERAGE('25.10.19 KISORO-CYANIKA-24h'!C32,'26.10 KISORO-CYANIKA'!C32,'27.10 KISORO-CYANIKA'!C32)</f>
        <v>1.6666666666666667</v>
      </c>
      <c r="D32" s="49">
        <f>AVERAGE('25.10.19 KISORO-CYANIKA-24h'!D32,'26.10 KISORO-CYANIKA'!D32,'27.10 KISORO-CYANIKA'!D32)</f>
        <v>0.33333333333333331</v>
      </c>
      <c r="E32" s="49">
        <f>AVERAGE('25.10.19 KISORO-CYANIKA-24h'!E32,'26.10 KISORO-CYANIKA'!E32,'27.10 KISORO-CYANIKA'!E32)</f>
        <v>0.66666666666666663</v>
      </c>
      <c r="F32" s="49">
        <f>AVERAGE('25.10.19 KISORO-CYANIKA-24h'!F32,'26.10 KISORO-CYANIKA'!F32,'27.10 KISORO-CYANIKA'!F32)</f>
        <v>0</v>
      </c>
      <c r="G32" s="49">
        <f>AVERAGE('25.10.19 KISORO-CYANIKA-24h'!G32,'26.10 KISORO-CYANIKA'!G32,'27.10 KISORO-CYANIKA'!G32)</f>
        <v>0</v>
      </c>
      <c r="H32" s="49">
        <f>AVERAGE('25.10.19 KISORO-CYANIKA-24h'!H32,'26.10 KISORO-CYANIKA'!H32,'27.10 KISORO-CYANIKA'!H32)</f>
        <v>0</v>
      </c>
      <c r="I32" s="49">
        <f>AVERAGE('25.10.19 KISORO-CYANIKA-24h'!I32,'26.10 KISORO-CYANIKA'!I32,'27.10 KISORO-CYANIKA'!I32)</f>
        <v>0</v>
      </c>
      <c r="J32" s="49">
        <f>AVERAGE('25.10.19 KISORO-CYANIKA-24h'!J32,'26.10 KISORO-CYANIKA'!J32,'27.10 KISORO-CYANIKA'!J32)</f>
        <v>0</v>
      </c>
      <c r="K32" s="49">
        <f>AVERAGE('25.10.19 KISORO-CYANIKA-24h'!K32,'26.10 KISORO-CYANIKA'!K32,'27.10 KISORO-CYANIKA'!K32)</f>
        <v>0</v>
      </c>
      <c r="L32" s="49">
        <f>AVERAGE('25.10.19 KISORO-CYANIKA-24h'!L32,'26.10 KISORO-CYANIKA'!L32,'27.10 KISORO-CYANIKA'!L32)</f>
        <v>0</v>
      </c>
      <c r="M32" s="49">
        <f>AVERAGE('25.10.19 KISORO-CYANIKA-24h'!M32,'26.10 KISORO-CYANIKA'!M32,'27.10 KISORO-CYANIKA'!M32)</f>
        <v>28.333333333333332</v>
      </c>
      <c r="N32" s="49">
        <f>AVERAGE('25.10.19 KISORO-CYANIKA-24h'!N32,'26.10 KISORO-CYANIKA'!N32,'27.10 KISORO-CYANIKA'!N32)</f>
        <v>0</v>
      </c>
      <c r="O32" s="15">
        <f t="shared" si="0"/>
        <v>2.6666666666666665</v>
      </c>
      <c r="P32" s="15">
        <f t="shared" si="1"/>
        <v>31</v>
      </c>
      <c r="R32" s="1" t="s">
        <v>156</v>
      </c>
      <c r="S32" s="34">
        <f>SUM(C98:C101)</f>
        <v>3</v>
      </c>
      <c r="T32" s="34">
        <f t="shared" ref="T32:AF32" si="24">SUM(D98:D101)</f>
        <v>0</v>
      </c>
      <c r="U32" s="34">
        <f t="shared" si="24"/>
        <v>1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4</v>
      </c>
      <c r="AD32" s="34">
        <f t="shared" si="24"/>
        <v>0</v>
      </c>
      <c r="AE32" s="31">
        <f t="shared" si="24"/>
        <v>4</v>
      </c>
      <c r="AF32" s="31">
        <f t="shared" si="24"/>
        <v>8</v>
      </c>
    </row>
    <row r="33" spans="2:32" ht="23.1" customHeight="1" x14ac:dyDescent="0.25">
      <c r="B33" s="23" t="s">
        <v>60</v>
      </c>
      <c r="C33" s="49">
        <f>AVERAGE('25.10.19 KISORO-CYANIKA-24h'!C33,'26.10 KISORO-CYANIKA'!C33,'27.10 KISORO-CYANIKA'!C33)</f>
        <v>1.3333333333333333</v>
      </c>
      <c r="D33" s="49">
        <f>AVERAGE('25.10.19 KISORO-CYANIKA-24h'!D33,'26.10 KISORO-CYANIKA'!D33,'27.10 KISORO-CYANIKA'!D33)</f>
        <v>1.6666666666666667</v>
      </c>
      <c r="E33" s="49">
        <f>AVERAGE('25.10.19 KISORO-CYANIKA-24h'!E33,'26.10 KISORO-CYANIKA'!E33,'27.10 KISORO-CYANIKA'!E33)</f>
        <v>0.66666666666666663</v>
      </c>
      <c r="F33" s="49">
        <f>AVERAGE('25.10.19 KISORO-CYANIKA-24h'!F33,'26.10 KISORO-CYANIKA'!F33,'27.10 KISORO-CYANIKA'!F33)</f>
        <v>0</v>
      </c>
      <c r="G33" s="49">
        <f>AVERAGE('25.10.19 KISORO-CYANIKA-24h'!G33,'26.10 KISORO-CYANIKA'!G33,'27.10 KISORO-CYANIKA'!G33)</f>
        <v>0</v>
      </c>
      <c r="H33" s="49">
        <f>AVERAGE('25.10.19 KISORO-CYANIKA-24h'!H33,'26.10 KISORO-CYANIKA'!H33,'27.10 KISORO-CYANIKA'!H33)</f>
        <v>0</v>
      </c>
      <c r="I33" s="49">
        <f>AVERAGE('25.10.19 KISORO-CYANIKA-24h'!I33,'26.10 KISORO-CYANIKA'!I33,'27.10 KISORO-CYANIKA'!I33)</f>
        <v>0.66666666666666663</v>
      </c>
      <c r="J33" s="49">
        <f>AVERAGE('25.10.19 KISORO-CYANIKA-24h'!J33,'26.10 KISORO-CYANIKA'!J33,'27.10 KISORO-CYANIKA'!J33)</f>
        <v>1.3333333333333333</v>
      </c>
      <c r="K33" s="49">
        <f>AVERAGE('25.10.19 KISORO-CYANIKA-24h'!K33,'26.10 KISORO-CYANIKA'!K33,'27.10 KISORO-CYANIKA'!K33)</f>
        <v>0</v>
      </c>
      <c r="L33" s="49">
        <f>AVERAGE('25.10.19 KISORO-CYANIKA-24h'!L33,'26.10 KISORO-CYANIKA'!L33,'27.10 KISORO-CYANIKA'!L33)</f>
        <v>0</v>
      </c>
      <c r="M33" s="49">
        <f>AVERAGE('25.10.19 KISORO-CYANIKA-24h'!M33,'26.10 KISORO-CYANIKA'!M33,'27.10 KISORO-CYANIKA'!M33)</f>
        <v>36.333333333333336</v>
      </c>
      <c r="N33" s="49">
        <f>AVERAGE('25.10.19 KISORO-CYANIKA-24h'!N33,'26.10 KISORO-CYANIKA'!N33,'27.10 KISORO-CYANIKA'!N33)</f>
        <v>0</v>
      </c>
      <c r="O33" s="15">
        <f t="shared" si="0"/>
        <v>5.6666666666666661</v>
      </c>
      <c r="P33" s="15">
        <f t="shared" si="1"/>
        <v>42</v>
      </c>
      <c r="R33" s="1" t="s">
        <v>157</v>
      </c>
      <c r="S33" s="34">
        <f>SUM(C102:C105)</f>
        <v>1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14</v>
      </c>
      <c r="AD33" s="34">
        <f t="shared" si="25"/>
        <v>0</v>
      </c>
      <c r="AE33" s="31">
        <f t="shared" si="25"/>
        <v>4</v>
      </c>
      <c r="AF33" s="31">
        <f t="shared" si="25"/>
        <v>18</v>
      </c>
    </row>
    <row r="34" spans="2:32" ht="23.1" customHeight="1" x14ac:dyDescent="0.25">
      <c r="B34" s="24" t="s">
        <v>61</v>
      </c>
      <c r="C34" s="49">
        <f>AVERAGE('25.10.19 KISORO-CYANIKA-24h'!C34,'26.10 KISORO-CYANIKA'!C34,'27.10 KISORO-CYANIKA'!C34)</f>
        <v>1.6666666666666667</v>
      </c>
      <c r="D34" s="49">
        <f>AVERAGE('25.10.19 KISORO-CYANIKA-24h'!D34,'26.10 KISORO-CYANIKA'!D34,'27.10 KISORO-CYANIKA'!D34)</f>
        <v>0.33333333333333331</v>
      </c>
      <c r="E34" s="49">
        <f>AVERAGE('25.10.19 KISORO-CYANIKA-24h'!E34,'26.10 KISORO-CYANIKA'!E34,'27.10 KISORO-CYANIKA'!E34)</f>
        <v>0.33333333333333331</v>
      </c>
      <c r="F34" s="49">
        <f>AVERAGE('25.10.19 KISORO-CYANIKA-24h'!F34,'26.10 KISORO-CYANIKA'!F34,'27.10 KISORO-CYANIKA'!F34)</f>
        <v>0.33333333333333331</v>
      </c>
      <c r="G34" s="49">
        <f>AVERAGE('25.10.19 KISORO-CYANIKA-24h'!G34,'26.10 KISORO-CYANIKA'!G34,'27.10 KISORO-CYANIKA'!G34)</f>
        <v>0</v>
      </c>
      <c r="H34" s="49">
        <f>AVERAGE('25.10.19 KISORO-CYANIKA-24h'!H34,'26.10 KISORO-CYANIKA'!H34,'27.10 KISORO-CYANIKA'!H34)</f>
        <v>0</v>
      </c>
      <c r="I34" s="49">
        <f>AVERAGE('25.10.19 KISORO-CYANIKA-24h'!I34,'26.10 KISORO-CYANIKA'!I34,'27.10 KISORO-CYANIKA'!I34)</f>
        <v>1</v>
      </c>
      <c r="J34" s="49">
        <f>AVERAGE('25.10.19 KISORO-CYANIKA-24h'!J34,'26.10 KISORO-CYANIKA'!J34,'27.10 KISORO-CYANIKA'!J34)</f>
        <v>0.66666666666666663</v>
      </c>
      <c r="K34" s="49">
        <f>AVERAGE('25.10.19 KISORO-CYANIKA-24h'!K34,'26.10 KISORO-CYANIKA'!K34,'27.10 KISORO-CYANIKA'!K34)</f>
        <v>0</v>
      </c>
      <c r="L34" s="49">
        <f>AVERAGE('25.10.19 KISORO-CYANIKA-24h'!L34,'26.10 KISORO-CYANIKA'!L34,'27.10 KISORO-CYANIKA'!L34)</f>
        <v>0</v>
      </c>
      <c r="M34" s="49">
        <f>AVERAGE('25.10.19 KISORO-CYANIKA-24h'!M34,'26.10 KISORO-CYANIKA'!M34,'27.10 KISORO-CYANIKA'!M34)</f>
        <v>28.666666666666668</v>
      </c>
      <c r="N34" s="49">
        <f>AVERAGE('25.10.19 KISORO-CYANIKA-24h'!N34,'26.10 KISORO-CYANIKA'!N34,'27.10 KISORO-CYANIKA'!N34)</f>
        <v>0</v>
      </c>
      <c r="O34" s="15">
        <f t="shared" si="0"/>
        <v>4.3333333333333339</v>
      </c>
      <c r="P34" s="15">
        <f t="shared" si="1"/>
        <v>33</v>
      </c>
      <c r="R34" s="51" t="s">
        <v>90</v>
      </c>
      <c r="S34" s="52">
        <f t="shared" ref="S34:AF34" si="26">MAX(S10:S12)</f>
        <v>3.6666666666666665</v>
      </c>
      <c r="T34" s="52">
        <f t="shared" si="26"/>
        <v>3.333333333333333</v>
      </c>
      <c r="U34" s="52">
        <f t="shared" si="26"/>
        <v>2.3333333333333335</v>
      </c>
      <c r="V34" s="52">
        <f t="shared" si="26"/>
        <v>0.33333333333333331</v>
      </c>
      <c r="W34" s="52">
        <f t="shared" si="26"/>
        <v>0</v>
      </c>
      <c r="X34" s="52">
        <f t="shared" si="26"/>
        <v>0</v>
      </c>
      <c r="Y34" s="52">
        <f t="shared" si="26"/>
        <v>0.66666666666666663</v>
      </c>
      <c r="Z34" s="52">
        <f t="shared" si="26"/>
        <v>3.6666666666666661</v>
      </c>
      <c r="AA34" s="52">
        <f t="shared" si="26"/>
        <v>0</v>
      </c>
      <c r="AB34" s="52">
        <f t="shared" si="26"/>
        <v>0</v>
      </c>
      <c r="AC34" s="52">
        <f t="shared" si="26"/>
        <v>103</v>
      </c>
      <c r="AD34" s="52">
        <f t="shared" si="26"/>
        <v>0</v>
      </c>
      <c r="AE34" s="40">
        <f t="shared" si="26"/>
        <v>12</v>
      </c>
      <c r="AF34" s="40">
        <f t="shared" si="26"/>
        <v>115</v>
      </c>
    </row>
    <row r="35" spans="2:32" ht="23.1" customHeight="1" x14ac:dyDescent="0.25">
      <c r="B35" s="24" t="s">
        <v>62</v>
      </c>
      <c r="C35" s="49">
        <f>AVERAGE('25.10.19 KISORO-CYANIKA-24h'!C35,'26.10 KISORO-CYANIKA'!C35,'27.10 KISORO-CYANIKA'!C35)</f>
        <v>3.6666666666666665</v>
      </c>
      <c r="D35" s="49">
        <f>AVERAGE('25.10.19 KISORO-CYANIKA-24h'!D35,'26.10 KISORO-CYANIKA'!D35,'27.10 KISORO-CYANIKA'!D35)</f>
        <v>2</v>
      </c>
      <c r="E35" s="49">
        <f>AVERAGE('25.10.19 KISORO-CYANIKA-24h'!E35,'26.10 KISORO-CYANIKA'!E35,'27.10 KISORO-CYANIKA'!E35)</f>
        <v>1</v>
      </c>
      <c r="F35" s="49">
        <f>AVERAGE('25.10.19 KISORO-CYANIKA-24h'!F35,'26.10 KISORO-CYANIKA'!F35,'27.10 KISORO-CYANIKA'!F35)</f>
        <v>0</v>
      </c>
      <c r="G35" s="49">
        <f>AVERAGE('25.10.19 KISORO-CYANIKA-24h'!G35,'26.10 KISORO-CYANIKA'!G35,'27.10 KISORO-CYANIKA'!G35)</f>
        <v>0</v>
      </c>
      <c r="H35" s="49">
        <f>AVERAGE('25.10.19 KISORO-CYANIKA-24h'!H35,'26.10 KISORO-CYANIKA'!H35,'27.10 KISORO-CYANIKA'!H35)</f>
        <v>0</v>
      </c>
      <c r="I35" s="49">
        <f>AVERAGE('25.10.19 KISORO-CYANIKA-24h'!I35,'26.10 KISORO-CYANIKA'!I35,'27.10 KISORO-CYANIKA'!I35)</f>
        <v>0.33333333333333331</v>
      </c>
      <c r="J35" s="49">
        <f>AVERAGE('25.10.19 KISORO-CYANIKA-24h'!J35,'26.10 KISORO-CYANIKA'!J35,'27.10 KISORO-CYANIKA'!J35)</f>
        <v>0</v>
      </c>
      <c r="K35" s="49">
        <f>AVERAGE('25.10.19 KISORO-CYANIKA-24h'!K35,'26.10 KISORO-CYANIKA'!K35,'27.10 KISORO-CYANIKA'!K35)</f>
        <v>0</v>
      </c>
      <c r="L35" s="49">
        <f>AVERAGE('25.10.19 KISORO-CYANIKA-24h'!L35,'26.10 KISORO-CYANIKA'!L35,'27.10 KISORO-CYANIKA'!L35)</f>
        <v>0</v>
      </c>
      <c r="M35" s="49">
        <f>AVERAGE('25.10.19 KISORO-CYANIKA-24h'!M35,'26.10 KISORO-CYANIKA'!M35,'27.10 KISORO-CYANIKA'!M35)</f>
        <v>27.333333333333332</v>
      </c>
      <c r="N35" s="49">
        <f>AVERAGE('25.10.19 KISORO-CYANIKA-24h'!N35,'26.10 KISORO-CYANIKA'!N35,'27.10 KISORO-CYANIKA'!N35)</f>
        <v>0</v>
      </c>
      <c r="O35" s="15">
        <f t="shared" si="0"/>
        <v>6.9999999999999991</v>
      </c>
      <c r="P35" s="15">
        <f t="shared" si="1"/>
        <v>34.333333333333329</v>
      </c>
      <c r="R35" s="51" t="s">
        <v>91</v>
      </c>
      <c r="S35" s="52">
        <f t="shared" ref="S35:AF35" si="27">MAX(S13:S18)</f>
        <v>13.333333333333334</v>
      </c>
      <c r="T35" s="52">
        <f t="shared" si="27"/>
        <v>5.0000000000000009</v>
      </c>
      <c r="U35" s="52">
        <f t="shared" si="27"/>
        <v>4.333333333333333</v>
      </c>
      <c r="V35" s="52">
        <f t="shared" si="27"/>
        <v>1</v>
      </c>
      <c r="W35" s="52">
        <f t="shared" si="27"/>
        <v>0.33333333333333331</v>
      </c>
      <c r="X35" s="52">
        <f t="shared" si="27"/>
        <v>0.66666666666666663</v>
      </c>
      <c r="Y35" s="52">
        <f t="shared" si="27"/>
        <v>3</v>
      </c>
      <c r="Z35" s="52">
        <f t="shared" si="27"/>
        <v>3</v>
      </c>
      <c r="AA35" s="52">
        <f t="shared" si="27"/>
        <v>0.33333333333333331</v>
      </c>
      <c r="AB35" s="52">
        <f t="shared" si="27"/>
        <v>0</v>
      </c>
      <c r="AC35" s="52">
        <f t="shared" si="27"/>
        <v>159.33333333333334</v>
      </c>
      <c r="AD35" s="52">
        <f t="shared" si="27"/>
        <v>0</v>
      </c>
      <c r="AE35" s="40">
        <f t="shared" si="27"/>
        <v>24</v>
      </c>
      <c r="AF35" s="40">
        <f t="shared" si="27"/>
        <v>183.33333333333334</v>
      </c>
    </row>
    <row r="36" spans="2:32" ht="23.1" customHeight="1" x14ac:dyDescent="0.25">
      <c r="B36" s="24" t="s">
        <v>63</v>
      </c>
      <c r="C36" s="49">
        <f>AVERAGE('25.10.19 KISORO-CYANIKA-24h'!C36,'26.10 KISORO-CYANIKA'!C36,'27.10 KISORO-CYANIKA'!C36)</f>
        <v>2.6666666666666665</v>
      </c>
      <c r="D36" s="49">
        <f>AVERAGE('25.10.19 KISORO-CYANIKA-24h'!D36,'26.10 KISORO-CYANIKA'!D36,'27.10 KISORO-CYANIKA'!D36)</f>
        <v>1.3333333333333333</v>
      </c>
      <c r="E36" s="49">
        <f>AVERAGE('25.10.19 KISORO-CYANIKA-24h'!E36,'26.10 KISORO-CYANIKA'!E36,'27.10 KISORO-CYANIKA'!E36)</f>
        <v>0.66666666666666663</v>
      </c>
      <c r="F36" s="49">
        <f>AVERAGE('25.10.19 KISORO-CYANIKA-24h'!F36,'26.10 KISORO-CYANIKA'!F36,'27.10 KISORO-CYANIKA'!F36)</f>
        <v>0</v>
      </c>
      <c r="G36" s="49">
        <f>AVERAGE('25.10.19 KISORO-CYANIKA-24h'!G36,'26.10 KISORO-CYANIKA'!G36,'27.10 KISORO-CYANIKA'!G36)</f>
        <v>0</v>
      </c>
      <c r="H36" s="49">
        <f>AVERAGE('25.10.19 KISORO-CYANIKA-24h'!H36,'26.10 KISORO-CYANIKA'!H36,'27.10 KISORO-CYANIKA'!H36)</f>
        <v>0</v>
      </c>
      <c r="I36" s="49">
        <f>AVERAGE('25.10.19 KISORO-CYANIKA-24h'!I36,'26.10 KISORO-CYANIKA'!I36,'27.10 KISORO-CYANIKA'!I36)</f>
        <v>0.66666666666666663</v>
      </c>
      <c r="J36" s="49">
        <f>AVERAGE('25.10.19 KISORO-CYANIKA-24h'!J36,'26.10 KISORO-CYANIKA'!J36,'27.10 KISORO-CYANIKA'!J36)</f>
        <v>0</v>
      </c>
      <c r="K36" s="49">
        <f>AVERAGE('25.10.19 KISORO-CYANIKA-24h'!K36,'26.10 KISORO-CYANIKA'!K36,'27.10 KISORO-CYANIKA'!K36)</f>
        <v>0</v>
      </c>
      <c r="L36" s="49">
        <f>AVERAGE('25.10.19 KISORO-CYANIKA-24h'!L36,'26.10 KISORO-CYANIKA'!L36,'27.10 KISORO-CYANIKA'!L36)</f>
        <v>0</v>
      </c>
      <c r="M36" s="49">
        <f>AVERAGE('25.10.19 KISORO-CYANIKA-24h'!M36,'26.10 KISORO-CYANIKA'!M36,'27.10 KISORO-CYANIKA'!M36)</f>
        <v>37.666666666666664</v>
      </c>
      <c r="N36" s="49">
        <f>AVERAGE('25.10.19 KISORO-CYANIKA-24h'!N36,'26.10 KISORO-CYANIKA'!N36,'27.10 KISORO-CYANIKA'!N36)</f>
        <v>0</v>
      </c>
      <c r="O36" s="15">
        <f t="shared" si="0"/>
        <v>5.3333333333333339</v>
      </c>
      <c r="P36" s="15">
        <f t="shared" si="1"/>
        <v>43</v>
      </c>
      <c r="R36" s="51" t="s">
        <v>92</v>
      </c>
      <c r="S36" s="52">
        <f t="shared" ref="S36:AF36" si="28">MAX(S19:S21)</f>
        <v>11</v>
      </c>
      <c r="T36" s="52">
        <f t="shared" si="28"/>
        <v>7</v>
      </c>
      <c r="U36" s="52">
        <f t="shared" si="28"/>
        <v>4.6666666666666661</v>
      </c>
      <c r="V36" s="52">
        <f t="shared" si="28"/>
        <v>0.66666666666666663</v>
      </c>
      <c r="W36" s="52">
        <f t="shared" si="28"/>
        <v>0</v>
      </c>
      <c r="X36" s="52">
        <f t="shared" si="28"/>
        <v>0</v>
      </c>
      <c r="Y36" s="52">
        <f t="shared" si="28"/>
        <v>2</v>
      </c>
      <c r="Z36" s="52">
        <f t="shared" si="28"/>
        <v>1.6666666666666665</v>
      </c>
      <c r="AA36" s="52">
        <f t="shared" si="28"/>
        <v>0</v>
      </c>
      <c r="AB36" s="52">
        <f t="shared" si="28"/>
        <v>0</v>
      </c>
      <c r="AC36" s="52">
        <f t="shared" si="28"/>
        <v>180.66666666666669</v>
      </c>
      <c r="AD36" s="52">
        <f t="shared" si="28"/>
        <v>0</v>
      </c>
      <c r="AE36" s="40">
        <f t="shared" si="28"/>
        <v>25.666666666666664</v>
      </c>
      <c r="AF36" s="40">
        <f t="shared" si="28"/>
        <v>206.33333333333334</v>
      </c>
    </row>
    <row r="37" spans="2:32" ht="23.1" customHeight="1" x14ac:dyDescent="0.25">
      <c r="B37" s="23" t="s">
        <v>64</v>
      </c>
      <c r="C37" s="49">
        <f>AVERAGE('25.10.19 KISORO-CYANIKA-24h'!C37,'26.10 KISORO-CYANIKA'!C37,'27.10 KISORO-CYANIKA'!C37)</f>
        <v>1.6666666666666667</v>
      </c>
      <c r="D37" s="49">
        <f>AVERAGE('25.10.19 KISORO-CYANIKA-24h'!D37,'26.10 KISORO-CYANIKA'!D37,'27.10 KISORO-CYANIKA'!D37)</f>
        <v>1</v>
      </c>
      <c r="E37" s="49">
        <f>AVERAGE('25.10.19 KISORO-CYANIKA-24h'!E37,'26.10 KISORO-CYANIKA'!E37,'27.10 KISORO-CYANIKA'!E37)</f>
        <v>1</v>
      </c>
      <c r="F37" s="49">
        <f>AVERAGE('25.10.19 KISORO-CYANIKA-24h'!F37,'26.10 KISORO-CYANIKA'!F37,'27.10 KISORO-CYANIKA'!F37)</f>
        <v>0</v>
      </c>
      <c r="G37" s="49">
        <f>AVERAGE('25.10.19 KISORO-CYANIKA-24h'!G37,'26.10 KISORO-CYANIKA'!G37,'27.10 KISORO-CYANIKA'!G37)</f>
        <v>0</v>
      </c>
      <c r="H37" s="49">
        <f>AVERAGE('25.10.19 KISORO-CYANIKA-24h'!H37,'26.10 KISORO-CYANIKA'!H37,'27.10 KISORO-CYANIKA'!H37)</f>
        <v>0</v>
      </c>
      <c r="I37" s="49">
        <f>AVERAGE('25.10.19 KISORO-CYANIKA-24h'!I37,'26.10 KISORO-CYANIKA'!I37,'27.10 KISORO-CYANIKA'!I37)</f>
        <v>1</v>
      </c>
      <c r="J37" s="49">
        <f>AVERAGE('25.10.19 KISORO-CYANIKA-24h'!J37,'26.10 KISORO-CYANIKA'!J37,'27.10 KISORO-CYANIKA'!J37)</f>
        <v>0</v>
      </c>
      <c r="K37" s="49">
        <f>AVERAGE('25.10.19 KISORO-CYANIKA-24h'!K37,'26.10 KISORO-CYANIKA'!K37,'27.10 KISORO-CYANIKA'!K37)</f>
        <v>0</v>
      </c>
      <c r="L37" s="49">
        <f>AVERAGE('25.10.19 KISORO-CYANIKA-24h'!L37,'26.10 KISORO-CYANIKA'!L37,'27.10 KISORO-CYANIKA'!L37)</f>
        <v>0</v>
      </c>
      <c r="M37" s="49">
        <f>AVERAGE('25.10.19 KISORO-CYANIKA-24h'!M37,'26.10 KISORO-CYANIKA'!M37,'27.10 KISORO-CYANIKA'!M37)</f>
        <v>35.666666666666664</v>
      </c>
      <c r="N37" s="49">
        <f>AVERAGE('25.10.19 KISORO-CYANIKA-24h'!N37,'26.10 KISORO-CYANIKA'!N37,'27.10 KISORO-CYANIKA'!N37)</f>
        <v>0</v>
      </c>
      <c r="O37" s="15">
        <f t="shared" si="0"/>
        <v>4.666666666666667</v>
      </c>
      <c r="P37" s="15">
        <f t="shared" si="1"/>
        <v>40.333333333333329</v>
      </c>
      <c r="R37" s="37" t="s">
        <v>85</v>
      </c>
      <c r="S37" s="53">
        <f t="shared" ref="S37:AF37" si="29">SUM(S10:S12)</f>
        <v>8.9999999999999982</v>
      </c>
      <c r="T37" s="54">
        <f t="shared" si="29"/>
        <v>6</v>
      </c>
      <c r="U37" s="54">
        <f t="shared" si="29"/>
        <v>5.3333333333333339</v>
      </c>
      <c r="V37" s="54">
        <f t="shared" si="29"/>
        <v>0.66666666666666663</v>
      </c>
      <c r="W37" s="54">
        <f t="shared" si="29"/>
        <v>0</v>
      </c>
      <c r="X37" s="54">
        <f t="shared" si="29"/>
        <v>0</v>
      </c>
      <c r="Y37" s="54">
        <f t="shared" si="29"/>
        <v>1</v>
      </c>
      <c r="Z37" s="54">
        <f t="shared" si="29"/>
        <v>5.9999999999999991</v>
      </c>
      <c r="AA37" s="54">
        <f t="shared" si="29"/>
        <v>0</v>
      </c>
      <c r="AB37" s="54">
        <f t="shared" si="29"/>
        <v>0</v>
      </c>
      <c r="AC37" s="54">
        <f t="shared" si="29"/>
        <v>209</v>
      </c>
      <c r="AD37" s="54">
        <f t="shared" si="29"/>
        <v>0</v>
      </c>
      <c r="AE37" s="55">
        <f t="shared" si="29"/>
        <v>28</v>
      </c>
      <c r="AF37" s="55">
        <f t="shared" si="29"/>
        <v>237</v>
      </c>
    </row>
    <row r="38" spans="2:32" ht="23.1" customHeight="1" x14ac:dyDescent="0.25">
      <c r="B38" s="24" t="s">
        <v>65</v>
      </c>
      <c r="C38" s="49">
        <f>AVERAGE('25.10.19 KISORO-CYANIKA-24h'!C38,'26.10 KISORO-CYANIKA'!C38,'27.10 KISORO-CYANIKA'!C38)</f>
        <v>3.6666666666666665</v>
      </c>
      <c r="D38" s="49">
        <f>AVERAGE('25.10.19 KISORO-CYANIKA-24h'!D38,'26.10 KISORO-CYANIKA'!D38,'27.10 KISORO-CYANIKA'!D38)</f>
        <v>1</v>
      </c>
      <c r="E38" s="49">
        <f>AVERAGE('25.10.19 KISORO-CYANIKA-24h'!E38,'26.10 KISORO-CYANIKA'!E38,'27.10 KISORO-CYANIKA'!E38)</f>
        <v>1</v>
      </c>
      <c r="F38" s="49">
        <f>AVERAGE('25.10.19 KISORO-CYANIKA-24h'!F38,'26.10 KISORO-CYANIKA'!F38,'27.10 KISORO-CYANIKA'!F38)</f>
        <v>0</v>
      </c>
      <c r="G38" s="49">
        <f>AVERAGE('25.10.19 KISORO-CYANIKA-24h'!G38,'26.10 KISORO-CYANIKA'!G38,'27.10 KISORO-CYANIKA'!G38)</f>
        <v>0</v>
      </c>
      <c r="H38" s="49">
        <f>AVERAGE('25.10.19 KISORO-CYANIKA-24h'!H38,'26.10 KISORO-CYANIKA'!H38,'27.10 KISORO-CYANIKA'!H38)</f>
        <v>0.33333333333333331</v>
      </c>
      <c r="I38" s="49">
        <f>AVERAGE('25.10.19 KISORO-CYANIKA-24h'!I38,'26.10 KISORO-CYANIKA'!I38,'27.10 KISORO-CYANIKA'!I38)</f>
        <v>0.33333333333333331</v>
      </c>
      <c r="J38" s="49">
        <f>AVERAGE('25.10.19 KISORO-CYANIKA-24h'!J38,'26.10 KISORO-CYANIKA'!J38,'27.10 KISORO-CYANIKA'!J38)</f>
        <v>0.33333333333333331</v>
      </c>
      <c r="K38" s="49">
        <f>AVERAGE('25.10.19 KISORO-CYANIKA-24h'!K38,'26.10 KISORO-CYANIKA'!K38,'27.10 KISORO-CYANIKA'!K38)</f>
        <v>0</v>
      </c>
      <c r="L38" s="49">
        <f>AVERAGE('25.10.19 KISORO-CYANIKA-24h'!L38,'26.10 KISORO-CYANIKA'!L38,'27.10 KISORO-CYANIKA'!L38)</f>
        <v>0</v>
      </c>
      <c r="M38" s="49">
        <f>AVERAGE('25.10.19 KISORO-CYANIKA-24h'!M38,'26.10 KISORO-CYANIKA'!M38,'27.10 KISORO-CYANIKA'!M38)</f>
        <v>33.666666666666664</v>
      </c>
      <c r="N38" s="49">
        <f>AVERAGE('25.10.19 KISORO-CYANIKA-24h'!N38,'26.10 KISORO-CYANIKA'!N38,'27.10 KISORO-CYANIKA'!N38)</f>
        <v>0</v>
      </c>
      <c r="O38" s="15">
        <f t="shared" si="0"/>
        <v>6.6666666666666652</v>
      </c>
      <c r="P38" s="15">
        <f t="shared" si="1"/>
        <v>40.333333333333329</v>
      </c>
      <c r="R38" s="28" t="s">
        <v>86</v>
      </c>
      <c r="S38" s="54">
        <f t="shared" ref="S38:AF38" si="30">SUM(S13:S18)</f>
        <v>58.333333333333336</v>
      </c>
      <c r="T38" s="54">
        <f t="shared" si="30"/>
        <v>22.333333333333332</v>
      </c>
      <c r="U38" s="54">
        <f t="shared" si="30"/>
        <v>19</v>
      </c>
      <c r="V38" s="54">
        <f t="shared" si="30"/>
        <v>1.9999999999999998</v>
      </c>
      <c r="W38" s="54">
        <f t="shared" si="30"/>
        <v>0.33333333333333331</v>
      </c>
      <c r="X38" s="54">
        <f t="shared" si="30"/>
        <v>1</v>
      </c>
      <c r="Y38" s="54">
        <f t="shared" si="30"/>
        <v>12.999999999999998</v>
      </c>
      <c r="Z38" s="54">
        <f t="shared" si="30"/>
        <v>8.3333333333333339</v>
      </c>
      <c r="AA38" s="54">
        <f t="shared" si="30"/>
        <v>0.33333333333333331</v>
      </c>
      <c r="AB38" s="54">
        <f t="shared" si="30"/>
        <v>0</v>
      </c>
      <c r="AC38" s="54">
        <f t="shared" si="30"/>
        <v>836.66666666666674</v>
      </c>
      <c r="AD38" s="54">
        <f t="shared" si="30"/>
        <v>0</v>
      </c>
      <c r="AE38" s="55">
        <f t="shared" si="30"/>
        <v>124.66666666666666</v>
      </c>
      <c r="AF38" s="55">
        <f t="shared" si="30"/>
        <v>961.33333333333337</v>
      </c>
    </row>
    <row r="39" spans="2:32" ht="23.1" customHeight="1" x14ac:dyDescent="0.25">
      <c r="B39" s="24" t="s">
        <v>66</v>
      </c>
      <c r="C39" s="49">
        <f>AVERAGE('25.10.19 KISORO-CYANIKA-24h'!C39,'26.10 KISORO-CYANIKA'!C39,'27.10 KISORO-CYANIKA'!C39)</f>
        <v>2.6666666666666665</v>
      </c>
      <c r="D39" s="49">
        <f>AVERAGE('25.10.19 KISORO-CYANIKA-24h'!D39,'26.10 KISORO-CYANIKA'!D39,'27.10 KISORO-CYANIKA'!D39)</f>
        <v>1.3333333333333333</v>
      </c>
      <c r="E39" s="49">
        <f>AVERAGE('25.10.19 KISORO-CYANIKA-24h'!E39,'26.10 KISORO-CYANIKA'!E39,'27.10 KISORO-CYANIKA'!E39)</f>
        <v>0</v>
      </c>
      <c r="F39" s="49">
        <f>AVERAGE('25.10.19 KISORO-CYANIKA-24h'!F39,'26.10 KISORO-CYANIKA'!F39,'27.10 KISORO-CYANIKA'!F39)</f>
        <v>0</v>
      </c>
      <c r="G39" s="49">
        <f>AVERAGE('25.10.19 KISORO-CYANIKA-24h'!G39,'26.10 KISORO-CYANIKA'!G39,'27.10 KISORO-CYANIKA'!G39)</f>
        <v>0</v>
      </c>
      <c r="H39" s="49">
        <f>AVERAGE('25.10.19 KISORO-CYANIKA-24h'!H39,'26.10 KISORO-CYANIKA'!H39,'27.10 KISORO-CYANIKA'!H39)</f>
        <v>0</v>
      </c>
      <c r="I39" s="49">
        <f>AVERAGE('25.10.19 KISORO-CYANIKA-24h'!I39,'26.10 KISORO-CYANIKA'!I39,'27.10 KISORO-CYANIKA'!I39)</f>
        <v>0</v>
      </c>
      <c r="J39" s="49">
        <f>AVERAGE('25.10.19 KISORO-CYANIKA-24h'!J39,'26.10 KISORO-CYANIKA'!J39,'27.10 KISORO-CYANIKA'!J39)</f>
        <v>0.66666666666666663</v>
      </c>
      <c r="K39" s="49">
        <f>AVERAGE('25.10.19 KISORO-CYANIKA-24h'!K39,'26.10 KISORO-CYANIKA'!K39,'27.10 KISORO-CYANIKA'!K39)</f>
        <v>0</v>
      </c>
      <c r="L39" s="49">
        <f>AVERAGE('25.10.19 KISORO-CYANIKA-24h'!L39,'26.10 KISORO-CYANIKA'!L39,'27.10 KISORO-CYANIKA'!L39)</f>
        <v>0</v>
      </c>
      <c r="M39" s="49">
        <f>AVERAGE('25.10.19 KISORO-CYANIKA-24h'!M39,'26.10 KISORO-CYANIKA'!M39,'27.10 KISORO-CYANIKA'!M39)</f>
        <v>35.333333333333336</v>
      </c>
      <c r="N39" s="49">
        <f>AVERAGE('25.10.19 KISORO-CYANIKA-24h'!N39,'26.10 KISORO-CYANIKA'!N39,'27.10 KISORO-CYANIKA'!N39)</f>
        <v>0</v>
      </c>
      <c r="O39" s="15">
        <f t="shared" si="0"/>
        <v>4.666666666666667</v>
      </c>
      <c r="P39" s="15">
        <f t="shared" si="1"/>
        <v>40</v>
      </c>
      <c r="R39" s="29" t="s">
        <v>87</v>
      </c>
      <c r="S39" s="54">
        <f t="shared" ref="S39:AF39" si="31">SUM(S19:S21)</f>
        <v>29.666666666666664</v>
      </c>
      <c r="T39" s="54">
        <f t="shared" si="31"/>
        <v>17</v>
      </c>
      <c r="U39" s="54">
        <f t="shared" si="31"/>
        <v>11.333333333333332</v>
      </c>
      <c r="V39" s="54">
        <f t="shared" si="31"/>
        <v>1.3333333333333333</v>
      </c>
      <c r="W39" s="54">
        <f t="shared" si="31"/>
        <v>0</v>
      </c>
      <c r="X39" s="54">
        <f t="shared" si="31"/>
        <v>0</v>
      </c>
      <c r="Y39" s="54">
        <f t="shared" si="31"/>
        <v>5</v>
      </c>
      <c r="Z39" s="54">
        <f t="shared" si="31"/>
        <v>3.333333333333333</v>
      </c>
      <c r="AA39" s="54">
        <f t="shared" si="31"/>
        <v>0</v>
      </c>
      <c r="AB39" s="54">
        <f t="shared" si="31"/>
        <v>0</v>
      </c>
      <c r="AC39" s="54">
        <f t="shared" si="31"/>
        <v>530.66666666666674</v>
      </c>
      <c r="AD39" s="54">
        <f t="shared" si="31"/>
        <v>0</v>
      </c>
      <c r="AE39" s="55">
        <f t="shared" si="31"/>
        <v>67.666666666666657</v>
      </c>
      <c r="AF39" s="55">
        <f t="shared" si="31"/>
        <v>598.33333333333337</v>
      </c>
    </row>
    <row r="40" spans="2:32" ht="23.1" customHeight="1" x14ac:dyDescent="0.25">
      <c r="B40" s="24" t="s">
        <v>67</v>
      </c>
      <c r="C40" s="49">
        <f>AVERAGE('25.10.19 KISORO-CYANIKA-24h'!C40,'26.10 KISORO-CYANIKA'!C40,'27.10 KISORO-CYANIKA'!C40)</f>
        <v>1</v>
      </c>
      <c r="D40" s="49">
        <f>AVERAGE('25.10.19 KISORO-CYANIKA-24h'!D40,'26.10 KISORO-CYANIKA'!D40,'27.10 KISORO-CYANIKA'!D40)</f>
        <v>0.33333333333333331</v>
      </c>
      <c r="E40" s="49">
        <f>AVERAGE('25.10.19 KISORO-CYANIKA-24h'!E40,'26.10 KISORO-CYANIKA'!E40,'27.10 KISORO-CYANIKA'!E40)</f>
        <v>1.3333333333333333</v>
      </c>
      <c r="F40" s="49">
        <f>AVERAGE('25.10.19 KISORO-CYANIKA-24h'!F40,'26.10 KISORO-CYANIKA'!F40,'27.10 KISORO-CYANIKA'!F40)</f>
        <v>0</v>
      </c>
      <c r="G40" s="49">
        <f>AVERAGE('25.10.19 KISORO-CYANIKA-24h'!G40,'26.10 KISORO-CYANIKA'!G40,'27.10 KISORO-CYANIKA'!G40)</f>
        <v>0</v>
      </c>
      <c r="H40" s="49">
        <f>AVERAGE('25.10.19 KISORO-CYANIKA-24h'!H40,'26.10 KISORO-CYANIKA'!H40,'27.10 KISORO-CYANIKA'!H40)</f>
        <v>0.33333333333333331</v>
      </c>
      <c r="I40" s="49">
        <f>AVERAGE('25.10.19 KISORO-CYANIKA-24h'!I40,'26.10 KISORO-CYANIKA'!I40,'27.10 KISORO-CYANIKA'!I40)</f>
        <v>0.66666666666666663</v>
      </c>
      <c r="J40" s="49">
        <f>AVERAGE('25.10.19 KISORO-CYANIKA-24h'!J40,'26.10 KISORO-CYANIKA'!J40,'27.10 KISORO-CYANIKA'!J40)</f>
        <v>0</v>
      </c>
      <c r="K40" s="49">
        <f>AVERAGE('25.10.19 KISORO-CYANIKA-24h'!K40,'26.10 KISORO-CYANIKA'!K40,'27.10 KISORO-CYANIKA'!K40)</f>
        <v>0</v>
      </c>
      <c r="L40" s="49">
        <f>AVERAGE('25.10.19 KISORO-CYANIKA-24h'!L40,'26.10 KISORO-CYANIKA'!L40,'27.10 KISORO-CYANIKA'!L40)</f>
        <v>0</v>
      </c>
      <c r="M40" s="49">
        <f>AVERAGE('25.10.19 KISORO-CYANIKA-24h'!M40,'26.10 KISORO-CYANIKA'!M40,'27.10 KISORO-CYANIKA'!M40)</f>
        <v>41</v>
      </c>
      <c r="N40" s="49">
        <f>AVERAGE('25.10.19 KISORO-CYANIKA-24h'!N40,'26.10 KISORO-CYANIKA'!N40,'27.10 KISORO-CYANIKA'!N40)</f>
        <v>0</v>
      </c>
      <c r="O40" s="15">
        <f t="shared" si="0"/>
        <v>3.6666666666666665</v>
      </c>
      <c r="P40" s="15">
        <f t="shared" si="1"/>
        <v>44.666666666666664</v>
      </c>
      <c r="R40" s="5" t="s">
        <v>17</v>
      </c>
      <c r="S40" s="54">
        <f t="shared" ref="S40:AF40" si="32">SUM(S10:S21)</f>
        <v>97</v>
      </c>
      <c r="T40" s="54">
        <f t="shared" si="32"/>
        <v>45.333333333333329</v>
      </c>
      <c r="U40" s="54">
        <f t="shared" si="32"/>
        <v>35.666666666666671</v>
      </c>
      <c r="V40" s="54">
        <f t="shared" si="32"/>
        <v>4</v>
      </c>
      <c r="W40" s="54">
        <f t="shared" si="32"/>
        <v>0.33333333333333331</v>
      </c>
      <c r="X40" s="54">
        <f t="shared" si="32"/>
        <v>1</v>
      </c>
      <c r="Y40" s="54">
        <f t="shared" si="32"/>
        <v>19</v>
      </c>
      <c r="Z40" s="54">
        <f t="shared" si="32"/>
        <v>17.666666666666664</v>
      </c>
      <c r="AA40" s="54">
        <f t="shared" si="32"/>
        <v>0.33333333333333331</v>
      </c>
      <c r="AB40" s="54">
        <f t="shared" si="32"/>
        <v>0</v>
      </c>
      <c r="AC40" s="54">
        <f t="shared" si="32"/>
        <v>1576.3333333333335</v>
      </c>
      <c r="AD40" s="54">
        <f t="shared" si="32"/>
        <v>0</v>
      </c>
      <c r="AE40" s="55">
        <f t="shared" si="32"/>
        <v>220.33333333333331</v>
      </c>
      <c r="AF40" s="55">
        <f t="shared" si="32"/>
        <v>1796.6666666666665</v>
      </c>
    </row>
    <row r="41" spans="2:32" ht="23.1" customHeight="1" x14ac:dyDescent="0.25">
      <c r="B41" s="23" t="s">
        <v>68</v>
      </c>
      <c r="C41" s="49">
        <f>AVERAGE('25.10.19 KISORO-CYANIKA-24h'!C41,'26.10 KISORO-CYANIKA'!C41,'27.10 KISORO-CYANIKA'!C41)</f>
        <v>1.6666666666666667</v>
      </c>
      <c r="D41" s="49">
        <f>AVERAGE('25.10.19 KISORO-CYANIKA-24h'!D41,'26.10 KISORO-CYANIKA'!D41,'27.10 KISORO-CYANIKA'!D41)</f>
        <v>0.66666666666666663</v>
      </c>
      <c r="E41" s="49">
        <f>AVERAGE('25.10.19 KISORO-CYANIKA-24h'!E41,'26.10 KISORO-CYANIKA'!E41,'27.10 KISORO-CYANIKA'!E41)</f>
        <v>1.3333333333333333</v>
      </c>
      <c r="F41" s="49">
        <f>AVERAGE('25.10.19 KISORO-CYANIKA-24h'!F41,'26.10 KISORO-CYANIKA'!F41,'27.10 KISORO-CYANIKA'!F41)</f>
        <v>0</v>
      </c>
      <c r="G41" s="49">
        <f>AVERAGE('25.10.19 KISORO-CYANIKA-24h'!G41,'26.10 KISORO-CYANIKA'!G41,'27.10 KISORO-CYANIKA'!G41)</f>
        <v>0</v>
      </c>
      <c r="H41" s="49">
        <f>AVERAGE('25.10.19 KISORO-CYANIKA-24h'!H41,'26.10 KISORO-CYANIKA'!H41,'27.10 KISORO-CYANIKA'!H41)</f>
        <v>0</v>
      </c>
      <c r="I41" s="49">
        <f>AVERAGE('25.10.19 KISORO-CYANIKA-24h'!I41,'26.10 KISORO-CYANIKA'!I41,'27.10 KISORO-CYANIKA'!I41)</f>
        <v>1</v>
      </c>
      <c r="J41" s="49">
        <f>AVERAGE('25.10.19 KISORO-CYANIKA-24h'!J41,'26.10 KISORO-CYANIKA'!J41,'27.10 KISORO-CYANIKA'!J41)</f>
        <v>0</v>
      </c>
      <c r="K41" s="49">
        <f>AVERAGE('25.10.19 KISORO-CYANIKA-24h'!K41,'26.10 KISORO-CYANIKA'!K41,'27.10 KISORO-CYANIKA'!K41)</f>
        <v>0</v>
      </c>
      <c r="L41" s="49">
        <f>AVERAGE('25.10.19 KISORO-CYANIKA-24h'!L41,'26.10 KISORO-CYANIKA'!L41,'27.10 KISORO-CYANIKA'!L41)</f>
        <v>0</v>
      </c>
      <c r="M41" s="49">
        <f>AVERAGE('25.10.19 KISORO-CYANIKA-24h'!M41,'26.10 KISORO-CYANIKA'!M41,'27.10 KISORO-CYANIKA'!M41)</f>
        <v>36.333333333333336</v>
      </c>
      <c r="N41" s="49">
        <f>AVERAGE('25.10.19 KISORO-CYANIKA-24h'!N41,'26.10 KISORO-CYANIKA'!N41,'27.10 KISORO-CYANIKA'!N41)</f>
        <v>0</v>
      </c>
      <c r="O41" s="15">
        <f t="shared" si="0"/>
        <v>4.666666666666667</v>
      </c>
      <c r="P41" s="15">
        <f t="shared" si="1"/>
        <v>41</v>
      </c>
      <c r="R41" s="5" t="s">
        <v>179</v>
      </c>
      <c r="S41" s="54">
        <f>SUM(S10:S33)</f>
        <v>175</v>
      </c>
      <c r="T41" s="54">
        <f t="shared" ref="T41:AD41" si="33">SUM(T10:T33)</f>
        <v>60.333333333333329</v>
      </c>
      <c r="U41" s="54">
        <f t="shared" si="33"/>
        <v>47.666666666666671</v>
      </c>
      <c r="V41" s="54">
        <f t="shared" si="33"/>
        <v>8</v>
      </c>
      <c r="W41" s="54">
        <f t="shared" si="33"/>
        <v>0.33333333333333331</v>
      </c>
      <c r="X41" s="54">
        <f t="shared" si="33"/>
        <v>1</v>
      </c>
      <c r="Y41" s="54">
        <f t="shared" si="33"/>
        <v>24</v>
      </c>
      <c r="Z41" s="54">
        <f t="shared" si="33"/>
        <v>20.666666666666664</v>
      </c>
      <c r="AA41" s="54">
        <f t="shared" si="33"/>
        <v>0.33333333333333331</v>
      </c>
      <c r="AB41" s="54">
        <f t="shared" si="33"/>
        <v>0</v>
      </c>
      <c r="AC41" s="54">
        <f t="shared" si="33"/>
        <v>1997.3333333333335</v>
      </c>
      <c r="AD41" s="54">
        <f t="shared" si="33"/>
        <v>0</v>
      </c>
      <c r="AE41" s="55">
        <f>SUM(AE10:AE33)</f>
        <v>337.33333333333331</v>
      </c>
      <c r="AF41" s="55">
        <f>SUM(AF10:AF33)</f>
        <v>2334.6666666666665</v>
      </c>
    </row>
    <row r="42" spans="2:32" ht="23.1" customHeight="1" x14ac:dyDescent="0.25">
      <c r="B42" s="24" t="s">
        <v>69</v>
      </c>
      <c r="C42" s="49">
        <f>AVERAGE('25.10.19 KISORO-CYANIKA-24h'!C42,'26.10 KISORO-CYANIKA'!C42,'27.10 KISORO-CYANIKA'!C42)</f>
        <v>4.333333333333333</v>
      </c>
      <c r="D42" s="49">
        <f>AVERAGE('25.10.19 KISORO-CYANIKA-24h'!D42,'26.10 KISORO-CYANIKA'!D42,'27.10 KISORO-CYANIKA'!D42)</f>
        <v>2.3333333333333335</v>
      </c>
      <c r="E42" s="49">
        <f>AVERAGE('25.10.19 KISORO-CYANIKA-24h'!E42,'26.10 KISORO-CYANIKA'!E42,'27.10 KISORO-CYANIKA'!E42)</f>
        <v>0.33333333333333331</v>
      </c>
      <c r="F42" s="49">
        <f>AVERAGE('25.10.19 KISORO-CYANIKA-24h'!F42,'26.10 KISORO-CYANIKA'!F42,'27.10 KISORO-CYANIKA'!F42)</f>
        <v>0</v>
      </c>
      <c r="G42" s="49">
        <f>AVERAGE('25.10.19 KISORO-CYANIKA-24h'!G42,'26.10 KISORO-CYANIKA'!G42,'27.10 KISORO-CYANIKA'!G42)</f>
        <v>0</v>
      </c>
      <c r="H42" s="49">
        <f>AVERAGE('25.10.19 KISORO-CYANIKA-24h'!H42,'26.10 KISORO-CYANIKA'!H42,'27.10 KISORO-CYANIKA'!H42)</f>
        <v>0</v>
      </c>
      <c r="I42" s="49">
        <f>AVERAGE('25.10.19 KISORO-CYANIKA-24h'!I42,'26.10 KISORO-CYANIKA'!I42,'27.10 KISORO-CYANIKA'!I42)</f>
        <v>0.66666666666666663</v>
      </c>
      <c r="J42" s="49">
        <f>AVERAGE('25.10.19 KISORO-CYANIKA-24h'!J42,'26.10 KISORO-CYANIKA'!J42,'27.10 KISORO-CYANIKA'!J42)</f>
        <v>0</v>
      </c>
      <c r="K42" s="49">
        <f>AVERAGE('25.10.19 KISORO-CYANIKA-24h'!K42,'26.10 KISORO-CYANIKA'!K42,'27.10 KISORO-CYANIKA'!K42)</f>
        <v>0</v>
      </c>
      <c r="L42" s="49">
        <f>AVERAGE('25.10.19 KISORO-CYANIKA-24h'!L42,'26.10 KISORO-CYANIKA'!L42,'27.10 KISORO-CYANIKA'!L42)</f>
        <v>0</v>
      </c>
      <c r="M42" s="49">
        <f>AVERAGE('25.10.19 KISORO-CYANIKA-24h'!M42,'26.10 KISORO-CYANIKA'!M42,'27.10 KISORO-CYANIKA'!M42)</f>
        <v>45</v>
      </c>
      <c r="N42" s="49">
        <f>AVERAGE('25.10.19 KISORO-CYANIKA-24h'!N42,'26.10 KISORO-CYANIKA'!N42,'27.10 KISORO-CYANIKA'!N42)</f>
        <v>0</v>
      </c>
      <c r="O42" s="15">
        <f t="shared" si="0"/>
        <v>7.6666666666666661</v>
      </c>
      <c r="P42" s="15">
        <f t="shared" si="1"/>
        <v>52.666666666666664</v>
      </c>
      <c r="R42" s="5" t="s">
        <v>160</v>
      </c>
      <c r="S42" s="48">
        <f>S41/S40</f>
        <v>1.8041237113402062</v>
      </c>
      <c r="T42" s="48">
        <f t="shared" ref="T42:AF42" si="34">T41/T40</f>
        <v>1.3308823529411764</v>
      </c>
      <c r="U42" s="48">
        <f t="shared" si="34"/>
        <v>1.3364485981308412</v>
      </c>
      <c r="V42" s="48">
        <f t="shared" si="34"/>
        <v>2</v>
      </c>
      <c r="W42" s="48">
        <f t="shared" si="34"/>
        <v>1</v>
      </c>
      <c r="X42" s="48">
        <f t="shared" si="34"/>
        <v>1</v>
      </c>
      <c r="Y42" s="48">
        <f t="shared" si="34"/>
        <v>1.263157894736842</v>
      </c>
      <c r="Z42" s="48">
        <f t="shared" si="34"/>
        <v>1.1698113207547169</v>
      </c>
      <c r="AA42" s="48">
        <f t="shared" si="34"/>
        <v>1</v>
      </c>
      <c r="AB42" s="48">
        <v>0</v>
      </c>
      <c r="AC42" s="48">
        <f t="shared" si="34"/>
        <v>1.2670754916472826</v>
      </c>
      <c r="AD42" s="48">
        <v>0</v>
      </c>
      <c r="AE42" s="56">
        <f t="shared" si="34"/>
        <v>1.5310136157337368</v>
      </c>
      <c r="AF42" s="56">
        <f t="shared" si="34"/>
        <v>1.299443413729128</v>
      </c>
    </row>
    <row r="43" spans="2:32" ht="23.1" customHeight="1" x14ac:dyDescent="0.25">
      <c r="B43" s="23" t="s">
        <v>70</v>
      </c>
      <c r="C43" s="49">
        <f>AVERAGE('25.10.19 KISORO-CYANIKA-24h'!C43,'26.10 KISORO-CYANIKA'!C43,'27.10 KISORO-CYANIKA'!C43)</f>
        <v>3.6666666666666665</v>
      </c>
      <c r="D43" s="49">
        <f>AVERAGE('25.10.19 KISORO-CYANIKA-24h'!D43,'26.10 KISORO-CYANIKA'!D43,'27.10 KISORO-CYANIKA'!D43)</f>
        <v>1</v>
      </c>
      <c r="E43" s="49">
        <f>AVERAGE('25.10.19 KISORO-CYANIKA-24h'!E43,'26.10 KISORO-CYANIKA'!E43,'27.10 KISORO-CYANIKA'!E43)</f>
        <v>1.3333333333333333</v>
      </c>
      <c r="F43" s="49">
        <f>AVERAGE('25.10.19 KISORO-CYANIKA-24h'!F43,'26.10 KISORO-CYANIKA'!F43,'27.10 KISORO-CYANIKA'!F43)</f>
        <v>0</v>
      </c>
      <c r="G43" s="49">
        <f>AVERAGE('25.10.19 KISORO-CYANIKA-24h'!G43,'26.10 KISORO-CYANIKA'!G43,'27.10 KISORO-CYANIKA'!G43)</f>
        <v>0</v>
      </c>
      <c r="H43" s="49">
        <f>AVERAGE('25.10.19 KISORO-CYANIKA-24h'!H43,'26.10 KISORO-CYANIKA'!H43,'27.10 KISORO-CYANIKA'!H43)</f>
        <v>0</v>
      </c>
      <c r="I43" s="49">
        <f>AVERAGE('25.10.19 KISORO-CYANIKA-24h'!I43,'26.10 KISORO-CYANIKA'!I43,'27.10 KISORO-CYANIKA'!I43)</f>
        <v>0.33333333333333331</v>
      </c>
      <c r="J43" s="49">
        <f>AVERAGE('25.10.19 KISORO-CYANIKA-24h'!J43,'26.10 KISORO-CYANIKA'!J43,'27.10 KISORO-CYANIKA'!J43)</f>
        <v>0</v>
      </c>
      <c r="K43" s="49">
        <f>AVERAGE('25.10.19 KISORO-CYANIKA-24h'!K43,'26.10 KISORO-CYANIKA'!K43,'27.10 KISORO-CYANIKA'!K43)</f>
        <v>0</v>
      </c>
      <c r="L43" s="49">
        <f>AVERAGE('25.10.19 KISORO-CYANIKA-24h'!L43,'26.10 KISORO-CYANIKA'!L43,'27.10 KISORO-CYANIKA'!L43)</f>
        <v>0</v>
      </c>
      <c r="M43" s="49">
        <f>AVERAGE('25.10.19 KISORO-CYANIKA-24h'!M43,'26.10 KISORO-CYANIKA'!M43,'27.10 KISORO-CYANIKA'!M43)</f>
        <v>36</v>
      </c>
      <c r="N43" s="49">
        <f>AVERAGE('25.10.19 KISORO-CYANIKA-24h'!N43,'26.10 KISORO-CYANIKA'!N43,'27.10 KISORO-CYANIKA'!N43)</f>
        <v>0</v>
      </c>
      <c r="O43" s="15">
        <f t="shared" si="0"/>
        <v>6.3333333333333321</v>
      </c>
      <c r="P43" s="15">
        <f t="shared" si="1"/>
        <v>42.333333333333329</v>
      </c>
    </row>
    <row r="44" spans="2:32" ht="23.1" customHeight="1" x14ac:dyDescent="0.25">
      <c r="B44" s="25" t="s">
        <v>71</v>
      </c>
      <c r="C44" s="49">
        <f>AVERAGE('25.10.19 KISORO-CYANIKA-24h'!C44,'26.10 KISORO-CYANIKA'!C44,'27.10 KISORO-CYANIKA'!C44)</f>
        <v>3.3333333333333335</v>
      </c>
      <c r="D44" s="49">
        <f>AVERAGE('25.10.19 KISORO-CYANIKA-24h'!D44,'26.10 KISORO-CYANIKA'!D44,'27.10 KISORO-CYANIKA'!D44)</f>
        <v>1</v>
      </c>
      <c r="E44" s="49">
        <f>AVERAGE('25.10.19 KISORO-CYANIKA-24h'!E44,'26.10 KISORO-CYANIKA'!E44,'27.10 KISORO-CYANIKA'!E44)</f>
        <v>1</v>
      </c>
      <c r="F44" s="49">
        <f>AVERAGE('25.10.19 KISORO-CYANIKA-24h'!F44,'26.10 KISORO-CYANIKA'!F44,'27.10 KISORO-CYANIKA'!F44)</f>
        <v>0.33333333333333331</v>
      </c>
      <c r="G44" s="49">
        <f>AVERAGE('25.10.19 KISORO-CYANIKA-24h'!G44,'26.10 KISORO-CYANIKA'!G44,'27.10 KISORO-CYANIKA'!G44)</f>
        <v>0</v>
      </c>
      <c r="H44" s="49">
        <f>AVERAGE('25.10.19 KISORO-CYANIKA-24h'!H44,'26.10 KISORO-CYANIKA'!H44,'27.10 KISORO-CYANIKA'!H44)</f>
        <v>0</v>
      </c>
      <c r="I44" s="49">
        <f>AVERAGE('25.10.19 KISORO-CYANIKA-24h'!I44,'26.10 KISORO-CYANIKA'!I44,'27.10 KISORO-CYANIKA'!I44)</f>
        <v>0.33333333333333331</v>
      </c>
      <c r="J44" s="49">
        <f>AVERAGE('25.10.19 KISORO-CYANIKA-24h'!J44,'26.10 KISORO-CYANIKA'!J44,'27.10 KISORO-CYANIKA'!J44)</f>
        <v>0.33333333333333331</v>
      </c>
      <c r="K44" s="49">
        <f>AVERAGE('25.10.19 KISORO-CYANIKA-24h'!K44,'26.10 KISORO-CYANIKA'!K44,'27.10 KISORO-CYANIKA'!K44)</f>
        <v>0</v>
      </c>
      <c r="L44" s="49">
        <f>AVERAGE('25.10.19 KISORO-CYANIKA-24h'!L44,'26.10 KISORO-CYANIKA'!L44,'27.10 KISORO-CYANIKA'!L44)</f>
        <v>0</v>
      </c>
      <c r="M44" s="49">
        <f>AVERAGE('25.10.19 KISORO-CYANIKA-24h'!M44,'26.10 KISORO-CYANIKA'!M44,'27.10 KISORO-CYANIKA'!M44)</f>
        <v>40</v>
      </c>
      <c r="N44" s="49">
        <f>AVERAGE('25.10.19 KISORO-CYANIKA-24h'!N44,'26.10 KISORO-CYANIKA'!N44,'27.10 KISORO-CYANIKA'!N44)</f>
        <v>0</v>
      </c>
      <c r="O44" s="15">
        <f t="shared" si="0"/>
        <v>6.333333333333333</v>
      </c>
      <c r="P44" s="15">
        <f t="shared" si="1"/>
        <v>46.333333333333336</v>
      </c>
    </row>
    <row r="45" spans="2:32" ht="23.1" customHeight="1" x14ac:dyDescent="0.25">
      <c r="B45" s="23" t="s">
        <v>72</v>
      </c>
      <c r="C45" s="49">
        <f>AVERAGE('25.10.19 KISORO-CYANIKA-24h'!C45,'26.10 KISORO-CYANIKA'!C45,'27.10 KISORO-CYANIKA'!C45)</f>
        <v>2</v>
      </c>
      <c r="D45" s="49">
        <f>AVERAGE('25.10.19 KISORO-CYANIKA-24h'!D45,'26.10 KISORO-CYANIKA'!D45,'27.10 KISORO-CYANIKA'!D45)</f>
        <v>0.66666666666666663</v>
      </c>
      <c r="E45" s="49">
        <f>AVERAGE('25.10.19 KISORO-CYANIKA-24h'!E45,'26.10 KISORO-CYANIKA'!E45,'27.10 KISORO-CYANIKA'!E45)</f>
        <v>0.33333333333333331</v>
      </c>
      <c r="F45" s="49">
        <f>AVERAGE('25.10.19 KISORO-CYANIKA-24h'!F45,'26.10 KISORO-CYANIKA'!F45,'27.10 KISORO-CYANIKA'!F45)</f>
        <v>0</v>
      </c>
      <c r="G45" s="49">
        <f>AVERAGE('25.10.19 KISORO-CYANIKA-24h'!G45,'26.10 KISORO-CYANIKA'!G45,'27.10 KISORO-CYANIKA'!G45)</f>
        <v>0</v>
      </c>
      <c r="H45" s="49">
        <f>AVERAGE('25.10.19 KISORO-CYANIKA-24h'!H45,'26.10 KISORO-CYANIKA'!H45,'27.10 KISORO-CYANIKA'!H45)</f>
        <v>0</v>
      </c>
      <c r="I45" s="49">
        <f>AVERAGE('25.10.19 KISORO-CYANIKA-24h'!I45,'26.10 KISORO-CYANIKA'!I45,'27.10 KISORO-CYANIKA'!I45)</f>
        <v>0.33333333333333331</v>
      </c>
      <c r="J45" s="49">
        <f>AVERAGE('25.10.19 KISORO-CYANIKA-24h'!J45,'26.10 KISORO-CYANIKA'!J45,'27.10 KISORO-CYANIKA'!J45)</f>
        <v>0.33333333333333331</v>
      </c>
      <c r="K45" s="49">
        <f>AVERAGE('25.10.19 KISORO-CYANIKA-24h'!K45,'26.10 KISORO-CYANIKA'!K45,'27.10 KISORO-CYANIKA'!K45)</f>
        <v>0</v>
      </c>
      <c r="L45" s="49">
        <f>AVERAGE('25.10.19 KISORO-CYANIKA-24h'!L45,'26.10 KISORO-CYANIKA'!L45,'27.10 KISORO-CYANIKA'!L45)</f>
        <v>0</v>
      </c>
      <c r="M45" s="49">
        <f>AVERAGE('25.10.19 KISORO-CYANIKA-24h'!M45,'26.10 KISORO-CYANIKA'!M45,'27.10 KISORO-CYANIKA'!M45)</f>
        <v>38.333333333333336</v>
      </c>
      <c r="N45" s="49">
        <f>AVERAGE('25.10.19 KISORO-CYANIKA-24h'!N45,'26.10 KISORO-CYANIKA'!N45,'27.10 KISORO-CYANIKA'!N45)</f>
        <v>0</v>
      </c>
      <c r="O45" s="15">
        <f t="shared" si="0"/>
        <v>3.666666666666667</v>
      </c>
      <c r="P45" s="15">
        <f t="shared" si="1"/>
        <v>42</v>
      </c>
    </row>
    <row r="46" spans="2:32" ht="23.1" customHeight="1" x14ac:dyDescent="0.25">
      <c r="B46" s="24" t="s">
        <v>73</v>
      </c>
      <c r="C46" s="49">
        <f>AVERAGE('25.10.19 KISORO-CYANIKA-24h'!C46,'26.10 KISORO-CYANIKA'!C46,'27.10 KISORO-CYANIKA'!C46)</f>
        <v>3</v>
      </c>
      <c r="D46" s="49">
        <f>AVERAGE('25.10.19 KISORO-CYANIKA-24h'!D46,'26.10 KISORO-CYANIKA'!D46,'27.10 KISORO-CYANIKA'!D46)</f>
        <v>1</v>
      </c>
      <c r="E46" s="49">
        <f>AVERAGE('25.10.19 KISORO-CYANIKA-24h'!E46,'26.10 KISORO-CYANIKA'!E46,'27.10 KISORO-CYANIKA'!E46)</f>
        <v>0.66666666666666663</v>
      </c>
      <c r="F46" s="49">
        <f>AVERAGE('25.10.19 KISORO-CYANIKA-24h'!F46,'26.10 KISORO-CYANIKA'!F46,'27.10 KISORO-CYANIKA'!F46)</f>
        <v>0</v>
      </c>
      <c r="G46" s="49">
        <f>AVERAGE('25.10.19 KISORO-CYANIKA-24h'!G46,'26.10 KISORO-CYANIKA'!G46,'27.10 KISORO-CYANIKA'!G46)</f>
        <v>0</v>
      </c>
      <c r="H46" s="49">
        <f>AVERAGE('25.10.19 KISORO-CYANIKA-24h'!H46,'26.10 KISORO-CYANIKA'!H46,'27.10 KISORO-CYANIKA'!H46)</f>
        <v>0</v>
      </c>
      <c r="I46" s="49">
        <f>AVERAGE('25.10.19 KISORO-CYANIKA-24h'!I46,'26.10 KISORO-CYANIKA'!I46,'27.10 KISORO-CYANIKA'!I46)</f>
        <v>0.66666666666666663</v>
      </c>
      <c r="J46" s="49">
        <f>AVERAGE('25.10.19 KISORO-CYANIKA-24h'!J46,'26.10 KISORO-CYANIKA'!J46,'27.10 KISORO-CYANIKA'!J46)</f>
        <v>0</v>
      </c>
      <c r="K46" s="49">
        <f>AVERAGE('25.10.19 KISORO-CYANIKA-24h'!K46,'26.10 KISORO-CYANIKA'!K46,'27.10 KISORO-CYANIKA'!K46)</f>
        <v>0</v>
      </c>
      <c r="L46" s="49">
        <f>AVERAGE('25.10.19 KISORO-CYANIKA-24h'!L46,'26.10 KISORO-CYANIKA'!L46,'27.10 KISORO-CYANIKA'!L46)</f>
        <v>0</v>
      </c>
      <c r="M46" s="49">
        <f>AVERAGE('25.10.19 KISORO-CYANIKA-24h'!M46,'26.10 KISORO-CYANIKA'!M46,'27.10 KISORO-CYANIKA'!M46)</f>
        <v>40.666666666666664</v>
      </c>
      <c r="N46" s="49">
        <f>AVERAGE('25.10.19 KISORO-CYANIKA-24h'!N46,'26.10 KISORO-CYANIKA'!N46,'27.10 KISORO-CYANIKA'!N46)</f>
        <v>0</v>
      </c>
      <c r="O46" s="15">
        <f t="shared" si="0"/>
        <v>5.3333333333333339</v>
      </c>
      <c r="P46" s="15">
        <f t="shared" si="1"/>
        <v>46</v>
      </c>
      <c r="R46" s="8"/>
      <c r="T46"/>
    </row>
    <row r="47" spans="2:32" ht="23.1" customHeight="1" x14ac:dyDescent="0.25">
      <c r="B47" s="24" t="s">
        <v>74</v>
      </c>
      <c r="C47" s="49">
        <f>AVERAGE('25.10.19 KISORO-CYANIKA-24h'!C47,'26.10 KISORO-CYANIKA'!C47,'27.10 KISORO-CYANIKA'!C47)</f>
        <v>3.6666666666666665</v>
      </c>
      <c r="D47" s="49">
        <f>AVERAGE('25.10.19 KISORO-CYANIKA-24h'!D47,'26.10 KISORO-CYANIKA'!D47,'27.10 KISORO-CYANIKA'!D47)</f>
        <v>2</v>
      </c>
      <c r="E47" s="49">
        <f>AVERAGE('25.10.19 KISORO-CYANIKA-24h'!E47,'26.10 KISORO-CYANIKA'!E47,'27.10 KISORO-CYANIKA'!E47)</f>
        <v>0</v>
      </c>
      <c r="F47" s="49">
        <f>AVERAGE('25.10.19 KISORO-CYANIKA-24h'!F47,'26.10 KISORO-CYANIKA'!F47,'27.10 KISORO-CYANIKA'!F47)</f>
        <v>0</v>
      </c>
      <c r="G47" s="49">
        <f>AVERAGE('25.10.19 KISORO-CYANIKA-24h'!G47,'26.10 KISORO-CYANIKA'!G47,'27.10 KISORO-CYANIKA'!G47)</f>
        <v>0</v>
      </c>
      <c r="H47" s="49">
        <f>AVERAGE('25.10.19 KISORO-CYANIKA-24h'!H47,'26.10 KISORO-CYANIKA'!H47,'27.10 KISORO-CYANIKA'!H47)</f>
        <v>0</v>
      </c>
      <c r="I47" s="49">
        <f>AVERAGE('25.10.19 KISORO-CYANIKA-24h'!I47,'26.10 KISORO-CYANIKA'!I47,'27.10 KISORO-CYANIKA'!I47)</f>
        <v>0.33333333333333331</v>
      </c>
      <c r="J47" s="49">
        <f>AVERAGE('25.10.19 KISORO-CYANIKA-24h'!J47,'26.10 KISORO-CYANIKA'!J47,'27.10 KISORO-CYANIKA'!J47)</f>
        <v>0</v>
      </c>
      <c r="K47" s="49">
        <f>AVERAGE('25.10.19 KISORO-CYANIKA-24h'!K47,'26.10 KISORO-CYANIKA'!K47,'27.10 KISORO-CYANIKA'!K47)</f>
        <v>0</v>
      </c>
      <c r="L47" s="49">
        <f>AVERAGE('25.10.19 KISORO-CYANIKA-24h'!L47,'26.10 KISORO-CYANIKA'!L47,'27.10 KISORO-CYANIKA'!L47)</f>
        <v>0</v>
      </c>
      <c r="M47" s="49">
        <f>AVERAGE('25.10.19 KISORO-CYANIKA-24h'!M47,'26.10 KISORO-CYANIKA'!M47,'27.10 KISORO-CYANIKA'!M47)</f>
        <v>44.333333333333336</v>
      </c>
      <c r="N47" s="49">
        <f>AVERAGE('25.10.19 KISORO-CYANIKA-24h'!N47,'26.10 KISORO-CYANIKA'!N47,'27.10 KISORO-CYANIKA'!N47)</f>
        <v>0</v>
      </c>
      <c r="O47" s="15">
        <f t="shared" si="0"/>
        <v>5.9999999999999991</v>
      </c>
      <c r="P47" s="15">
        <f t="shared" si="1"/>
        <v>50.333333333333336</v>
      </c>
      <c r="R47" s="8"/>
      <c r="T47"/>
    </row>
    <row r="48" spans="2:32" ht="23.1" customHeight="1" x14ac:dyDescent="0.25">
      <c r="B48" s="24" t="s">
        <v>75</v>
      </c>
      <c r="C48" s="49">
        <f>AVERAGE('25.10.19 KISORO-CYANIKA-24h'!C48,'26.10 KISORO-CYANIKA'!C48,'27.10 KISORO-CYANIKA'!C48)</f>
        <v>2</v>
      </c>
      <c r="D48" s="49">
        <f>AVERAGE('25.10.19 KISORO-CYANIKA-24h'!D48,'26.10 KISORO-CYANIKA'!D48,'27.10 KISORO-CYANIKA'!D48)</f>
        <v>1.6666666666666667</v>
      </c>
      <c r="E48" s="49">
        <f>AVERAGE('25.10.19 KISORO-CYANIKA-24h'!E48,'26.10 KISORO-CYANIKA'!E48,'27.10 KISORO-CYANIKA'!E48)</f>
        <v>1.3333333333333333</v>
      </c>
      <c r="F48" s="49">
        <f>AVERAGE('25.10.19 KISORO-CYANIKA-24h'!F48,'26.10 KISORO-CYANIKA'!F48,'27.10 KISORO-CYANIKA'!F48)</f>
        <v>0</v>
      </c>
      <c r="G48" s="49">
        <f>AVERAGE('25.10.19 KISORO-CYANIKA-24h'!G48,'26.10 KISORO-CYANIKA'!G48,'27.10 KISORO-CYANIKA'!G48)</f>
        <v>0</v>
      </c>
      <c r="H48" s="49">
        <f>AVERAGE('25.10.19 KISORO-CYANIKA-24h'!H48,'26.10 KISORO-CYANIKA'!H48,'27.10 KISORO-CYANIKA'!H48)</f>
        <v>0</v>
      </c>
      <c r="I48" s="49">
        <f>AVERAGE('25.10.19 KISORO-CYANIKA-24h'!I48,'26.10 KISORO-CYANIKA'!I48,'27.10 KISORO-CYANIKA'!I48)</f>
        <v>0</v>
      </c>
      <c r="J48" s="49">
        <f>AVERAGE('25.10.19 KISORO-CYANIKA-24h'!J48,'26.10 KISORO-CYANIKA'!J48,'27.10 KISORO-CYANIKA'!J48)</f>
        <v>0.33333333333333331</v>
      </c>
      <c r="K48" s="49">
        <f>AVERAGE('25.10.19 KISORO-CYANIKA-24h'!K48,'26.10 KISORO-CYANIKA'!K48,'27.10 KISORO-CYANIKA'!K48)</f>
        <v>0</v>
      </c>
      <c r="L48" s="49">
        <f>AVERAGE('25.10.19 KISORO-CYANIKA-24h'!L48,'26.10 KISORO-CYANIKA'!L48,'27.10 KISORO-CYANIKA'!L48)</f>
        <v>0</v>
      </c>
      <c r="M48" s="49">
        <f>AVERAGE('25.10.19 KISORO-CYANIKA-24h'!M48,'26.10 KISORO-CYANIKA'!M48,'27.10 KISORO-CYANIKA'!M48)</f>
        <v>47.333333333333336</v>
      </c>
      <c r="N48" s="49">
        <f>AVERAGE('25.10.19 KISORO-CYANIKA-24h'!N48,'26.10 KISORO-CYANIKA'!N48,'27.10 KISORO-CYANIKA'!N48)</f>
        <v>0</v>
      </c>
      <c r="O48" s="15">
        <f t="shared" si="0"/>
        <v>5.333333333333333</v>
      </c>
      <c r="P48" s="15">
        <f t="shared" si="1"/>
        <v>52.666666666666671</v>
      </c>
      <c r="R48" s="8"/>
      <c r="T48"/>
    </row>
    <row r="49" spans="2:20" ht="23.1" customHeight="1" x14ac:dyDescent="0.25">
      <c r="B49" s="23" t="s">
        <v>76</v>
      </c>
      <c r="C49" s="49">
        <f>AVERAGE('25.10.19 KISORO-CYANIKA-24h'!C49,'26.10 KISORO-CYANIKA'!C49,'27.10 KISORO-CYANIKA'!C49)</f>
        <v>2.3333333333333335</v>
      </c>
      <c r="D49" s="49">
        <f>AVERAGE('25.10.19 KISORO-CYANIKA-24h'!D49,'26.10 KISORO-CYANIKA'!D49,'27.10 KISORO-CYANIKA'!D49)</f>
        <v>2.3333333333333335</v>
      </c>
      <c r="E49" s="49">
        <f>AVERAGE('25.10.19 KISORO-CYANIKA-24h'!E49,'26.10 KISORO-CYANIKA'!E49,'27.10 KISORO-CYANIKA'!E49)</f>
        <v>0.66666666666666663</v>
      </c>
      <c r="F49" s="49">
        <f>AVERAGE('25.10.19 KISORO-CYANIKA-24h'!F49,'26.10 KISORO-CYANIKA'!F49,'27.10 KISORO-CYANIKA'!F49)</f>
        <v>0.33333333333333331</v>
      </c>
      <c r="G49" s="49">
        <f>AVERAGE('25.10.19 KISORO-CYANIKA-24h'!G49,'26.10 KISORO-CYANIKA'!G49,'27.10 KISORO-CYANIKA'!G49)</f>
        <v>0</v>
      </c>
      <c r="H49" s="49">
        <f>AVERAGE('25.10.19 KISORO-CYANIKA-24h'!H49,'26.10 KISORO-CYANIKA'!H49,'27.10 KISORO-CYANIKA'!H49)</f>
        <v>0</v>
      </c>
      <c r="I49" s="49">
        <f>AVERAGE('25.10.19 KISORO-CYANIKA-24h'!I49,'26.10 KISORO-CYANIKA'!I49,'27.10 KISORO-CYANIKA'!I49)</f>
        <v>0.33333333333333331</v>
      </c>
      <c r="J49" s="49">
        <f>AVERAGE('25.10.19 KISORO-CYANIKA-24h'!J49,'26.10 KISORO-CYANIKA'!J49,'27.10 KISORO-CYANIKA'!J49)</f>
        <v>0.33333333333333331</v>
      </c>
      <c r="K49" s="49">
        <f>AVERAGE('25.10.19 KISORO-CYANIKA-24h'!K49,'26.10 KISORO-CYANIKA'!K49,'27.10 KISORO-CYANIKA'!K49)</f>
        <v>0</v>
      </c>
      <c r="L49" s="49">
        <f>AVERAGE('25.10.19 KISORO-CYANIKA-24h'!L49,'26.10 KISORO-CYANIKA'!L49,'27.10 KISORO-CYANIKA'!L49)</f>
        <v>0</v>
      </c>
      <c r="M49" s="49">
        <f>AVERAGE('25.10.19 KISORO-CYANIKA-24h'!M49,'26.10 KISORO-CYANIKA'!M49,'27.10 KISORO-CYANIKA'!M49)</f>
        <v>39.333333333333336</v>
      </c>
      <c r="N49" s="49">
        <f>AVERAGE('25.10.19 KISORO-CYANIKA-24h'!N49,'26.10 KISORO-CYANIKA'!N49,'27.10 KISORO-CYANIKA'!N49)</f>
        <v>0</v>
      </c>
      <c r="O49" s="15">
        <f t="shared" si="0"/>
        <v>6.333333333333333</v>
      </c>
      <c r="P49" s="15">
        <f t="shared" si="1"/>
        <v>45.666666666666671</v>
      </c>
      <c r="R49" s="8"/>
      <c r="T49"/>
    </row>
    <row r="50" spans="2:20" ht="23.1" customHeight="1" x14ac:dyDescent="0.25">
      <c r="B50" s="24" t="s">
        <v>77</v>
      </c>
      <c r="C50" s="49">
        <f>AVERAGE('25.10.19 KISORO-CYANIKA-24h'!C50,'26.10 KISORO-CYANIKA'!C50,'27.10 KISORO-CYANIKA'!C50)</f>
        <v>1.6666666666666667</v>
      </c>
      <c r="D50" s="49">
        <f>AVERAGE('25.10.19 KISORO-CYANIKA-24h'!D50,'26.10 KISORO-CYANIKA'!D50,'27.10 KISORO-CYANIKA'!D50)</f>
        <v>2</v>
      </c>
      <c r="E50" s="49">
        <f>AVERAGE('25.10.19 KISORO-CYANIKA-24h'!E50,'26.10 KISORO-CYANIKA'!E50,'27.10 KISORO-CYANIKA'!E50)</f>
        <v>1.3333333333333333</v>
      </c>
      <c r="F50" s="49">
        <f>AVERAGE('25.10.19 KISORO-CYANIKA-24h'!F50,'26.10 KISORO-CYANIKA'!F50,'27.10 KISORO-CYANIKA'!F50)</f>
        <v>0</v>
      </c>
      <c r="G50" s="49">
        <f>AVERAGE('25.10.19 KISORO-CYANIKA-24h'!G50,'26.10 KISORO-CYANIKA'!G50,'27.10 KISORO-CYANIKA'!G50)</f>
        <v>0</v>
      </c>
      <c r="H50" s="49">
        <f>AVERAGE('25.10.19 KISORO-CYANIKA-24h'!H50,'26.10 KISORO-CYANIKA'!H50,'27.10 KISORO-CYANIKA'!H50)</f>
        <v>0</v>
      </c>
      <c r="I50" s="49">
        <f>AVERAGE('25.10.19 KISORO-CYANIKA-24h'!I50,'26.10 KISORO-CYANIKA'!I50,'27.10 KISORO-CYANIKA'!I50)</f>
        <v>0.66666666666666663</v>
      </c>
      <c r="J50" s="49">
        <f>AVERAGE('25.10.19 KISORO-CYANIKA-24h'!J50,'26.10 KISORO-CYANIKA'!J50,'27.10 KISORO-CYANIKA'!J50)</f>
        <v>0.33333333333333331</v>
      </c>
      <c r="K50" s="49">
        <f>AVERAGE('25.10.19 KISORO-CYANIKA-24h'!K50,'26.10 KISORO-CYANIKA'!K50,'27.10 KISORO-CYANIKA'!K50)</f>
        <v>0</v>
      </c>
      <c r="L50" s="49">
        <f>AVERAGE('25.10.19 KISORO-CYANIKA-24h'!L50,'26.10 KISORO-CYANIKA'!L50,'27.10 KISORO-CYANIKA'!L50)</f>
        <v>0</v>
      </c>
      <c r="M50" s="49">
        <f>AVERAGE('25.10.19 KISORO-CYANIKA-24h'!M50,'26.10 KISORO-CYANIKA'!M50,'27.10 KISORO-CYANIKA'!M50)</f>
        <v>43</v>
      </c>
      <c r="N50" s="49">
        <f>AVERAGE('25.10.19 KISORO-CYANIKA-24h'!N50,'26.10 KISORO-CYANIKA'!N50,'27.10 KISORO-CYANIKA'!N50)</f>
        <v>0</v>
      </c>
      <c r="O50" s="15">
        <f t="shared" si="0"/>
        <v>6</v>
      </c>
      <c r="P50" s="15">
        <f t="shared" si="1"/>
        <v>49</v>
      </c>
      <c r="R50" s="8"/>
      <c r="T50"/>
    </row>
    <row r="51" spans="2:20" ht="23.1" customHeight="1" x14ac:dyDescent="0.25">
      <c r="B51" s="24" t="s">
        <v>78</v>
      </c>
      <c r="C51" s="49">
        <f>AVERAGE('25.10.19 KISORO-CYANIKA-24h'!C51,'26.10 KISORO-CYANIKA'!C51,'27.10 KISORO-CYANIKA'!C51)</f>
        <v>1.6666666666666667</v>
      </c>
      <c r="D51" s="49">
        <f>AVERAGE('25.10.19 KISORO-CYANIKA-24h'!D51,'26.10 KISORO-CYANIKA'!D51,'27.10 KISORO-CYANIKA'!D51)</f>
        <v>0.66666666666666663</v>
      </c>
      <c r="E51" s="49">
        <f>AVERAGE('25.10.19 KISORO-CYANIKA-24h'!E51,'26.10 KISORO-CYANIKA'!E51,'27.10 KISORO-CYANIKA'!E51)</f>
        <v>0.33333333333333331</v>
      </c>
      <c r="F51" s="49">
        <f>AVERAGE('25.10.19 KISORO-CYANIKA-24h'!F51,'26.10 KISORO-CYANIKA'!F51,'27.10 KISORO-CYANIKA'!F51)</f>
        <v>0.33333333333333331</v>
      </c>
      <c r="G51" s="49">
        <f>AVERAGE('25.10.19 KISORO-CYANIKA-24h'!G51,'26.10 KISORO-CYANIKA'!G51,'27.10 KISORO-CYANIKA'!G51)</f>
        <v>0</v>
      </c>
      <c r="H51" s="49">
        <f>AVERAGE('25.10.19 KISORO-CYANIKA-24h'!H51,'26.10 KISORO-CYANIKA'!H51,'27.10 KISORO-CYANIKA'!H51)</f>
        <v>0</v>
      </c>
      <c r="I51" s="49">
        <f>AVERAGE('25.10.19 KISORO-CYANIKA-24h'!I51,'26.10 KISORO-CYANIKA'!I51,'27.10 KISORO-CYANIKA'!I51)</f>
        <v>0.66666666666666663</v>
      </c>
      <c r="J51" s="49">
        <f>AVERAGE('25.10.19 KISORO-CYANIKA-24h'!J51,'26.10 KISORO-CYANIKA'!J51,'27.10 KISORO-CYANIKA'!J51)</f>
        <v>0</v>
      </c>
      <c r="K51" s="49">
        <f>AVERAGE('25.10.19 KISORO-CYANIKA-24h'!K51,'26.10 KISORO-CYANIKA'!K51,'27.10 KISORO-CYANIKA'!K51)</f>
        <v>0</v>
      </c>
      <c r="L51" s="49">
        <f>AVERAGE('25.10.19 KISORO-CYANIKA-24h'!L51,'26.10 KISORO-CYANIKA'!L51,'27.10 KISORO-CYANIKA'!L51)</f>
        <v>0</v>
      </c>
      <c r="M51" s="49">
        <f>AVERAGE('25.10.19 KISORO-CYANIKA-24h'!M51,'26.10 KISORO-CYANIKA'!M51,'27.10 KISORO-CYANIKA'!M51)</f>
        <v>39.333333333333336</v>
      </c>
      <c r="N51" s="49">
        <f>AVERAGE('25.10.19 KISORO-CYANIKA-24h'!N51,'26.10 KISORO-CYANIKA'!N51,'27.10 KISORO-CYANIKA'!N51)</f>
        <v>0</v>
      </c>
      <c r="O51" s="15">
        <f t="shared" si="0"/>
        <v>3.666666666666667</v>
      </c>
      <c r="P51" s="15">
        <f t="shared" si="1"/>
        <v>43</v>
      </c>
      <c r="R51" s="8"/>
      <c r="T51"/>
    </row>
    <row r="52" spans="2:20" ht="23.1" customHeight="1" x14ac:dyDescent="0.25">
      <c r="B52" s="24" t="s">
        <v>79</v>
      </c>
      <c r="C52" s="49">
        <f>AVERAGE('25.10.19 KISORO-CYANIKA-24h'!C52,'26.10 KISORO-CYANIKA'!C52,'27.10 KISORO-CYANIKA'!C52)</f>
        <v>1.6666666666666667</v>
      </c>
      <c r="D52" s="49">
        <f>AVERAGE('25.10.19 KISORO-CYANIKA-24h'!D52,'26.10 KISORO-CYANIKA'!D52,'27.10 KISORO-CYANIKA'!D52)</f>
        <v>0.33333333333333331</v>
      </c>
      <c r="E52" s="49">
        <f>AVERAGE('25.10.19 KISORO-CYANIKA-24h'!E52,'26.10 KISORO-CYANIKA'!E52,'27.10 KISORO-CYANIKA'!E52)</f>
        <v>0.66666666666666663</v>
      </c>
      <c r="F52" s="49">
        <f>AVERAGE('25.10.19 KISORO-CYANIKA-24h'!F52,'26.10 KISORO-CYANIKA'!F52,'27.10 KISORO-CYANIKA'!F52)</f>
        <v>0</v>
      </c>
      <c r="G52" s="49">
        <f>AVERAGE('25.10.19 KISORO-CYANIKA-24h'!G52,'26.10 KISORO-CYANIKA'!G52,'27.10 KISORO-CYANIKA'!G52)</f>
        <v>0</v>
      </c>
      <c r="H52" s="49">
        <f>AVERAGE('25.10.19 KISORO-CYANIKA-24h'!H52,'26.10 KISORO-CYANIKA'!H52,'27.10 KISORO-CYANIKA'!H52)</f>
        <v>0</v>
      </c>
      <c r="I52" s="49">
        <f>AVERAGE('25.10.19 KISORO-CYANIKA-24h'!I52,'26.10 KISORO-CYANIKA'!I52,'27.10 KISORO-CYANIKA'!I52)</f>
        <v>0.66666666666666663</v>
      </c>
      <c r="J52" s="49">
        <f>AVERAGE('25.10.19 KISORO-CYANIKA-24h'!J52,'26.10 KISORO-CYANIKA'!J52,'27.10 KISORO-CYANIKA'!J52)</f>
        <v>0.33333333333333331</v>
      </c>
      <c r="K52" s="49">
        <f>AVERAGE('25.10.19 KISORO-CYANIKA-24h'!K52,'26.10 KISORO-CYANIKA'!K52,'27.10 KISORO-CYANIKA'!K52)</f>
        <v>0</v>
      </c>
      <c r="L52" s="49">
        <f>AVERAGE('25.10.19 KISORO-CYANIKA-24h'!L52,'26.10 KISORO-CYANIKA'!L52,'27.10 KISORO-CYANIKA'!L52)</f>
        <v>0</v>
      </c>
      <c r="M52" s="49">
        <f>AVERAGE('25.10.19 KISORO-CYANIKA-24h'!M52,'26.10 KISORO-CYANIKA'!M52,'27.10 KISORO-CYANIKA'!M52)</f>
        <v>45</v>
      </c>
      <c r="N52" s="49">
        <f>AVERAGE('25.10.19 KISORO-CYANIKA-24h'!N52,'26.10 KISORO-CYANIKA'!N52,'27.10 KISORO-CYANIKA'!N52)</f>
        <v>0</v>
      </c>
      <c r="O52" s="15">
        <f t="shared" si="0"/>
        <v>3.6666666666666665</v>
      </c>
      <c r="P52" s="15">
        <f t="shared" si="1"/>
        <v>48.666666666666664</v>
      </c>
      <c r="R52" s="8"/>
      <c r="T52"/>
    </row>
    <row r="53" spans="2:20" ht="23.1" customHeight="1" x14ac:dyDescent="0.25">
      <c r="B53" s="23" t="s">
        <v>80</v>
      </c>
      <c r="C53" s="49">
        <f>AVERAGE('25.10.19 KISORO-CYANIKA-24h'!C53,'26.10 KISORO-CYANIKA'!C53,'27.10 KISORO-CYANIKA'!C53)</f>
        <v>2.6666666666666665</v>
      </c>
      <c r="D53" s="49">
        <f>AVERAGE('25.10.19 KISORO-CYANIKA-24h'!D53,'26.10 KISORO-CYANIKA'!D53,'27.10 KISORO-CYANIKA'!D53)</f>
        <v>1</v>
      </c>
      <c r="E53" s="49">
        <f>AVERAGE('25.10.19 KISORO-CYANIKA-24h'!E53,'26.10 KISORO-CYANIKA'!E53,'27.10 KISORO-CYANIKA'!E53)</f>
        <v>1.6666666666666667</v>
      </c>
      <c r="F53" s="49">
        <f>AVERAGE('25.10.19 KISORO-CYANIKA-24h'!F53,'26.10 KISORO-CYANIKA'!F53,'27.10 KISORO-CYANIKA'!F53)</f>
        <v>0</v>
      </c>
      <c r="G53" s="49">
        <f>AVERAGE('25.10.19 KISORO-CYANIKA-24h'!G53,'26.10 KISORO-CYANIKA'!G53,'27.10 KISORO-CYANIKA'!G53)</f>
        <v>0</v>
      </c>
      <c r="H53" s="49">
        <f>AVERAGE('25.10.19 KISORO-CYANIKA-24h'!H53,'26.10 KISORO-CYANIKA'!H53,'27.10 KISORO-CYANIKA'!H53)</f>
        <v>0</v>
      </c>
      <c r="I53" s="49">
        <f>AVERAGE('25.10.19 KISORO-CYANIKA-24h'!I53,'26.10 KISORO-CYANIKA'!I53,'27.10 KISORO-CYANIKA'!I53)</f>
        <v>0</v>
      </c>
      <c r="J53" s="49">
        <f>AVERAGE('25.10.19 KISORO-CYANIKA-24h'!J53,'26.10 KISORO-CYANIKA'!J53,'27.10 KISORO-CYANIKA'!J53)</f>
        <v>0.33333333333333331</v>
      </c>
      <c r="K53" s="49">
        <f>AVERAGE('25.10.19 KISORO-CYANIKA-24h'!K53,'26.10 KISORO-CYANIKA'!K53,'27.10 KISORO-CYANIKA'!K53)</f>
        <v>0</v>
      </c>
      <c r="L53" s="49">
        <f>AVERAGE('25.10.19 KISORO-CYANIKA-24h'!L53,'26.10 KISORO-CYANIKA'!L53,'27.10 KISORO-CYANIKA'!L53)</f>
        <v>0</v>
      </c>
      <c r="M53" s="49">
        <f>AVERAGE('25.10.19 KISORO-CYANIKA-24h'!M53,'26.10 KISORO-CYANIKA'!M53,'27.10 KISORO-CYANIKA'!M53)</f>
        <v>51</v>
      </c>
      <c r="N53" s="49">
        <f>AVERAGE('25.10.19 KISORO-CYANIKA-24h'!N53,'26.10 KISORO-CYANIKA'!N53,'27.10 KISORO-CYANIKA'!N53)</f>
        <v>0</v>
      </c>
      <c r="O53" s="15">
        <f t="shared" si="0"/>
        <v>5.6666666666666661</v>
      </c>
      <c r="P53" s="15">
        <f t="shared" si="1"/>
        <v>56.666666666666664</v>
      </c>
      <c r="R53" s="8"/>
      <c r="T53"/>
    </row>
    <row r="54" spans="2:20" ht="23.1" customHeight="1" x14ac:dyDescent="0.25">
      <c r="B54" s="23" t="s">
        <v>81</v>
      </c>
      <c r="C54" s="49">
        <f>AVERAGE('25.10.19 KISORO-CYANIKA-24h'!C54,'26.10 KISORO-CYANIKA'!C54,'27.10 KISORO-CYANIKA'!C54)</f>
        <v>2.6666666666666665</v>
      </c>
      <c r="D54" s="49">
        <f>AVERAGE('25.10.19 KISORO-CYANIKA-24h'!D54,'26.10 KISORO-CYANIKA'!D54,'27.10 KISORO-CYANIKA'!D54)</f>
        <v>1.6666666666666667</v>
      </c>
      <c r="E54" s="49">
        <f>AVERAGE('25.10.19 KISORO-CYANIKA-24h'!E54,'26.10 KISORO-CYANIKA'!E54,'27.10 KISORO-CYANIKA'!E54)</f>
        <v>1</v>
      </c>
      <c r="F54" s="49">
        <f>AVERAGE('25.10.19 KISORO-CYANIKA-24h'!F54,'26.10 KISORO-CYANIKA'!F54,'27.10 KISORO-CYANIKA'!F54)</f>
        <v>0</v>
      </c>
      <c r="G54" s="49">
        <f>AVERAGE('25.10.19 KISORO-CYANIKA-24h'!G54,'26.10 KISORO-CYANIKA'!G54,'27.10 KISORO-CYANIKA'!G54)</f>
        <v>0</v>
      </c>
      <c r="H54" s="49">
        <f>AVERAGE('25.10.19 KISORO-CYANIKA-24h'!H54,'26.10 KISORO-CYANIKA'!H54,'27.10 KISORO-CYANIKA'!H54)</f>
        <v>0</v>
      </c>
      <c r="I54" s="49">
        <f>AVERAGE('25.10.19 KISORO-CYANIKA-24h'!I54,'26.10 KISORO-CYANIKA'!I54,'27.10 KISORO-CYANIKA'!I54)</f>
        <v>1</v>
      </c>
      <c r="J54" s="49">
        <f>AVERAGE('25.10.19 KISORO-CYANIKA-24h'!J54,'26.10 KISORO-CYANIKA'!J54,'27.10 KISORO-CYANIKA'!J54)</f>
        <v>0</v>
      </c>
      <c r="K54" s="49">
        <f>AVERAGE('25.10.19 KISORO-CYANIKA-24h'!K54,'26.10 KISORO-CYANIKA'!K54,'27.10 KISORO-CYANIKA'!K54)</f>
        <v>0</v>
      </c>
      <c r="L54" s="49">
        <f>AVERAGE('25.10.19 KISORO-CYANIKA-24h'!L54,'26.10 KISORO-CYANIKA'!L54,'27.10 KISORO-CYANIKA'!L54)</f>
        <v>0</v>
      </c>
      <c r="M54" s="49">
        <f>AVERAGE('25.10.19 KISORO-CYANIKA-24h'!M54,'26.10 KISORO-CYANIKA'!M54,'27.10 KISORO-CYANIKA'!M54)</f>
        <v>46.333333333333336</v>
      </c>
      <c r="N54" s="49">
        <f>AVERAGE('25.10.19 KISORO-CYANIKA-24h'!N54,'26.10 KISORO-CYANIKA'!N54,'27.10 KISORO-CYANIKA'!N54)</f>
        <v>0</v>
      </c>
      <c r="O54" s="15">
        <f t="shared" si="0"/>
        <v>6.333333333333333</v>
      </c>
      <c r="P54" s="15">
        <f t="shared" si="1"/>
        <v>52.666666666666671</v>
      </c>
      <c r="R54" s="8"/>
      <c r="T54"/>
    </row>
    <row r="55" spans="2:20" ht="23.1" customHeight="1" x14ac:dyDescent="0.25">
      <c r="B55" s="23" t="s">
        <v>82</v>
      </c>
      <c r="C55" s="49">
        <f>AVERAGE('25.10.19 KISORO-CYANIKA-24h'!C55,'26.10 KISORO-CYANIKA'!C55,'27.10 KISORO-CYANIKA'!C55)</f>
        <v>3</v>
      </c>
      <c r="D55" s="49">
        <f>AVERAGE('25.10.19 KISORO-CYANIKA-24h'!D55,'26.10 KISORO-CYANIKA'!D55,'27.10 KISORO-CYANIKA'!D55)</f>
        <v>2</v>
      </c>
      <c r="E55" s="49">
        <f>AVERAGE('25.10.19 KISORO-CYANIKA-24h'!E55,'26.10 KISORO-CYANIKA'!E55,'27.10 KISORO-CYANIKA'!E55)</f>
        <v>1.3333333333333333</v>
      </c>
      <c r="F55" s="49">
        <f>AVERAGE('25.10.19 KISORO-CYANIKA-24h'!F55,'26.10 KISORO-CYANIKA'!F55,'27.10 KISORO-CYANIKA'!F55)</f>
        <v>0</v>
      </c>
      <c r="G55" s="49">
        <f>AVERAGE('25.10.19 KISORO-CYANIKA-24h'!G55,'26.10 KISORO-CYANIKA'!G55,'27.10 KISORO-CYANIKA'!G55)</f>
        <v>0</v>
      </c>
      <c r="H55" s="49">
        <f>AVERAGE('25.10.19 KISORO-CYANIKA-24h'!H55,'26.10 KISORO-CYANIKA'!H55,'27.10 KISORO-CYANIKA'!H55)</f>
        <v>0</v>
      </c>
      <c r="I55" s="49">
        <f>AVERAGE('25.10.19 KISORO-CYANIKA-24h'!I55,'26.10 KISORO-CYANIKA'!I55,'27.10 KISORO-CYANIKA'!I55)</f>
        <v>0.33333333333333331</v>
      </c>
      <c r="J55" s="49">
        <f>AVERAGE('25.10.19 KISORO-CYANIKA-24h'!J55,'26.10 KISORO-CYANIKA'!J55,'27.10 KISORO-CYANIKA'!J55)</f>
        <v>0.66666666666666663</v>
      </c>
      <c r="K55" s="49">
        <f>AVERAGE('25.10.19 KISORO-CYANIKA-24h'!K55,'26.10 KISORO-CYANIKA'!K55,'27.10 KISORO-CYANIKA'!K55)</f>
        <v>0</v>
      </c>
      <c r="L55" s="49">
        <f>AVERAGE('25.10.19 KISORO-CYANIKA-24h'!L55,'26.10 KISORO-CYANIKA'!L55,'27.10 KISORO-CYANIKA'!L55)</f>
        <v>0</v>
      </c>
      <c r="M55" s="49">
        <f>AVERAGE('25.10.19 KISORO-CYANIKA-24h'!M55,'26.10 KISORO-CYANIKA'!M55,'27.10 KISORO-CYANIKA'!M55)</f>
        <v>41.333333333333336</v>
      </c>
      <c r="N55" s="49">
        <f>AVERAGE('25.10.19 KISORO-CYANIKA-24h'!N55,'26.10 KISORO-CYANIKA'!N55,'27.10 KISORO-CYANIKA'!N55)</f>
        <v>0</v>
      </c>
      <c r="O55" s="15">
        <f t="shared" si="0"/>
        <v>7.333333333333333</v>
      </c>
      <c r="P55" s="15">
        <f t="shared" si="1"/>
        <v>48.666666666666671</v>
      </c>
      <c r="R55" s="8"/>
      <c r="T55"/>
    </row>
    <row r="56" spans="2:20" ht="23.1" customHeight="1" x14ac:dyDescent="0.25">
      <c r="B56" s="23" t="s">
        <v>83</v>
      </c>
      <c r="C56" s="49">
        <f>AVERAGE('25.10.19 KISORO-CYANIKA-24h'!C56,'26.10 KISORO-CYANIKA'!C56,'27.10 KISORO-CYANIKA'!C56)</f>
        <v>2</v>
      </c>
      <c r="D56" s="49">
        <f>AVERAGE('25.10.19 KISORO-CYANIKA-24h'!D56,'26.10 KISORO-CYANIKA'!D56,'27.10 KISORO-CYANIKA'!D56)</f>
        <v>1</v>
      </c>
      <c r="E56" s="49">
        <f>AVERAGE('25.10.19 KISORO-CYANIKA-24h'!E56,'26.10 KISORO-CYANIKA'!E56,'27.10 KISORO-CYANIKA'!E56)</f>
        <v>1.3333333333333333</v>
      </c>
      <c r="F56" s="49">
        <f>AVERAGE('25.10.19 KISORO-CYANIKA-24h'!F56,'26.10 KISORO-CYANIKA'!F56,'27.10 KISORO-CYANIKA'!F56)</f>
        <v>0.33333333333333331</v>
      </c>
      <c r="G56" s="49">
        <f>AVERAGE('25.10.19 KISORO-CYANIKA-24h'!G56,'26.10 KISORO-CYANIKA'!G56,'27.10 KISORO-CYANIKA'!G56)</f>
        <v>0</v>
      </c>
      <c r="H56" s="49">
        <f>AVERAGE('25.10.19 KISORO-CYANIKA-24h'!H56,'26.10 KISORO-CYANIKA'!H56,'27.10 KISORO-CYANIKA'!H56)</f>
        <v>0</v>
      </c>
      <c r="I56" s="49">
        <f>AVERAGE('25.10.19 KISORO-CYANIKA-24h'!I56,'26.10 KISORO-CYANIKA'!I56,'27.10 KISORO-CYANIKA'!I56)</f>
        <v>0.33333333333333331</v>
      </c>
      <c r="J56" s="49">
        <f>AVERAGE('25.10.19 KISORO-CYANIKA-24h'!J56,'26.10 KISORO-CYANIKA'!J56,'27.10 KISORO-CYANIKA'!J56)</f>
        <v>0.66666666666666663</v>
      </c>
      <c r="K56" s="49">
        <f>AVERAGE('25.10.19 KISORO-CYANIKA-24h'!K56,'26.10 KISORO-CYANIKA'!K56,'27.10 KISORO-CYANIKA'!K56)</f>
        <v>0</v>
      </c>
      <c r="L56" s="49">
        <f>AVERAGE('25.10.19 KISORO-CYANIKA-24h'!L56,'26.10 KISORO-CYANIKA'!L56,'27.10 KISORO-CYANIKA'!L56)</f>
        <v>0</v>
      </c>
      <c r="M56" s="49">
        <f>AVERAGE('25.10.19 KISORO-CYANIKA-24h'!M56,'26.10 KISORO-CYANIKA'!M56,'27.10 KISORO-CYANIKA'!M56)</f>
        <v>42</v>
      </c>
      <c r="N56" s="49">
        <f>AVERAGE('25.10.19 KISORO-CYANIKA-24h'!N56,'26.10 KISORO-CYANIKA'!N56,'27.10 KISORO-CYANIKA'!N56)</f>
        <v>0</v>
      </c>
      <c r="O56" s="15">
        <f t="shared" si="0"/>
        <v>5.6666666666666661</v>
      </c>
      <c r="P56" s="15">
        <f t="shared" si="1"/>
        <v>47.666666666666664</v>
      </c>
      <c r="R56" s="8"/>
      <c r="T56"/>
    </row>
    <row r="57" spans="2:20" ht="23.1" customHeight="1" x14ac:dyDescent="0.25">
      <c r="B57" s="23" t="s">
        <v>84</v>
      </c>
      <c r="C57" s="49">
        <f>AVERAGE('25.10.19 KISORO-CYANIKA-24h'!C57,'26.10 KISORO-CYANIKA'!C57,'27.10 KISORO-CYANIKA'!C57)</f>
        <v>3.3333333333333335</v>
      </c>
      <c r="D57" s="49">
        <f>AVERAGE('25.10.19 KISORO-CYANIKA-24h'!D57,'26.10 KISORO-CYANIKA'!D57,'27.10 KISORO-CYANIKA'!D57)</f>
        <v>1.3333333333333333</v>
      </c>
      <c r="E57" s="49">
        <f>AVERAGE('25.10.19 KISORO-CYANIKA-24h'!E57,'26.10 KISORO-CYANIKA'!E57,'27.10 KISORO-CYANIKA'!E57)</f>
        <v>1</v>
      </c>
      <c r="F57" s="49">
        <f>AVERAGE('25.10.19 KISORO-CYANIKA-24h'!F57,'26.10 KISORO-CYANIKA'!F57,'27.10 KISORO-CYANIKA'!F57)</f>
        <v>0.33333333333333331</v>
      </c>
      <c r="G57" s="49">
        <f>AVERAGE('25.10.19 KISORO-CYANIKA-24h'!G57,'26.10 KISORO-CYANIKA'!G57,'27.10 KISORO-CYANIKA'!G57)</f>
        <v>0</v>
      </c>
      <c r="H57" s="49">
        <f>AVERAGE('25.10.19 KISORO-CYANIKA-24h'!H57,'26.10 KISORO-CYANIKA'!H57,'27.10 KISORO-CYANIKA'!H57)</f>
        <v>0</v>
      </c>
      <c r="I57" s="49">
        <f>AVERAGE('25.10.19 KISORO-CYANIKA-24h'!I57,'26.10 KISORO-CYANIKA'!I57,'27.10 KISORO-CYANIKA'!I57)</f>
        <v>0</v>
      </c>
      <c r="J57" s="49">
        <f>AVERAGE('25.10.19 KISORO-CYANIKA-24h'!J57,'26.10 KISORO-CYANIKA'!J57,'27.10 KISORO-CYANIKA'!J57)</f>
        <v>0.33333333333333331</v>
      </c>
      <c r="K57" s="49">
        <f>AVERAGE('25.10.19 KISORO-CYANIKA-24h'!K57,'26.10 KISORO-CYANIKA'!K57,'27.10 KISORO-CYANIKA'!K57)</f>
        <v>0</v>
      </c>
      <c r="L57" s="49">
        <f>AVERAGE('25.10.19 KISORO-CYANIKA-24h'!L57,'26.10 KISORO-CYANIKA'!L57,'27.10 KISORO-CYANIKA'!L57)</f>
        <v>0</v>
      </c>
      <c r="M57" s="49">
        <f>AVERAGE('25.10.19 KISORO-CYANIKA-24h'!M57,'26.10 KISORO-CYANIKA'!M57,'27.10 KISORO-CYANIKA'!M57)</f>
        <v>51</v>
      </c>
      <c r="N57" s="49">
        <f>AVERAGE('25.10.19 KISORO-CYANIKA-24h'!N57,'26.10 KISORO-CYANIKA'!N57,'27.10 KISORO-CYANIKA'!N57)</f>
        <v>0</v>
      </c>
      <c r="O57" s="15">
        <f t="shared" si="0"/>
        <v>6.333333333333333</v>
      </c>
      <c r="P57" s="15">
        <f t="shared" si="1"/>
        <v>57.333333333333336</v>
      </c>
      <c r="R57" s="8"/>
      <c r="T57"/>
    </row>
    <row r="58" spans="2:20" ht="23.1" customHeight="1" x14ac:dyDescent="0.25">
      <c r="B58" s="23" t="s">
        <v>99</v>
      </c>
      <c r="C58" s="49">
        <f>AVERAGE('25.10.19 KISORO-CYANIKA-24h'!C58)</f>
        <v>3</v>
      </c>
      <c r="D58" s="49">
        <f>AVERAGE('25.10.19 KISORO-CYANIKA-24h'!D58)</f>
        <v>0</v>
      </c>
      <c r="E58" s="49">
        <f>AVERAGE('25.10.19 KISORO-CYANIKA-24h'!E58)</f>
        <v>2</v>
      </c>
      <c r="F58" s="49">
        <f>AVERAGE('25.10.19 KISORO-CYANIKA-24h'!F58)</f>
        <v>0</v>
      </c>
      <c r="G58" s="49">
        <f>AVERAGE('25.10.19 KISORO-CYANIKA-24h'!G58)</f>
        <v>0</v>
      </c>
      <c r="H58" s="49">
        <f>AVERAGE('25.10.19 KISORO-CYANIKA-24h'!H58)</f>
        <v>0</v>
      </c>
      <c r="I58" s="49">
        <f>AVERAGE('25.10.19 KISORO-CYANIKA-24h'!I58)</f>
        <v>1</v>
      </c>
      <c r="J58" s="49">
        <f>AVERAGE('25.10.19 KISORO-CYANIKA-24h'!J58)</f>
        <v>0</v>
      </c>
      <c r="K58" s="49">
        <f>AVERAGE('25.10.19 KISORO-CYANIKA-24h'!K58)</f>
        <v>0</v>
      </c>
      <c r="L58" s="49">
        <f>AVERAGE('25.10.19 KISORO-CYANIKA-24h'!L58)</f>
        <v>0</v>
      </c>
      <c r="M58" s="49">
        <f>AVERAGE('25.10.19 KISORO-CYANIKA-24h'!M58)</f>
        <v>54</v>
      </c>
      <c r="N58" s="49">
        <f>AVERAGE('25.10.19 KISORO-CYANIKA-24h'!N58)</f>
        <v>0</v>
      </c>
      <c r="O58" s="15">
        <f t="shared" si="0"/>
        <v>6</v>
      </c>
      <c r="P58" s="15">
        <f t="shared" si="1"/>
        <v>60</v>
      </c>
      <c r="R58" s="8"/>
      <c r="T58"/>
    </row>
    <row r="59" spans="2:20" ht="23.1" customHeight="1" x14ac:dyDescent="0.25">
      <c r="B59" s="23" t="s">
        <v>100</v>
      </c>
      <c r="C59" s="49">
        <f>AVERAGE('25.10.19 KISORO-CYANIKA-24h'!C59)</f>
        <v>5</v>
      </c>
      <c r="D59" s="49">
        <f>AVERAGE('25.10.19 KISORO-CYANIKA-24h'!D59)</f>
        <v>0</v>
      </c>
      <c r="E59" s="49">
        <f>AVERAGE('25.10.19 KISORO-CYANIKA-24h'!E59)</f>
        <v>1</v>
      </c>
      <c r="F59" s="49">
        <f>AVERAGE('25.10.19 KISORO-CYANIKA-24h'!F59)</f>
        <v>1</v>
      </c>
      <c r="G59" s="49">
        <f>AVERAGE('25.10.19 KISORO-CYANIKA-24h'!G59)</f>
        <v>0</v>
      </c>
      <c r="H59" s="49">
        <f>AVERAGE('25.10.19 KISORO-CYANIKA-24h'!H59)</f>
        <v>0</v>
      </c>
      <c r="I59" s="49">
        <f>AVERAGE('25.10.19 KISORO-CYANIKA-24h'!I59)</f>
        <v>2</v>
      </c>
      <c r="J59" s="49">
        <f>AVERAGE('25.10.19 KISORO-CYANIKA-24h'!J59)</f>
        <v>0</v>
      </c>
      <c r="K59" s="49">
        <f>AVERAGE('25.10.19 KISORO-CYANIKA-24h'!K59)</f>
        <v>0</v>
      </c>
      <c r="L59" s="49">
        <f>AVERAGE('25.10.19 KISORO-CYANIKA-24h'!L59)</f>
        <v>0</v>
      </c>
      <c r="M59" s="49">
        <f>AVERAGE('25.10.19 KISORO-CYANIKA-24h'!M59)</f>
        <v>60</v>
      </c>
      <c r="N59" s="49">
        <f>AVERAGE('25.10.19 KISORO-CYANIKA-24h'!N59)</f>
        <v>0</v>
      </c>
      <c r="O59" s="15">
        <f t="shared" si="0"/>
        <v>9</v>
      </c>
      <c r="P59" s="15">
        <f t="shared" si="1"/>
        <v>69</v>
      </c>
      <c r="R59" s="8"/>
      <c r="T59"/>
    </row>
    <row r="60" spans="2:20" ht="23.1" customHeight="1" x14ac:dyDescent="0.25">
      <c r="B60" s="23" t="s">
        <v>101</v>
      </c>
      <c r="C60" s="49">
        <f>AVERAGE('25.10.19 KISORO-CYANIKA-24h'!C60)</f>
        <v>2</v>
      </c>
      <c r="D60" s="49">
        <f>AVERAGE('25.10.19 KISORO-CYANIKA-24h'!D60)</f>
        <v>0</v>
      </c>
      <c r="E60" s="49">
        <f>AVERAGE('25.10.19 KISORO-CYANIKA-24h'!E60)</f>
        <v>2</v>
      </c>
      <c r="F60" s="49">
        <f>AVERAGE('25.10.19 KISORO-CYANIKA-24h'!F60)</f>
        <v>0</v>
      </c>
      <c r="G60" s="49">
        <f>AVERAGE('25.10.19 KISORO-CYANIKA-24h'!G60)</f>
        <v>0</v>
      </c>
      <c r="H60" s="49">
        <f>AVERAGE('25.10.19 KISORO-CYANIKA-24h'!H60)</f>
        <v>0</v>
      </c>
      <c r="I60" s="49">
        <f>AVERAGE('25.10.19 KISORO-CYANIKA-24h'!I60)</f>
        <v>0</v>
      </c>
      <c r="J60" s="49">
        <f>AVERAGE('25.10.19 KISORO-CYANIKA-24h'!J60)</f>
        <v>0</v>
      </c>
      <c r="K60" s="49">
        <f>AVERAGE('25.10.19 KISORO-CYANIKA-24h'!K60)</f>
        <v>0</v>
      </c>
      <c r="L60" s="49">
        <f>AVERAGE('25.10.19 KISORO-CYANIKA-24h'!L60)</f>
        <v>0</v>
      </c>
      <c r="M60" s="49">
        <f>AVERAGE('25.10.19 KISORO-CYANIKA-24h'!M60)</f>
        <v>55</v>
      </c>
      <c r="N60" s="49">
        <f>AVERAGE('25.10.19 KISORO-CYANIKA-24h'!N60)</f>
        <v>0</v>
      </c>
      <c r="O60" s="15">
        <f t="shared" si="0"/>
        <v>4</v>
      </c>
      <c r="P60" s="15">
        <f t="shared" si="1"/>
        <v>59</v>
      </c>
      <c r="R60" s="8"/>
      <c r="T60"/>
    </row>
    <row r="61" spans="2:20" ht="23.1" customHeight="1" x14ac:dyDescent="0.25">
      <c r="B61" s="23" t="s">
        <v>102</v>
      </c>
      <c r="C61" s="49">
        <f>AVERAGE('25.10.19 KISORO-CYANIKA-24h'!C61)</f>
        <v>6</v>
      </c>
      <c r="D61" s="49">
        <f>AVERAGE('25.10.19 KISORO-CYANIKA-24h'!D61)</f>
        <v>3</v>
      </c>
      <c r="E61" s="49">
        <f>AVERAGE('25.10.19 KISORO-CYANIKA-24h'!E61)</f>
        <v>0</v>
      </c>
      <c r="F61" s="49">
        <f>AVERAGE('25.10.19 KISORO-CYANIKA-24h'!F61)</f>
        <v>0</v>
      </c>
      <c r="G61" s="49">
        <f>AVERAGE('25.10.19 KISORO-CYANIKA-24h'!G61)</f>
        <v>0</v>
      </c>
      <c r="H61" s="49">
        <f>AVERAGE('25.10.19 KISORO-CYANIKA-24h'!H61)</f>
        <v>0</v>
      </c>
      <c r="I61" s="49">
        <f>AVERAGE('25.10.19 KISORO-CYANIKA-24h'!I61)</f>
        <v>1</v>
      </c>
      <c r="J61" s="49">
        <f>AVERAGE('25.10.19 KISORO-CYANIKA-24h'!J61)</f>
        <v>2</v>
      </c>
      <c r="K61" s="49">
        <f>AVERAGE('25.10.19 KISORO-CYANIKA-24h'!K61)</f>
        <v>0</v>
      </c>
      <c r="L61" s="49">
        <f>AVERAGE('25.10.19 KISORO-CYANIKA-24h'!L61)</f>
        <v>0</v>
      </c>
      <c r="M61" s="49">
        <f>AVERAGE('25.10.19 KISORO-CYANIKA-24h'!M61)</f>
        <v>43</v>
      </c>
      <c r="N61" s="49">
        <f>AVERAGE('25.10.19 KISORO-CYANIKA-24h'!N61)</f>
        <v>0</v>
      </c>
      <c r="O61" s="15">
        <f t="shared" si="0"/>
        <v>12</v>
      </c>
      <c r="P61" s="15">
        <f t="shared" si="1"/>
        <v>55</v>
      </c>
      <c r="R61" s="8"/>
      <c r="T61"/>
    </row>
    <row r="62" spans="2:20" ht="23.1" customHeight="1" x14ac:dyDescent="0.25">
      <c r="B62" s="23" t="s">
        <v>107</v>
      </c>
      <c r="C62" s="49">
        <f>AVERAGE('25.10.19 KISORO-CYANIKA-24h'!C62)</f>
        <v>3</v>
      </c>
      <c r="D62" s="49">
        <f>AVERAGE('25.10.19 KISORO-CYANIKA-24h'!D62)</f>
        <v>0</v>
      </c>
      <c r="E62" s="49">
        <f>AVERAGE('25.10.19 KISORO-CYANIKA-24h'!E62)</f>
        <v>0</v>
      </c>
      <c r="F62" s="49">
        <f>AVERAGE('25.10.19 KISORO-CYANIKA-24h'!F62)</f>
        <v>0</v>
      </c>
      <c r="G62" s="49">
        <f>AVERAGE('25.10.19 KISORO-CYANIKA-24h'!G62)</f>
        <v>0</v>
      </c>
      <c r="H62" s="49">
        <f>AVERAGE('25.10.19 KISORO-CYANIKA-24h'!H62)</f>
        <v>0</v>
      </c>
      <c r="I62" s="49">
        <f>AVERAGE('25.10.19 KISORO-CYANIKA-24h'!I62)</f>
        <v>0</v>
      </c>
      <c r="J62" s="49">
        <f>AVERAGE('25.10.19 KISORO-CYANIKA-24h'!J62)</f>
        <v>0</v>
      </c>
      <c r="K62" s="49">
        <f>AVERAGE('25.10.19 KISORO-CYANIKA-24h'!K62)</f>
        <v>0</v>
      </c>
      <c r="L62" s="49">
        <f>AVERAGE('25.10.19 KISORO-CYANIKA-24h'!L62)</f>
        <v>0</v>
      </c>
      <c r="M62" s="49">
        <f>AVERAGE('25.10.19 KISORO-CYANIKA-24h'!M62)</f>
        <v>36</v>
      </c>
      <c r="N62" s="49">
        <f>AVERAGE('25.10.19 KISORO-CYANIKA-24h'!N62)</f>
        <v>0</v>
      </c>
      <c r="O62" s="15">
        <f t="shared" si="0"/>
        <v>3</v>
      </c>
      <c r="P62" s="15">
        <f t="shared" si="1"/>
        <v>39</v>
      </c>
      <c r="R62" s="8"/>
      <c r="T62"/>
    </row>
    <row r="63" spans="2:20" ht="23.1" customHeight="1" x14ac:dyDescent="0.25">
      <c r="B63" s="23" t="s">
        <v>108</v>
      </c>
      <c r="C63" s="49">
        <f>AVERAGE('25.10.19 KISORO-CYANIKA-24h'!C63)</f>
        <v>5</v>
      </c>
      <c r="D63" s="49">
        <f>AVERAGE('25.10.19 KISORO-CYANIKA-24h'!D63)</f>
        <v>0</v>
      </c>
      <c r="E63" s="49">
        <f>AVERAGE('25.10.19 KISORO-CYANIKA-24h'!E63)</f>
        <v>2</v>
      </c>
      <c r="F63" s="49">
        <f>AVERAGE('25.10.19 KISORO-CYANIKA-24h'!F63)</f>
        <v>1</v>
      </c>
      <c r="G63" s="49">
        <f>AVERAGE('25.10.19 KISORO-CYANIKA-24h'!G63)</f>
        <v>0</v>
      </c>
      <c r="H63" s="49">
        <f>AVERAGE('25.10.19 KISORO-CYANIKA-24h'!H63)</f>
        <v>0</v>
      </c>
      <c r="I63" s="49">
        <f>AVERAGE('25.10.19 KISORO-CYANIKA-24h'!I63)</f>
        <v>0</v>
      </c>
      <c r="J63" s="49">
        <f>AVERAGE('25.10.19 KISORO-CYANIKA-24h'!J63)</f>
        <v>0</v>
      </c>
      <c r="K63" s="49">
        <f>AVERAGE('25.10.19 KISORO-CYANIKA-24h'!K63)</f>
        <v>0</v>
      </c>
      <c r="L63" s="49">
        <f>AVERAGE('25.10.19 KISORO-CYANIKA-24h'!L63)</f>
        <v>0</v>
      </c>
      <c r="M63" s="49">
        <f>AVERAGE('25.10.19 KISORO-CYANIKA-24h'!M63)</f>
        <v>26</v>
      </c>
      <c r="N63" s="49">
        <f>AVERAGE('25.10.19 KISORO-CYANIKA-24h'!N63)</f>
        <v>0</v>
      </c>
      <c r="O63" s="15">
        <f t="shared" si="0"/>
        <v>8</v>
      </c>
      <c r="P63" s="15">
        <f t="shared" si="1"/>
        <v>34</v>
      </c>
      <c r="R63" s="8"/>
      <c r="T63"/>
    </row>
    <row r="64" spans="2:20" ht="23.1" customHeight="1" x14ac:dyDescent="0.25">
      <c r="B64" s="23" t="s">
        <v>109</v>
      </c>
      <c r="C64" s="49">
        <f>AVERAGE('25.10.19 KISORO-CYANIKA-24h'!C64)</f>
        <v>2</v>
      </c>
      <c r="D64" s="49">
        <f>AVERAGE('25.10.19 KISORO-CYANIKA-24h'!D64)</f>
        <v>1</v>
      </c>
      <c r="E64" s="49">
        <f>AVERAGE('25.10.19 KISORO-CYANIKA-24h'!E64)</f>
        <v>1</v>
      </c>
      <c r="F64" s="49">
        <f>AVERAGE('25.10.19 KISORO-CYANIKA-24h'!F64)</f>
        <v>0</v>
      </c>
      <c r="G64" s="49">
        <f>AVERAGE('25.10.19 KISORO-CYANIKA-24h'!G64)</f>
        <v>0</v>
      </c>
      <c r="H64" s="49">
        <f>AVERAGE('25.10.19 KISORO-CYANIKA-24h'!H64)</f>
        <v>0</v>
      </c>
      <c r="I64" s="49">
        <f>AVERAGE('25.10.19 KISORO-CYANIKA-24h'!I64)</f>
        <v>0</v>
      </c>
      <c r="J64" s="49">
        <f>AVERAGE('25.10.19 KISORO-CYANIKA-24h'!J64)</f>
        <v>0</v>
      </c>
      <c r="K64" s="49">
        <f>AVERAGE('25.10.19 KISORO-CYANIKA-24h'!K64)</f>
        <v>0</v>
      </c>
      <c r="L64" s="49">
        <f>AVERAGE('25.10.19 KISORO-CYANIKA-24h'!L64)</f>
        <v>0</v>
      </c>
      <c r="M64" s="49">
        <f>AVERAGE('25.10.19 KISORO-CYANIKA-24h'!M64)</f>
        <v>20</v>
      </c>
      <c r="N64" s="49">
        <f>AVERAGE('25.10.19 KISORO-CYANIKA-24h'!N64)</f>
        <v>0</v>
      </c>
      <c r="O64" s="15">
        <f t="shared" si="0"/>
        <v>4</v>
      </c>
      <c r="P64" s="15">
        <f t="shared" si="1"/>
        <v>24</v>
      </c>
      <c r="R64" s="8"/>
      <c r="T64"/>
    </row>
    <row r="65" spans="2:20" ht="23.1" customHeight="1" x14ac:dyDescent="0.25">
      <c r="B65" s="23" t="s">
        <v>158</v>
      </c>
      <c r="C65" s="49">
        <f>AVERAGE('25.10.19 KISORO-CYANIKA-24h'!C65)</f>
        <v>3</v>
      </c>
      <c r="D65" s="49">
        <f>AVERAGE('25.10.19 KISORO-CYANIKA-24h'!D65)</f>
        <v>0</v>
      </c>
      <c r="E65" s="49">
        <f>AVERAGE('25.10.19 KISORO-CYANIKA-24h'!E65)</f>
        <v>0</v>
      </c>
      <c r="F65" s="49">
        <f>AVERAGE('25.10.19 KISORO-CYANIKA-24h'!F65)</f>
        <v>0</v>
      </c>
      <c r="G65" s="49">
        <f>AVERAGE('25.10.19 KISORO-CYANIKA-24h'!G65)</f>
        <v>0</v>
      </c>
      <c r="H65" s="49">
        <f>AVERAGE('25.10.19 KISORO-CYANIKA-24h'!H65)</f>
        <v>0</v>
      </c>
      <c r="I65" s="49">
        <f>AVERAGE('25.10.19 KISORO-CYANIKA-24h'!I65)</f>
        <v>0</v>
      </c>
      <c r="J65" s="49">
        <f>AVERAGE('25.10.19 KISORO-CYANIKA-24h'!J65)</f>
        <v>0</v>
      </c>
      <c r="K65" s="49">
        <f>AVERAGE('25.10.19 KISORO-CYANIKA-24h'!K65)</f>
        <v>0</v>
      </c>
      <c r="L65" s="49">
        <f>AVERAGE('25.10.19 KISORO-CYANIKA-24h'!L65)</f>
        <v>0</v>
      </c>
      <c r="M65" s="49">
        <f>AVERAGE('25.10.19 KISORO-CYANIKA-24h'!M65)</f>
        <v>16</v>
      </c>
      <c r="N65" s="49">
        <f>AVERAGE('25.10.19 KISORO-CYANIKA-24h'!N65)</f>
        <v>0</v>
      </c>
      <c r="O65" s="15">
        <f t="shared" si="0"/>
        <v>3</v>
      </c>
      <c r="P65" s="15">
        <f t="shared" si="1"/>
        <v>19</v>
      </c>
      <c r="R65" s="8"/>
      <c r="T65"/>
    </row>
    <row r="66" spans="2:20" ht="23.1" customHeight="1" x14ac:dyDescent="0.25">
      <c r="B66" s="23" t="s">
        <v>103</v>
      </c>
      <c r="C66" s="49">
        <f>AVERAGE('25.10.19 KISORO-CYANIKA-24h'!C66)</f>
        <v>4</v>
      </c>
      <c r="D66" s="49">
        <f>AVERAGE('25.10.19 KISORO-CYANIKA-24h'!D66)</f>
        <v>1</v>
      </c>
      <c r="E66" s="49">
        <f>AVERAGE('25.10.19 KISORO-CYANIKA-24h'!E66)</f>
        <v>0</v>
      </c>
      <c r="F66" s="49">
        <f>AVERAGE('25.10.19 KISORO-CYANIKA-24h'!F66)</f>
        <v>0</v>
      </c>
      <c r="G66" s="49">
        <f>AVERAGE('25.10.19 KISORO-CYANIKA-24h'!G66)</f>
        <v>0</v>
      </c>
      <c r="H66" s="49">
        <f>AVERAGE('25.10.19 KISORO-CYANIKA-24h'!H66)</f>
        <v>0</v>
      </c>
      <c r="I66" s="49">
        <f>AVERAGE('25.10.19 KISORO-CYANIKA-24h'!I66)</f>
        <v>0</v>
      </c>
      <c r="J66" s="49">
        <f>AVERAGE('25.10.19 KISORO-CYANIKA-24h'!J66)</f>
        <v>0</v>
      </c>
      <c r="K66" s="49">
        <f>AVERAGE('25.10.19 KISORO-CYANIKA-24h'!K66)</f>
        <v>0</v>
      </c>
      <c r="L66" s="49">
        <f>AVERAGE('25.10.19 KISORO-CYANIKA-24h'!L66)</f>
        <v>0</v>
      </c>
      <c r="M66" s="49">
        <f>AVERAGE('25.10.19 KISORO-CYANIKA-24h'!M66)</f>
        <v>14</v>
      </c>
      <c r="N66" s="49">
        <f>AVERAGE('25.10.19 KISORO-CYANIKA-24h'!N66)</f>
        <v>0</v>
      </c>
      <c r="O66" s="15">
        <f t="shared" si="0"/>
        <v>5</v>
      </c>
      <c r="P66" s="15">
        <f t="shared" si="1"/>
        <v>19</v>
      </c>
      <c r="R66" s="8"/>
      <c r="T66"/>
    </row>
    <row r="67" spans="2:20" ht="23.1" customHeight="1" x14ac:dyDescent="0.25">
      <c r="B67" s="23" t="s">
        <v>104</v>
      </c>
      <c r="C67" s="49">
        <f>AVERAGE('25.10.19 KISORO-CYANIKA-24h'!C67)</f>
        <v>4</v>
      </c>
      <c r="D67" s="49">
        <f>AVERAGE('25.10.19 KISORO-CYANIKA-24h'!D67)</f>
        <v>2</v>
      </c>
      <c r="E67" s="49">
        <f>AVERAGE('25.10.19 KISORO-CYANIKA-24h'!E67)</f>
        <v>1</v>
      </c>
      <c r="F67" s="49">
        <f>AVERAGE('25.10.19 KISORO-CYANIKA-24h'!F67)</f>
        <v>1</v>
      </c>
      <c r="G67" s="49">
        <f>AVERAGE('25.10.19 KISORO-CYANIKA-24h'!G67)</f>
        <v>0</v>
      </c>
      <c r="H67" s="49">
        <f>AVERAGE('25.10.19 KISORO-CYANIKA-24h'!H67)</f>
        <v>0</v>
      </c>
      <c r="I67" s="49">
        <f>AVERAGE('25.10.19 KISORO-CYANIKA-24h'!I67)</f>
        <v>0</v>
      </c>
      <c r="J67" s="49">
        <f>AVERAGE('25.10.19 KISORO-CYANIKA-24h'!J67)</f>
        <v>0</v>
      </c>
      <c r="K67" s="49">
        <f>AVERAGE('25.10.19 KISORO-CYANIKA-24h'!K67)</f>
        <v>0</v>
      </c>
      <c r="L67" s="49">
        <f>AVERAGE('25.10.19 KISORO-CYANIKA-24h'!L67)</f>
        <v>0</v>
      </c>
      <c r="M67" s="49">
        <f>AVERAGE('25.10.19 KISORO-CYANIKA-24h'!M67)</f>
        <v>15</v>
      </c>
      <c r="N67" s="49">
        <f>AVERAGE('25.10.19 KISORO-CYANIKA-24h'!N67)</f>
        <v>0</v>
      </c>
      <c r="O67" s="15">
        <f t="shared" si="0"/>
        <v>8</v>
      </c>
      <c r="P67" s="15">
        <f t="shared" si="1"/>
        <v>23</v>
      </c>
      <c r="R67" s="8"/>
      <c r="T67"/>
    </row>
    <row r="68" spans="2:20" ht="23.1" customHeight="1" x14ac:dyDescent="0.25">
      <c r="B68" s="23" t="s">
        <v>105</v>
      </c>
      <c r="C68" s="49">
        <f>AVERAGE('25.10.19 KISORO-CYANIKA-24h'!C68)</f>
        <v>8</v>
      </c>
      <c r="D68" s="49">
        <f>AVERAGE('25.10.19 KISORO-CYANIKA-24h'!D68)</f>
        <v>2</v>
      </c>
      <c r="E68" s="49">
        <f>AVERAGE('25.10.19 KISORO-CYANIKA-24h'!E68)</f>
        <v>0</v>
      </c>
      <c r="F68" s="49">
        <f>AVERAGE('25.10.19 KISORO-CYANIKA-24h'!F68)</f>
        <v>0</v>
      </c>
      <c r="G68" s="49">
        <f>AVERAGE('25.10.19 KISORO-CYANIKA-24h'!G68)</f>
        <v>0</v>
      </c>
      <c r="H68" s="49">
        <f>AVERAGE('25.10.19 KISORO-CYANIKA-24h'!H68)</f>
        <v>0</v>
      </c>
      <c r="I68" s="49">
        <f>AVERAGE('25.10.19 KISORO-CYANIKA-24h'!I68)</f>
        <v>0</v>
      </c>
      <c r="J68" s="49">
        <f>AVERAGE('25.10.19 KISORO-CYANIKA-24h'!J68)</f>
        <v>0</v>
      </c>
      <c r="K68" s="49">
        <f>AVERAGE('25.10.19 KISORO-CYANIKA-24h'!K68)</f>
        <v>0</v>
      </c>
      <c r="L68" s="49">
        <f>AVERAGE('25.10.19 KISORO-CYANIKA-24h'!L68)</f>
        <v>0</v>
      </c>
      <c r="M68" s="49">
        <f>AVERAGE('25.10.19 KISORO-CYANIKA-24h'!M68)</f>
        <v>11</v>
      </c>
      <c r="N68" s="49">
        <f>AVERAGE('25.10.19 KISORO-CYANIKA-24h'!N68)</f>
        <v>0</v>
      </c>
      <c r="O68" s="15">
        <f t="shared" si="0"/>
        <v>10</v>
      </c>
      <c r="P68" s="15">
        <f t="shared" si="1"/>
        <v>21</v>
      </c>
      <c r="R68" s="8"/>
      <c r="T68"/>
    </row>
    <row r="69" spans="2:20" ht="23.1" customHeight="1" x14ac:dyDescent="0.25">
      <c r="B69" s="23" t="s">
        <v>106</v>
      </c>
      <c r="C69" s="49">
        <f>AVERAGE('25.10.19 KISORO-CYANIKA-24h'!C69)</f>
        <v>4</v>
      </c>
      <c r="D69" s="49">
        <f>AVERAGE('25.10.19 KISORO-CYANIKA-24h'!D69)</f>
        <v>1</v>
      </c>
      <c r="E69" s="49">
        <f>AVERAGE('25.10.19 KISORO-CYANIKA-24h'!E69)</f>
        <v>0</v>
      </c>
      <c r="F69" s="49">
        <f>AVERAGE('25.10.19 KISORO-CYANIKA-24h'!F69)</f>
        <v>0</v>
      </c>
      <c r="G69" s="49">
        <f>AVERAGE('25.10.19 KISORO-CYANIKA-24h'!G69)</f>
        <v>0</v>
      </c>
      <c r="H69" s="49">
        <f>AVERAGE('25.10.19 KISORO-CYANIKA-24h'!H69)</f>
        <v>0</v>
      </c>
      <c r="I69" s="49">
        <f>AVERAGE('25.10.19 KISORO-CYANIKA-24h'!I69)</f>
        <v>0</v>
      </c>
      <c r="J69" s="49">
        <f>AVERAGE('25.10.19 KISORO-CYANIKA-24h'!J69)</f>
        <v>0</v>
      </c>
      <c r="K69" s="49">
        <f>AVERAGE('25.10.19 KISORO-CYANIKA-24h'!K69)</f>
        <v>0</v>
      </c>
      <c r="L69" s="49">
        <f>AVERAGE('25.10.19 KISORO-CYANIKA-24h'!L69)</f>
        <v>0</v>
      </c>
      <c r="M69" s="49">
        <f>AVERAGE('25.10.19 KISORO-CYANIKA-24h'!M69)</f>
        <v>11</v>
      </c>
      <c r="N69" s="49">
        <f>AVERAGE('25.10.19 KISORO-CYANIKA-24h'!N69)</f>
        <v>0</v>
      </c>
      <c r="O69" s="15">
        <f t="shared" si="0"/>
        <v>5</v>
      </c>
      <c r="P69" s="15">
        <f t="shared" si="1"/>
        <v>16</v>
      </c>
      <c r="R69" s="8"/>
      <c r="T69"/>
    </row>
    <row r="70" spans="2:20" ht="23.1" customHeight="1" x14ac:dyDescent="0.25">
      <c r="B70" s="23" t="s">
        <v>110</v>
      </c>
      <c r="C70" s="49">
        <f>AVERAGE('25.10.19 KISORO-CYANIKA-24h'!C70)</f>
        <v>8</v>
      </c>
      <c r="D70" s="49">
        <f>AVERAGE('25.10.19 KISORO-CYANIKA-24h'!D70)</f>
        <v>0</v>
      </c>
      <c r="E70" s="49">
        <f>AVERAGE('25.10.19 KISORO-CYANIKA-24h'!E70)</f>
        <v>0</v>
      </c>
      <c r="F70" s="49">
        <f>AVERAGE('25.10.19 KISORO-CYANIKA-24h'!F70)</f>
        <v>0</v>
      </c>
      <c r="G70" s="49">
        <f>AVERAGE('25.10.19 KISORO-CYANIKA-24h'!G70)</f>
        <v>0</v>
      </c>
      <c r="H70" s="49">
        <f>AVERAGE('25.10.19 KISORO-CYANIKA-24h'!H70)</f>
        <v>0</v>
      </c>
      <c r="I70" s="49">
        <f>AVERAGE('25.10.19 KISORO-CYANIKA-24h'!I70)</f>
        <v>0</v>
      </c>
      <c r="J70" s="49">
        <f>AVERAGE('25.10.19 KISORO-CYANIKA-24h'!J70)</f>
        <v>0</v>
      </c>
      <c r="K70" s="49">
        <f>AVERAGE('25.10.19 KISORO-CYANIKA-24h'!K70)</f>
        <v>0</v>
      </c>
      <c r="L70" s="49">
        <f>AVERAGE('25.10.19 KISORO-CYANIKA-24h'!L70)</f>
        <v>0</v>
      </c>
      <c r="M70" s="49">
        <f>AVERAGE('25.10.19 KISORO-CYANIKA-24h'!M70)</f>
        <v>8</v>
      </c>
      <c r="N70" s="49">
        <f>AVERAGE('25.10.19 KISORO-CYANIKA-24h'!N70)</f>
        <v>0</v>
      </c>
      <c r="O70" s="15">
        <f t="shared" si="0"/>
        <v>8</v>
      </c>
      <c r="P70" s="15">
        <f t="shared" si="1"/>
        <v>16</v>
      </c>
      <c r="R70" s="8"/>
      <c r="T70"/>
    </row>
    <row r="71" spans="2:20" ht="23.1" customHeight="1" x14ac:dyDescent="0.25">
      <c r="B71" s="23" t="s">
        <v>111</v>
      </c>
      <c r="C71" s="49">
        <f>AVERAGE('25.10.19 KISORO-CYANIKA-24h'!C71)</f>
        <v>3</v>
      </c>
      <c r="D71" s="49">
        <f>AVERAGE('25.10.19 KISORO-CYANIKA-24h'!D71)</f>
        <v>0</v>
      </c>
      <c r="E71" s="49">
        <f>AVERAGE('25.10.19 KISORO-CYANIKA-24h'!E71)</f>
        <v>1</v>
      </c>
      <c r="F71" s="49">
        <f>AVERAGE('25.10.19 KISORO-CYANIKA-24h'!F71)</f>
        <v>0</v>
      </c>
      <c r="G71" s="49">
        <f>AVERAGE('25.10.19 KISORO-CYANIKA-24h'!G71)</f>
        <v>0</v>
      </c>
      <c r="H71" s="49">
        <f>AVERAGE('25.10.19 KISORO-CYANIKA-24h'!H71)</f>
        <v>0</v>
      </c>
      <c r="I71" s="49">
        <f>AVERAGE('25.10.19 KISORO-CYANIKA-24h'!I71)</f>
        <v>0</v>
      </c>
      <c r="J71" s="49">
        <f>AVERAGE('25.10.19 KISORO-CYANIKA-24h'!J71)</f>
        <v>0</v>
      </c>
      <c r="K71" s="49">
        <f>AVERAGE('25.10.19 KISORO-CYANIKA-24h'!K71)</f>
        <v>0</v>
      </c>
      <c r="L71" s="49">
        <f>AVERAGE('25.10.19 KISORO-CYANIKA-24h'!L71)</f>
        <v>0</v>
      </c>
      <c r="M71" s="49">
        <f>AVERAGE('25.10.19 KISORO-CYANIKA-24h'!M71)</f>
        <v>10</v>
      </c>
      <c r="N71" s="49">
        <f>AVERAGE('25.10.19 KISORO-CYANIKA-24h'!N71)</f>
        <v>0</v>
      </c>
      <c r="O71" s="15">
        <f t="shared" si="0"/>
        <v>4</v>
      </c>
      <c r="P71" s="15">
        <f t="shared" si="1"/>
        <v>14</v>
      </c>
      <c r="R71" s="8"/>
      <c r="T71"/>
    </row>
    <row r="72" spans="2:20" ht="23.1" customHeight="1" x14ac:dyDescent="0.25">
      <c r="B72" s="23" t="s">
        <v>112</v>
      </c>
      <c r="C72" s="49">
        <f>AVERAGE('25.10.19 KISORO-CYANIKA-24h'!C72)</f>
        <v>5</v>
      </c>
      <c r="D72" s="49">
        <f>AVERAGE('25.10.19 KISORO-CYANIKA-24h'!D72)</f>
        <v>1</v>
      </c>
      <c r="E72" s="49">
        <f>AVERAGE('25.10.19 KISORO-CYANIKA-24h'!E72)</f>
        <v>0</v>
      </c>
      <c r="F72" s="49">
        <f>AVERAGE('25.10.19 KISORO-CYANIKA-24h'!F72)</f>
        <v>0</v>
      </c>
      <c r="G72" s="49">
        <f>AVERAGE('25.10.19 KISORO-CYANIKA-24h'!G72)</f>
        <v>0</v>
      </c>
      <c r="H72" s="49">
        <f>AVERAGE('25.10.19 KISORO-CYANIKA-24h'!H72)</f>
        <v>0</v>
      </c>
      <c r="I72" s="49">
        <f>AVERAGE('25.10.19 KISORO-CYANIKA-24h'!I72)</f>
        <v>0</v>
      </c>
      <c r="J72" s="49">
        <f>AVERAGE('25.10.19 KISORO-CYANIKA-24h'!J72)</f>
        <v>0</v>
      </c>
      <c r="K72" s="49">
        <f>AVERAGE('25.10.19 KISORO-CYANIKA-24h'!K72)</f>
        <v>0</v>
      </c>
      <c r="L72" s="49">
        <f>AVERAGE('25.10.19 KISORO-CYANIKA-24h'!L72)</f>
        <v>0</v>
      </c>
      <c r="M72" s="49">
        <f>AVERAGE('25.10.19 KISORO-CYANIKA-24h'!M72)</f>
        <v>4</v>
      </c>
      <c r="N72" s="49">
        <f>AVERAGE('25.10.19 KISORO-CYANIKA-24h'!N72)</f>
        <v>0</v>
      </c>
      <c r="O72" s="15">
        <f t="shared" si="0"/>
        <v>6</v>
      </c>
      <c r="P72" s="15">
        <f t="shared" si="1"/>
        <v>10</v>
      </c>
      <c r="R72" s="8"/>
      <c r="T72"/>
    </row>
    <row r="73" spans="2:20" ht="23.1" customHeight="1" x14ac:dyDescent="0.25">
      <c r="B73" s="23" t="s">
        <v>113</v>
      </c>
      <c r="C73" s="49">
        <f>AVERAGE('25.10.19 KISORO-CYANIKA-24h'!C73)</f>
        <v>2</v>
      </c>
      <c r="D73" s="49">
        <f>AVERAGE('25.10.19 KISORO-CYANIKA-24h'!D73)</f>
        <v>1</v>
      </c>
      <c r="E73" s="49">
        <f>AVERAGE('25.10.19 KISORO-CYANIKA-24h'!E73)</f>
        <v>1</v>
      </c>
      <c r="F73" s="49">
        <f>AVERAGE('25.10.19 KISORO-CYANIKA-24h'!F73)</f>
        <v>0</v>
      </c>
      <c r="G73" s="49">
        <f>AVERAGE('25.10.19 KISORO-CYANIKA-24h'!G73)</f>
        <v>0</v>
      </c>
      <c r="H73" s="49">
        <f>AVERAGE('25.10.19 KISORO-CYANIKA-24h'!H73)</f>
        <v>0</v>
      </c>
      <c r="I73" s="49">
        <f>AVERAGE('25.10.19 KISORO-CYANIKA-24h'!I73)</f>
        <v>0</v>
      </c>
      <c r="J73" s="49">
        <f>AVERAGE('25.10.19 KISORO-CYANIKA-24h'!J73)</f>
        <v>0</v>
      </c>
      <c r="K73" s="49">
        <f>AVERAGE('25.10.19 KISORO-CYANIKA-24h'!K73)</f>
        <v>0</v>
      </c>
      <c r="L73" s="49">
        <f>AVERAGE('25.10.19 KISORO-CYANIKA-24h'!L73)</f>
        <v>0</v>
      </c>
      <c r="M73" s="49">
        <f>AVERAGE('25.10.19 KISORO-CYANIKA-24h'!M73)</f>
        <v>6</v>
      </c>
      <c r="N73" s="49">
        <f>AVERAGE('25.10.19 KISORO-CYANIKA-24h'!N73)</f>
        <v>0</v>
      </c>
      <c r="O73" s="15">
        <f t="shared" si="0"/>
        <v>4</v>
      </c>
      <c r="P73" s="15">
        <f t="shared" si="1"/>
        <v>10</v>
      </c>
      <c r="R73" s="8"/>
      <c r="T73"/>
    </row>
    <row r="74" spans="2:20" ht="23.1" customHeight="1" x14ac:dyDescent="0.25">
      <c r="B74" s="23" t="s">
        <v>114</v>
      </c>
      <c r="C74" s="49">
        <f>AVERAGE('25.10.19 KISORO-CYANIKA-24h'!C74)</f>
        <v>0</v>
      </c>
      <c r="D74" s="49">
        <f>AVERAGE('25.10.19 KISORO-CYANIKA-24h'!D74)</f>
        <v>1</v>
      </c>
      <c r="E74" s="49">
        <f>AVERAGE('25.10.19 KISORO-CYANIKA-24h'!E74)</f>
        <v>0</v>
      </c>
      <c r="F74" s="49">
        <f>AVERAGE('25.10.19 KISORO-CYANIKA-24h'!F74)</f>
        <v>0</v>
      </c>
      <c r="G74" s="49">
        <f>AVERAGE('25.10.19 KISORO-CYANIKA-24h'!G74)</f>
        <v>0</v>
      </c>
      <c r="H74" s="49">
        <f>AVERAGE('25.10.19 KISORO-CYANIKA-24h'!H74)</f>
        <v>0</v>
      </c>
      <c r="I74" s="49">
        <f>AVERAGE('25.10.19 KISORO-CYANIKA-24h'!I74)</f>
        <v>0</v>
      </c>
      <c r="J74" s="49">
        <f>AVERAGE('25.10.19 KISORO-CYANIKA-24h'!J74)</f>
        <v>0</v>
      </c>
      <c r="K74" s="49">
        <f>AVERAGE('25.10.19 KISORO-CYANIKA-24h'!K74)</f>
        <v>0</v>
      </c>
      <c r="L74" s="49">
        <f>AVERAGE('25.10.19 KISORO-CYANIKA-24h'!L74)</f>
        <v>0</v>
      </c>
      <c r="M74" s="49">
        <f>AVERAGE('25.10.19 KISORO-CYANIKA-24h'!M74)</f>
        <v>3</v>
      </c>
      <c r="N74" s="49">
        <f>AVERAGE('25.10.19 KISORO-CYANIKA-24h'!N74)</f>
        <v>0</v>
      </c>
      <c r="O74" s="15">
        <f t="shared" ref="O74:O105" si="35">SUM(C74:L74,N74)</f>
        <v>1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23" t="s">
        <v>115</v>
      </c>
      <c r="C75" s="49">
        <f>AVERAGE('25.10.19 KISORO-CYANIKA-24h'!C75)</f>
        <v>1</v>
      </c>
      <c r="D75" s="49">
        <f>AVERAGE('25.10.19 KISORO-CYANIKA-24h'!D75)</f>
        <v>0</v>
      </c>
      <c r="E75" s="49">
        <f>AVERAGE('25.10.19 KISORO-CYANIKA-24h'!E75)</f>
        <v>0</v>
      </c>
      <c r="F75" s="49">
        <f>AVERAGE('25.10.19 KISORO-CYANIKA-24h'!F75)</f>
        <v>0</v>
      </c>
      <c r="G75" s="49">
        <f>AVERAGE('25.10.19 KISORO-CYANIKA-24h'!G75)</f>
        <v>0</v>
      </c>
      <c r="H75" s="49">
        <f>AVERAGE('25.10.19 KISORO-CYANIKA-24h'!H75)</f>
        <v>0</v>
      </c>
      <c r="I75" s="49">
        <f>AVERAGE('25.10.19 KISORO-CYANIKA-24h'!I75)</f>
        <v>0</v>
      </c>
      <c r="J75" s="49">
        <f>AVERAGE('25.10.19 KISORO-CYANIKA-24h'!J75)</f>
        <v>0</v>
      </c>
      <c r="K75" s="49">
        <f>AVERAGE('25.10.19 KISORO-CYANIKA-24h'!K75)</f>
        <v>0</v>
      </c>
      <c r="L75" s="49">
        <f>AVERAGE('25.10.19 KISORO-CYANIKA-24h'!L75)</f>
        <v>0</v>
      </c>
      <c r="M75" s="49">
        <f>AVERAGE('25.10.19 KISORO-CYANIKA-24h'!M75)</f>
        <v>4</v>
      </c>
      <c r="N75" s="49">
        <f>AVERAGE('25.10.19 KISORO-CYANIKA-24h'!N75)</f>
        <v>0</v>
      </c>
      <c r="O75" s="15">
        <f t="shared" si="35"/>
        <v>1</v>
      </c>
      <c r="P75" s="15">
        <f t="shared" si="36"/>
        <v>5</v>
      </c>
      <c r="R75" s="8"/>
      <c r="T75"/>
    </row>
    <row r="76" spans="2:20" ht="23.1" customHeight="1" x14ac:dyDescent="0.25">
      <c r="B76" s="23" t="s">
        <v>116</v>
      </c>
      <c r="C76" s="49">
        <f>AVERAGE('25.10.19 KISORO-CYANIKA-24h'!C76)</f>
        <v>1</v>
      </c>
      <c r="D76" s="49">
        <f>AVERAGE('25.10.19 KISORO-CYANIKA-24h'!D76)</f>
        <v>0</v>
      </c>
      <c r="E76" s="49">
        <f>AVERAGE('25.10.19 KISORO-CYANIKA-24h'!E76)</f>
        <v>0</v>
      </c>
      <c r="F76" s="49">
        <f>AVERAGE('25.10.19 KISORO-CYANIKA-24h'!F76)</f>
        <v>0</v>
      </c>
      <c r="G76" s="49">
        <f>AVERAGE('25.10.19 KISORO-CYANIKA-24h'!G76)</f>
        <v>0</v>
      </c>
      <c r="H76" s="49">
        <f>AVERAGE('25.10.19 KISORO-CYANIKA-24h'!H76)</f>
        <v>0</v>
      </c>
      <c r="I76" s="49">
        <f>AVERAGE('25.10.19 KISORO-CYANIKA-24h'!I76)</f>
        <v>0</v>
      </c>
      <c r="J76" s="49">
        <f>AVERAGE('25.10.19 KISORO-CYANIKA-24h'!J76)</f>
        <v>0</v>
      </c>
      <c r="K76" s="49">
        <f>AVERAGE('25.10.19 KISORO-CYANIKA-24h'!K76)</f>
        <v>0</v>
      </c>
      <c r="L76" s="49">
        <f>AVERAGE('25.10.19 KISORO-CYANIKA-24h'!L76)</f>
        <v>0</v>
      </c>
      <c r="M76" s="49">
        <f>AVERAGE('25.10.19 KISORO-CYANIKA-24h'!M76)</f>
        <v>2</v>
      </c>
      <c r="N76" s="49">
        <f>AVERAGE('25.10.19 KISORO-CYANIKA-24h'!N76)</f>
        <v>0</v>
      </c>
      <c r="O76" s="15">
        <f t="shared" si="35"/>
        <v>1</v>
      </c>
      <c r="P76" s="15">
        <f t="shared" si="36"/>
        <v>3</v>
      </c>
      <c r="R76" s="8"/>
      <c r="T76"/>
    </row>
    <row r="77" spans="2:20" ht="23.1" customHeight="1" x14ac:dyDescent="0.25">
      <c r="B77" s="23" t="s">
        <v>117</v>
      </c>
      <c r="C77" s="49">
        <f>AVERAGE('25.10.19 KISORO-CYANIKA-24h'!C77)</f>
        <v>1</v>
      </c>
      <c r="D77" s="49">
        <f>AVERAGE('25.10.19 KISORO-CYANIKA-24h'!D77)</f>
        <v>0</v>
      </c>
      <c r="E77" s="49">
        <f>AVERAGE('25.10.19 KISORO-CYANIKA-24h'!E77)</f>
        <v>0</v>
      </c>
      <c r="F77" s="49">
        <f>AVERAGE('25.10.19 KISORO-CYANIKA-24h'!F77)</f>
        <v>0</v>
      </c>
      <c r="G77" s="49">
        <f>AVERAGE('25.10.19 KISORO-CYANIKA-24h'!G77)</f>
        <v>0</v>
      </c>
      <c r="H77" s="49">
        <f>AVERAGE('25.10.19 KISORO-CYANIKA-24h'!H77)</f>
        <v>0</v>
      </c>
      <c r="I77" s="49">
        <f>AVERAGE('25.10.19 KISORO-CYANIKA-24h'!I77)</f>
        <v>0</v>
      </c>
      <c r="J77" s="49">
        <f>AVERAGE('25.10.19 KISORO-CYANIKA-24h'!J77)</f>
        <v>0</v>
      </c>
      <c r="K77" s="49">
        <f>AVERAGE('25.10.19 KISORO-CYANIKA-24h'!K77)</f>
        <v>0</v>
      </c>
      <c r="L77" s="49">
        <f>AVERAGE('25.10.19 KISORO-CYANIKA-24h'!L77)</f>
        <v>0</v>
      </c>
      <c r="M77" s="49">
        <f>AVERAGE('25.10.19 KISORO-CYANIKA-24h'!M77)</f>
        <v>2</v>
      </c>
      <c r="N77" s="49">
        <f>AVERAGE('25.10.19 KISORO-CYANIKA-24h'!N77)</f>
        <v>0</v>
      </c>
      <c r="O77" s="15">
        <f t="shared" si="35"/>
        <v>1</v>
      </c>
      <c r="P77" s="15">
        <f t="shared" si="36"/>
        <v>3</v>
      </c>
      <c r="R77" s="8"/>
      <c r="T77"/>
    </row>
    <row r="78" spans="2:20" ht="23.1" customHeight="1" x14ac:dyDescent="0.25">
      <c r="B78" s="24" t="s">
        <v>118</v>
      </c>
      <c r="C78" s="49">
        <f>AVERAGE('25.10.19 KISORO-CYANIKA-24h'!C78)</f>
        <v>0</v>
      </c>
      <c r="D78" s="49">
        <f>AVERAGE('25.10.19 KISORO-CYANIKA-24h'!D78)</f>
        <v>0</v>
      </c>
      <c r="E78" s="49">
        <f>AVERAGE('25.10.19 KISORO-CYANIKA-24h'!E78)</f>
        <v>0</v>
      </c>
      <c r="F78" s="49">
        <f>AVERAGE('25.10.19 KISORO-CYANIKA-24h'!F78)</f>
        <v>0</v>
      </c>
      <c r="G78" s="49">
        <f>AVERAGE('25.10.19 KISORO-CYANIKA-24h'!G78)</f>
        <v>0</v>
      </c>
      <c r="H78" s="49">
        <f>AVERAGE('25.10.19 KISORO-CYANIKA-24h'!H78)</f>
        <v>0</v>
      </c>
      <c r="I78" s="49">
        <f>AVERAGE('25.10.19 KISORO-CYANIKA-24h'!I78)</f>
        <v>0</v>
      </c>
      <c r="J78" s="49">
        <f>AVERAGE('25.10.19 KISORO-CYANIKA-24h'!J78)</f>
        <v>0</v>
      </c>
      <c r="K78" s="49">
        <f>AVERAGE('25.10.19 KISORO-CYANIKA-24h'!K78)</f>
        <v>0</v>
      </c>
      <c r="L78" s="49">
        <f>AVERAGE('25.10.19 KISORO-CYANIKA-24h'!L78)</f>
        <v>0</v>
      </c>
      <c r="M78" s="49">
        <f>AVERAGE('25.10.19 KISORO-CYANIKA-24h'!M78)</f>
        <v>1</v>
      </c>
      <c r="N78" s="49">
        <f>AVERAGE('25.10.19 KISORO-CYANIKA-24h'!N78)</f>
        <v>0</v>
      </c>
      <c r="O78" s="15">
        <f t="shared" si="35"/>
        <v>0</v>
      </c>
      <c r="P78" s="15">
        <f t="shared" si="36"/>
        <v>1</v>
      </c>
      <c r="R78" s="8"/>
      <c r="T78"/>
    </row>
    <row r="79" spans="2:20" ht="23.1" customHeight="1" x14ac:dyDescent="0.25">
      <c r="B79" s="23" t="s">
        <v>119</v>
      </c>
      <c r="C79" s="49">
        <f>AVERAGE('25.10.19 KISORO-CYANIKA-24h'!C79)</f>
        <v>0</v>
      </c>
      <c r="D79" s="49">
        <f>AVERAGE('25.10.19 KISORO-CYANIKA-24h'!D79)</f>
        <v>0</v>
      </c>
      <c r="E79" s="49">
        <f>AVERAGE('25.10.19 KISORO-CYANIKA-24h'!E79)</f>
        <v>0</v>
      </c>
      <c r="F79" s="49">
        <f>AVERAGE('25.10.19 KISORO-CYANIKA-24h'!F79)</f>
        <v>0</v>
      </c>
      <c r="G79" s="49">
        <f>AVERAGE('25.10.19 KISORO-CYANIKA-24h'!G79)</f>
        <v>0</v>
      </c>
      <c r="H79" s="49">
        <f>AVERAGE('25.10.19 KISORO-CYANIKA-24h'!H79)</f>
        <v>0</v>
      </c>
      <c r="I79" s="49">
        <f>AVERAGE('25.10.19 KISORO-CYANIKA-24h'!I79)</f>
        <v>0</v>
      </c>
      <c r="J79" s="49">
        <f>AVERAGE('25.10.19 KISORO-CYANIKA-24h'!J79)</f>
        <v>0</v>
      </c>
      <c r="K79" s="49">
        <f>AVERAGE('25.10.19 KISORO-CYANIKA-24h'!K79)</f>
        <v>0</v>
      </c>
      <c r="L79" s="49">
        <f>AVERAGE('25.10.19 KISORO-CYANIKA-24h'!L79)</f>
        <v>0</v>
      </c>
      <c r="M79" s="49">
        <f>AVERAGE('25.10.19 KISORO-CYANIKA-24h'!M79)</f>
        <v>0</v>
      </c>
      <c r="N79" s="49">
        <f>AVERAGE('25.10.19 KISORO-CYANIKA-24h'!N79)</f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25" t="s">
        <v>120</v>
      </c>
      <c r="C80" s="49">
        <f>AVERAGE('25.10.19 KISORO-CYANIKA-24h'!C80)</f>
        <v>0</v>
      </c>
      <c r="D80" s="49">
        <f>AVERAGE('25.10.19 KISORO-CYANIKA-24h'!D80)</f>
        <v>0</v>
      </c>
      <c r="E80" s="49">
        <f>AVERAGE('25.10.19 KISORO-CYANIKA-24h'!E80)</f>
        <v>0</v>
      </c>
      <c r="F80" s="49">
        <f>AVERAGE('25.10.19 KISORO-CYANIKA-24h'!F80)</f>
        <v>0</v>
      </c>
      <c r="G80" s="49">
        <f>AVERAGE('25.10.19 KISORO-CYANIKA-24h'!G80)</f>
        <v>0</v>
      </c>
      <c r="H80" s="49">
        <f>AVERAGE('25.10.19 KISORO-CYANIKA-24h'!H80)</f>
        <v>0</v>
      </c>
      <c r="I80" s="49">
        <f>AVERAGE('25.10.19 KISORO-CYANIKA-24h'!I80)</f>
        <v>0</v>
      </c>
      <c r="J80" s="49">
        <f>AVERAGE('25.10.19 KISORO-CYANIKA-24h'!J80)</f>
        <v>0</v>
      </c>
      <c r="K80" s="49">
        <f>AVERAGE('25.10.19 KISORO-CYANIKA-24h'!K80)</f>
        <v>0</v>
      </c>
      <c r="L80" s="49">
        <f>AVERAGE('25.10.19 KISORO-CYANIKA-24h'!L80)</f>
        <v>0</v>
      </c>
      <c r="M80" s="49">
        <f>AVERAGE('25.10.19 KISORO-CYANIKA-24h'!M80)</f>
        <v>1</v>
      </c>
      <c r="N80" s="49">
        <f>AVERAGE('25.10.19 KISORO-CYANIKA-24h'!N80)</f>
        <v>0</v>
      </c>
      <c r="O80" s="15">
        <f t="shared" si="35"/>
        <v>0</v>
      </c>
      <c r="P80" s="15">
        <f t="shared" si="36"/>
        <v>1</v>
      </c>
      <c r="R80" s="8"/>
      <c r="T80"/>
    </row>
    <row r="81" spans="2:20" ht="23.1" customHeight="1" x14ac:dyDescent="0.25">
      <c r="B81" s="23" t="s">
        <v>121</v>
      </c>
      <c r="C81" s="49">
        <f>AVERAGE('25.10.19 KISORO-CYANIKA-24h'!C81)</f>
        <v>2</v>
      </c>
      <c r="D81" s="49">
        <f>AVERAGE('25.10.19 KISORO-CYANIKA-24h'!D81)</f>
        <v>0</v>
      </c>
      <c r="E81" s="49">
        <f>AVERAGE('25.10.19 KISORO-CYANIKA-24h'!E81)</f>
        <v>0</v>
      </c>
      <c r="F81" s="49">
        <f>AVERAGE('25.10.19 KISORO-CYANIKA-24h'!F81)</f>
        <v>0</v>
      </c>
      <c r="G81" s="49">
        <f>AVERAGE('25.10.19 KISORO-CYANIKA-24h'!G81)</f>
        <v>0</v>
      </c>
      <c r="H81" s="49">
        <f>AVERAGE('25.10.19 KISORO-CYANIKA-24h'!H81)</f>
        <v>0</v>
      </c>
      <c r="I81" s="49">
        <f>AVERAGE('25.10.19 KISORO-CYANIKA-24h'!I81)</f>
        <v>0</v>
      </c>
      <c r="J81" s="49">
        <f>AVERAGE('25.10.19 KISORO-CYANIKA-24h'!J81)</f>
        <v>0</v>
      </c>
      <c r="K81" s="49">
        <f>AVERAGE('25.10.19 KISORO-CYANIKA-24h'!K81)</f>
        <v>0</v>
      </c>
      <c r="L81" s="49">
        <f>AVERAGE('25.10.19 KISORO-CYANIKA-24h'!L81)</f>
        <v>0</v>
      </c>
      <c r="M81" s="49">
        <f>AVERAGE('25.10.19 KISORO-CYANIKA-24h'!M81)</f>
        <v>0</v>
      </c>
      <c r="N81" s="49">
        <f>AVERAGE('25.10.19 KISORO-CYANIKA-24h'!N81)</f>
        <v>0</v>
      </c>
      <c r="O81" s="15">
        <f t="shared" si="35"/>
        <v>2</v>
      </c>
      <c r="P81" s="15">
        <f t="shared" si="36"/>
        <v>2</v>
      </c>
      <c r="R81" s="8"/>
      <c r="T81"/>
    </row>
    <row r="82" spans="2:20" ht="23.1" customHeight="1" x14ac:dyDescent="0.25">
      <c r="B82" s="24" t="s">
        <v>122</v>
      </c>
      <c r="C82" s="49">
        <f>AVERAGE('25.10.19 KISORO-CYANIKA-24h'!C82)</f>
        <v>0</v>
      </c>
      <c r="D82" s="49">
        <f>AVERAGE('25.10.19 KISORO-CYANIKA-24h'!D82)</f>
        <v>0</v>
      </c>
      <c r="E82" s="49">
        <f>AVERAGE('25.10.19 KISORO-CYANIKA-24h'!E82)</f>
        <v>0</v>
      </c>
      <c r="F82" s="49">
        <f>AVERAGE('25.10.19 KISORO-CYANIKA-24h'!F82)</f>
        <v>0</v>
      </c>
      <c r="G82" s="49">
        <f>AVERAGE('25.10.19 KISORO-CYANIKA-24h'!G82)</f>
        <v>0</v>
      </c>
      <c r="H82" s="49">
        <f>AVERAGE('25.10.19 KISORO-CYANIKA-24h'!H82)</f>
        <v>0</v>
      </c>
      <c r="I82" s="49">
        <f>AVERAGE('25.10.19 KISORO-CYANIKA-24h'!I82)</f>
        <v>0</v>
      </c>
      <c r="J82" s="49">
        <f>AVERAGE('25.10.19 KISORO-CYANIKA-24h'!J82)</f>
        <v>0</v>
      </c>
      <c r="K82" s="49">
        <f>AVERAGE('25.10.19 KISORO-CYANIKA-24h'!K82)</f>
        <v>0</v>
      </c>
      <c r="L82" s="49">
        <f>AVERAGE('25.10.19 KISORO-CYANIKA-24h'!L82)</f>
        <v>0</v>
      </c>
      <c r="M82" s="49">
        <f>AVERAGE('25.10.19 KISORO-CYANIKA-24h'!M82)</f>
        <v>1</v>
      </c>
      <c r="N82" s="49">
        <f>AVERAGE('25.10.19 KISORO-CYANIKA-24h'!N82)</f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23" t="s">
        <v>123</v>
      </c>
      <c r="C83" s="49">
        <f>AVERAGE('25.10.19 KISORO-CYANIKA-24h'!C83)</f>
        <v>0</v>
      </c>
      <c r="D83" s="49">
        <f>AVERAGE('25.10.19 KISORO-CYANIKA-24h'!D83)</f>
        <v>1</v>
      </c>
      <c r="E83" s="49">
        <f>AVERAGE('25.10.19 KISORO-CYANIKA-24h'!E83)</f>
        <v>0</v>
      </c>
      <c r="F83" s="49">
        <f>AVERAGE('25.10.19 KISORO-CYANIKA-24h'!F83)</f>
        <v>0</v>
      </c>
      <c r="G83" s="49">
        <f>AVERAGE('25.10.19 KISORO-CYANIKA-24h'!G83)</f>
        <v>0</v>
      </c>
      <c r="H83" s="49">
        <f>AVERAGE('25.10.19 KISORO-CYANIKA-24h'!H83)</f>
        <v>0</v>
      </c>
      <c r="I83" s="49">
        <f>AVERAGE('25.10.19 KISORO-CYANIKA-24h'!I83)</f>
        <v>0</v>
      </c>
      <c r="J83" s="49">
        <f>AVERAGE('25.10.19 KISORO-CYANIKA-24h'!J83)</f>
        <v>0</v>
      </c>
      <c r="K83" s="49">
        <f>AVERAGE('25.10.19 KISORO-CYANIKA-24h'!K83)</f>
        <v>0</v>
      </c>
      <c r="L83" s="49">
        <f>AVERAGE('25.10.19 KISORO-CYANIKA-24h'!L83)</f>
        <v>0</v>
      </c>
      <c r="M83" s="49">
        <f>AVERAGE('25.10.19 KISORO-CYANIKA-24h'!M83)</f>
        <v>0</v>
      </c>
      <c r="N83" s="49">
        <f>AVERAGE('25.10.19 KISORO-CYANIKA-24h'!N83)</f>
        <v>0</v>
      </c>
      <c r="O83" s="15">
        <f t="shared" si="35"/>
        <v>1</v>
      </c>
      <c r="P83" s="15">
        <f t="shared" si="36"/>
        <v>1</v>
      </c>
      <c r="R83" s="8"/>
      <c r="T83"/>
    </row>
    <row r="84" spans="2:20" ht="23.1" customHeight="1" x14ac:dyDescent="0.25">
      <c r="B84" s="25" t="s">
        <v>124</v>
      </c>
      <c r="C84" s="49">
        <f>AVERAGE('25.10.19 KISORO-CYANIKA-24h'!C84)</f>
        <v>0</v>
      </c>
      <c r="D84" s="49">
        <f>AVERAGE('25.10.19 KISORO-CYANIKA-24h'!D84)</f>
        <v>0</v>
      </c>
      <c r="E84" s="49">
        <f>AVERAGE('25.10.19 KISORO-CYANIKA-24h'!E84)</f>
        <v>0</v>
      </c>
      <c r="F84" s="49">
        <f>AVERAGE('25.10.19 KISORO-CYANIKA-24h'!F84)</f>
        <v>0</v>
      </c>
      <c r="G84" s="49">
        <f>AVERAGE('25.10.19 KISORO-CYANIKA-24h'!G84)</f>
        <v>0</v>
      </c>
      <c r="H84" s="49">
        <f>AVERAGE('25.10.19 KISORO-CYANIKA-24h'!H84)</f>
        <v>0</v>
      </c>
      <c r="I84" s="49">
        <f>AVERAGE('25.10.19 KISORO-CYANIKA-24h'!I84)</f>
        <v>0</v>
      </c>
      <c r="J84" s="49">
        <f>AVERAGE('25.10.19 KISORO-CYANIKA-24h'!J84)</f>
        <v>0</v>
      </c>
      <c r="K84" s="49">
        <f>AVERAGE('25.10.19 KISORO-CYANIKA-24h'!K84)</f>
        <v>0</v>
      </c>
      <c r="L84" s="49">
        <f>AVERAGE('25.10.19 KISORO-CYANIKA-24h'!L84)</f>
        <v>0</v>
      </c>
      <c r="M84" s="49">
        <f>AVERAGE('25.10.19 KISORO-CYANIKA-24h'!M84)</f>
        <v>0</v>
      </c>
      <c r="N84" s="49">
        <f>AVERAGE('25.10.19 KISORO-CYANIKA-24h'!N84)</f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23" t="s">
        <v>125</v>
      </c>
      <c r="C85" s="49">
        <f>AVERAGE('25.10.19 KISORO-CYANIKA-24h'!C85)</f>
        <v>0</v>
      </c>
      <c r="D85" s="49">
        <f>AVERAGE('25.10.19 KISORO-CYANIKA-24h'!D85)</f>
        <v>0</v>
      </c>
      <c r="E85" s="49">
        <f>AVERAGE('25.10.19 KISORO-CYANIKA-24h'!E85)</f>
        <v>0</v>
      </c>
      <c r="F85" s="49">
        <f>AVERAGE('25.10.19 KISORO-CYANIKA-24h'!F85)</f>
        <v>0</v>
      </c>
      <c r="G85" s="49">
        <f>AVERAGE('25.10.19 KISORO-CYANIKA-24h'!G85)</f>
        <v>0</v>
      </c>
      <c r="H85" s="49">
        <f>AVERAGE('25.10.19 KISORO-CYANIKA-24h'!H85)</f>
        <v>0</v>
      </c>
      <c r="I85" s="49">
        <f>AVERAGE('25.10.19 KISORO-CYANIKA-24h'!I85)</f>
        <v>0</v>
      </c>
      <c r="J85" s="49">
        <f>AVERAGE('25.10.19 KISORO-CYANIKA-24h'!J85)</f>
        <v>0</v>
      </c>
      <c r="K85" s="49">
        <f>AVERAGE('25.10.19 KISORO-CYANIKA-24h'!K85)</f>
        <v>0</v>
      </c>
      <c r="L85" s="49">
        <f>AVERAGE('25.10.19 KISORO-CYANIKA-24h'!L85)</f>
        <v>0</v>
      </c>
      <c r="M85" s="49">
        <f>AVERAGE('25.10.19 KISORO-CYANIKA-24h'!M85)</f>
        <v>0</v>
      </c>
      <c r="N85" s="49">
        <f>AVERAGE('25.10.19 KISORO-CYANIKA-24h'!N85)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49">
        <f>AVERAGE('25.10.19 KISORO-CYANIKA-24h'!C86)</f>
        <v>0</v>
      </c>
      <c r="D86" s="49">
        <f>AVERAGE('25.10.19 KISORO-CYANIKA-24h'!D86)</f>
        <v>0</v>
      </c>
      <c r="E86" s="49">
        <f>AVERAGE('25.10.19 KISORO-CYANIKA-24h'!E86)</f>
        <v>0</v>
      </c>
      <c r="F86" s="49">
        <f>AVERAGE('25.10.19 KISORO-CYANIKA-24h'!F86)</f>
        <v>0</v>
      </c>
      <c r="G86" s="49">
        <f>AVERAGE('25.10.19 KISORO-CYANIKA-24h'!G86)</f>
        <v>0</v>
      </c>
      <c r="H86" s="49">
        <f>AVERAGE('25.10.19 KISORO-CYANIKA-24h'!H86)</f>
        <v>0</v>
      </c>
      <c r="I86" s="49">
        <f>AVERAGE('25.10.19 KISORO-CYANIKA-24h'!I86)</f>
        <v>0</v>
      </c>
      <c r="J86" s="49">
        <f>AVERAGE('25.10.19 KISORO-CYANIKA-24h'!J86)</f>
        <v>0</v>
      </c>
      <c r="K86" s="49">
        <f>AVERAGE('25.10.19 KISORO-CYANIKA-24h'!K86)</f>
        <v>0</v>
      </c>
      <c r="L86" s="49">
        <f>AVERAGE('25.10.19 KISORO-CYANIKA-24h'!L86)</f>
        <v>0</v>
      </c>
      <c r="M86" s="49">
        <f>AVERAGE('25.10.19 KISORO-CYANIKA-24h'!M86)</f>
        <v>0</v>
      </c>
      <c r="N86" s="49">
        <f>AVERAGE('25.10.19 KISORO-CYANIKA-24h'!N86)</f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23" t="s">
        <v>127</v>
      </c>
      <c r="C87" s="49">
        <f>AVERAGE('25.10.19 KISORO-CYANIKA-24h'!C87)</f>
        <v>0</v>
      </c>
      <c r="D87" s="49">
        <f>AVERAGE('25.10.19 KISORO-CYANIKA-24h'!D87)</f>
        <v>0</v>
      </c>
      <c r="E87" s="49">
        <f>AVERAGE('25.10.19 KISORO-CYANIKA-24h'!E87)</f>
        <v>0</v>
      </c>
      <c r="F87" s="49">
        <f>AVERAGE('25.10.19 KISORO-CYANIKA-24h'!F87)</f>
        <v>0</v>
      </c>
      <c r="G87" s="49">
        <f>AVERAGE('25.10.19 KISORO-CYANIKA-24h'!G87)</f>
        <v>0</v>
      </c>
      <c r="H87" s="49">
        <f>AVERAGE('25.10.19 KISORO-CYANIKA-24h'!H87)</f>
        <v>0</v>
      </c>
      <c r="I87" s="49">
        <f>AVERAGE('25.10.19 KISORO-CYANIKA-24h'!I87)</f>
        <v>0</v>
      </c>
      <c r="J87" s="49">
        <f>AVERAGE('25.10.19 KISORO-CYANIKA-24h'!J87)</f>
        <v>1</v>
      </c>
      <c r="K87" s="49">
        <f>AVERAGE('25.10.19 KISORO-CYANIKA-24h'!K87)</f>
        <v>0</v>
      </c>
      <c r="L87" s="49">
        <f>AVERAGE('25.10.19 KISORO-CYANIKA-24h'!L87)</f>
        <v>0</v>
      </c>
      <c r="M87" s="49">
        <f>AVERAGE('25.10.19 KISORO-CYANIKA-24h'!M87)</f>
        <v>0</v>
      </c>
      <c r="N87" s="49">
        <f>AVERAGE('25.10.19 KISORO-CYANIKA-24h'!N87)</f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25" t="s">
        <v>128</v>
      </c>
      <c r="C88" s="49">
        <f>AVERAGE('25.10.19 KISORO-CYANIKA-24h'!C88)</f>
        <v>0</v>
      </c>
      <c r="D88" s="49">
        <f>AVERAGE('25.10.19 KISORO-CYANIKA-24h'!D88)</f>
        <v>0</v>
      </c>
      <c r="E88" s="49">
        <f>AVERAGE('25.10.19 KISORO-CYANIKA-24h'!E88)</f>
        <v>0</v>
      </c>
      <c r="F88" s="49">
        <f>AVERAGE('25.10.19 KISORO-CYANIKA-24h'!F88)</f>
        <v>0</v>
      </c>
      <c r="G88" s="49">
        <f>AVERAGE('25.10.19 KISORO-CYANIKA-24h'!G88)</f>
        <v>0</v>
      </c>
      <c r="H88" s="49">
        <f>AVERAGE('25.10.19 KISORO-CYANIKA-24h'!H88)</f>
        <v>0</v>
      </c>
      <c r="I88" s="49">
        <f>AVERAGE('25.10.19 KISORO-CYANIKA-24h'!I88)</f>
        <v>0</v>
      </c>
      <c r="J88" s="49">
        <f>AVERAGE('25.10.19 KISORO-CYANIKA-24h'!J88)</f>
        <v>0</v>
      </c>
      <c r="K88" s="49">
        <f>AVERAGE('25.10.19 KISORO-CYANIKA-24h'!K88)</f>
        <v>0</v>
      </c>
      <c r="L88" s="49">
        <f>AVERAGE('25.10.19 KISORO-CYANIKA-24h'!L88)</f>
        <v>0</v>
      </c>
      <c r="M88" s="49">
        <f>AVERAGE('25.10.19 KISORO-CYANIKA-24h'!M88)</f>
        <v>0</v>
      </c>
      <c r="N88" s="49">
        <f>AVERAGE('25.10.19 KISORO-CYANIKA-24h'!N88)</f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23" t="s">
        <v>129</v>
      </c>
      <c r="C89" s="49">
        <f>AVERAGE('25.10.19 KISORO-CYANIKA-24h'!C89)</f>
        <v>0</v>
      </c>
      <c r="D89" s="49">
        <f>AVERAGE('25.10.19 KISORO-CYANIKA-24h'!D89)</f>
        <v>0</v>
      </c>
      <c r="E89" s="49">
        <f>AVERAGE('25.10.19 KISORO-CYANIKA-24h'!E89)</f>
        <v>0</v>
      </c>
      <c r="F89" s="49">
        <f>AVERAGE('25.10.19 KISORO-CYANIKA-24h'!F89)</f>
        <v>0</v>
      </c>
      <c r="G89" s="49">
        <f>AVERAGE('25.10.19 KISORO-CYANIKA-24h'!G89)</f>
        <v>0</v>
      </c>
      <c r="H89" s="49">
        <f>AVERAGE('25.10.19 KISORO-CYANIKA-24h'!H89)</f>
        <v>0</v>
      </c>
      <c r="I89" s="49">
        <f>AVERAGE('25.10.19 KISORO-CYANIKA-24h'!I89)</f>
        <v>0</v>
      </c>
      <c r="J89" s="49">
        <f>AVERAGE('25.10.19 KISORO-CYANIKA-24h'!J89)</f>
        <v>0</v>
      </c>
      <c r="K89" s="49">
        <f>AVERAGE('25.10.19 KISORO-CYANIKA-24h'!K89)</f>
        <v>0</v>
      </c>
      <c r="L89" s="49">
        <f>AVERAGE('25.10.19 KISORO-CYANIKA-24h'!L89)</f>
        <v>0</v>
      </c>
      <c r="M89" s="49">
        <f>AVERAGE('25.10.19 KISORO-CYANIKA-24h'!M89)</f>
        <v>0</v>
      </c>
      <c r="N89" s="49">
        <f>AVERAGE('25.10.19 KISORO-CYANIKA-24h'!N89)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49">
        <f>AVERAGE('25.10.19 KISORO-CYANIKA-24h'!C90)</f>
        <v>0</v>
      </c>
      <c r="D90" s="49">
        <f>AVERAGE('25.10.19 KISORO-CYANIKA-24h'!D90)</f>
        <v>0</v>
      </c>
      <c r="E90" s="49">
        <f>AVERAGE('25.10.19 KISORO-CYANIKA-24h'!E90)</f>
        <v>0</v>
      </c>
      <c r="F90" s="49">
        <f>AVERAGE('25.10.19 KISORO-CYANIKA-24h'!F90)</f>
        <v>0</v>
      </c>
      <c r="G90" s="49">
        <f>AVERAGE('25.10.19 KISORO-CYANIKA-24h'!G90)</f>
        <v>0</v>
      </c>
      <c r="H90" s="49">
        <f>AVERAGE('25.10.19 KISORO-CYANIKA-24h'!H90)</f>
        <v>0</v>
      </c>
      <c r="I90" s="49">
        <f>AVERAGE('25.10.19 KISORO-CYANIKA-24h'!I90)</f>
        <v>0</v>
      </c>
      <c r="J90" s="49">
        <f>AVERAGE('25.10.19 KISORO-CYANIKA-24h'!J90)</f>
        <v>0</v>
      </c>
      <c r="K90" s="49">
        <f>AVERAGE('25.10.19 KISORO-CYANIKA-24h'!K90)</f>
        <v>0</v>
      </c>
      <c r="L90" s="49">
        <f>AVERAGE('25.10.19 KISORO-CYANIKA-24h'!L90)</f>
        <v>0</v>
      </c>
      <c r="M90" s="49">
        <f>AVERAGE('25.10.19 KISORO-CYANIKA-24h'!M90)</f>
        <v>0</v>
      </c>
      <c r="N90" s="49">
        <f>AVERAGE('25.10.19 KISORO-CYANIKA-24h'!N90)</f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23" t="s">
        <v>131</v>
      </c>
      <c r="C91" s="49">
        <f>AVERAGE('25.10.19 KISORO-CYANIKA-24h'!C91)</f>
        <v>0</v>
      </c>
      <c r="D91" s="49">
        <f>AVERAGE('25.10.19 KISORO-CYANIKA-24h'!D91)</f>
        <v>0</v>
      </c>
      <c r="E91" s="49">
        <f>AVERAGE('25.10.19 KISORO-CYANIKA-24h'!E91)</f>
        <v>0</v>
      </c>
      <c r="F91" s="49">
        <f>AVERAGE('25.10.19 KISORO-CYANIKA-24h'!F91)</f>
        <v>0</v>
      </c>
      <c r="G91" s="49">
        <f>AVERAGE('25.10.19 KISORO-CYANIKA-24h'!G91)</f>
        <v>0</v>
      </c>
      <c r="H91" s="49">
        <f>AVERAGE('25.10.19 KISORO-CYANIKA-24h'!H91)</f>
        <v>0</v>
      </c>
      <c r="I91" s="49">
        <f>AVERAGE('25.10.19 KISORO-CYANIKA-24h'!I91)</f>
        <v>0</v>
      </c>
      <c r="J91" s="49">
        <f>AVERAGE('25.10.19 KISORO-CYANIKA-24h'!J91)</f>
        <v>0</v>
      </c>
      <c r="K91" s="49">
        <f>AVERAGE('25.10.19 KISORO-CYANIKA-24h'!K91)</f>
        <v>0</v>
      </c>
      <c r="L91" s="49">
        <f>AVERAGE('25.10.19 KISORO-CYANIKA-24h'!L91)</f>
        <v>0</v>
      </c>
      <c r="M91" s="49">
        <f>AVERAGE('25.10.19 KISORO-CYANIKA-24h'!M91)</f>
        <v>0</v>
      </c>
      <c r="N91" s="49">
        <f>AVERAGE('25.10.19 KISORO-CYANIKA-24h'!N91)</f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25" t="s">
        <v>132</v>
      </c>
      <c r="C92" s="49">
        <f>AVERAGE('25.10.19 KISORO-CYANIKA-24h'!C92)</f>
        <v>0</v>
      </c>
      <c r="D92" s="49">
        <f>AVERAGE('25.10.19 KISORO-CYANIKA-24h'!D92)</f>
        <v>0</v>
      </c>
      <c r="E92" s="49">
        <f>AVERAGE('25.10.19 KISORO-CYANIKA-24h'!E92)</f>
        <v>0</v>
      </c>
      <c r="F92" s="49">
        <f>AVERAGE('25.10.19 KISORO-CYANIKA-24h'!F92)</f>
        <v>0</v>
      </c>
      <c r="G92" s="49">
        <f>AVERAGE('25.10.19 KISORO-CYANIKA-24h'!G92)</f>
        <v>0</v>
      </c>
      <c r="H92" s="49">
        <f>AVERAGE('25.10.19 KISORO-CYANIKA-24h'!H92)</f>
        <v>0</v>
      </c>
      <c r="I92" s="49">
        <f>AVERAGE('25.10.19 KISORO-CYANIKA-24h'!I92)</f>
        <v>0</v>
      </c>
      <c r="J92" s="49">
        <f>AVERAGE('25.10.19 KISORO-CYANIKA-24h'!J92)</f>
        <v>0</v>
      </c>
      <c r="K92" s="49">
        <f>AVERAGE('25.10.19 KISORO-CYANIKA-24h'!K92)</f>
        <v>0</v>
      </c>
      <c r="L92" s="49">
        <f>AVERAGE('25.10.19 KISORO-CYANIKA-24h'!L92)</f>
        <v>0</v>
      </c>
      <c r="M92" s="49">
        <f>AVERAGE('25.10.19 KISORO-CYANIKA-24h'!M92)</f>
        <v>0</v>
      </c>
      <c r="N92" s="49">
        <f>AVERAGE('25.10.19 KISORO-CYANIKA-24h'!N92)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AVERAGE('25.10.19 KISORO-CYANIKA-24h'!C93)</f>
        <v>0</v>
      </c>
      <c r="D93" s="49">
        <f>AVERAGE('25.10.19 KISORO-CYANIKA-24h'!D93)</f>
        <v>0</v>
      </c>
      <c r="E93" s="49">
        <f>AVERAGE('25.10.19 KISORO-CYANIKA-24h'!E93)</f>
        <v>0</v>
      </c>
      <c r="F93" s="49">
        <f>AVERAGE('25.10.19 KISORO-CYANIKA-24h'!F93)</f>
        <v>0</v>
      </c>
      <c r="G93" s="49">
        <f>AVERAGE('25.10.19 KISORO-CYANIKA-24h'!G93)</f>
        <v>0</v>
      </c>
      <c r="H93" s="49">
        <f>AVERAGE('25.10.19 KISORO-CYANIKA-24h'!H93)</f>
        <v>0</v>
      </c>
      <c r="I93" s="49">
        <f>AVERAGE('25.10.19 KISORO-CYANIKA-24h'!I93)</f>
        <v>0</v>
      </c>
      <c r="J93" s="49">
        <f>AVERAGE('25.10.19 KISORO-CYANIKA-24h'!J93)</f>
        <v>0</v>
      </c>
      <c r="K93" s="49">
        <f>AVERAGE('25.10.19 KISORO-CYANIKA-24h'!K93)</f>
        <v>0</v>
      </c>
      <c r="L93" s="49">
        <f>AVERAGE('25.10.19 KISORO-CYANIKA-24h'!L93)</f>
        <v>0</v>
      </c>
      <c r="M93" s="49">
        <f>AVERAGE('25.10.19 KISORO-CYANIKA-24h'!M93)</f>
        <v>0</v>
      </c>
      <c r="N93" s="49">
        <f>AVERAGE('25.10.19 KISORO-CYANIKA-24h'!N93)</f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24" t="s">
        <v>134</v>
      </c>
      <c r="C94" s="49">
        <f>AVERAGE('25.10.19 KISORO-CYANIKA-24h'!C94)</f>
        <v>2</v>
      </c>
      <c r="D94" s="49">
        <f>AVERAGE('25.10.19 KISORO-CYANIKA-24h'!D94)</f>
        <v>0</v>
      </c>
      <c r="E94" s="49">
        <f>AVERAGE('25.10.19 KISORO-CYANIKA-24h'!E94)</f>
        <v>0</v>
      </c>
      <c r="F94" s="49">
        <f>AVERAGE('25.10.19 KISORO-CYANIKA-24h'!F94)</f>
        <v>0</v>
      </c>
      <c r="G94" s="49">
        <f>AVERAGE('25.10.19 KISORO-CYANIKA-24h'!G94)</f>
        <v>0</v>
      </c>
      <c r="H94" s="49">
        <f>AVERAGE('25.10.19 KISORO-CYANIKA-24h'!H94)</f>
        <v>0</v>
      </c>
      <c r="I94" s="49">
        <f>AVERAGE('25.10.19 KISORO-CYANIKA-24h'!I94)</f>
        <v>0</v>
      </c>
      <c r="J94" s="49">
        <f>AVERAGE('25.10.19 KISORO-CYANIKA-24h'!J94)</f>
        <v>0</v>
      </c>
      <c r="K94" s="49">
        <f>AVERAGE('25.10.19 KISORO-CYANIKA-24h'!K94)</f>
        <v>0</v>
      </c>
      <c r="L94" s="49">
        <f>AVERAGE('25.10.19 KISORO-CYANIKA-24h'!L94)</f>
        <v>0</v>
      </c>
      <c r="M94" s="49">
        <f>AVERAGE('25.10.19 KISORO-CYANIKA-24h'!M94)</f>
        <v>0</v>
      </c>
      <c r="N94" s="49">
        <f>AVERAGE('25.10.19 KISORO-CYANIKA-24h'!N94)</f>
        <v>0</v>
      </c>
      <c r="O94" s="15">
        <f t="shared" si="35"/>
        <v>2</v>
      </c>
      <c r="P94" s="15">
        <f t="shared" si="36"/>
        <v>2</v>
      </c>
      <c r="R94" s="8"/>
      <c r="T94"/>
    </row>
    <row r="95" spans="2:20" ht="23.1" customHeight="1" x14ac:dyDescent="0.25">
      <c r="B95" s="23" t="s">
        <v>135</v>
      </c>
      <c r="C95" s="49">
        <f>AVERAGE('25.10.19 KISORO-CYANIKA-24h'!C95)</f>
        <v>0</v>
      </c>
      <c r="D95" s="49">
        <f>AVERAGE('25.10.19 KISORO-CYANIKA-24h'!D95)</f>
        <v>0</v>
      </c>
      <c r="E95" s="49">
        <f>AVERAGE('25.10.19 KISORO-CYANIKA-24h'!E95)</f>
        <v>0</v>
      </c>
      <c r="F95" s="49">
        <f>AVERAGE('25.10.19 KISORO-CYANIKA-24h'!F95)</f>
        <v>0</v>
      </c>
      <c r="G95" s="49">
        <f>AVERAGE('25.10.19 KISORO-CYANIKA-24h'!G95)</f>
        <v>0</v>
      </c>
      <c r="H95" s="49">
        <f>AVERAGE('25.10.19 KISORO-CYANIKA-24h'!H95)</f>
        <v>0</v>
      </c>
      <c r="I95" s="49">
        <f>AVERAGE('25.10.19 KISORO-CYANIKA-24h'!I95)</f>
        <v>0</v>
      </c>
      <c r="J95" s="49">
        <f>AVERAGE('25.10.19 KISORO-CYANIKA-24h'!J95)</f>
        <v>0</v>
      </c>
      <c r="K95" s="49">
        <f>AVERAGE('25.10.19 KISORO-CYANIKA-24h'!K95)</f>
        <v>0</v>
      </c>
      <c r="L95" s="49">
        <f>AVERAGE('25.10.19 KISORO-CYANIKA-24h'!L95)</f>
        <v>0</v>
      </c>
      <c r="M95" s="49">
        <f>AVERAGE('25.10.19 KISORO-CYANIKA-24h'!M95)</f>
        <v>0</v>
      </c>
      <c r="N95" s="49">
        <f>AVERAGE('25.10.19 KISORO-CYANIKA-24h'!N95)</f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25" t="s">
        <v>136</v>
      </c>
      <c r="C96" s="49">
        <f>AVERAGE('25.10.19 KISORO-CYANIKA-24h'!C96)</f>
        <v>0</v>
      </c>
      <c r="D96" s="49">
        <f>AVERAGE('25.10.19 KISORO-CYANIKA-24h'!D96)</f>
        <v>0</v>
      </c>
      <c r="E96" s="49">
        <f>AVERAGE('25.10.19 KISORO-CYANIKA-24h'!E96)</f>
        <v>0</v>
      </c>
      <c r="F96" s="49">
        <f>AVERAGE('25.10.19 KISORO-CYANIKA-24h'!F96)</f>
        <v>0</v>
      </c>
      <c r="G96" s="49">
        <f>AVERAGE('25.10.19 KISORO-CYANIKA-24h'!G96)</f>
        <v>0</v>
      </c>
      <c r="H96" s="49">
        <f>AVERAGE('25.10.19 KISORO-CYANIKA-24h'!H96)</f>
        <v>0</v>
      </c>
      <c r="I96" s="49">
        <f>AVERAGE('25.10.19 KISORO-CYANIKA-24h'!I96)</f>
        <v>0</v>
      </c>
      <c r="J96" s="49">
        <f>AVERAGE('25.10.19 KISORO-CYANIKA-24h'!J96)</f>
        <v>0</v>
      </c>
      <c r="K96" s="49">
        <f>AVERAGE('25.10.19 KISORO-CYANIKA-24h'!K96)</f>
        <v>0</v>
      </c>
      <c r="L96" s="49">
        <f>AVERAGE('25.10.19 KISORO-CYANIKA-24h'!L96)</f>
        <v>0</v>
      </c>
      <c r="M96" s="49">
        <f>AVERAGE('25.10.19 KISORO-CYANIKA-24h'!M96)</f>
        <v>0</v>
      </c>
      <c r="N96" s="49">
        <f>AVERAGE('25.10.19 KISORO-CYANIKA-24h'!N96)</f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23" t="s">
        <v>137</v>
      </c>
      <c r="C97" s="49">
        <f>AVERAGE('25.10.19 KISORO-CYANIKA-24h'!C97)</f>
        <v>0</v>
      </c>
      <c r="D97" s="49">
        <f>AVERAGE('25.10.19 KISORO-CYANIKA-24h'!D97)</f>
        <v>0</v>
      </c>
      <c r="E97" s="49">
        <f>AVERAGE('25.10.19 KISORO-CYANIKA-24h'!E97)</f>
        <v>0</v>
      </c>
      <c r="F97" s="49">
        <f>AVERAGE('25.10.19 KISORO-CYANIKA-24h'!F97)</f>
        <v>0</v>
      </c>
      <c r="G97" s="49">
        <f>AVERAGE('25.10.19 KISORO-CYANIKA-24h'!G97)</f>
        <v>0</v>
      </c>
      <c r="H97" s="49">
        <f>AVERAGE('25.10.19 KISORO-CYANIKA-24h'!H97)</f>
        <v>0</v>
      </c>
      <c r="I97" s="49">
        <f>AVERAGE('25.10.19 KISORO-CYANIKA-24h'!I97)</f>
        <v>0</v>
      </c>
      <c r="J97" s="49">
        <f>AVERAGE('25.10.19 KISORO-CYANIKA-24h'!J97)</f>
        <v>0</v>
      </c>
      <c r="K97" s="49">
        <f>AVERAGE('25.10.19 KISORO-CYANIKA-24h'!K97)</f>
        <v>0</v>
      </c>
      <c r="L97" s="49">
        <f>AVERAGE('25.10.19 KISORO-CYANIKA-24h'!L97)</f>
        <v>0</v>
      </c>
      <c r="M97" s="49">
        <f>AVERAGE('25.10.19 KISORO-CYANIKA-24h'!M97)</f>
        <v>0</v>
      </c>
      <c r="N97" s="49">
        <f>AVERAGE('25.10.19 KISORO-CYANIKA-24h'!N97)</f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24" t="s">
        <v>138</v>
      </c>
      <c r="C98" s="49">
        <f>AVERAGE('25.10.19 KISORO-CYANIKA-24h'!C98)</f>
        <v>0</v>
      </c>
      <c r="D98" s="49">
        <f>AVERAGE('25.10.19 KISORO-CYANIKA-24h'!D98)</f>
        <v>0</v>
      </c>
      <c r="E98" s="49">
        <f>AVERAGE('25.10.19 KISORO-CYANIKA-24h'!E98)</f>
        <v>0</v>
      </c>
      <c r="F98" s="49">
        <f>AVERAGE('25.10.19 KISORO-CYANIKA-24h'!F98)</f>
        <v>0</v>
      </c>
      <c r="G98" s="49">
        <f>AVERAGE('25.10.19 KISORO-CYANIKA-24h'!G98)</f>
        <v>0</v>
      </c>
      <c r="H98" s="49">
        <f>AVERAGE('25.10.19 KISORO-CYANIKA-24h'!H98)</f>
        <v>0</v>
      </c>
      <c r="I98" s="49">
        <f>AVERAGE('25.10.19 KISORO-CYANIKA-24h'!I98)</f>
        <v>0</v>
      </c>
      <c r="J98" s="49">
        <f>AVERAGE('25.10.19 KISORO-CYANIKA-24h'!J98)</f>
        <v>0</v>
      </c>
      <c r="K98" s="49">
        <f>AVERAGE('25.10.19 KISORO-CYANIKA-24h'!K98)</f>
        <v>0</v>
      </c>
      <c r="L98" s="49">
        <f>AVERAGE('25.10.19 KISORO-CYANIKA-24h'!L98)</f>
        <v>0</v>
      </c>
      <c r="M98" s="49">
        <f>AVERAGE('25.10.19 KISORO-CYANIKA-24h'!M98)</f>
        <v>1</v>
      </c>
      <c r="N98" s="49">
        <f>AVERAGE('25.10.19 KISORO-CYANIKA-24h'!N98)</f>
        <v>0</v>
      </c>
      <c r="O98" s="15">
        <f t="shared" si="35"/>
        <v>0</v>
      </c>
      <c r="P98" s="15">
        <f t="shared" si="36"/>
        <v>1</v>
      </c>
      <c r="R98" s="8"/>
      <c r="T98"/>
    </row>
    <row r="99" spans="2:20" ht="23.1" customHeight="1" x14ac:dyDescent="0.25">
      <c r="B99" s="23" t="s">
        <v>139</v>
      </c>
      <c r="C99" s="49">
        <f>AVERAGE('25.10.19 KISORO-CYANIKA-24h'!C99)</f>
        <v>1</v>
      </c>
      <c r="D99" s="49">
        <f>AVERAGE('25.10.19 KISORO-CYANIKA-24h'!D99)</f>
        <v>0</v>
      </c>
      <c r="E99" s="49">
        <f>AVERAGE('25.10.19 KISORO-CYANIKA-24h'!E99)</f>
        <v>0</v>
      </c>
      <c r="F99" s="49">
        <f>AVERAGE('25.10.19 KISORO-CYANIKA-24h'!F99)</f>
        <v>0</v>
      </c>
      <c r="G99" s="49">
        <f>AVERAGE('25.10.19 KISORO-CYANIKA-24h'!G99)</f>
        <v>0</v>
      </c>
      <c r="H99" s="49">
        <f>AVERAGE('25.10.19 KISORO-CYANIKA-24h'!H99)</f>
        <v>0</v>
      </c>
      <c r="I99" s="49">
        <f>AVERAGE('25.10.19 KISORO-CYANIKA-24h'!I99)</f>
        <v>0</v>
      </c>
      <c r="J99" s="49">
        <f>AVERAGE('25.10.19 KISORO-CYANIKA-24h'!J99)</f>
        <v>0</v>
      </c>
      <c r="K99" s="49">
        <f>AVERAGE('25.10.19 KISORO-CYANIKA-24h'!K99)</f>
        <v>0</v>
      </c>
      <c r="L99" s="49">
        <f>AVERAGE('25.10.19 KISORO-CYANIKA-24h'!L99)</f>
        <v>0</v>
      </c>
      <c r="M99" s="49">
        <f>AVERAGE('25.10.19 KISORO-CYANIKA-24h'!M99)</f>
        <v>0</v>
      </c>
      <c r="N99" s="49">
        <f>AVERAGE('25.10.19 KISORO-CYANIKA-24h'!N99)</f>
        <v>0</v>
      </c>
      <c r="O99" s="15">
        <f t="shared" si="35"/>
        <v>1</v>
      </c>
      <c r="P99" s="15">
        <f t="shared" si="36"/>
        <v>1</v>
      </c>
      <c r="R99" s="8"/>
      <c r="T99"/>
    </row>
    <row r="100" spans="2:20" ht="23.1" customHeight="1" x14ac:dyDescent="0.25">
      <c r="B100" s="25" t="s">
        <v>140</v>
      </c>
      <c r="C100" s="49">
        <f>AVERAGE('25.10.19 KISORO-CYANIKA-24h'!C100)</f>
        <v>0</v>
      </c>
      <c r="D100" s="49">
        <f>AVERAGE('25.10.19 KISORO-CYANIKA-24h'!D100)</f>
        <v>0</v>
      </c>
      <c r="E100" s="49">
        <f>AVERAGE('25.10.19 KISORO-CYANIKA-24h'!E100)</f>
        <v>1</v>
      </c>
      <c r="F100" s="49">
        <f>AVERAGE('25.10.19 KISORO-CYANIKA-24h'!F100)</f>
        <v>0</v>
      </c>
      <c r="G100" s="49">
        <f>AVERAGE('25.10.19 KISORO-CYANIKA-24h'!G100)</f>
        <v>0</v>
      </c>
      <c r="H100" s="49">
        <f>AVERAGE('25.10.19 KISORO-CYANIKA-24h'!H100)</f>
        <v>0</v>
      </c>
      <c r="I100" s="49">
        <f>AVERAGE('25.10.19 KISORO-CYANIKA-24h'!I100)</f>
        <v>0</v>
      </c>
      <c r="J100" s="49">
        <f>AVERAGE('25.10.19 KISORO-CYANIKA-24h'!J100)</f>
        <v>0</v>
      </c>
      <c r="K100" s="49">
        <f>AVERAGE('25.10.19 KISORO-CYANIKA-24h'!K100)</f>
        <v>0</v>
      </c>
      <c r="L100" s="49">
        <f>AVERAGE('25.10.19 KISORO-CYANIKA-24h'!L100)</f>
        <v>0</v>
      </c>
      <c r="M100" s="49">
        <f>AVERAGE('25.10.19 KISORO-CYANIKA-24h'!M100)</f>
        <v>2</v>
      </c>
      <c r="N100" s="49">
        <f>AVERAGE('25.10.19 KISORO-CYANIKA-24h'!N100)</f>
        <v>0</v>
      </c>
      <c r="O100" s="15">
        <f t="shared" si="35"/>
        <v>1</v>
      </c>
      <c r="P100" s="15">
        <f t="shared" si="36"/>
        <v>3</v>
      </c>
      <c r="R100" s="8"/>
      <c r="T100"/>
    </row>
    <row r="101" spans="2:20" ht="23.1" customHeight="1" x14ac:dyDescent="0.25">
      <c r="B101" s="23" t="s">
        <v>141</v>
      </c>
      <c r="C101" s="49">
        <f>AVERAGE('25.10.19 KISORO-CYANIKA-24h'!C101)</f>
        <v>2</v>
      </c>
      <c r="D101" s="49">
        <f>AVERAGE('25.10.19 KISORO-CYANIKA-24h'!D101)</f>
        <v>0</v>
      </c>
      <c r="E101" s="49">
        <f>AVERAGE('25.10.19 KISORO-CYANIKA-24h'!E101)</f>
        <v>0</v>
      </c>
      <c r="F101" s="49">
        <f>AVERAGE('25.10.19 KISORO-CYANIKA-24h'!F101)</f>
        <v>0</v>
      </c>
      <c r="G101" s="49">
        <f>AVERAGE('25.10.19 KISORO-CYANIKA-24h'!G101)</f>
        <v>0</v>
      </c>
      <c r="H101" s="49">
        <f>AVERAGE('25.10.19 KISORO-CYANIKA-24h'!H101)</f>
        <v>0</v>
      </c>
      <c r="I101" s="49">
        <f>AVERAGE('25.10.19 KISORO-CYANIKA-24h'!I101)</f>
        <v>0</v>
      </c>
      <c r="J101" s="49">
        <f>AVERAGE('25.10.19 KISORO-CYANIKA-24h'!J101)</f>
        <v>0</v>
      </c>
      <c r="K101" s="49">
        <f>AVERAGE('25.10.19 KISORO-CYANIKA-24h'!K101)</f>
        <v>0</v>
      </c>
      <c r="L101" s="49">
        <f>AVERAGE('25.10.19 KISORO-CYANIKA-24h'!L101)</f>
        <v>0</v>
      </c>
      <c r="M101" s="49">
        <f>AVERAGE('25.10.19 KISORO-CYANIKA-24h'!M101)</f>
        <v>1</v>
      </c>
      <c r="N101" s="49">
        <f>AVERAGE('25.10.19 KISORO-CYANIKA-24h'!N101)</f>
        <v>0</v>
      </c>
      <c r="O101" s="15">
        <f t="shared" si="35"/>
        <v>2</v>
      </c>
      <c r="P101" s="15">
        <f t="shared" si="36"/>
        <v>3</v>
      </c>
      <c r="R101" s="8"/>
      <c r="T101"/>
    </row>
    <row r="102" spans="2:20" ht="23.1" customHeight="1" x14ac:dyDescent="0.25">
      <c r="B102" s="24" t="s">
        <v>142</v>
      </c>
      <c r="C102" s="49">
        <f>AVERAGE('25.10.19 KISORO-CYANIKA-24h'!C102)</f>
        <v>1</v>
      </c>
      <c r="D102" s="49">
        <f>AVERAGE('25.10.19 KISORO-CYANIKA-24h'!D102)</f>
        <v>0</v>
      </c>
      <c r="E102" s="49">
        <f>AVERAGE('25.10.19 KISORO-CYANIKA-24h'!E102)</f>
        <v>0</v>
      </c>
      <c r="F102" s="49">
        <f>AVERAGE('25.10.19 KISORO-CYANIKA-24h'!F102)</f>
        <v>0</v>
      </c>
      <c r="G102" s="49">
        <f>AVERAGE('25.10.19 KISORO-CYANIKA-24h'!G102)</f>
        <v>0</v>
      </c>
      <c r="H102" s="49">
        <f>AVERAGE('25.10.19 KISORO-CYANIKA-24h'!H102)</f>
        <v>0</v>
      </c>
      <c r="I102" s="49">
        <f>AVERAGE('25.10.19 KISORO-CYANIKA-24h'!I102)</f>
        <v>0</v>
      </c>
      <c r="J102" s="49">
        <f>AVERAGE('25.10.19 KISORO-CYANIKA-24h'!J102)</f>
        <v>0</v>
      </c>
      <c r="K102" s="49">
        <f>AVERAGE('25.10.19 KISORO-CYANIKA-24h'!K102)</f>
        <v>0</v>
      </c>
      <c r="L102" s="49">
        <f>AVERAGE('25.10.19 KISORO-CYANIKA-24h'!L102)</f>
        <v>0</v>
      </c>
      <c r="M102" s="49">
        <f>AVERAGE('25.10.19 KISORO-CYANIKA-24h'!M102)</f>
        <v>1</v>
      </c>
      <c r="N102" s="49">
        <f>AVERAGE('25.10.19 KISORO-CYANIKA-24h'!N102)</f>
        <v>0</v>
      </c>
      <c r="O102" s="15">
        <f t="shared" si="35"/>
        <v>1</v>
      </c>
      <c r="P102" s="15">
        <f t="shared" si="36"/>
        <v>2</v>
      </c>
      <c r="R102" s="8"/>
      <c r="T102"/>
    </row>
    <row r="103" spans="2:20" ht="23.1" customHeight="1" x14ac:dyDescent="0.25">
      <c r="B103" s="23" t="s">
        <v>143</v>
      </c>
      <c r="C103" s="49">
        <f>AVERAGE('25.10.19 KISORO-CYANIKA-24h'!C103)</f>
        <v>0</v>
      </c>
      <c r="D103" s="49">
        <f>AVERAGE('25.10.19 KISORO-CYANIKA-24h'!D103)</f>
        <v>1</v>
      </c>
      <c r="E103" s="49">
        <f>AVERAGE('25.10.19 KISORO-CYANIKA-24h'!E103)</f>
        <v>0</v>
      </c>
      <c r="F103" s="49">
        <f>AVERAGE('25.10.19 KISORO-CYANIKA-24h'!F103)</f>
        <v>0</v>
      </c>
      <c r="G103" s="49">
        <f>AVERAGE('25.10.19 KISORO-CYANIKA-24h'!G103)</f>
        <v>0</v>
      </c>
      <c r="H103" s="49">
        <f>AVERAGE('25.10.19 KISORO-CYANIKA-24h'!H103)</f>
        <v>0</v>
      </c>
      <c r="I103" s="49">
        <f>AVERAGE('25.10.19 KISORO-CYANIKA-24h'!I103)</f>
        <v>0</v>
      </c>
      <c r="J103" s="49">
        <f>AVERAGE('25.10.19 KISORO-CYANIKA-24h'!J103)</f>
        <v>0</v>
      </c>
      <c r="K103" s="49">
        <f>AVERAGE('25.10.19 KISORO-CYANIKA-24h'!K103)</f>
        <v>0</v>
      </c>
      <c r="L103" s="49">
        <f>AVERAGE('25.10.19 KISORO-CYANIKA-24h'!L103)</f>
        <v>0</v>
      </c>
      <c r="M103" s="49">
        <f>AVERAGE('25.10.19 KISORO-CYANIKA-24h'!M103)</f>
        <v>2</v>
      </c>
      <c r="N103" s="49">
        <f>AVERAGE('25.10.19 KISORO-CYANIKA-24h'!N103)</f>
        <v>0</v>
      </c>
      <c r="O103" s="15">
        <f t="shared" si="35"/>
        <v>1</v>
      </c>
      <c r="P103" s="15">
        <f t="shared" si="36"/>
        <v>3</v>
      </c>
      <c r="R103" s="8"/>
      <c r="T103"/>
    </row>
    <row r="104" spans="2:20" ht="23.1" customHeight="1" x14ac:dyDescent="0.25">
      <c r="B104" s="25" t="s">
        <v>144</v>
      </c>
      <c r="C104" s="49">
        <f>AVERAGE('25.10.19 KISORO-CYANIKA-24h'!C104)</f>
        <v>0</v>
      </c>
      <c r="D104" s="49">
        <f>AVERAGE('25.10.19 KISORO-CYANIKA-24h'!D104)</f>
        <v>0</v>
      </c>
      <c r="E104" s="49">
        <f>AVERAGE('25.10.19 KISORO-CYANIKA-24h'!E104)</f>
        <v>0</v>
      </c>
      <c r="F104" s="49">
        <f>AVERAGE('25.10.19 KISORO-CYANIKA-24h'!F104)</f>
        <v>0</v>
      </c>
      <c r="G104" s="49">
        <f>AVERAGE('25.10.19 KISORO-CYANIKA-24h'!G104)</f>
        <v>0</v>
      </c>
      <c r="H104" s="49">
        <f>AVERAGE('25.10.19 KISORO-CYANIKA-24h'!H104)</f>
        <v>0</v>
      </c>
      <c r="I104" s="49">
        <f>AVERAGE('25.10.19 KISORO-CYANIKA-24h'!I104)</f>
        <v>1</v>
      </c>
      <c r="J104" s="49">
        <f>AVERAGE('25.10.19 KISORO-CYANIKA-24h'!J104)</f>
        <v>0</v>
      </c>
      <c r="K104" s="49">
        <f>AVERAGE('25.10.19 KISORO-CYANIKA-24h'!K104)</f>
        <v>0</v>
      </c>
      <c r="L104" s="49">
        <f>AVERAGE('25.10.19 KISORO-CYANIKA-24h'!L104)</f>
        <v>0</v>
      </c>
      <c r="M104" s="49">
        <f>AVERAGE('25.10.19 KISORO-CYANIKA-24h'!M104)</f>
        <v>4</v>
      </c>
      <c r="N104" s="49">
        <f>AVERAGE('25.10.19 KISORO-CYANIKA-24h'!N104)</f>
        <v>0</v>
      </c>
      <c r="O104" s="15">
        <f t="shared" si="35"/>
        <v>1</v>
      </c>
      <c r="P104" s="15">
        <f t="shared" si="36"/>
        <v>5</v>
      </c>
      <c r="R104" s="8"/>
      <c r="T104"/>
    </row>
    <row r="105" spans="2:20" ht="23.1" customHeight="1" x14ac:dyDescent="0.25">
      <c r="B105" s="23" t="s">
        <v>145</v>
      </c>
      <c r="C105" s="49">
        <f>AVERAGE('25.10.19 KISORO-CYANIKA-24h'!C105)</f>
        <v>0</v>
      </c>
      <c r="D105" s="49">
        <f>AVERAGE('25.10.19 KISORO-CYANIKA-24h'!D105)</f>
        <v>0</v>
      </c>
      <c r="E105" s="49">
        <f>AVERAGE('25.10.19 KISORO-CYANIKA-24h'!E105)</f>
        <v>0</v>
      </c>
      <c r="F105" s="49">
        <f>AVERAGE('25.10.19 KISORO-CYANIKA-24h'!F105)</f>
        <v>1</v>
      </c>
      <c r="G105" s="49">
        <f>AVERAGE('25.10.19 KISORO-CYANIKA-24h'!G105)</f>
        <v>0</v>
      </c>
      <c r="H105" s="49">
        <f>AVERAGE('25.10.19 KISORO-CYANIKA-24h'!H105)</f>
        <v>0</v>
      </c>
      <c r="I105" s="49">
        <f>AVERAGE('25.10.19 KISORO-CYANIKA-24h'!I105)</f>
        <v>0</v>
      </c>
      <c r="J105" s="49">
        <f>AVERAGE('25.10.19 KISORO-CYANIKA-24h'!J105)</f>
        <v>0</v>
      </c>
      <c r="K105" s="49">
        <f>AVERAGE('25.10.19 KISORO-CYANIKA-24h'!K105)</f>
        <v>0</v>
      </c>
      <c r="L105" s="49">
        <f>AVERAGE('25.10.19 KISORO-CYANIKA-24h'!L105)</f>
        <v>0</v>
      </c>
      <c r="M105" s="49">
        <f>AVERAGE('25.10.19 KISORO-CYANIKA-24h'!M105)</f>
        <v>7</v>
      </c>
      <c r="N105" s="49">
        <f>AVERAGE('25.10.19 KISORO-CYANIKA-24h'!N105)</f>
        <v>0</v>
      </c>
      <c r="O105" s="15">
        <f t="shared" si="35"/>
        <v>1</v>
      </c>
      <c r="P105" s="15">
        <f t="shared" si="36"/>
        <v>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175</v>
      </c>
      <c r="D106" s="16">
        <f t="shared" ref="D106:P106" si="37">SUM(D10:D105)</f>
        <v>60.333333333333329</v>
      </c>
      <c r="E106" s="16">
        <f t="shared" si="37"/>
        <v>47.666666666666664</v>
      </c>
      <c r="F106" s="16">
        <f t="shared" si="37"/>
        <v>8</v>
      </c>
      <c r="G106" s="16">
        <f t="shared" si="37"/>
        <v>0.33333333333333331</v>
      </c>
      <c r="H106" s="16">
        <f t="shared" si="37"/>
        <v>1</v>
      </c>
      <c r="I106" s="16">
        <f t="shared" si="37"/>
        <v>24.000000000000004</v>
      </c>
      <c r="J106" s="16">
        <f t="shared" si="37"/>
        <v>20.666666666666671</v>
      </c>
      <c r="K106" s="16">
        <f t="shared" si="37"/>
        <v>0.33333333333333331</v>
      </c>
      <c r="L106" s="16">
        <f t="shared" si="37"/>
        <v>0</v>
      </c>
      <c r="M106" s="16">
        <f t="shared" si="37"/>
        <v>1997.333333333333</v>
      </c>
      <c r="N106" s="16">
        <f t="shared" si="37"/>
        <v>0</v>
      </c>
      <c r="O106" s="16">
        <f t="shared" si="37"/>
        <v>337.33333333333337</v>
      </c>
      <c r="P106" s="16">
        <f t="shared" si="37"/>
        <v>2334.666666666667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7.4957167332952587E-2</v>
      </c>
      <c r="D107" s="43">
        <f t="shared" si="38"/>
        <v>2.5842375785265558E-2</v>
      </c>
      <c r="E107" s="43">
        <f t="shared" si="38"/>
        <v>2.0416904625928038E-2</v>
      </c>
      <c r="F107" s="43">
        <f t="shared" si="38"/>
        <v>3.4266133637921182E-3</v>
      </c>
      <c r="G107" s="43">
        <f t="shared" si="38"/>
        <v>1.4277555682467159E-4</v>
      </c>
      <c r="H107" s="43">
        <f t="shared" si="38"/>
        <v>4.2832667047401477E-4</v>
      </c>
      <c r="I107" s="43">
        <f t="shared" si="38"/>
        <v>1.0279840091376356E-2</v>
      </c>
      <c r="J107" s="43">
        <f t="shared" si="38"/>
        <v>8.8520845231296417E-3</v>
      </c>
      <c r="K107" s="43">
        <f t="shared" si="38"/>
        <v>1.4277555682467159E-4</v>
      </c>
      <c r="L107" s="43">
        <f t="shared" si="38"/>
        <v>0</v>
      </c>
      <c r="M107" s="43">
        <f t="shared" si="38"/>
        <v>0.85551113649343213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0.51877470355731214</v>
      </c>
      <c r="D108" s="44">
        <f t="shared" ref="D108:N108" si="39">D106/$O$106</f>
        <v>0.17885375494071143</v>
      </c>
      <c r="E108" s="44">
        <f t="shared" si="39"/>
        <v>0.14130434782608695</v>
      </c>
      <c r="F108" s="44">
        <f t="shared" si="39"/>
        <v>2.3715415019762844E-2</v>
      </c>
      <c r="G108" s="44">
        <f t="shared" si="39"/>
        <v>9.8814229249011851E-4</v>
      </c>
      <c r="H108" s="44">
        <f t="shared" si="39"/>
        <v>2.9644268774703555E-3</v>
      </c>
      <c r="I108" s="44">
        <f t="shared" si="39"/>
        <v>7.1146245059288543E-2</v>
      </c>
      <c r="J108" s="44">
        <f t="shared" si="39"/>
        <v>6.1264822134387359E-2</v>
      </c>
      <c r="K108" s="44">
        <f t="shared" si="39"/>
        <v>9.8814229249011851E-4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B1:AF174"/>
  <sheetViews>
    <sheetView tabSelected="1" view="pageBreakPreview" topLeftCell="F22" zoomScale="60" workbookViewId="0">
      <selection activeCell="M101" sqref="M10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2" t="s">
        <v>176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58" t="s">
        <v>175</v>
      </c>
      <c r="H5" s="59"/>
      <c r="I5" s="14"/>
      <c r="J5" s="2" t="s">
        <v>5</v>
      </c>
      <c r="K5" s="58" t="s">
        <v>175</v>
      </c>
      <c r="L5" s="59"/>
      <c r="M5" s="10"/>
      <c r="N5" s="10"/>
      <c r="O5" s="3"/>
      <c r="P5" s="3"/>
    </row>
    <row r="6" spans="2:32" ht="23.25" customHeight="1" x14ac:dyDescent="0.25">
      <c r="C6" s="2" t="s">
        <v>4</v>
      </c>
      <c r="D6" s="70" t="s">
        <v>161</v>
      </c>
      <c r="E6" s="71"/>
      <c r="F6" s="2" t="s">
        <v>2</v>
      </c>
      <c r="G6" s="70" t="s">
        <v>161</v>
      </c>
      <c r="H6" s="71"/>
      <c r="J6" s="2" t="s">
        <v>21</v>
      </c>
      <c r="K6" s="58" t="s">
        <v>168</v>
      </c>
      <c r="L6" s="5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Cyanika-Kisoro'!C10+'Avg Week Kisoro-Cyanika'!C10</f>
        <v>2.6666666666666665</v>
      </c>
      <c r="D10" s="49">
        <f>'Avg Week Cyanika-Kisoro'!D10+'Avg Week Kisoro-Cyanika'!D10</f>
        <v>0.66666666666666663</v>
      </c>
      <c r="E10" s="49">
        <f>'Avg Week Cyanika-Kisoro'!E10+'Avg Week Kisoro-Cyanika'!E10</f>
        <v>0.33333333333333331</v>
      </c>
      <c r="F10" s="49">
        <f>'Avg Week Cyanika-Kisoro'!F10+'Avg Week Kisoro-Cyanika'!F10</f>
        <v>0</v>
      </c>
      <c r="G10" s="49">
        <f>'Avg Week Cyanika-Kisoro'!G10+'Avg Week Kisoro-Cyanika'!G10</f>
        <v>0</v>
      </c>
      <c r="H10" s="49">
        <f>'Avg Week Cyanika-Kisoro'!H10+'Avg Week Kisoro-Cyanika'!H10</f>
        <v>0</v>
      </c>
      <c r="I10" s="49">
        <f>'Avg Week Cyanika-Kisoro'!I10+'Avg Week Kisoro-Cyanika'!I10</f>
        <v>0</v>
      </c>
      <c r="J10" s="49">
        <f>'Avg Week Cyanika-Kisoro'!J10+'Avg Week Kisoro-Cyanika'!J10</f>
        <v>0</v>
      </c>
      <c r="K10" s="49">
        <f>'Avg Week Cyanika-Kisoro'!K10+'Avg Week Kisoro-Cyanika'!K10</f>
        <v>0</v>
      </c>
      <c r="L10" s="49">
        <f>'Avg Week Cyanika-Kisoro'!L10+'Avg Week Kisoro-Cyanika'!L10</f>
        <v>0</v>
      </c>
      <c r="M10" s="49">
        <f>'Avg Week Cyanika-Kisoro'!M10+'Avg Week Kisoro-Cyanika'!M10</f>
        <v>20.333333333333336</v>
      </c>
      <c r="N10" s="49">
        <f>'Avg Week Cyanika-Kisoro'!N10+'Avg Week Kisoro-Cyanika'!N10</f>
        <v>0</v>
      </c>
      <c r="O10" s="15">
        <f t="shared" ref="O10:O73" si="0">SUM(C10:L10,N10)</f>
        <v>3.6666666666666665</v>
      </c>
      <c r="P10" s="15">
        <f t="shared" ref="P10:P73" si="1">SUM(C10:N10)</f>
        <v>24.000000000000004</v>
      </c>
      <c r="R10" s="1" t="s">
        <v>6</v>
      </c>
      <c r="S10" s="17">
        <f t="shared" ref="S10:AF10" si="2">SUM(C10:C13)</f>
        <v>9</v>
      </c>
      <c r="T10" s="17">
        <f t="shared" si="2"/>
        <v>4.6666666666666661</v>
      </c>
      <c r="U10" s="17">
        <f t="shared" si="2"/>
        <v>2.6666666666666665</v>
      </c>
      <c r="V10" s="17">
        <f t="shared" si="2"/>
        <v>0.33333333333333331</v>
      </c>
      <c r="W10" s="17">
        <f t="shared" si="2"/>
        <v>0</v>
      </c>
      <c r="X10" s="17">
        <f t="shared" si="2"/>
        <v>0</v>
      </c>
      <c r="Y10" s="17">
        <f t="shared" si="2"/>
        <v>0.66666666666666663</v>
      </c>
      <c r="Z10" s="17">
        <f t="shared" si="2"/>
        <v>1.3333333333333333</v>
      </c>
      <c r="AA10" s="17">
        <f t="shared" si="2"/>
        <v>0</v>
      </c>
      <c r="AB10" s="17">
        <f t="shared" si="2"/>
        <v>0</v>
      </c>
      <c r="AC10" s="17">
        <f t="shared" si="2"/>
        <v>80.666666666666671</v>
      </c>
      <c r="AD10" s="17">
        <f t="shared" si="2"/>
        <v>0</v>
      </c>
      <c r="AE10" s="31">
        <f t="shared" si="2"/>
        <v>18.666666666666668</v>
      </c>
      <c r="AF10" s="31">
        <f t="shared" si="2"/>
        <v>99.333333333333329</v>
      </c>
    </row>
    <row r="11" spans="2:32" s="6" customFormat="1" ht="23.1" customHeight="1" x14ac:dyDescent="0.25">
      <c r="B11" s="23" t="s">
        <v>38</v>
      </c>
      <c r="C11" s="49">
        <f>'Avg Week Cyanika-Kisoro'!C11+'Avg Week Kisoro-Cyanika'!C11</f>
        <v>2.3333333333333335</v>
      </c>
      <c r="D11" s="49">
        <f>'Avg Week Cyanika-Kisoro'!D11+'Avg Week Kisoro-Cyanika'!D11</f>
        <v>0.66666666666666663</v>
      </c>
      <c r="E11" s="49">
        <f>'Avg Week Cyanika-Kisoro'!E11+'Avg Week Kisoro-Cyanika'!E11</f>
        <v>0.66666666666666663</v>
      </c>
      <c r="F11" s="49">
        <f>'Avg Week Cyanika-Kisoro'!F11+'Avg Week Kisoro-Cyanika'!F11</f>
        <v>0.33333333333333331</v>
      </c>
      <c r="G11" s="49">
        <f>'Avg Week Cyanika-Kisoro'!G11+'Avg Week Kisoro-Cyanika'!G11</f>
        <v>0</v>
      </c>
      <c r="H11" s="49">
        <f>'Avg Week Cyanika-Kisoro'!H11+'Avg Week Kisoro-Cyanika'!H11</f>
        <v>0</v>
      </c>
      <c r="I11" s="49">
        <f>'Avg Week Cyanika-Kisoro'!I11+'Avg Week Kisoro-Cyanika'!I11</f>
        <v>0</v>
      </c>
      <c r="J11" s="49">
        <f>'Avg Week Cyanika-Kisoro'!J11+'Avg Week Kisoro-Cyanika'!J11</f>
        <v>0.66666666666666663</v>
      </c>
      <c r="K11" s="49">
        <f>'Avg Week Cyanika-Kisoro'!K11+'Avg Week Kisoro-Cyanika'!K11</f>
        <v>0</v>
      </c>
      <c r="L11" s="49">
        <f>'Avg Week Cyanika-Kisoro'!L11+'Avg Week Kisoro-Cyanika'!L11</f>
        <v>0</v>
      </c>
      <c r="M11" s="49">
        <f>'Avg Week Cyanika-Kisoro'!M11+'Avg Week Kisoro-Cyanika'!M11</f>
        <v>24</v>
      </c>
      <c r="N11" s="49">
        <f>'Avg Week Cyanika-Kisoro'!N11+'Avg Week Kisoro-Cyanika'!N11</f>
        <v>0</v>
      </c>
      <c r="O11" s="15">
        <f t="shared" si="0"/>
        <v>4.666666666666667</v>
      </c>
      <c r="P11" s="15">
        <f t="shared" si="1"/>
        <v>28.666666666666668</v>
      </c>
      <c r="R11" s="1" t="s">
        <v>7</v>
      </c>
      <c r="S11" s="17">
        <f t="shared" ref="S11:AF11" si="3">SUM(C14:C17)</f>
        <v>7.6666666666666661</v>
      </c>
      <c r="T11" s="17">
        <f t="shared" si="3"/>
        <v>3</v>
      </c>
      <c r="U11" s="17">
        <f t="shared" si="3"/>
        <v>5.333333333333333</v>
      </c>
      <c r="V11" s="17">
        <f t="shared" si="3"/>
        <v>0.33333333333333331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1.3333333333333333</v>
      </c>
      <c r="AA11" s="17">
        <f t="shared" si="3"/>
        <v>0</v>
      </c>
      <c r="AB11" s="17">
        <f t="shared" si="3"/>
        <v>0</v>
      </c>
      <c r="AC11" s="17">
        <f t="shared" si="3"/>
        <v>112</v>
      </c>
      <c r="AD11" s="17">
        <f t="shared" si="3"/>
        <v>0</v>
      </c>
      <c r="AE11" s="31">
        <f t="shared" si="3"/>
        <v>18.666666666666664</v>
      </c>
      <c r="AF11" s="31">
        <f t="shared" si="3"/>
        <v>130.66666666666666</v>
      </c>
    </row>
    <row r="12" spans="2:32" ht="23.1" customHeight="1" x14ac:dyDescent="0.25">
      <c r="B12" s="23" t="s">
        <v>39</v>
      </c>
      <c r="C12" s="49">
        <f>'Avg Week Cyanika-Kisoro'!C12+'Avg Week Kisoro-Cyanika'!C12</f>
        <v>1.3333333333333333</v>
      </c>
      <c r="D12" s="49">
        <f>'Avg Week Cyanika-Kisoro'!D12+'Avg Week Kisoro-Cyanika'!D12</f>
        <v>1.3333333333333333</v>
      </c>
      <c r="E12" s="49">
        <f>'Avg Week Cyanika-Kisoro'!E12+'Avg Week Kisoro-Cyanika'!E12</f>
        <v>0.33333333333333331</v>
      </c>
      <c r="F12" s="49">
        <f>'Avg Week Cyanika-Kisoro'!F12+'Avg Week Kisoro-Cyanika'!F12</f>
        <v>0</v>
      </c>
      <c r="G12" s="49">
        <f>'Avg Week Cyanika-Kisoro'!G12+'Avg Week Kisoro-Cyanika'!G12</f>
        <v>0</v>
      </c>
      <c r="H12" s="49">
        <f>'Avg Week Cyanika-Kisoro'!H12+'Avg Week Kisoro-Cyanika'!H12</f>
        <v>0</v>
      </c>
      <c r="I12" s="49">
        <f>'Avg Week Cyanika-Kisoro'!I12+'Avg Week Kisoro-Cyanika'!I12</f>
        <v>0</v>
      </c>
      <c r="J12" s="49">
        <f>'Avg Week Cyanika-Kisoro'!J12+'Avg Week Kisoro-Cyanika'!J12</f>
        <v>0</v>
      </c>
      <c r="K12" s="49">
        <f>'Avg Week Cyanika-Kisoro'!K12+'Avg Week Kisoro-Cyanika'!K12</f>
        <v>0</v>
      </c>
      <c r="L12" s="49">
        <f>'Avg Week Cyanika-Kisoro'!L12+'Avg Week Kisoro-Cyanika'!L12</f>
        <v>0</v>
      </c>
      <c r="M12" s="49">
        <f>'Avg Week Cyanika-Kisoro'!M12+'Avg Week Kisoro-Cyanika'!M12</f>
        <v>17.333333333333332</v>
      </c>
      <c r="N12" s="49">
        <f>'Avg Week Cyanika-Kisoro'!N12+'Avg Week Kisoro-Cyanika'!N12</f>
        <v>0</v>
      </c>
      <c r="O12" s="15">
        <f t="shared" si="0"/>
        <v>3</v>
      </c>
      <c r="P12" s="15">
        <f t="shared" si="1"/>
        <v>20.333333333333332</v>
      </c>
      <c r="R12" s="1" t="s">
        <v>8</v>
      </c>
      <c r="S12" s="17">
        <f t="shared" ref="S12:AF12" si="4">SUM(C18:C21)</f>
        <v>10.333333333333332</v>
      </c>
      <c r="T12" s="17">
        <f t="shared" si="4"/>
        <v>7</v>
      </c>
      <c r="U12" s="17">
        <f t="shared" si="4"/>
        <v>4.333333333333333</v>
      </c>
      <c r="V12" s="17">
        <f t="shared" si="4"/>
        <v>0.66666666666666663</v>
      </c>
      <c r="W12" s="17">
        <f t="shared" si="4"/>
        <v>0</v>
      </c>
      <c r="X12" s="17">
        <f t="shared" si="4"/>
        <v>0</v>
      </c>
      <c r="Y12" s="17">
        <f t="shared" si="4"/>
        <v>1.3333333333333333</v>
      </c>
      <c r="Z12" s="17">
        <f t="shared" si="4"/>
        <v>4.9999999999999991</v>
      </c>
      <c r="AA12" s="17">
        <f t="shared" si="4"/>
        <v>1.3333333333333333</v>
      </c>
      <c r="AB12" s="17">
        <f t="shared" si="4"/>
        <v>0</v>
      </c>
      <c r="AC12" s="17">
        <f t="shared" si="4"/>
        <v>189.66666666666663</v>
      </c>
      <c r="AD12" s="17">
        <f t="shared" si="4"/>
        <v>0</v>
      </c>
      <c r="AE12" s="31">
        <f t="shared" si="4"/>
        <v>30</v>
      </c>
      <c r="AF12" s="31">
        <f t="shared" si="4"/>
        <v>219.66666666666663</v>
      </c>
    </row>
    <row r="13" spans="2:32" ht="23.1" customHeight="1" x14ac:dyDescent="0.25">
      <c r="B13" s="23" t="s">
        <v>40</v>
      </c>
      <c r="C13" s="49">
        <f>'Avg Week Cyanika-Kisoro'!C13+'Avg Week Kisoro-Cyanika'!C13</f>
        <v>2.6666666666666665</v>
      </c>
      <c r="D13" s="49">
        <f>'Avg Week Cyanika-Kisoro'!D13+'Avg Week Kisoro-Cyanika'!D13</f>
        <v>2</v>
      </c>
      <c r="E13" s="49">
        <f>'Avg Week Cyanika-Kisoro'!E13+'Avg Week Kisoro-Cyanika'!E13</f>
        <v>1.3333333333333333</v>
      </c>
      <c r="F13" s="49">
        <f>'Avg Week Cyanika-Kisoro'!F13+'Avg Week Kisoro-Cyanika'!F13</f>
        <v>0</v>
      </c>
      <c r="G13" s="49">
        <f>'Avg Week Cyanika-Kisoro'!G13+'Avg Week Kisoro-Cyanika'!G13</f>
        <v>0</v>
      </c>
      <c r="H13" s="49">
        <f>'Avg Week Cyanika-Kisoro'!H13+'Avg Week Kisoro-Cyanika'!H13</f>
        <v>0</v>
      </c>
      <c r="I13" s="49">
        <f>'Avg Week Cyanika-Kisoro'!I13+'Avg Week Kisoro-Cyanika'!I13</f>
        <v>0.66666666666666663</v>
      </c>
      <c r="J13" s="49">
        <f>'Avg Week Cyanika-Kisoro'!J13+'Avg Week Kisoro-Cyanika'!J13</f>
        <v>0.66666666666666663</v>
      </c>
      <c r="K13" s="49">
        <f>'Avg Week Cyanika-Kisoro'!K13+'Avg Week Kisoro-Cyanika'!K13</f>
        <v>0</v>
      </c>
      <c r="L13" s="49">
        <f>'Avg Week Cyanika-Kisoro'!L13+'Avg Week Kisoro-Cyanika'!L13</f>
        <v>0</v>
      </c>
      <c r="M13" s="49">
        <f>'Avg Week Cyanika-Kisoro'!M13+'Avg Week Kisoro-Cyanika'!M13</f>
        <v>19</v>
      </c>
      <c r="N13" s="49">
        <f>'Avg Week Cyanika-Kisoro'!N13+'Avg Week Kisoro-Cyanika'!N13</f>
        <v>0</v>
      </c>
      <c r="O13" s="15">
        <f t="shared" si="0"/>
        <v>7.333333333333333</v>
      </c>
      <c r="P13" s="15">
        <f t="shared" si="1"/>
        <v>26.333333333333332</v>
      </c>
      <c r="R13" s="1" t="s">
        <v>9</v>
      </c>
      <c r="S13" s="17">
        <f t="shared" ref="S13:AF13" si="5">SUM(C22:C25)</f>
        <v>15.333333333333334</v>
      </c>
      <c r="T13" s="17">
        <f t="shared" si="5"/>
        <v>5.9999999999999991</v>
      </c>
      <c r="U13" s="17">
        <f t="shared" si="5"/>
        <v>7.333333333333333</v>
      </c>
      <c r="V13" s="17">
        <f t="shared" si="5"/>
        <v>1.6666666666666665</v>
      </c>
      <c r="W13" s="17">
        <f t="shared" si="5"/>
        <v>0.33333333333333331</v>
      </c>
      <c r="X13" s="17">
        <f t="shared" si="5"/>
        <v>0</v>
      </c>
      <c r="Y13" s="17">
        <f t="shared" si="5"/>
        <v>2.9999999999999996</v>
      </c>
      <c r="Z13" s="17">
        <f t="shared" si="5"/>
        <v>4.6666666666666661</v>
      </c>
      <c r="AA13" s="17">
        <f t="shared" si="5"/>
        <v>0.33333333333333331</v>
      </c>
      <c r="AB13" s="17">
        <f t="shared" si="5"/>
        <v>0</v>
      </c>
      <c r="AC13" s="17">
        <f t="shared" si="5"/>
        <v>249</v>
      </c>
      <c r="AD13" s="17">
        <f t="shared" si="5"/>
        <v>0</v>
      </c>
      <c r="AE13" s="31">
        <f t="shared" si="5"/>
        <v>38.666666666666664</v>
      </c>
      <c r="AF13" s="31">
        <f t="shared" si="5"/>
        <v>287.66666666666669</v>
      </c>
    </row>
    <row r="14" spans="2:32" ht="23.1" customHeight="1" x14ac:dyDescent="0.25">
      <c r="B14" s="23" t="s">
        <v>41</v>
      </c>
      <c r="C14" s="49">
        <f>'Avg Week Cyanika-Kisoro'!C14+'Avg Week Kisoro-Cyanika'!C14</f>
        <v>2</v>
      </c>
      <c r="D14" s="49">
        <f>'Avg Week Cyanika-Kisoro'!D14+'Avg Week Kisoro-Cyanika'!D14</f>
        <v>1</v>
      </c>
      <c r="E14" s="49">
        <f>'Avg Week Cyanika-Kisoro'!E14+'Avg Week Kisoro-Cyanika'!E14</f>
        <v>2.333333333333333</v>
      </c>
      <c r="F14" s="49">
        <f>'Avg Week Cyanika-Kisoro'!F14+'Avg Week Kisoro-Cyanika'!F14</f>
        <v>0</v>
      </c>
      <c r="G14" s="49">
        <f>'Avg Week Cyanika-Kisoro'!G14+'Avg Week Kisoro-Cyanika'!G14</f>
        <v>0</v>
      </c>
      <c r="H14" s="49">
        <f>'Avg Week Cyanika-Kisoro'!H14+'Avg Week Kisoro-Cyanika'!H14</f>
        <v>0</v>
      </c>
      <c r="I14" s="49">
        <f>'Avg Week Cyanika-Kisoro'!I14+'Avg Week Kisoro-Cyanika'!I14</f>
        <v>0.33333333333333331</v>
      </c>
      <c r="J14" s="49">
        <f>'Avg Week Cyanika-Kisoro'!J14+'Avg Week Kisoro-Cyanika'!J14</f>
        <v>0</v>
      </c>
      <c r="K14" s="49">
        <f>'Avg Week Cyanika-Kisoro'!K14+'Avg Week Kisoro-Cyanika'!K14</f>
        <v>0</v>
      </c>
      <c r="L14" s="49">
        <f>'Avg Week Cyanika-Kisoro'!L14+'Avg Week Kisoro-Cyanika'!L14</f>
        <v>0</v>
      </c>
      <c r="M14" s="49">
        <f>'Avg Week Cyanika-Kisoro'!M14+'Avg Week Kisoro-Cyanika'!M14</f>
        <v>20.666666666666664</v>
      </c>
      <c r="N14" s="49">
        <f>'Avg Week Cyanika-Kisoro'!N14+'Avg Week Kisoro-Cyanika'!N14</f>
        <v>0</v>
      </c>
      <c r="O14" s="15">
        <f t="shared" si="0"/>
        <v>5.6666666666666661</v>
      </c>
      <c r="P14" s="15">
        <f t="shared" si="1"/>
        <v>26.333333333333329</v>
      </c>
      <c r="R14" s="1" t="s">
        <v>10</v>
      </c>
      <c r="S14" s="17">
        <f t="shared" ref="S14:AF14" si="6">SUM(C26:C29)</f>
        <v>20</v>
      </c>
      <c r="T14" s="17">
        <f t="shared" si="6"/>
        <v>8.6666666666666661</v>
      </c>
      <c r="U14" s="17">
        <f t="shared" si="6"/>
        <v>3.6666666666666661</v>
      </c>
      <c r="V14" s="17">
        <f t="shared" si="6"/>
        <v>0.66666666666666663</v>
      </c>
      <c r="W14" s="17">
        <f t="shared" si="6"/>
        <v>0</v>
      </c>
      <c r="X14" s="17">
        <f t="shared" si="6"/>
        <v>0.33333333333333331</v>
      </c>
      <c r="Y14" s="17">
        <f t="shared" si="6"/>
        <v>2.6666666666666665</v>
      </c>
      <c r="Z14" s="17">
        <f t="shared" si="6"/>
        <v>1.9999999999999998</v>
      </c>
      <c r="AA14" s="17">
        <f t="shared" si="6"/>
        <v>0</v>
      </c>
      <c r="AB14" s="17">
        <f t="shared" si="6"/>
        <v>0</v>
      </c>
      <c r="AC14" s="17">
        <f t="shared" si="6"/>
        <v>270.33333333333331</v>
      </c>
      <c r="AD14" s="17">
        <f t="shared" si="6"/>
        <v>0</v>
      </c>
      <c r="AE14" s="31">
        <f t="shared" si="6"/>
        <v>38</v>
      </c>
      <c r="AF14" s="31">
        <f t="shared" si="6"/>
        <v>308.33333333333337</v>
      </c>
    </row>
    <row r="15" spans="2:32" ht="23.1" customHeight="1" x14ac:dyDescent="0.25">
      <c r="B15" s="23" t="s">
        <v>42</v>
      </c>
      <c r="C15" s="49">
        <f>'Avg Week Cyanika-Kisoro'!C15+'Avg Week Kisoro-Cyanika'!C15</f>
        <v>1.3333333333333333</v>
      </c>
      <c r="D15" s="49">
        <f>'Avg Week Cyanika-Kisoro'!D15+'Avg Week Kisoro-Cyanika'!D15</f>
        <v>0</v>
      </c>
      <c r="E15" s="49">
        <f>'Avg Week Cyanika-Kisoro'!E15+'Avg Week Kisoro-Cyanika'!E15</f>
        <v>0.66666666666666663</v>
      </c>
      <c r="F15" s="49">
        <f>'Avg Week Cyanika-Kisoro'!F15+'Avg Week Kisoro-Cyanika'!F15</f>
        <v>0.33333333333333331</v>
      </c>
      <c r="G15" s="49">
        <f>'Avg Week Cyanika-Kisoro'!G15+'Avg Week Kisoro-Cyanika'!G15</f>
        <v>0</v>
      </c>
      <c r="H15" s="49">
        <f>'Avg Week Cyanika-Kisoro'!H15+'Avg Week Kisoro-Cyanika'!H15</f>
        <v>0</v>
      </c>
      <c r="I15" s="49">
        <f>'Avg Week Cyanika-Kisoro'!I15+'Avg Week Kisoro-Cyanika'!I15</f>
        <v>0.33333333333333331</v>
      </c>
      <c r="J15" s="49">
        <f>'Avg Week Cyanika-Kisoro'!J15+'Avg Week Kisoro-Cyanika'!J15</f>
        <v>0.66666666666666663</v>
      </c>
      <c r="K15" s="49">
        <f>'Avg Week Cyanika-Kisoro'!K15+'Avg Week Kisoro-Cyanika'!K15</f>
        <v>0</v>
      </c>
      <c r="L15" s="49">
        <f>'Avg Week Cyanika-Kisoro'!L15+'Avg Week Kisoro-Cyanika'!L15</f>
        <v>0</v>
      </c>
      <c r="M15" s="49">
        <f>'Avg Week Cyanika-Kisoro'!M15+'Avg Week Kisoro-Cyanika'!M15</f>
        <v>25</v>
      </c>
      <c r="N15" s="49">
        <f>'Avg Week Cyanika-Kisoro'!N15+'Avg Week Kisoro-Cyanika'!N15</f>
        <v>0</v>
      </c>
      <c r="O15" s="15">
        <f t="shared" si="0"/>
        <v>3.3333333333333335</v>
      </c>
      <c r="P15" s="15">
        <f t="shared" si="1"/>
        <v>28.333333333333332</v>
      </c>
      <c r="R15" s="1" t="s">
        <v>11</v>
      </c>
      <c r="S15" s="17">
        <f t="shared" ref="S15:AF15" si="7">SUM(C30:C33)</f>
        <v>13.666666666666666</v>
      </c>
      <c r="T15" s="17">
        <f t="shared" si="7"/>
        <v>6</v>
      </c>
      <c r="U15" s="17">
        <f t="shared" si="7"/>
        <v>8</v>
      </c>
      <c r="V15" s="17">
        <f t="shared" si="7"/>
        <v>0.33333333333333331</v>
      </c>
      <c r="W15" s="17">
        <f t="shared" si="7"/>
        <v>0</v>
      </c>
      <c r="X15" s="17">
        <f t="shared" si="7"/>
        <v>0</v>
      </c>
      <c r="Y15" s="17">
        <f t="shared" si="7"/>
        <v>3.333333333333333</v>
      </c>
      <c r="Z15" s="17">
        <f t="shared" si="7"/>
        <v>4.333333333333333</v>
      </c>
      <c r="AA15" s="17">
        <f t="shared" si="7"/>
        <v>0</v>
      </c>
      <c r="AB15" s="17">
        <f t="shared" si="7"/>
        <v>0</v>
      </c>
      <c r="AC15" s="17">
        <f t="shared" si="7"/>
        <v>247.66666666666669</v>
      </c>
      <c r="AD15" s="17">
        <f t="shared" si="7"/>
        <v>0</v>
      </c>
      <c r="AE15" s="31">
        <f t="shared" si="7"/>
        <v>35.666666666666657</v>
      </c>
      <c r="AF15" s="31">
        <f t="shared" si="7"/>
        <v>283.33333333333331</v>
      </c>
    </row>
    <row r="16" spans="2:32" ht="23.1" customHeight="1" x14ac:dyDescent="0.25">
      <c r="B16" s="23" t="s">
        <v>43</v>
      </c>
      <c r="C16" s="49">
        <f>'Avg Week Cyanika-Kisoro'!C16+'Avg Week Kisoro-Cyanika'!C16</f>
        <v>1.6666666666666665</v>
      </c>
      <c r="D16" s="49">
        <f>'Avg Week Cyanika-Kisoro'!D16+'Avg Week Kisoro-Cyanika'!D16</f>
        <v>1.6666666666666665</v>
      </c>
      <c r="E16" s="49">
        <f>'Avg Week Cyanika-Kisoro'!E16+'Avg Week Kisoro-Cyanika'!E16</f>
        <v>0.33333333333333331</v>
      </c>
      <c r="F16" s="49">
        <f>'Avg Week Cyanika-Kisoro'!F16+'Avg Week Kisoro-Cyanika'!F16</f>
        <v>0</v>
      </c>
      <c r="G16" s="49">
        <f>'Avg Week Cyanika-Kisoro'!G16+'Avg Week Kisoro-Cyanika'!G16</f>
        <v>0</v>
      </c>
      <c r="H16" s="49">
        <f>'Avg Week Cyanika-Kisoro'!H16+'Avg Week Kisoro-Cyanika'!H16</f>
        <v>0</v>
      </c>
      <c r="I16" s="49">
        <f>'Avg Week Cyanika-Kisoro'!I16+'Avg Week Kisoro-Cyanika'!I16</f>
        <v>0.33333333333333331</v>
      </c>
      <c r="J16" s="49">
        <f>'Avg Week Cyanika-Kisoro'!J16+'Avg Week Kisoro-Cyanika'!J16</f>
        <v>0.33333333333333331</v>
      </c>
      <c r="K16" s="49">
        <f>'Avg Week Cyanika-Kisoro'!K16+'Avg Week Kisoro-Cyanika'!K16</f>
        <v>0</v>
      </c>
      <c r="L16" s="49">
        <f>'Avg Week Cyanika-Kisoro'!L16+'Avg Week Kisoro-Cyanika'!L16</f>
        <v>0</v>
      </c>
      <c r="M16" s="49">
        <f>'Avg Week Cyanika-Kisoro'!M16+'Avg Week Kisoro-Cyanika'!M16</f>
        <v>31.666666666666664</v>
      </c>
      <c r="N16" s="49">
        <f>'Avg Week Cyanika-Kisoro'!N16+'Avg Week Kisoro-Cyanika'!N16</f>
        <v>0</v>
      </c>
      <c r="O16" s="15">
        <f t="shared" si="0"/>
        <v>4.333333333333333</v>
      </c>
      <c r="P16" s="15">
        <f t="shared" si="1"/>
        <v>36</v>
      </c>
      <c r="R16" s="1" t="s">
        <v>12</v>
      </c>
      <c r="S16" s="17">
        <f t="shared" ref="S16:AF16" si="8">SUM(C34:C37)</f>
        <v>16.666666666666664</v>
      </c>
      <c r="T16" s="17">
        <f t="shared" si="8"/>
        <v>8.6666666666666661</v>
      </c>
      <c r="U16" s="17">
        <f t="shared" si="8"/>
        <v>6.6666666666666661</v>
      </c>
      <c r="V16" s="17">
        <f t="shared" si="8"/>
        <v>0.66666666666666663</v>
      </c>
      <c r="W16" s="17">
        <f t="shared" si="8"/>
        <v>0</v>
      </c>
      <c r="X16" s="17">
        <f t="shared" si="8"/>
        <v>0</v>
      </c>
      <c r="Y16" s="17">
        <f t="shared" si="8"/>
        <v>3.6666666666666661</v>
      </c>
      <c r="Z16" s="17">
        <f t="shared" si="8"/>
        <v>2.333333333333333</v>
      </c>
      <c r="AA16" s="17">
        <f t="shared" si="8"/>
        <v>0</v>
      </c>
      <c r="AB16" s="17">
        <f t="shared" si="8"/>
        <v>0</v>
      </c>
      <c r="AC16" s="17">
        <f t="shared" si="8"/>
        <v>247.66666666666669</v>
      </c>
      <c r="AD16" s="17">
        <f t="shared" si="8"/>
        <v>0</v>
      </c>
      <c r="AE16" s="31">
        <f t="shared" si="8"/>
        <v>38.666666666666671</v>
      </c>
      <c r="AF16" s="31">
        <f t="shared" si="8"/>
        <v>286.33333333333331</v>
      </c>
    </row>
    <row r="17" spans="2:32" ht="23.1" customHeight="1" x14ac:dyDescent="0.25">
      <c r="B17" s="23" t="s">
        <v>44</v>
      </c>
      <c r="C17" s="49">
        <f>'Avg Week Cyanika-Kisoro'!C17+'Avg Week Kisoro-Cyanika'!C17</f>
        <v>2.6666666666666665</v>
      </c>
      <c r="D17" s="49">
        <f>'Avg Week Cyanika-Kisoro'!D17+'Avg Week Kisoro-Cyanika'!D17</f>
        <v>0.33333333333333331</v>
      </c>
      <c r="E17" s="49">
        <f>'Avg Week Cyanika-Kisoro'!E17+'Avg Week Kisoro-Cyanika'!E17</f>
        <v>2</v>
      </c>
      <c r="F17" s="49">
        <f>'Avg Week Cyanika-Kisoro'!F17+'Avg Week Kisoro-Cyanika'!F17</f>
        <v>0</v>
      </c>
      <c r="G17" s="49">
        <f>'Avg Week Cyanika-Kisoro'!G17+'Avg Week Kisoro-Cyanika'!G17</f>
        <v>0</v>
      </c>
      <c r="H17" s="49">
        <f>'Avg Week Cyanika-Kisoro'!H17+'Avg Week Kisoro-Cyanika'!H17</f>
        <v>0</v>
      </c>
      <c r="I17" s="49">
        <f>'Avg Week Cyanika-Kisoro'!I17+'Avg Week Kisoro-Cyanika'!I17</f>
        <v>0</v>
      </c>
      <c r="J17" s="49">
        <f>'Avg Week Cyanika-Kisoro'!J17+'Avg Week Kisoro-Cyanika'!J17</f>
        <v>0.33333333333333331</v>
      </c>
      <c r="K17" s="49">
        <f>'Avg Week Cyanika-Kisoro'!K17+'Avg Week Kisoro-Cyanika'!K17</f>
        <v>0</v>
      </c>
      <c r="L17" s="49">
        <f>'Avg Week Cyanika-Kisoro'!L17+'Avg Week Kisoro-Cyanika'!L17</f>
        <v>0</v>
      </c>
      <c r="M17" s="49">
        <f>'Avg Week Cyanika-Kisoro'!M17+'Avg Week Kisoro-Cyanika'!M17</f>
        <v>34.666666666666664</v>
      </c>
      <c r="N17" s="49">
        <f>'Avg Week Cyanika-Kisoro'!N17+'Avg Week Kisoro-Cyanika'!N17</f>
        <v>0</v>
      </c>
      <c r="O17" s="15">
        <f t="shared" si="0"/>
        <v>5.333333333333333</v>
      </c>
      <c r="P17" s="15">
        <f t="shared" si="1"/>
        <v>40</v>
      </c>
      <c r="R17" s="1" t="s">
        <v>13</v>
      </c>
      <c r="S17" s="17">
        <f t="shared" ref="S17:AF17" si="9">SUM(C38:C41)</f>
        <v>14.333333333333334</v>
      </c>
      <c r="T17" s="17">
        <f t="shared" si="9"/>
        <v>7</v>
      </c>
      <c r="U17" s="17">
        <f t="shared" si="9"/>
        <v>6.3333333333333339</v>
      </c>
      <c r="V17" s="17">
        <f t="shared" si="9"/>
        <v>0.33333333333333331</v>
      </c>
      <c r="W17" s="17">
        <f t="shared" si="9"/>
        <v>0</v>
      </c>
      <c r="X17" s="17">
        <f t="shared" si="9"/>
        <v>1</v>
      </c>
      <c r="Y17" s="17">
        <f t="shared" si="9"/>
        <v>3.333333333333333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269</v>
      </c>
      <c r="AD17" s="17">
        <f t="shared" si="9"/>
        <v>0</v>
      </c>
      <c r="AE17" s="31">
        <f t="shared" si="9"/>
        <v>35.333333333333329</v>
      </c>
      <c r="AF17" s="31">
        <f t="shared" si="9"/>
        <v>304.33333333333337</v>
      </c>
    </row>
    <row r="18" spans="2:32" ht="23.1" customHeight="1" x14ac:dyDescent="0.25">
      <c r="B18" s="23" t="s">
        <v>45</v>
      </c>
      <c r="C18" s="49">
        <f>'Avg Week Cyanika-Kisoro'!C18+'Avg Week Kisoro-Cyanika'!C18</f>
        <v>2.6666666666666665</v>
      </c>
      <c r="D18" s="49">
        <f>'Avg Week Cyanika-Kisoro'!D18+'Avg Week Kisoro-Cyanika'!D18</f>
        <v>1.6666666666666665</v>
      </c>
      <c r="E18" s="49">
        <f>'Avg Week Cyanika-Kisoro'!E18+'Avg Week Kisoro-Cyanika'!E18</f>
        <v>0.66666666666666663</v>
      </c>
      <c r="F18" s="49">
        <f>'Avg Week Cyanika-Kisoro'!F18+'Avg Week Kisoro-Cyanika'!F18</f>
        <v>0</v>
      </c>
      <c r="G18" s="49">
        <f>'Avg Week Cyanika-Kisoro'!G18+'Avg Week Kisoro-Cyanika'!G18</f>
        <v>0</v>
      </c>
      <c r="H18" s="49">
        <f>'Avg Week Cyanika-Kisoro'!H18+'Avg Week Kisoro-Cyanika'!H18</f>
        <v>0</v>
      </c>
      <c r="I18" s="49">
        <f>'Avg Week Cyanika-Kisoro'!I18+'Avg Week Kisoro-Cyanika'!I18</f>
        <v>0</v>
      </c>
      <c r="J18" s="49">
        <f>'Avg Week Cyanika-Kisoro'!J18+'Avg Week Kisoro-Cyanika'!J18</f>
        <v>1.3333333333333333</v>
      </c>
      <c r="K18" s="49">
        <f>'Avg Week Cyanika-Kisoro'!K18+'Avg Week Kisoro-Cyanika'!K18</f>
        <v>0.33333333333333331</v>
      </c>
      <c r="L18" s="49">
        <f>'Avg Week Cyanika-Kisoro'!L18+'Avg Week Kisoro-Cyanika'!L18</f>
        <v>0</v>
      </c>
      <c r="M18" s="49">
        <f>'Avg Week Cyanika-Kisoro'!M18+'Avg Week Kisoro-Cyanika'!M18</f>
        <v>40.666666666666671</v>
      </c>
      <c r="N18" s="49">
        <f>'Avg Week Cyanika-Kisoro'!N18+'Avg Week Kisoro-Cyanika'!N18</f>
        <v>0</v>
      </c>
      <c r="O18" s="15">
        <f t="shared" si="0"/>
        <v>6.6666666666666661</v>
      </c>
      <c r="P18" s="15">
        <f t="shared" si="1"/>
        <v>47.333333333333336</v>
      </c>
      <c r="R18" s="1" t="s">
        <v>14</v>
      </c>
      <c r="S18" s="17">
        <f t="shared" ref="S18:AF18" si="10">SUM(C42:C45)</f>
        <v>20.333333333333332</v>
      </c>
      <c r="T18" s="17">
        <f t="shared" si="10"/>
        <v>9</v>
      </c>
      <c r="U18" s="17">
        <f t="shared" si="10"/>
        <v>5.333333333333333</v>
      </c>
      <c r="V18" s="17">
        <f t="shared" si="10"/>
        <v>0.33333333333333331</v>
      </c>
      <c r="W18" s="17">
        <f t="shared" si="10"/>
        <v>0</v>
      </c>
      <c r="X18" s="17">
        <f t="shared" si="10"/>
        <v>0</v>
      </c>
      <c r="Y18" s="17">
        <f t="shared" si="10"/>
        <v>1.6666666666666665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303</v>
      </c>
      <c r="AD18" s="17">
        <f t="shared" si="10"/>
        <v>0</v>
      </c>
      <c r="AE18" s="31">
        <f t="shared" si="10"/>
        <v>39.666666666666664</v>
      </c>
      <c r="AF18" s="31">
        <f t="shared" si="10"/>
        <v>342.66666666666674</v>
      </c>
    </row>
    <row r="19" spans="2:32" ht="23.1" customHeight="1" x14ac:dyDescent="0.25">
      <c r="B19" s="23" t="s">
        <v>46</v>
      </c>
      <c r="C19" s="49">
        <f>'Avg Week Cyanika-Kisoro'!C19+'Avg Week Kisoro-Cyanika'!C19</f>
        <v>2</v>
      </c>
      <c r="D19" s="49">
        <f>'Avg Week Cyanika-Kisoro'!D19+'Avg Week Kisoro-Cyanika'!D19</f>
        <v>2.333333333333333</v>
      </c>
      <c r="E19" s="49">
        <f>'Avg Week Cyanika-Kisoro'!E19+'Avg Week Kisoro-Cyanika'!E19</f>
        <v>1.3333333333333333</v>
      </c>
      <c r="F19" s="49">
        <f>'Avg Week Cyanika-Kisoro'!F19+'Avg Week Kisoro-Cyanika'!F19</f>
        <v>0.66666666666666663</v>
      </c>
      <c r="G19" s="49">
        <f>'Avg Week Cyanika-Kisoro'!G19+'Avg Week Kisoro-Cyanika'!G19</f>
        <v>0</v>
      </c>
      <c r="H19" s="49">
        <f>'Avg Week Cyanika-Kisoro'!H19+'Avg Week Kisoro-Cyanika'!H19</f>
        <v>0</v>
      </c>
      <c r="I19" s="49">
        <f>'Avg Week Cyanika-Kisoro'!I19+'Avg Week Kisoro-Cyanika'!I19</f>
        <v>1</v>
      </c>
      <c r="J19" s="49">
        <f>'Avg Week Cyanika-Kisoro'!J19+'Avg Week Kisoro-Cyanika'!J19</f>
        <v>0</v>
      </c>
      <c r="K19" s="49">
        <f>'Avg Week Cyanika-Kisoro'!K19+'Avg Week Kisoro-Cyanika'!K19</f>
        <v>0</v>
      </c>
      <c r="L19" s="49">
        <f>'Avg Week Cyanika-Kisoro'!L19+'Avg Week Kisoro-Cyanika'!L19</f>
        <v>0</v>
      </c>
      <c r="M19" s="49">
        <f>'Avg Week Cyanika-Kisoro'!M19+'Avg Week Kisoro-Cyanika'!M19</f>
        <v>43.333333333333329</v>
      </c>
      <c r="N19" s="49">
        <f>'Avg Week Cyanika-Kisoro'!N19+'Avg Week Kisoro-Cyanika'!N19</f>
        <v>0</v>
      </c>
      <c r="O19" s="15">
        <f t="shared" si="0"/>
        <v>7.333333333333333</v>
      </c>
      <c r="P19" s="15">
        <f t="shared" si="1"/>
        <v>50.666666666666664</v>
      </c>
      <c r="R19" s="1" t="s">
        <v>15</v>
      </c>
      <c r="S19" s="17">
        <f t="shared" ref="S19:AF19" si="11">SUM(C46:C49)</f>
        <v>20.333333333333332</v>
      </c>
      <c r="T19" s="17">
        <f t="shared" si="11"/>
        <v>10.333333333333334</v>
      </c>
      <c r="U19" s="17">
        <f t="shared" si="11"/>
        <v>5.6666666666666661</v>
      </c>
      <c r="V19" s="17">
        <f t="shared" si="11"/>
        <v>0.33333333333333331</v>
      </c>
      <c r="W19" s="17">
        <f t="shared" si="11"/>
        <v>0</v>
      </c>
      <c r="X19" s="17">
        <f t="shared" si="11"/>
        <v>0.33333333333333331</v>
      </c>
      <c r="Y19" s="17">
        <f t="shared" si="11"/>
        <v>1.6666666666666665</v>
      </c>
      <c r="Z19" s="17">
        <f t="shared" si="11"/>
        <v>4.333333333333333</v>
      </c>
      <c r="AA19" s="17">
        <f t="shared" si="11"/>
        <v>0</v>
      </c>
      <c r="AB19" s="17">
        <f t="shared" si="11"/>
        <v>0</v>
      </c>
      <c r="AC19" s="17">
        <f t="shared" si="11"/>
        <v>319.33333333333331</v>
      </c>
      <c r="AD19" s="17">
        <f t="shared" si="11"/>
        <v>0</v>
      </c>
      <c r="AE19" s="31">
        <f t="shared" si="11"/>
        <v>43</v>
      </c>
      <c r="AF19" s="31">
        <f t="shared" si="11"/>
        <v>362.33333333333331</v>
      </c>
    </row>
    <row r="20" spans="2:32" ht="23.1" customHeight="1" x14ac:dyDescent="0.25">
      <c r="B20" s="23" t="s">
        <v>47</v>
      </c>
      <c r="C20" s="49">
        <f>'Avg Week Cyanika-Kisoro'!C20+'Avg Week Kisoro-Cyanika'!C20</f>
        <v>3</v>
      </c>
      <c r="D20" s="49">
        <f>'Avg Week Cyanika-Kisoro'!D20+'Avg Week Kisoro-Cyanika'!D20</f>
        <v>2</v>
      </c>
      <c r="E20" s="49">
        <f>'Avg Week Cyanika-Kisoro'!E20+'Avg Week Kisoro-Cyanika'!E20</f>
        <v>2</v>
      </c>
      <c r="F20" s="49">
        <f>'Avg Week Cyanika-Kisoro'!F20+'Avg Week Kisoro-Cyanika'!F20</f>
        <v>0</v>
      </c>
      <c r="G20" s="49">
        <f>'Avg Week Cyanika-Kisoro'!G20+'Avg Week Kisoro-Cyanika'!G20</f>
        <v>0</v>
      </c>
      <c r="H20" s="49">
        <f>'Avg Week Cyanika-Kisoro'!H20+'Avg Week Kisoro-Cyanika'!H20</f>
        <v>0</v>
      </c>
      <c r="I20" s="49">
        <f>'Avg Week Cyanika-Kisoro'!I20+'Avg Week Kisoro-Cyanika'!I20</f>
        <v>0</v>
      </c>
      <c r="J20" s="49">
        <f>'Avg Week Cyanika-Kisoro'!J20+'Avg Week Kisoro-Cyanika'!J20</f>
        <v>2.333333333333333</v>
      </c>
      <c r="K20" s="49">
        <f>'Avg Week Cyanika-Kisoro'!K20+'Avg Week Kisoro-Cyanika'!K20</f>
        <v>0.66666666666666663</v>
      </c>
      <c r="L20" s="49">
        <f>'Avg Week Cyanika-Kisoro'!L20+'Avg Week Kisoro-Cyanika'!L20</f>
        <v>0</v>
      </c>
      <c r="M20" s="49">
        <f>'Avg Week Cyanika-Kisoro'!M20+'Avg Week Kisoro-Cyanika'!M20</f>
        <v>52.333333333333329</v>
      </c>
      <c r="N20" s="49">
        <f>'Avg Week Cyanika-Kisoro'!N20+'Avg Week Kisoro-Cyanika'!N20</f>
        <v>0</v>
      </c>
      <c r="O20" s="15">
        <f t="shared" si="0"/>
        <v>9.9999999999999982</v>
      </c>
      <c r="P20" s="15">
        <f t="shared" si="1"/>
        <v>62.333333333333329</v>
      </c>
      <c r="R20" s="1" t="s">
        <v>16</v>
      </c>
      <c r="S20" s="17">
        <f t="shared" ref="S20:AF20" si="12">SUM(C50:C53)</f>
        <v>17</v>
      </c>
      <c r="T20" s="17">
        <f t="shared" si="12"/>
        <v>10.333333333333332</v>
      </c>
      <c r="U20" s="17">
        <f t="shared" si="12"/>
        <v>7.3333333333333339</v>
      </c>
      <c r="V20" s="17">
        <f t="shared" si="12"/>
        <v>0.66666666666666663</v>
      </c>
      <c r="W20" s="17">
        <f t="shared" si="12"/>
        <v>0</v>
      </c>
      <c r="X20" s="17">
        <f t="shared" si="12"/>
        <v>0</v>
      </c>
      <c r="Y20" s="17">
        <f t="shared" si="12"/>
        <v>2.3333333333333335</v>
      </c>
      <c r="Z20" s="17">
        <f t="shared" si="12"/>
        <v>5.0000000000000009</v>
      </c>
      <c r="AA20" s="17">
        <f t="shared" si="12"/>
        <v>0</v>
      </c>
      <c r="AB20" s="17">
        <f t="shared" si="12"/>
        <v>0</v>
      </c>
      <c r="AC20" s="17">
        <f t="shared" si="12"/>
        <v>320</v>
      </c>
      <c r="AD20" s="17">
        <f t="shared" si="12"/>
        <v>0</v>
      </c>
      <c r="AE20" s="31">
        <f t="shared" si="12"/>
        <v>42.666666666666664</v>
      </c>
      <c r="AF20" s="31">
        <f t="shared" si="12"/>
        <v>362.66666666666663</v>
      </c>
    </row>
    <row r="21" spans="2:32" ht="23.1" customHeight="1" x14ac:dyDescent="0.25">
      <c r="B21" s="23" t="s">
        <v>48</v>
      </c>
      <c r="C21" s="49">
        <f>'Avg Week Cyanika-Kisoro'!C21+'Avg Week Kisoro-Cyanika'!C21</f>
        <v>2.666666666666667</v>
      </c>
      <c r="D21" s="49">
        <f>'Avg Week Cyanika-Kisoro'!D21+'Avg Week Kisoro-Cyanika'!D21</f>
        <v>1</v>
      </c>
      <c r="E21" s="49">
        <f>'Avg Week Cyanika-Kisoro'!E21+'Avg Week Kisoro-Cyanika'!E21</f>
        <v>0.33333333333333331</v>
      </c>
      <c r="F21" s="49">
        <f>'Avg Week Cyanika-Kisoro'!F21+'Avg Week Kisoro-Cyanika'!F21</f>
        <v>0</v>
      </c>
      <c r="G21" s="49">
        <f>'Avg Week Cyanika-Kisoro'!G21+'Avg Week Kisoro-Cyanika'!G21</f>
        <v>0</v>
      </c>
      <c r="H21" s="49">
        <f>'Avg Week Cyanika-Kisoro'!H21+'Avg Week Kisoro-Cyanika'!H21</f>
        <v>0</v>
      </c>
      <c r="I21" s="49">
        <f>'Avg Week Cyanika-Kisoro'!I21+'Avg Week Kisoro-Cyanika'!I21</f>
        <v>0.33333333333333331</v>
      </c>
      <c r="J21" s="49">
        <f>'Avg Week Cyanika-Kisoro'!J21+'Avg Week Kisoro-Cyanika'!J21</f>
        <v>1.3333333333333333</v>
      </c>
      <c r="K21" s="49">
        <f>'Avg Week Cyanika-Kisoro'!K21+'Avg Week Kisoro-Cyanika'!K21</f>
        <v>0.33333333333333331</v>
      </c>
      <c r="L21" s="49">
        <f>'Avg Week Cyanika-Kisoro'!L21+'Avg Week Kisoro-Cyanika'!L21</f>
        <v>0</v>
      </c>
      <c r="M21" s="49">
        <f>'Avg Week Cyanika-Kisoro'!M21+'Avg Week Kisoro-Cyanika'!M21</f>
        <v>53.333333333333329</v>
      </c>
      <c r="N21" s="49">
        <f>'Avg Week Cyanika-Kisoro'!N21+'Avg Week Kisoro-Cyanika'!N21</f>
        <v>0</v>
      </c>
      <c r="O21" s="15">
        <f t="shared" si="0"/>
        <v>5.9999999999999991</v>
      </c>
      <c r="P21" s="15">
        <f t="shared" si="1"/>
        <v>59.333333333333329</v>
      </c>
      <c r="R21" s="36" t="s">
        <v>20</v>
      </c>
      <c r="S21" s="34">
        <f t="shared" ref="S21:AF21" si="13">SUM(C54:C57)</f>
        <v>20.333333333333332</v>
      </c>
      <c r="T21" s="17">
        <f t="shared" si="13"/>
        <v>9</v>
      </c>
      <c r="U21" s="17">
        <f t="shared" si="13"/>
        <v>7.333333333333333</v>
      </c>
      <c r="V21" s="17">
        <f t="shared" si="13"/>
        <v>0.66666666666666663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6.6666666666666661</v>
      </c>
      <c r="AA21" s="17">
        <f t="shared" si="13"/>
        <v>0</v>
      </c>
      <c r="AB21" s="17">
        <f t="shared" si="13"/>
        <v>0</v>
      </c>
      <c r="AC21" s="17">
        <f t="shared" si="13"/>
        <v>304</v>
      </c>
      <c r="AD21" s="17">
        <f t="shared" si="13"/>
        <v>0</v>
      </c>
      <c r="AE21" s="31">
        <f t="shared" si="13"/>
        <v>47</v>
      </c>
      <c r="AF21" s="31">
        <f t="shared" si="13"/>
        <v>351.00000000000006</v>
      </c>
    </row>
    <row r="22" spans="2:32" ht="23.1" customHeight="1" x14ac:dyDescent="0.25">
      <c r="B22" s="23" t="s">
        <v>49</v>
      </c>
      <c r="C22" s="49">
        <f>'Avg Week Cyanika-Kisoro'!C22+'Avg Week Kisoro-Cyanika'!C22</f>
        <v>1.3333333333333333</v>
      </c>
      <c r="D22" s="49">
        <f>'Avg Week Cyanika-Kisoro'!D22+'Avg Week Kisoro-Cyanika'!D22</f>
        <v>2</v>
      </c>
      <c r="E22" s="49">
        <f>'Avg Week Cyanika-Kisoro'!E22+'Avg Week Kisoro-Cyanika'!E22</f>
        <v>2</v>
      </c>
      <c r="F22" s="49">
        <f>'Avg Week Cyanika-Kisoro'!F22+'Avg Week Kisoro-Cyanika'!F22</f>
        <v>0</v>
      </c>
      <c r="G22" s="49">
        <f>'Avg Week Cyanika-Kisoro'!G22+'Avg Week Kisoro-Cyanika'!G22</f>
        <v>0</v>
      </c>
      <c r="H22" s="49">
        <f>'Avg Week Cyanika-Kisoro'!H22+'Avg Week Kisoro-Cyanika'!H22</f>
        <v>0</v>
      </c>
      <c r="I22" s="49">
        <f>'Avg Week Cyanika-Kisoro'!I22+'Avg Week Kisoro-Cyanika'!I22</f>
        <v>1</v>
      </c>
      <c r="J22" s="49">
        <f>'Avg Week Cyanika-Kisoro'!J22+'Avg Week Kisoro-Cyanika'!J22</f>
        <v>0.33333333333333331</v>
      </c>
      <c r="K22" s="49">
        <f>'Avg Week Cyanika-Kisoro'!K22+'Avg Week Kisoro-Cyanika'!K22</f>
        <v>0.33333333333333331</v>
      </c>
      <c r="L22" s="49">
        <f>'Avg Week Cyanika-Kisoro'!L22+'Avg Week Kisoro-Cyanika'!L22</f>
        <v>0</v>
      </c>
      <c r="M22" s="49">
        <f>'Avg Week Cyanika-Kisoro'!M22+'Avg Week Kisoro-Cyanika'!M22</f>
        <v>48.333333333333336</v>
      </c>
      <c r="N22" s="49">
        <f>'Avg Week Cyanika-Kisoro'!N22+'Avg Week Kisoro-Cyanika'!N22</f>
        <v>0</v>
      </c>
      <c r="O22" s="15">
        <f t="shared" si="0"/>
        <v>6.9999999999999991</v>
      </c>
      <c r="P22" s="15">
        <f t="shared" si="1"/>
        <v>55.333333333333336</v>
      </c>
      <c r="R22" s="1" t="s">
        <v>146</v>
      </c>
      <c r="S22" s="34">
        <f>SUM(C58:C61)</f>
        <v>26</v>
      </c>
      <c r="T22" s="34">
        <f t="shared" ref="T22:AF22" si="14">SUM(D58:D61)</f>
        <v>8</v>
      </c>
      <c r="U22" s="34">
        <f t="shared" si="14"/>
        <v>7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6</v>
      </c>
      <c r="Z22" s="34">
        <f t="shared" si="14"/>
        <v>2</v>
      </c>
      <c r="AA22" s="34">
        <f t="shared" si="14"/>
        <v>4</v>
      </c>
      <c r="AB22" s="34">
        <f t="shared" si="14"/>
        <v>0</v>
      </c>
      <c r="AC22" s="34">
        <f t="shared" si="14"/>
        <v>324</v>
      </c>
      <c r="AD22" s="34">
        <f t="shared" si="14"/>
        <v>0</v>
      </c>
      <c r="AE22" s="31">
        <f t="shared" si="14"/>
        <v>54</v>
      </c>
      <c r="AF22" s="31">
        <f t="shared" si="14"/>
        <v>378</v>
      </c>
    </row>
    <row r="23" spans="2:32" ht="23.1" customHeight="1" x14ac:dyDescent="0.25">
      <c r="B23" s="23" t="s">
        <v>50</v>
      </c>
      <c r="C23" s="49">
        <f>'Avg Week Cyanika-Kisoro'!C23+'Avg Week Kisoro-Cyanika'!C23</f>
        <v>4.3333333333333339</v>
      </c>
      <c r="D23" s="49">
        <f>'Avg Week Cyanika-Kisoro'!D23+'Avg Week Kisoro-Cyanika'!D23</f>
        <v>1.3333333333333333</v>
      </c>
      <c r="E23" s="49">
        <f>'Avg Week Cyanika-Kisoro'!E23+'Avg Week Kisoro-Cyanika'!E23</f>
        <v>1.6666666666666667</v>
      </c>
      <c r="F23" s="49">
        <f>'Avg Week Cyanika-Kisoro'!F23+'Avg Week Kisoro-Cyanika'!F23</f>
        <v>0.66666666666666663</v>
      </c>
      <c r="G23" s="49">
        <f>'Avg Week Cyanika-Kisoro'!G23+'Avg Week Kisoro-Cyanika'!G23</f>
        <v>0.33333333333333331</v>
      </c>
      <c r="H23" s="49">
        <f>'Avg Week Cyanika-Kisoro'!H23+'Avg Week Kisoro-Cyanika'!H23</f>
        <v>0</v>
      </c>
      <c r="I23" s="49">
        <f>'Avg Week Cyanika-Kisoro'!I23+'Avg Week Kisoro-Cyanika'!I23</f>
        <v>0</v>
      </c>
      <c r="J23" s="49">
        <f>'Avg Week Cyanika-Kisoro'!J23+'Avg Week Kisoro-Cyanika'!J23</f>
        <v>1</v>
      </c>
      <c r="K23" s="49">
        <f>'Avg Week Cyanika-Kisoro'!K23+'Avg Week Kisoro-Cyanika'!K23</f>
        <v>0</v>
      </c>
      <c r="L23" s="49">
        <f>'Avg Week Cyanika-Kisoro'!L23+'Avg Week Kisoro-Cyanika'!L23</f>
        <v>0</v>
      </c>
      <c r="M23" s="49">
        <f>'Avg Week Cyanika-Kisoro'!M23+'Avg Week Kisoro-Cyanika'!M23</f>
        <v>66.666666666666671</v>
      </c>
      <c r="N23" s="49">
        <f>'Avg Week Cyanika-Kisoro'!N23+'Avg Week Kisoro-Cyanika'!N23</f>
        <v>0</v>
      </c>
      <c r="O23" s="15">
        <f t="shared" si="0"/>
        <v>9.3333333333333339</v>
      </c>
      <c r="P23" s="15">
        <f t="shared" si="1"/>
        <v>76</v>
      </c>
      <c r="R23" s="1" t="s">
        <v>147</v>
      </c>
      <c r="S23" s="34">
        <f>SUM(C62:C65)</f>
        <v>16</v>
      </c>
      <c r="T23" s="34">
        <f t="shared" ref="T23:AF23" si="15">SUM(D62:D65)</f>
        <v>8</v>
      </c>
      <c r="U23" s="34">
        <f t="shared" si="15"/>
        <v>9</v>
      </c>
      <c r="V23" s="34">
        <f t="shared" si="15"/>
        <v>2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4</v>
      </c>
      <c r="AA23" s="34">
        <f t="shared" si="15"/>
        <v>0</v>
      </c>
      <c r="AB23" s="34">
        <f t="shared" si="15"/>
        <v>0</v>
      </c>
      <c r="AC23" s="34">
        <f t="shared" si="15"/>
        <v>176</v>
      </c>
      <c r="AD23" s="34">
        <f t="shared" si="15"/>
        <v>0</v>
      </c>
      <c r="AE23" s="31">
        <f t="shared" si="15"/>
        <v>41</v>
      </c>
      <c r="AF23" s="31">
        <f t="shared" si="15"/>
        <v>217</v>
      </c>
    </row>
    <row r="24" spans="2:32" ht="23.1" customHeight="1" x14ac:dyDescent="0.25">
      <c r="B24" s="23" t="s">
        <v>51</v>
      </c>
      <c r="C24" s="49">
        <f>'Avg Week Cyanika-Kisoro'!C24+'Avg Week Kisoro-Cyanika'!C24</f>
        <v>4.666666666666667</v>
      </c>
      <c r="D24" s="49">
        <f>'Avg Week Cyanika-Kisoro'!D24+'Avg Week Kisoro-Cyanika'!D24</f>
        <v>1.3333333333333333</v>
      </c>
      <c r="E24" s="49">
        <f>'Avg Week Cyanika-Kisoro'!E24+'Avg Week Kisoro-Cyanika'!E24</f>
        <v>2.333333333333333</v>
      </c>
      <c r="F24" s="49">
        <f>'Avg Week Cyanika-Kisoro'!F24+'Avg Week Kisoro-Cyanika'!F24</f>
        <v>0.66666666666666663</v>
      </c>
      <c r="G24" s="49">
        <f>'Avg Week Cyanika-Kisoro'!G24+'Avg Week Kisoro-Cyanika'!G24</f>
        <v>0</v>
      </c>
      <c r="H24" s="49">
        <f>'Avg Week Cyanika-Kisoro'!H24+'Avg Week Kisoro-Cyanika'!H24</f>
        <v>0</v>
      </c>
      <c r="I24" s="49">
        <f>'Avg Week Cyanika-Kisoro'!I24+'Avg Week Kisoro-Cyanika'!I24</f>
        <v>1.3333333333333333</v>
      </c>
      <c r="J24" s="49">
        <f>'Avg Week Cyanika-Kisoro'!J24+'Avg Week Kisoro-Cyanika'!J24</f>
        <v>1.3333333333333333</v>
      </c>
      <c r="K24" s="49">
        <f>'Avg Week Cyanika-Kisoro'!K24+'Avg Week Kisoro-Cyanika'!K24</f>
        <v>0</v>
      </c>
      <c r="L24" s="49">
        <f>'Avg Week Cyanika-Kisoro'!L24+'Avg Week Kisoro-Cyanika'!L24</f>
        <v>0</v>
      </c>
      <c r="M24" s="49">
        <f>'Avg Week Cyanika-Kisoro'!M24+'Avg Week Kisoro-Cyanika'!M24</f>
        <v>67</v>
      </c>
      <c r="N24" s="49">
        <f>'Avg Week Cyanika-Kisoro'!N24+'Avg Week Kisoro-Cyanika'!N24</f>
        <v>0</v>
      </c>
      <c r="O24" s="15">
        <f t="shared" si="0"/>
        <v>11.666666666666666</v>
      </c>
      <c r="P24" s="15">
        <f t="shared" si="1"/>
        <v>78.666666666666671</v>
      </c>
      <c r="R24" s="1" t="s">
        <v>148</v>
      </c>
      <c r="S24" s="34">
        <f>SUM(C66:C69)</f>
        <v>27</v>
      </c>
      <c r="T24" s="34">
        <f t="shared" ref="T24:AF24" si="16">SUM(D66:D69)</f>
        <v>9</v>
      </c>
      <c r="U24" s="34">
        <f t="shared" si="16"/>
        <v>5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101</v>
      </c>
      <c r="AD24" s="34">
        <f t="shared" si="16"/>
        <v>0</v>
      </c>
      <c r="AE24" s="31">
        <f t="shared" si="16"/>
        <v>43</v>
      </c>
      <c r="AF24" s="31">
        <f t="shared" si="16"/>
        <v>144</v>
      </c>
    </row>
    <row r="25" spans="2:32" ht="23.1" customHeight="1" x14ac:dyDescent="0.25">
      <c r="B25" s="23" t="s">
        <v>52</v>
      </c>
      <c r="C25" s="49">
        <f>'Avg Week Cyanika-Kisoro'!C25+'Avg Week Kisoro-Cyanika'!C25</f>
        <v>5</v>
      </c>
      <c r="D25" s="49">
        <f>'Avg Week Cyanika-Kisoro'!D25+'Avg Week Kisoro-Cyanika'!D25</f>
        <v>1.3333333333333333</v>
      </c>
      <c r="E25" s="49">
        <f>'Avg Week Cyanika-Kisoro'!E25+'Avg Week Kisoro-Cyanika'!E25</f>
        <v>1.3333333333333333</v>
      </c>
      <c r="F25" s="49">
        <f>'Avg Week Cyanika-Kisoro'!F25+'Avg Week Kisoro-Cyanika'!F25</f>
        <v>0.33333333333333331</v>
      </c>
      <c r="G25" s="49">
        <f>'Avg Week Cyanika-Kisoro'!G25+'Avg Week Kisoro-Cyanika'!G25</f>
        <v>0</v>
      </c>
      <c r="H25" s="49">
        <f>'Avg Week Cyanika-Kisoro'!H25+'Avg Week Kisoro-Cyanika'!H25</f>
        <v>0</v>
      </c>
      <c r="I25" s="49">
        <f>'Avg Week Cyanika-Kisoro'!I25+'Avg Week Kisoro-Cyanika'!I25</f>
        <v>0.66666666666666663</v>
      </c>
      <c r="J25" s="49">
        <f>'Avg Week Cyanika-Kisoro'!J25+'Avg Week Kisoro-Cyanika'!J25</f>
        <v>2</v>
      </c>
      <c r="K25" s="49">
        <f>'Avg Week Cyanika-Kisoro'!K25+'Avg Week Kisoro-Cyanika'!K25</f>
        <v>0</v>
      </c>
      <c r="L25" s="49">
        <f>'Avg Week Cyanika-Kisoro'!L25+'Avg Week Kisoro-Cyanika'!L25</f>
        <v>0</v>
      </c>
      <c r="M25" s="49">
        <f>'Avg Week Cyanika-Kisoro'!M25+'Avg Week Kisoro-Cyanika'!M25</f>
        <v>67</v>
      </c>
      <c r="N25" s="49">
        <f>'Avg Week Cyanika-Kisoro'!N25+'Avg Week Kisoro-Cyanika'!N25</f>
        <v>0</v>
      </c>
      <c r="O25" s="15">
        <f t="shared" si="0"/>
        <v>10.666666666666666</v>
      </c>
      <c r="P25" s="15">
        <f t="shared" si="1"/>
        <v>77.666666666666671</v>
      </c>
      <c r="R25" s="1" t="s">
        <v>149</v>
      </c>
      <c r="S25" s="34">
        <f>SUM(C70:C73)</f>
        <v>26</v>
      </c>
      <c r="T25" s="34">
        <f t="shared" ref="T25:AF25" si="17">SUM(D70:D73)</f>
        <v>2</v>
      </c>
      <c r="U25" s="34">
        <f t="shared" si="17"/>
        <v>6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56</v>
      </c>
      <c r="AD25" s="34">
        <f t="shared" si="17"/>
        <v>0</v>
      </c>
      <c r="AE25" s="31">
        <f t="shared" si="17"/>
        <v>37</v>
      </c>
      <c r="AF25" s="31">
        <f t="shared" si="17"/>
        <v>93</v>
      </c>
    </row>
    <row r="26" spans="2:32" ht="23.1" customHeight="1" x14ac:dyDescent="0.25">
      <c r="B26" s="23" t="s">
        <v>53</v>
      </c>
      <c r="C26" s="49">
        <f>'Avg Week Cyanika-Kisoro'!C26+'Avg Week Kisoro-Cyanika'!C26</f>
        <v>5</v>
      </c>
      <c r="D26" s="49">
        <f>'Avg Week Cyanika-Kisoro'!D26+'Avg Week Kisoro-Cyanika'!D26</f>
        <v>2.666666666666667</v>
      </c>
      <c r="E26" s="49">
        <f>'Avg Week Cyanika-Kisoro'!E26+'Avg Week Kisoro-Cyanika'!E26</f>
        <v>0.66666666666666663</v>
      </c>
      <c r="F26" s="49">
        <f>'Avg Week Cyanika-Kisoro'!F26+'Avg Week Kisoro-Cyanika'!F26</f>
        <v>0</v>
      </c>
      <c r="G26" s="49">
        <f>'Avg Week Cyanika-Kisoro'!G26+'Avg Week Kisoro-Cyanika'!G26</f>
        <v>0</v>
      </c>
      <c r="H26" s="49">
        <f>'Avg Week Cyanika-Kisoro'!H26+'Avg Week Kisoro-Cyanika'!H26</f>
        <v>0</v>
      </c>
      <c r="I26" s="49">
        <f>'Avg Week Cyanika-Kisoro'!I26+'Avg Week Kisoro-Cyanika'!I26</f>
        <v>0.66666666666666663</v>
      </c>
      <c r="J26" s="49">
        <f>'Avg Week Cyanika-Kisoro'!J26+'Avg Week Kisoro-Cyanika'!J26</f>
        <v>0.66666666666666663</v>
      </c>
      <c r="K26" s="49">
        <f>'Avg Week Cyanika-Kisoro'!K26+'Avg Week Kisoro-Cyanika'!K26</f>
        <v>0</v>
      </c>
      <c r="L26" s="49">
        <f>'Avg Week Cyanika-Kisoro'!L26+'Avg Week Kisoro-Cyanika'!L26</f>
        <v>0</v>
      </c>
      <c r="M26" s="49">
        <f>'Avg Week Cyanika-Kisoro'!M26+'Avg Week Kisoro-Cyanika'!M26</f>
        <v>65.333333333333329</v>
      </c>
      <c r="N26" s="49">
        <f>'Avg Week Cyanika-Kisoro'!N26+'Avg Week Kisoro-Cyanika'!N26</f>
        <v>0</v>
      </c>
      <c r="O26" s="15">
        <f t="shared" si="0"/>
        <v>9.6666666666666661</v>
      </c>
      <c r="P26" s="15">
        <f t="shared" si="1"/>
        <v>75</v>
      </c>
      <c r="R26" s="1" t="s">
        <v>150</v>
      </c>
      <c r="S26" s="34">
        <f>SUM(C74:C77)</f>
        <v>8</v>
      </c>
      <c r="T26" s="34">
        <f t="shared" ref="T26:AF26" si="18">SUM(D74:D77)</f>
        <v>8</v>
      </c>
      <c r="U26" s="34">
        <f t="shared" si="18"/>
        <v>4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2</v>
      </c>
      <c r="AA26" s="34">
        <f t="shared" si="18"/>
        <v>0</v>
      </c>
      <c r="AB26" s="34">
        <f t="shared" si="18"/>
        <v>0</v>
      </c>
      <c r="AC26" s="34">
        <f t="shared" si="18"/>
        <v>22</v>
      </c>
      <c r="AD26" s="34">
        <f t="shared" si="18"/>
        <v>0</v>
      </c>
      <c r="AE26" s="31">
        <f t="shared" si="18"/>
        <v>24</v>
      </c>
      <c r="AF26" s="31">
        <f t="shared" si="18"/>
        <v>46</v>
      </c>
    </row>
    <row r="27" spans="2:32" ht="23.1" customHeight="1" x14ac:dyDescent="0.25">
      <c r="B27" s="23" t="s">
        <v>54</v>
      </c>
      <c r="C27" s="49">
        <f>'Avg Week Cyanika-Kisoro'!C27+'Avg Week Kisoro-Cyanika'!C27</f>
        <v>5</v>
      </c>
      <c r="D27" s="49">
        <f>'Avg Week Cyanika-Kisoro'!D27+'Avg Week Kisoro-Cyanika'!D27</f>
        <v>1.3333333333333333</v>
      </c>
      <c r="E27" s="49">
        <f>'Avg Week Cyanika-Kisoro'!E27+'Avg Week Kisoro-Cyanika'!E27</f>
        <v>0.66666666666666663</v>
      </c>
      <c r="F27" s="49">
        <f>'Avg Week Cyanika-Kisoro'!F27+'Avg Week Kisoro-Cyanika'!F27</f>
        <v>0</v>
      </c>
      <c r="G27" s="49">
        <f>'Avg Week Cyanika-Kisoro'!G27+'Avg Week Kisoro-Cyanika'!G27</f>
        <v>0</v>
      </c>
      <c r="H27" s="49">
        <f>'Avg Week Cyanika-Kisoro'!H27+'Avg Week Kisoro-Cyanika'!H27</f>
        <v>0.33333333333333331</v>
      </c>
      <c r="I27" s="49">
        <f>'Avg Week Cyanika-Kisoro'!I27+'Avg Week Kisoro-Cyanika'!I27</f>
        <v>1</v>
      </c>
      <c r="J27" s="49">
        <f>'Avg Week Cyanika-Kisoro'!J27+'Avg Week Kisoro-Cyanika'!J27</f>
        <v>0.33333333333333331</v>
      </c>
      <c r="K27" s="49">
        <f>'Avg Week Cyanika-Kisoro'!K27+'Avg Week Kisoro-Cyanika'!K27</f>
        <v>0</v>
      </c>
      <c r="L27" s="49">
        <f>'Avg Week Cyanika-Kisoro'!L27+'Avg Week Kisoro-Cyanika'!L27</f>
        <v>0</v>
      </c>
      <c r="M27" s="49">
        <f>'Avg Week Cyanika-Kisoro'!M27+'Avg Week Kisoro-Cyanika'!M27</f>
        <v>71</v>
      </c>
      <c r="N27" s="49">
        <f>'Avg Week Cyanika-Kisoro'!N27+'Avg Week Kisoro-Cyanika'!N27</f>
        <v>0</v>
      </c>
      <c r="O27" s="15">
        <f t="shared" si="0"/>
        <v>8.6666666666666661</v>
      </c>
      <c r="P27" s="15">
        <f t="shared" si="1"/>
        <v>79.666666666666671</v>
      </c>
      <c r="R27" s="1" t="s">
        <v>151</v>
      </c>
      <c r="S27" s="34">
        <f>SUM(C78:C81)</f>
        <v>7</v>
      </c>
      <c r="T27" s="34">
        <f t="shared" ref="T27:AF27" si="19">SUM(D78:D81)</f>
        <v>2</v>
      </c>
      <c r="U27" s="34">
        <f t="shared" si="19"/>
        <v>4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2</v>
      </c>
      <c r="AA27" s="34">
        <f t="shared" si="19"/>
        <v>0</v>
      </c>
      <c r="AB27" s="34">
        <f t="shared" si="19"/>
        <v>0</v>
      </c>
      <c r="AC27" s="34">
        <f t="shared" si="19"/>
        <v>4</v>
      </c>
      <c r="AD27" s="34">
        <f t="shared" si="19"/>
        <v>0</v>
      </c>
      <c r="AE27" s="31">
        <f t="shared" si="19"/>
        <v>17</v>
      </c>
      <c r="AF27" s="31">
        <f t="shared" si="19"/>
        <v>21</v>
      </c>
    </row>
    <row r="28" spans="2:32" ht="23.1" customHeight="1" x14ac:dyDescent="0.25">
      <c r="B28" s="23" t="s">
        <v>55</v>
      </c>
      <c r="C28" s="49">
        <f>'Avg Week Cyanika-Kisoro'!C28+'Avg Week Kisoro-Cyanika'!C28</f>
        <v>4.333333333333333</v>
      </c>
      <c r="D28" s="49">
        <f>'Avg Week Cyanika-Kisoro'!D28+'Avg Week Kisoro-Cyanika'!D28</f>
        <v>2.333333333333333</v>
      </c>
      <c r="E28" s="49">
        <f>'Avg Week Cyanika-Kisoro'!E28+'Avg Week Kisoro-Cyanika'!E28</f>
        <v>1</v>
      </c>
      <c r="F28" s="49">
        <f>'Avg Week Cyanika-Kisoro'!F28+'Avg Week Kisoro-Cyanika'!F28</f>
        <v>0.33333333333333331</v>
      </c>
      <c r="G28" s="49">
        <f>'Avg Week Cyanika-Kisoro'!G28+'Avg Week Kisoro-Cyanika'!G28</f>
        <v>0</v>
      </c>
      <c r="H28" s="49">
        <f>'Avg Week Cyanika-Kisoro'!H28+'Avg Week Kisoro-Cyanika'!H28</f>
        <v>0</v>
      </c>
      <c r="I28" s="49">
        <f>'Avg Week Cyanika-Kisoro'!I28+'Avg Week Kisoro-Cyanika'!I28</f>
        <v>0.33333333333333331</v>
      </c>
      <c r="J28" s="49">
        <f>'Avg Week Cyanika-Kisoro'!J28+'Avg Week Kisoro-Cyanika'!J28</f>
        <v>0.66666666666666663</v>
      </c>
      <c r="K28" s="49">
        <f>'Avg Week Cyanika-Kisoro'!K28+'Avg Week Kisoro-Cyanika'!K28</f>
        <v>0</v>
      </c>
      <c r="L28" s="49">
        <f>'Avg Week Cyanika-Kisoro'!L28+'Avg Week Kisoro-Cyanika'!L28</f>
        <v>0</v>
      </c>
      <c r="M28" s="49">
        <f>'Avg Week Cyanika-Kisoro'!M28+'Avg Week Kisoro-Cyanika'!M28</f>
        <v>64.333333333333329</v>
      </c>
      <c r="N28" s="49">
        <f>'Avg Week Cyanika-Kisoro'!N28+'Avg Week Kisoro-Cyanika'!N28</f>
        <v>0</v>
      </c>
      <c r="O28" s="15">
        <f t="shared" si="0"/>
        <v>8.9999999999999982</v>
      </c>
      <c r="P28" s="15">
        <f t="shared" si="1"/>
        <v>73.333333333333329</v>
      </c>
      <c r="R28" s="1" t="s">
        <v>152</v>
      </c>
      <c r="S28" s="34">
        <f>SUM(C82:C85)</f>
        <v>5</v>
      </c>
      <c r="T28" s="34">
        <f t="shared" ref="T28:AF28" si="20">SUM(D82:D85)</f>
        <v>5</v>
      </c>
      <c r="U28" s="34">
        <f t="shared" si="20"/>
        <v>2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4</v>
      </c>
      <c r="AA28" s="34">
        <f t="shared" si="20"/>
        <v>0</v>
      </c>
      <c r="AB28" s="34">
        <f t="shared" si="20"/>
        <v>0</v>
      </c>
      <c r="AC28" s="34">
        <f t="shared" si="20"/>
        <v>2</v>
      </c>
      <c r="AD28" s="34">
        <f t="shared" si="20"/>
        <v>0</v>
      </c>
      <c r="AE28" s="31">
        <f t="shared" si="20"/>
        <v>16</v>
      </c>
      <c r="AF28" s="31">
        <f t="shared" si="20"/>
        <v>18</v>
      </c>
    </row>
    <row r="29" spans="2:32" ht="23.1" customHeight="1" x14ac:dyDescent="0.25">
      <c r="B29" s="23" t="s">
        <v>56</v>
      </c>
      <c r="C29" s="49">
        <f>'Avg Week Cyanika-Kisoro'!C29+'Avg Week Kisoro-Cyanika'!C29</f>
        <v>5.666666666666667</v>
      </c>
      <c r="D29" s="49">
        <f>'Avg Week Cyanika-Kisoro'!D29+'Avg Week Kisoro-Cyanika'!D29</f>
        <v>2.333333333333333</v>
      </c>
      <c r="E29" s="49">
        <f>'Avg Week Cyanika-Kisoro'!E29+'Avg Week Kisoro-Cyanika'!E29</f>
        <v>1.3333333333333333</v>
      </c>
      <c r="F29" s="49">
        <f>'Avg Week Cyanika-Kisoro'!F29+'Avg Week Kisoro-Cyanika'!F29</f>
        <v>0.33333333333333331</v>
      </c>
      <c r="G29" s="49">
        <f>'Avg Week Cyanika-Kisoro'!G29+'Avg Week Kisoro-Cyanika'!G29</f>
        <v>0</v>
      </c>
      <c r="H29" s="49">
        <f>'Avg Week Cyanika-Kisoro'!H29+'Avg Week Kisoro-Cyanika'!H29</f>
        <v>0</v>
      </c>
      <c r="I29" s="49">
        <f>'Avg Week Cyanika-Kisoro'!I29+'Avg Week Kisoro-Cyanika'!I29</f>
        <v>0.66666666666666663</v>
      </c>
      <c r="J29" s="49">
        <f>'Avg Week Cyanika-Kisoro'!J29+'Avg Week Kisoro-Cyanika'!J29</f>
        <v>0.33333333333333331</v>
      </c>
      <c r="K29" s="49">
        <f>'Avg Week Cyanika-Kisoro'!K29+'Avg Week Kisoro-Cyanika'!K29</f>
        <v>0</v>
      </c>
      <c r="L29" s="49">
        <f>'Avg Week Cyanika-Kisoro'!L29+'Avg Week Kisoro-Cyanika'!L29</f>
        <v>0</v>
      </c>
      <c r="M29" s="49">
        <f>'Avg Week Cyanika-Kisoro'!M29+'Avg Week Kisoro-Cyanika'!M29</f>
        <v>69.666666666666671</v>
      </c>
      <c r="N29" s="49">
        <f>'Avg Week Cyanika-Kisoro'!N29+'Avg Week Kisoro-Cyanika'!N29</f>
        <v>0</v>
      </c>
      <c r="O29" s="15">
        <f t="shared" si="0"/>
        <v>10.666666666666668</v>
      </c>
      <c r="P29" s="15">
        <f t="shared" si="1"/>
        <v>80.333333333333343</v>
      </c>
      <c r="R29" s="1" t="s">
        <v>153</v>
      </c>
      <c r="S29" s="34">
        <f>SUM(C86:C89)</f>
        <v>13</v>
      </c>
      <c r="T29" s="34">
        <f t="shared" ref="T29:AF29" si="21">SUM(D86:D89)</f>
        <v>7</v>
      </c>
      <c r="U29" s="34">
        <f t="shared" si="21"/>
        <v>4</v>
      </c>
      <c r="V29" s="34">
        <f t="shared" si="21"/>
        <v>0</v>
      </c>
      <c r="W29" s="34">
        <f t="shared" si="21"/>
        <v>0</v>
      </c>
      <c r="X29" s="34">
        <f t="shared" si="21"/>
        <v>1</v>
      </c>
      <c r="Y29" s="34">
        <f t="shared" si="21"/>
        <v>1</v>
      </c>
      <c r="Z29" s="34">
        <f t="shared" si="21"/>
        <v>5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31</v>
      </c>
      <c r="AF29" s="31">
        <f t="shared" si="21"/>
        <v>31</v>
      </c>
    </row>
    <row r="30" spans="2:32" ht="23.1" customHeight="1" x14ac:dyDescent="0.25">
      <c r="B30" s="23" t="s">
        <v>57</v>
      </c>
      <c r="C30" s="49">
        <f>'Avg Week Cyanika-Kisoro'!C30+'Avg Week Kisoro-Cyanika'!C30</f>
        <v>3</v>
      </c>
      <c r="D30" s="49">
        <f>'Avg Week Cyanika-Kisoro'!D30+'Avg Week Kisoro-Cyanika'!D30</f>
        <v>1.6666666666666665</v>
      </c>
      <c r="E30" s="49">
        <f>'Avg Week Cyanika-Kisoro'!E30+'Avg Week Kisoro-Cyanika'!E30</f>
        <v>2.6666666666666665</v>
      </c>
      <c r="F30" s="49">
        <f>'Avg Week Cyanika-Kisoro'!F30+'Avg Week Kisoro-Cyanika'!F30</f>
        <v>0.33333333333333331</v>
      </c>
      <c r="G30" s="49">
        <f>'Avg Week Cyanika-Kisoro'!G30+'Avg Week Kisoro-Cyanika'!G30</f>
        <v>0</v>
      </c>
      <c r="H30" s="49">
        <f>'Avg Week Cyanika-Kisoro'!H30+'Avg Week Kisoro-Cyanika'!H30</f>
        <v>0</v>
      </c>
      <c r="I30" s="49">
        <f>'Avg Week Cyanika-Kisoro'!I30+'Avg Week Kisoro-Cyanika'!I30</f>
        <v>1</v>
      </c>
      <c r="J30" s="49">
        <f>'Avg Week Cyanika-Kisoro'!J30+'Avg Week Kisoro-Cyanika'!J30</f>
        <v>1.6666666666666665</v>
      </c>
      <c r="K30" s="49">
        <f>'Avg Week Cyanika-Kisoro'!K30+'Avg Week Kisoro-Cyanika'!K30</f>
        <v>0</v>
      </c>
      <c r="L30" s="49">
        <f>'Avg Week Cyanika-Kisoro'!L30+'Avg Week Kisoro-Cyanika'!L30</f>
        <v>0</v>
      </c>
      <c r="M30" s="49">
        <f>'Avg Week Cyanika-Kisoro'!M30+'Avg Week Kisoro-Cyanika'!M30</f>
        <v>64.333333333333329</v>
      </c>
      <c r="N30" s="49">
        <f>'Avg Week Cyanika-Kisoro'!N30+'Avg Week Kisoro-Cyanika'!N30</f>
        <v>0</v>
      </c>
      <c r="O30" s="15">
        <f t="shared" si="0"/>
        <v>10.33333333333333</v>
      </c>
      <c r="P30" s="15">
        <f t="shared" si="1"/>
        <v>74.666666666666657</v>
      </c>
      <c r="R30" s="1" t="s">
        <v>154</v>
      </c>
      <c r="S30" s="34">
        <f>SUM(C90:C93)</f>
        <v>8</v>
      </c>
      <c r="T30" s="34">
        <f t="shared" ref="T30:AF30" si="22">SUM(D90:D93)</f>
        <v>6</v>
      </c>
      <c r="U30" s="34">
        <f t="shared" si="22"/>
        <v>5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4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25</v>
      </c>
      <c r="AF30" s="31">
        <f t="shared" si="22"/>
        <v>25</v>
      </c>
    </row>
    <row r="31" spans="2:32" ht="23.1" customHeight="1" x14ac:dyDescent="0.25">
      <c r="B31" s="24" t="s">
        <v>58</v>
      </c>
      <c r="C31" s="49">
        <f>'Avg Week Cyanika-Kisoro'!C31+'Avg Week Kisoro-Cyanika'!C31</f>
        <v>4.666666666666667</v>
      </c>
      <c r="D31" s="49">
        <f>'Avg Week Cyanika-Kisoro'!D31+'Avg Week Kisoro-Cyanika'!D31</f>
        <v>1.3333333333333333</v>
      </c>
      <c r="E31" s="49">
        <f>'Avg Week Cyanika-Kisoro'!E31+'Avg Week Kisoro-Cyanika'!E31</f>
        <v>2.333333333333333</v>
      </c>
      <c r="F31" s="49">
        <f>'Avg Week Cyanika-Kisoro'!F31+'Avg Week Kisoro-Cyanika'!F31</f>
        <v>0</v>
      </c>
      <c r="G31" s="49">
        <f>'Avg Week Cyanika-Kisoro'!G31+'Avg Week Kisoro-Cyanika'!G31</f>
        <v>0</v>
      </c>
      <c r="H31" s="49">
        <f>'Avg Week Cyanika-Kisoro'!H31+'Avg Week Kisoro-Cyanika'!H31</f>
        <v>0</v>
      </c>
      <c r="I31" s="49">
        <f>'Avg Week Cyanika-Kisoro'!I31+'Avg Week Kisoro-Cyanika'!I31</f>
        <v>0.66666666666666663</v>
      </c>
      <c r="J31" s="49">
        <f>'Avg Week Cyanika-Kisoro'!J31+'Avg Week Kisoro-Cyanika'!J31</f>
        <v>0.66666666666666663</v>
      </c>
      <c r="K31" s="49">
        <f>'Avg Week Cyanika-Kisoro'!K31+'Avg Week Kisoro-Cyanika'!K31</f>
        <v>0</v>
      </c>
      <c r="L31" s="49">
        <f>'Avg Week Cyanika-Kisoro'!L31+'Avg Week Kisoro-Cyanika'!L31</f>
        <v>0</v>
      </c>
      <c r="M31" s="49">
        <f>'Avg Week Cyanika-Kisoro'!M31+'Avg Week Kisoro-Cyanika'!M31</f>
        <v>63</v>
      </c>
      <c r="N31" s="49">
        <f>'Avg Week Cyanika-Kisoro'!N31+'Avg Week Kisoro-Cyanika'!N31</f>
        <v>0</v>
      </c>
      <c r="O31" s="15">
        <f t="shared" si="0"/>
        <v>9.6666666666666643</v>
      </c>
      <c r="P31" s="15">
        <f t="shared" si="1"/>
        <v>72.666666666666657</v>
      </c>
      <c r="R31" s="1" t="s">
        <v>155</v>
      </c>
      <c r="S31" s="34">
        <f>SUM(C94:C97)</f>
        <v>10</v>
      </c>
      <c r="T31" s="34">
        <f t="shared" ref="T31:AF31" si="23">SUM(D94:D97)</f>
        <v>3</v>
      </c>
      <c r="U31" s="34">
        <f t="shared" si="23"/>
        <v>4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7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27</v>
      </c>
      <c r="AF31" s="31">
        <f t="shared" si="23"/>
        <v>27</v>
      </c>
    </row>
    <row r="32" spans="2:32" ht="23.1" customHeight="1" x14ac:dyDescent="0.25">
      <c r="B32" s="24" t="s">
        <v>59</v>
      </c>
      <c r="C32" s="49">
        <f>'Avg Week Cyanika-Kisoro'!C32+'Avg Week Kisoro-Cyanika'!C32</f>
        <v>3.3333333333333335</v>
      </c>
      <c r="D32" s="49">
        <f>'Avg Week Cyanika-Kisoro'!D32+'Avg Week Kisoro-Cyanika'!D32</f>
        <v>1</v>
      </c>
      <c r="E32" s="49">
        <f>'Avg Week Cyanika-Kisoro'!E32+'Avg Week Kisoro-Cyanika'!E32</f>
        <v>1.3333333333333333</v>
      </c>
      <c r="F32" s="49">
        <f>'Avg Week Cyanika-Kisoro'!F32+'Avg Week Kisoro-Cyanika'!F32</f>
        <v>0</v>
      </c>
      <c r="G32" s="49">
        <f>'Avg Week Cyanika-Kisoro'!G32+'Avg Week Kisoro-Cyanika'!G32</f>
        <v>0</v>
      </c>
      <c r="H32" s="49">
        <f>'Avg Week Cyanika-Kisoro'!H32+'Avg Week Kisoro-Cyanika'!H32</f>
        <v>0</v>
      </c>
      <c r="I32" s="49">
        <f>'Avg Week Cyanika-Kisoro'!I32+'Avg Week Kisoro-Cyanika'!I32</f>
        <v>1</v>
      </c>
      <c r="J32" s="49">
        <f>'Avg Week Cyanika-Kisoro'!J32+'Avg Week Kisoro-Cyanika'!J32</f>
        <v>0.33333333333333331</v>
      </c>
      <c r="K32" s="49">
        <f>'Avg Week Cyanika-Kisoro'!K32+'Avg Week Kisoro-Cyanika'!K32</f>
        <v>0</v>
      </c>
      <c r="L32" s="49">
        <f>'Avg Week Cyanika-Kisoro'!L32+'Avg Week Kisoro-Cyanika'!L32</f>
        <v>0</v>
      </c>
      <c r="M32" s="49">
        <f>'Avg Week Cyanika-Kisoro'!M32+'Avg Week Kisoro-Cyanika'!M32</f>
        <v>52.666666666666664</v>
      </c>
      <c r="N32" s="49">
        <f>'Avg Week Cyanika-Kisoro'!N32+'Avg Week Kisoro-Cyanika'!N32</f>
        <v>0</v>
      </c>
      <c r="O32" s="15">
        <f t="shared" si="0"/>
        <v>7</v>
      </c>
      <c r="P32" s="15">
        <f t="shared" si="1"/>
        <v>59.666666666666664</v>
      </c>
      <c r="R32" s="1" t="s">
        <v>156</v>
      </c>
      <c r="S32" s="34">
        <f>SUM(C98:C101)</f>
        <v>7</v>
      </c>
      <c r="T32" s="34">
        <f t="shared" ref="T32:AF32" si="24">SUM(D98:D101)</f>
        <v>1</v>
      </c>
      <c r="U32" s="34">
        <f t="shared" si="24"/>
        <v>4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6</v>
      </c>
      <c r="AA32" s="34">
        <f t="shared" si="24"/>
        <v>0</v>
      </c>
      <c r="AB32" s="34">
        <f t="shared" si="24"/>
        <v>0</v>
      </c>
      <c r="AC32" s="34">
        <f t="shared" si="24"/>
        <v>8</v>
      </c>
      <c r="AD32" s="34">
        <f t="shared" si="24"/>
        <v>0</v>
      </c>
      <c r="AE32" s="31">
        <f t="shared" si="24"/>
        <v>19</v>
      </c>
      <c r="AF32" s="31">
        <f t="shared" si="24"/>
        <v>27</v>
      </c>
    </row>
    <row r="33" spans="2:32" ht="23.1" customHeight="1" x14ac:dyDescent="0.25">
      <c r="B33" s="23" t="s">
        <v>60</v>
      </c>
      <c r="C33" s="49">
        <f>'Avg Week Cyanika-Kisoro'!C33+'Avg Week Kisoro-Cyanika'!C33</f>
        <v>2.6666666666666665</v>
      </c>
      <c r="D33" s="49">
        <f>'Avg Week Cyanika-Kisoro'!D33+'Avg Week Kisoro-Cyanika'!D33</f>
        <v>2</v>
      </c>
      <c r="E33" s="49">
        <f>'Avg Week Cyanika-Kisoro'!E33+'Avg Week Kisoro-Cyanika'!E33</f>
        <v>1.6666666666666665</v>
      </c>
      <c r="F33" s="49">
        <f>'Avg Week Cyanika-Kisoro'!F33+'Avg Week Kisoro-Cyanika'!F33</f>
        <v>0</v>
      </c>
      <c r="G33" s="49">
        <f>'Avg Week Cyanika-Kisoro'!G33+'Avg Week Kisoro-Cyanika'!G33</f>
        <v>0</v>
      </c>
      <c r="H33" s="49">
        <f>'Avg Week Cyanika-Kisoro'!H33+'Avg Week Kisoro-Cyanika'!H33</f>
        <v>0</v>
      </c>
      <c r="I33" s="49">
        <f>'Avg Week Cyanika-Kisoro'!I33+'Avg Week Kisoro-Cyanika'!I33</f>
        <v>0.66666666666666663</v>
      </c>
      <c r="J33" s="49">
        <f>'Avg Week Cyanika-Kisoro'!J33+'Avg Week Kisoro-Cyanika'!J33</f>
        <v>1.6666666666666665</v>
      </c>
      <c r="K33" s="49">
        <f>'Avg Week Cyanika-Kisoro'!K33+'Avg Week Kisoro-Cyanika'!K33</f>
        <v>0</v>
      </c>
      <c r="L33" s="49">
        <f>'Avg Week Cyanika-Kisoro'!L33+'Avg Week Kisoro-Cyanika'!L33</f>
        <v>0</v>
      </c>
      <c r="M33" s="49">
        <f>'Avg Week Cyanika-Kisoro'!M33+'Avg Week Kisoro-Cyanika'!M33</f>
        <v>67.666666666666671</v>
      </c>
      <c r="N33" s="49">
        <f>'Avg Week Cyanika-Kisoro'!N33+'Avg Week Kisoro-Cyanika'!N33</f>
        <v>0</v>
      </c>
      <c r="O33" s="15">
        <f t="shared" si="0"/>
        <v>8.6666666666666661</v>
      </c>
      <c r="P33" s="15">
        <f t="shared" si="1"/>
        <v>76.333333333333343</v>
      </c>
      <c r="R33" s="1" t="s">
        <v>157</v>
      </c>
      <c r="S33" s="34">
        <f>SUM(C102:C105)</f>
        <v>4</v>
      </c>
      <c r="T33" s="34">
        <f t="shared" ref="T33:AF33" si="25">SUM(D102:D105)</f>
        <v>3</v>
      </c>
      <c r="U33" s="34">
        <f t="shared" si="25"/>
        <v>1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29</v>
      </c>
      <c r="AD33" s="34">
        <f t="shared" si="25"/>
        <v>0</v>
      </c>
      <c r="AE33" s="31">
        <f t="shared" si="25"/>
        <v>10</v>
      </c>
      <c r="AF33" s="31">
        <f t="shared" si="25"/>
        <v>39</v>
      </c>
    </row>
    <row r="34" spans="2:32" ht="23.1" customHeight="1" x14ac:dyDescent="0.25">
      <c r="B34" s="24" t="s">
        <v>61</v>
      </c>
      <c r="C34" s="49">
        <f>'Avg Week Cyanika-Kisoro'!C34+'Avg Week Kisoro-Cyanika'!C34</f>
        <v>4</v>
      </c>
      <c r="D34" s="49">
        <f>'Avg Week Cyanika-Kisoro'!D34+'Avg Week Kisoro-Cyanika'!D34</f>
        <v>1</v>
      </c>
      <c r="E34" s="49">
        <f>'Avg Week Cyanika-Kisoro'!E34+'Avg Week Kisoro-Cyanika'!E34</f>
        <v>1.3333333333333333</v>
      </c>
      <c r="F34" s="49">
        <f>'Avg Week Cyanika-Kisoro'!F34+'Avg Week Kisoro-Cyanika'!F34</f>
        <v>0.33333333333333331</v>
      </c>
      <c r="G34" s="49">
        <f>'Avg Week Cyanika-Kisoro'!G34+'Avg Week Kisoro-Cyanika'!G34</f>
        <v>0</v>
      </c>
      <c r="H34" s="49">
        <f>'Avg Week Cyanika-Kisoro'!H34+'Avg Week Kisoro-Cyanika'!H34</f>
        <v>0</v>
      </c>
      <c r="I34" s="49">
        <f>'Avg Week Cyanika-Kisoro'!I34+'Avg Week Kisoro-Cyanika'!I34</f>
        <v>1.3333333333333333</v>
      </c>
      <c r="J34" s="49">
        <f>'Avg Week Cyanika-Kisoro'!J34+'Avg Week Kisoro-Cyanika'!J34</f>
        <v>0.66666666666666663</v>
      </c>
      <c r="K34" s="49">
        <f>'Avg Week Cyanika-Kisoro'!K34+'Avg Week Kisoro-Cyanika'!K34</f>
        <v>0</v>
      </c>
      <c r="L34" s="49">
        <f>'Avg Week Cyanika-Kisoro'!L34+'Avg Week Kisoro-Cyanika'!L34</f>
        <v>0</v>
      </c>
      <c r="M34" s="49">
        <f>'Avg Week Cyanika-Kisoro'!M34+'Avg Week Kisoro-Cyanika'!M34</f>
        <v>54.666666666666671</v>
      </c>
      <c r="N34" s="49">
        <f>'Avg Week Cyanika-Kisoro'!N34+'Avg Week Kisoro-Cyanika'!N34</f>
        <v>0</v>
      </c>
      <c r="O34" s="15">
        <f t="shared" si="0"/>
        <v>8.6666666666666661</v>
      </c>
      <c r="P34" s="15">
        <f t="shared" si="1"/>
        <v>63.333333333333336</v>
      </c>
      <c r="R34" s="51" t="s">
        <v>90</v>
      </c>
      <c r="S34" s="52">
        <f t="shared" ref="S34:AF34" si="26">MAX(S10:S12)</f>
        <v>10.333333333333332</v>
      </c>
      <c r="T34" s="52">
        <f t="shared" si="26"/>
        <v>7</v>
      </c>
      <c r="U34" s="52">
        <f t="shared" si="26"/>
        <v>5.333333333333333</v>
      </c>
      <c r="V34" s="52">
        <f t="shared" si="26"/>
        <v>0.66666666666666663</v>
      </c>
      <c r="W34" s="52">
        <f t="shared" si="26"/>
        <v>0</v>
      </c>
      <c r="X34" s="52">
        <f t="shared" si="26"/>
        <v>0</v>
      </c>
      <c r="Y34" s="52">
        <f t="shared" si="26"/>
        <v>1.3333333333333333</v>
      </c>
      <c r="Z34" s="52">
        <f t="shared" si="26"/>
        <v>4.9999999999999991</v>
      </c>
      <c r="AA34" s="52">
        <f t="shared" si="26"/>
        <v>1.3333333333333333</v>
      </c>
      <c r="AB34" s="52">
        <f t="shared" si="26"/>
        <v>0</v>
      </c>
      <c r="AC34" s="52">
        <f t="shared" si="26"/>
        <v>189.66666666666663</v>
      </c>
      <c r="AD34" s="52">
        <f t="shared" si="26"/>
        <v>0</v>
      </c>
      <c r="AE34" s="40">
        <f t="shared" si="26"/>
        <v>30</v>
      </c>
      <c r="AF34" s="40">
        <f t="shared" si="26"/>
        <v>219.66666666666663</v>
      </c>
    </row>
    <row r="35" spans="2:32" ht="23.1" customHeight="1" x14ac:dyDescent="0.25">
      <c r="B35" s="24" t="s">
        <v>62</v>
      </c>
      <c r="C35" s="49">
        <f>'Avg Week Cyanika-Kisoro'!C35+'Avg Week Kisoro-Cyanika'!C35</f>
        <v>4.6666666666666661</v>
      </c>
      <c r="D35" s="49">
        <f>'Avg Week Cyanika-Kisoro'!D35+'Avg Week Kisoro-Cyanika'!D35</f>
        <v>3.333333333333333</v>
      </c>
      <c r="E35" s="49">
        <f>'Avg Week Cyanika-Kisoro'!E35+'Avg Week Kisoro-Cyanika'!E35</f>
        <v>1.6666666666666665</v>
      </c>
      <c r="F35" s="49">
        <f>'Avg Week Cyanika-Kisoro'!F35+'Avg Week Kisoro-Cyanika'!F35</f>
        <v>0.33333333333333331</v>
      </c>
      <c r="G35" s="49">
        <f>'Avg Week Cyanika-Kisoro'!G35+'Avg Week Kisoro-Cyanika'!G35</f>
        <v>0</v>
      </c>
      <c r="H35" s="49">
        <f>'Avg Week Cyanika-Kisoro'!H35+'Avg Week Kisoro-Cyanika'!H35</f>
        <v>0</v>
      </c>
      <c r="I35" s="49">
        <f>'Avg Week Cyanika-Kisoro'!I35+'Avg Week Kisoro-Cyanika'!I35</f>
        <v>0.33333333333333331</v>
      </c>
      <c r="J35" s="49">
        <f>'Avg Week Cyanika-Kisoro'!J35+'Avg Week Kisoro-Cyanika'!J35</f>
        <v>0.33333333333333331</v>
      </c>
      <c r="K35" s="49">
        <f>'Avg Week Cyanika-Kisoro'!K35+'Avg Week Kisoro-Cyanika'!K35</f>
        <v>0</v>
      </c>
      <c r="L35" s="49">
        <f>'Avg Week Cyanika-Kisoro'!L35+'Avg Week Kisoro-Cyanika'!L35</f>
        <v>0</v>
      </c>
      <c r="M35" s="49">
        <f>'Avg Week Cyanika-Kisoro'!M35+'Avg Week Kisoro-Cyanika'!M35</f>
        <v>58.666666666666664</v>
      </c>
      <c r="N35" s="49">
        <f>'Avg Week Cyanika-Kisoro'!N35+'Avg Week Kisoro-Cyanika'!N35</f>
        <v>0</v>
      </c>
      <c r="O35" s="15">
        <f t="shared" si="0"/>
        <v>10.666666666666668</v>
      </c>
      <c r="P35" s="15">
        <f t="shared" si="1"/>
        <v>69.333333333333329</v>
      </c>
      <c r="R35" s="51" t="s">
        <v>91</v>
      </c>
      <c r="S35" s="52">
        <f t="shared" ref="S35:AF35" si="27">MAX(S13:S18)</f>
        <v>20.333333333333332</v>
      </c>
      <c r="T35" s="52">
        <f t="shared" si="27"/>
        <v>9</v>
      </c>
      <c r="U35" s="52">
        <f t="shared" si="27"/>
        <v>8</v>
      </c>
      <c r="V35" s="52">
        <f t="shared" si="27"/>
        <v>1.6666666666666665</v>
      </c>
      <c r="W35" s="52">
        <f t="shared" si="27"/>
        <v>0.33333333333333331</v>
      </c>
      <c r="X35" s="52">
        <f t="shared" si="27"/>
        <v>1</v>
      </c>
      <c r="Y35" s="52">
        <f t="shared" si="27"/>
        <v>3.6666666666666661</v>
      </c>
      <c r="Z35" s="52">
        <f t="shared" si="27"/>
        <v>4.6666666666666661</v>
      </c>
      <c r="AA35" s="52">
        <f t="shared" si="27"/>
        <v>0.33333333333333331</v>
      </c>
      <c r="AB35" s="52">
        <f t="shared" si="27"/>
        <v>0</v>
      </c>
      <c r="AC35" s="52">
        <f t="shared" si="27"/>
        <v>303</v>
      </c>
      <c r="AD35" s="52">
        <f t="shared" si="27"/>
        <v>0</v>
      </c>
      <c r="AE35" s="40">
        <f t="shared" si="27"/>
        <v>39.666666666666664</v>
      </c>
      <c r="AF35" s="40">
        <f t="shared" si="27"/>
        <v>342.66666666666674</v>
      </c>
    </row>
    <row r="36" spans="2:32" ht="23.1" customHeight="1" x14ac:dyDescent="0.25">
      <c r="B36" s="24" t="s">
        <v>63</v>
      </c>
      <c r="C36" s="49">
        <f>'Avg Week Cyanika-Kisoro'!C36+'Avg Week Kisoro-Cyanika'!C36</f>
        <v>5</v>
      </c>
      <c r="D36" s="49">
        <f>'Avg Week Cyanika-Kisoro'!D36+'Avg Week Kisoro-Cyanika'!D36</f>
        <v>2.333333333333333</v>
      </c>
      <c r="E36" s="49">
        <f>'Avg Week Cyanika-Kisoro'!E36+'Avg Week Kisoro-Cyanika'!E36</f>
        <v>2.6666666666666665</v>
      </c>
      <c r="F36" s="49">
        <f>'Avg Week Cyanika-Kisoro'!F36+'Avg Week Kisoro-Cyanika'!F36</f>
        <v>0</v>
      </c>
      <c r="G36" s="49">
        <f>'Avg Week Cyanika-Kisoro'!G36+'Avg Week Kisoro-Cyanika'!G36</f>
        <v>0</v>
      </c>
      <c r="H36" s="49">
        <f>'Avg Week Cyanika-Kisoro'!H36+'Avg Week Kisoro-Cyanika'!H36</f>
        <v>0</v>
      </c>
      <c r="I36" s="49">
        <f>'Avg Week Cyanika-Kisoro'!I36+'Avg Week Kisoro-Cyanika'!I36</f>
        <v>0.66666666666666663</v>
      </c>
      <c r="J36" s="49">
        <f>'Avg Week Cyanika-Kisoro'!J36+'Avg Week Kisoro-Cyanika'!J36</f>
        <v>0.33333333333333331</v>
      </c>
      <c r="K36" s="49">
        <f>'Avg Week Cyanika-Kisoro'!K36+'Avg Week Kisoro-Cyanika'!K36</f>
        <v>0</v>
      </c>
      <c r="L36" s="49">
        <f>'Avg Week Cyanika-Kisoro'!L36+'Avg Week Kisoro-Cyanika'!L36</f>
        <v>0</v>
      </c>
      <c r="M36" s="49">
        <f>'Avg Week Cyanika-Kisoro'!M36+'Avg Week Kisoro-Cyanika'!M36</f>
        <v>66.333333333333329</v>
      </c>
      <c r="N36" s="49">
        <f>'Avg Week Cyanika-Kisoro'!N36+'Avg Week Kisoro-Cyanika'!N36</f>
        <v>0</v>
      </c>
      <c r="O36" s="15">
        <f t="shared" si="0"/>
        <v>11</v>
      </c>
      <c r="P36" s="15">
        <f t="shared" si="1"/>
        <v>77.333333333333329</v>
      </c>
      <c r="R36" s="51" t="s">
        <v>92</v>
      </c>
      <c r="S36" s="52">
        <f t="shared" ref="S36:AF36" si="28">MAX(S19:S21)</f>
        <v>20.333333333333332</v>
      </c>
      <c r="T36" s="52">
        <f t="shared" si="28"/>
        <v>10.333333333333334</v>
      </c>
      <c r="U36" s="52">
        <f t="shared" si="28"/>
        <v>7.3333333333333339</v>
      </c>
      <c r="V36" s="52">
        <f t="shared" si="28"/>
        <v>0.66666666666666663</v>
      </c>
      <c r="W36" s="52">
        <f t="shared" si="28"/>
        <v>0</v>
      </c>
      <c r="X36" s="52">
        <f t="shared" si="28"/>
        <v>0.33333333333333331</v>
      </c>
      <c r="Y36" s="52">
        <f t="shared" si="28"/>
        <v>3</v>
      </c>
      <c r="Z36" s="52">
        <f t="shared" si="28"/>
        <v>6.6666666666666661</v>
      </c>
      <c r="AA36" s="52">
        <f t="shared" si="28"/>
        <v>0</v>
      </c>
      <c r="AB36" s="52">
        <f t="shared" si="28"/>
        <v>0</v>
      </c>
      <c r="AC36" s="52">
        <f t="shared" si="28"/>
        <v>320</v>
      </c>
      <c r="AD36" s="52">
        <f t="shared" si="28"/>
        <v>0</v>
      </c>
      <c r="AE36" s="40">
        <f t="shared" si="28"/>
        <v>47</v>
      </c>
      <c r="AF36" s="40">
        <f t="shared" si="28"/>
        <v>362.66666666666663</v>
      </c>
    </row>
    <row r="37" spans="2:32" ht="23.1" customHeight="1" x14ac:dyDescent="0.25">
      <c r="B37" s="23" t="s">
        <v>64</v>
      </c>
      <c r="C37" s="49">
        <f>'Avg Week Cyanika-Kisoro'!C37+'Avg Week Kisoro-Cyanika'!C37</f>
        <v>3</v>
      </c>
      <c r="D37" s="49">
        <f>'Avg Week Cyanika-Kisoro'!D37+'Avg Week Kisoro-Cyanika'!D37</f>
        <v>2</v>
      </c>
      <c r="E37" s="49">
        <f>'Avg Week Cyanika-Kisoro'!E37+'Avg Week Kisoro-Cyanika'!E37</f>
        <v>1</v>
      </c>
      <c r="F37" s="49">
        <f>'Avg Week Cyanika-Kisoro'!F37+'Avg Week Kisoro-Cyanika'!F37</f>
        <v>0</v>
      </c>
      <c r="G37" s="49">
        <f>'Avg Week Cyanika-Kisoro'!G37+'Avg Week Kisoro-Cyanika'!G37</f>
        <v>0</v>
      </c>
      <c r="H37" s="49">
        <f>'Avg Week Cyanika-Kisoro'!H37+'Avg Week Kisoro-Cyanika'!H37</f>
        <v>0</v>
      </c>
      <c r="I37" s="49">
        <f>'Avg Week Cyanika-Kisoro'!I37+'Avg Week Kisoro-Cyanika'!I37</f>
        <v>1.3333333333333333</v>
      </c>
      <c r="J37" s="49">
        <f>'Avg Week Cyanika-Kisoro'!J37+'Avg Week Kisoro-Cyanika'!J37</f>
        <v>1</v>
      </c>
      <c r="K37" s="49">
        <f>'Avg Week Cyanika-Kisoro'!K37+'Avg Week Kisoro-Cyanika'!K37</f>
        <v>0</v>
      </c>
      <c r="L37" s="49">
        <f>'Avg Week Cyanika-Kisoro'!L37+'Avg Week Kisoro-Cyanika'!L37</f>
        <v>0</v>
      </c>
      <c r="M37" s="49">
        <f>'Avg Week Cyanika-Kisoro'!M37+'Avg Week Kisoro-Cyanika'!M37</f>
        <v>68</v>
      </c>
      <c r="N37" s="49">
        <f>'Avg Week Cyanika-Kisoro'!N37+'Avg Week Kisoro-Cyanika'!N37</f>
        <v>0</v>
      </c>
      <c r="O37" s="15">
        <f t="shared" si="0"/>
        <v>8.3333333333333321</v>
      </c>
      <c r="P37" s="15">
        <f t="shared" si="1"/>
        <v>76.333333333333329</v>
      </c>
      <c r="R37" s="37" t="s">
        <v>85</v>
      </c>
      <c r="S37" s="53">
        <f t="shared" ref="S37:AF37" si="29">SUM(S10:S12)</f>
        <v>26.999999999999996</v>
      </c>
      <c r="T37" s="54">
        <f t="shared" si="29"/>
        <v>14.666666666666666</v>
      </c>
      <c r="U37" s="54">
        <f t="shared" si="29"/>
        <v>12.333333333333332</v>
      </c>
      <c r="V37" s="54">
        <f t="shared" si="29"/>
        <v>1.3333333333333333</v>
      </c>
      <c r="W37" s="54">
        <f t="shared" si="29"/>
        <v>0</v>
      </c>
      <c r="X37" s="54">
        <f t="shared" si="29"/>
        <v>0</v>
      </c>
      <c r="Y37" s="54">
        <f t="shared" si="29"/>
        <v>3</v>
      </c>
      <c r="Z37" s="54">
        <f t="shared" si="29"/>
        <v>7.6666666666666661</v>
      </c>
      <c r="AA37" s="54">
        <f t="shared" si="29"/>
        <v>1.3333333333333333</v>
      </c>
      <c r="AB37" s="54">
        <f t="shared" si="29"/>
        <v>0</v>
      </c>
      <c r="AC37" s="54">
        <f t="shared" si="29"/>
        <v>382.33333333333331</v>
      </c>
      <c r="AD37" s="54">
        <f t="shared" si="29"/>
        <v>0</v>
      </c>
      <c r="AE37" s="55">
        <f t="shared" si="29"/>
        <v>67.333333333333329</v>
      </c>
      <c r="AF37" s="55">
        <f t="shared" si="29"/>
        <v>449.66666666666663</v>
      </c>
    </row>
    <row r="38" spans="2:32" ht="23.1" customHeight="1" x14ac:dyDescent="0.25">
      <c r="B38" s="24" t="s">
        <v>65</v>
      </c>
      <c r="C38" s="49">
        <f>'Avg Week Cyanika-Kisoro'!C38+'Avg Week Kisoro-Cyanika'!C38</f>
        <v>4.6666666666666661</v>
      </c>
      <c r="D38" s="49">
        <f>'Avg Week Cyanika-Kisoro'!D38+'Avg Week Kisoro-Cyanika'!D38</f>
        <v>1.6666666666666665</v>
      </c>
      <c r="E38" s="49">
        <f>'Avg Week Cyanika-Kisoro'!E38+'Avg Week Kisoro-Cyanika'!E38</f>
        <v>2.666666666666667</v>
      </c>
      <c r="F38" s="49">
        <f>'Avg Week Cyanika-Kisoro'!F38+'Avg Week Kisoro-Cyanika'!F38</f>
        <v>0</v>
      </c>
      <c r="G38" s="49">
        <f>'Avg Week Cyanika-Kisoro'!G38+'Avg Week Kisoro-Cyanika'!G38</f>
        <v>0</v>
      </c>
      <c r="H38" s="49">
        <f>'Avg Week Cyanika-Kisoro'!H38+'Avg Week Kisoro-Cyanika'!H38</f>
        <v>0.66666666666666663</v>
      </c>
      <c r="I38" s="49">
        <f>'Avg Week Cyanika-Kisoro'!I38+'Avg Week Kisoro-Cyanika'!I38</f>
        <v>1</v>
      </c>
      <c r="J38" s="49">
        <f>'Avg Week Cyanika-Kisoro'!J38+'Avg Week Kisoro-Cyanika'!J38</f>
        <v>1</v>
      </c>
      <c r="K38" s="49">
        <f>'Avg Week Cyanika-Kisoro'!K38+'Avg Week Kisoro-Cyanika'!K38</f>
        <v>0</v>
      </c>
      <c r="L38" s="49">
        <f>'Avg Week Cyanika-Kisoro'!L38+'Avg Week Kisoro-Cyanika'!L38</f>
        <v>0</v>
      </c>
      <c r="M38" s="49">
        <f>'Avg Week Cyanika-Kisoro'!M38+'Avg Week Kisoro-Cyanika'!M38</f>
        <v>61</v>
      </c>
      <c r="N38" s="49">
        <f>'Avg Week Cyanika-Kisoro'!N38+'Avg Week Kisoro-Cyanika'!N38</f>
        <v>0</v>
      </c>
      <c r="O38" s="15">
        <f t="shared" si="0"/>
        <v>11.666666666666666</v>
      </c>
      <c r="P38" s="15">
        <f t="shared" si="1"/>
        <v>72.666666666666671</v>
      </c>
      <c r="R38" s="28" t="s">
        <v>86</v>
      </c>
      <c r="S38" s="54">
        <f t="shared" ref="S38:AF38" si="30">SUM(S13:S18)</f>
        <v>100.33333333333331</v>
      </c>
      <c r="T38" s="54">
        <f t="shared" si="30"/>
        <v>45.333333333333329</v>
      </c>
      <c r="U38" s="54">
        <f t="shared" si="30"/>
        <v>37.333333333333336</v>
      </c>
      <c r="V38" s="54">
        <f t="shared" si="30"/>
        <v>4</v>
      </c>
      <c r="W38" s="54">
        <f t="shared" si="30"/>
        <v>0.33333333333333331</v>
      </c>
      <c r="X38" s="54">
        <f t="shared" si="30"/>
        <v>1.3333333333333333</v>
      </c>
      <c r="Y38" s="54">
        <f t="shared" si="30"/>
        <v>17.666666666666668</v>
      </c>
      <c r="Z38" s="54">
        <f t="shared" si="30"/>
        <v>19.333333333333332</v>
      </c>
      <c r="AA38" s="54">
        <f t="shared" si="30"/>
        <v>0.33333333333333331</v>
      </c>
      <c r="AB38" s="54">
        <f t="shared" si="30"/>
        <v>0</v>
      </c>
      <c r="AC38" s="54">
        <f t="shared" si="30"/>
        <v>1586.6666666666667</v>
      </c>
      <c r="AD38" s="54">
        <f t="shared" si="30"/>
        <v>0</v>
      </c>
      <c r="AE38" s="55">
        <f t="shared" si="30"/>
        <v>225.99999999999997</v>
      </c>
      <c r="AF38" s="55">
        <f t="shared" si="30"/>
        <v>1812.6666666666667</v>
      </c>
    </row>
    <row r="39" spans="2:32" ht="23.1" customHeight="1" x14ac:dyDescent="0.25">
      <c r="B39" s="24" t="s">
        <v>66</v>
      </c>
      <c r="C39" s="49">
        <f>'Avg Week Cyanika-Kisoro'!C39+'Avg Week Kisoro-Cyanika'!C39</f>
        <v>4</v>
      </c>
      <c r="D39" s="49">
        <f>'Avg Week Cyanika-Kisoro'!D39+'Avg Week Kisoro-Cyanika'!D39</f>
        <v>2.333333333333333</v>
      </c>
      <c r="E39" s="49">
        <f>'Avg Week Cyanika-Kisoro'!E39+'Avg Week Kisoro-Cyanika'!E39</f>
        <v>0</v>
      </c>
      <c r="F39" s="49">
        <f>'Avg Week Cyanika-Kisoro'!F39+'Avg Week Kisoro-Cyanika'!F39</f>
        <v>0.33333333333333331</v>
      </c>
      <c r="G39" s="49">
        <f>'Avg Week Cyanika-Kisoro'!G39+'Avg Week Kisoro-Cyanika'!G39</f>
        <v>0</v>
      </c>
      <c r="H39" s="49">
        <f>'Avg Week Cyanika-Kisoro'!H39+'Avg Week Kisoro-Cyanika'!H39</f>
        <v>0</v>
      </c>
      <c r="I39" s="49">
        <f>'Avg Week Cyanika-Kisoro'!I39+'Avg Week Kisoro-Cyanika'!I39</f>
        <v>0</v>
      </c>
      <c r="J39" s="49">
        <f>'Avg Week Cyanika-Kisoro'!J39+'Avg Week Kisoro-Cyanika'!J39</f>
        <v>1</v>
      </c>
      <c r="K39" s="49">
        <f>'Avg Week Cyanika-Kisoro'!K39+'Avg Week Kisoro-Cyanika'!K39</f>
        <v>0</v>
      </c>
      <c r="L39" s="49">
        <f>'Avg Week Cyanika-Kisoro'!L39+'Avg Week Kisoro-Cyanika'!L39</f>
        <v>0</v>
      </c>
      <c r="M39" s="49">
        <f>'Avg Week Cyanika-Kisoro'!M39+'Avg Week Kisoro-Cyanika'!M39</f>
        <v>62.333333333333336</v>
      </c>
      <c r="N39" s="49">
        <f>'Avg Week Cyanika-Kisoro'!N39+'Avg Week Kisoro-Cyanika'!N39</f>
        <v>0</v>
      </c>
      <c r="O39" s="15">
        <f t="shared" si="0"/>
        <v>7.6666666666666661</v>
      </c>
      <c r="P39" s="15">
        <f t="shared" si="1"/>
        <v>70</v>
      </c>
      <c r="R39" s="29" t="s">
        <v>87</v>
      </c>
      <c r="S39" s="54">
        <f t="shared" ref="S39:AF39" si="31">SUM(S19:S21)</f>
        <v>57.666666666666657</v>
      </c>
      <c r="T39" s="54">
        <f t="shared" si="31"/>
        <v>29.666666666666664</v>
      </c>
      <c r="U39" s="54">
        <f t="shared" si="31"/>
        <v>20.333333333333332</v>
      </c>
      <c r="V39" s="54">
        <f t="shared" si="31"/>
        <v>1.6666666666666665</v>
      </c>
      <c r="W39" s="54">
        <f t="shared" si="31"/>
        <v>0</v>
      </c>
      <c r="X39" s="54">
        <f t="shared" si="31"/>
        <v>0.33333333333333331</v>
      </c>
      <c r="Y39" s="54">
        <f t="shared" si="31"/>
        <v>7</v>
      </c>
      <c r="Z39" s="54">
        <f t="shared" si="31"/>
        <v>16</v>
      </c>
      <c r="AA39" s="54">
        <f t="shared" si="31"/>
        <v>0</v>
      </c>
      <c r="AB39" s="54">
        <f t="shared" si="31"/>
        <v>0</v>
      </c>
      <c r="AC39" s="54">
        <f t="shared" si="31"/>
        <v>943.33333333333326</v>
      </c>
      <c r="AD39" s="54">
        <f t="shared" si="31"/>
        <v>0</v>
      </c>
      <c r="AE39" s="55">
        <f t="shared" si="31"/>
        <v>132.66666666666666</v>
      </c>
      <c r="AF39" s="55">
        <f t="shared" si="31"/>
        <v>1076</v>
      </c>
    </row>
    <row r="40" spans="2:32" ht="23.1" customHeight="1" x14ac:dyDescent="0.25">
      <c r="B40" s="24" t="s">
        <v>67</v>
      </c>
      <c r="C40" s="49">
        <f>'Avg Week Cyanika-Kisoro'!C40+'Avg Week Kisoro-Cyanika'!C40</f>
        <v>3.3333333333333335</v>
      </c>
      <c r="D40" s="49">
        <f>'Avg Week Cyanika-Kisoro'!D40+'Avg Week Kisoro-Cyanika'!D40</f>
        <v>1.3333333333333333</v>
      </c>
      <c r="E40" s="49">
        <f>'Avg Week Cyanika-Kisoro'!E40+'Avg Week Kisoro-Cyanika'!E40</f>
        <v>2</v>
      </c>
      <c r="F40" s="49">
        <f>'Avg Week Cyanika-Kisoro'!F40+'Avg Week Kisoro-Cyanika'!F40</f>
        <v>0</v>
      </c>
      <c r="G40" s="49">
        <f>'Avg Week Cyanika-Kisoro'!G40+'Avg Week Kisoro-Cyanika'!G40</f>
        <v>0</v>
      </c>
      <c r="H40" s="49">
        <f>'Avg Week Cyanika-Kisoro'!H40+'Avg Week Kisoro-Cyanika'!H40</f>
        <v>0.33333333333333331</v>
      </c>
      <c r="I40" s="49">
        <f>'Avg Week Cyanika-Kisoro'!I40+'Avg Week Kisoro-Cyanika'!I40</f>
        <v>0.66666666666666663</v>
      </c>
      <c r="J40" s="49">
        <f>'Avg Week Cyanika-Kisoro'!J40+'Avg Week Kisoro-Cyanika'!J40</f>
        <v>0.66666666666666663</v>
      </c>
      <c r="K40" s="49">
        <f>'Avg Week Cyanika-Kisoro'!K40+'Avg Week Kisoro-Cyanika'!K40</f>
        <v>0</v>
      </c>
      <c r="L40" s="49">
        <f>'Avg Week Cyanika-Kisoro'!L40+'Avg Week Kisoro-Cyanika'!L40</f>
        <v>0</v>
      </c>
      <c r="M40" s="49">
        <f>'Avg Week Cyanika-Kisoro'!M40+'Avg Week Kisoro-Cyanika'!M40</f>
        <v>76.333333333333343</v>
      </c>
      <c r="N40" s="49">
        <f>'Avg Week Cyanika-Kisoro'!N40+'Avg Week Kisoro-Cyanika'!N40</f>
        <v>0</v>
      </c>
      <c r="O40" s="15">
        <f t="shared" si="0"/>
        <v>8.3333333333333339</v>
      </c>
      <c r="P40" s="15">
        <f t="shared" si="1"/>
        <v>84.666666666666671</v>
      </c>
      <c r="R40" s="5" t="s">
        <v>17</v>
      </c>
      <c r="S40" s="54">
        <f t="shared" ref="S40:AF40" si="32">SUM(S10:S21)</f>
        <v>185</v>
      </c>
      <c r="T40" s="54">
        <f t="shared" si="32"/>
        <v>89.666666666666657</v>
      </c>
      <c r="U40" s="54">
        <f t="shared" si="32"/>
        <v>70</v>
      </c>
      <c r="V40" s="54">
        <f t="shared" si="32"/>
        <v>7</v>
      </c>
      <c r="W40" s="54">
        <f t="shared" si="32"/>
        <v>0.33333333333333331</v>
      </c>
      <c r="X40" s="54">
        <f t="shared" si="32"/>
        <v>1.6666666666666665</v>
      </c>
      <c r="Y40" s="54">
        <f t="shared" si="32"/>
        <v>27.666666666666668</v>
      </c>
      <c r="Z40" s="54">
        <f t="shared" si="32"/>
        <v>42.999999999999993</v>
      </c>
      <c r="AA40" s="54">
        <f t="shared" si="32"/>
        <v>1.6666666666666665</v>
      </c>
      <c r="AB40" s="54">
        <f t="shared" si="32"/>
        <v>0</v>
      </c>
      <c r="AC40" s="54">
        <f t="shared" si="32"/>
        <v>2912.3333333333335</v>
      </c>
      <c r="AD40" s="54">
        <f t="shared" si="32"/>
        <v>0</v>
      </c>
      <c r="AE40" s="55">
        <f t="shared" si="32"/>
        <v>426</v>
      </c>
      <c r="AF40" s="55">
        <f t="shared" si="32"/>
        <v>3338.333333333333</v>
      </c>
    </row>
    <row r="41" spans="2:32" ht="23.1" customHeight="1" x14ac:dyDescent="0.25">
      <c r="B41" s="23" t="s">
        <v>68</v>
      </c>
      <c r="C41" s="49">
        <f>'Avg Week Cyanika-Kisoro'!C41+'Avg Week Kisoro-Cyanika'!C41</f>
        <v>2.3333333333333335</v>
      </c>
      <c r="D41" s="49">
        <f>'Avg Week Cyanika-Kisoro'!D41+'Avg Week Kisoro-Cyanika'!D41</f>
        <v>1.6666666666666665</v>
      </c>
      <c r="E41" s="49">
        <f>'Avg Week Cyanika-Kisoro'!E41+'Avg Week Kisoro-Cyanika'!E41</f>
        <v>1.6666666666666665</v>
      </c>
      <c r="F41" s="49">
        <f>'Avg Week Cyanika-Kisoro'!F41+'Avg Week Kisoro-Cyanika'!F41</f>
        <v>0</v>
      </c>
      <c r="G41" s="49">
        <f>'Avg Week Cyanika-Kisoro'!G41+'Avg Week Kisoro-Cyanika'!G41</f>
        <v>0</v>
      </c>
      <c r="H41" s="49">
        <f>'Avg Week Cyanika-Kisoro'!H41+'Avg Week Kisoro-Cyanika'!H41</f>
        <v>0</v>
      </c>
      <c r="I41" s="49">
        <f>'Avg Week Cyanika-Kisoro'!I41+'Avg Week Kisoro-Cyanika'!I41</f>
        <v>1.6666666666666665</v>
      </c>
      <c r="J41" s="49">
        <f>'Avg Week Cyanika-Kisoro'!J41+'Avg Week Kisoro-Cyanika'!J41</f>
        <v>0.33333333333333331</v>
      </c>
      <c r="K41" s="49">
        <f>'Avg Week Cyanika-Kisoro'!K41+'Avg Week Kisoro-Cyanika'!K41</f>
        <v>0</v>
      </c>
      <c r="L41" s="49">
        <f>'Avg Week Cyanika-Kisoro'!L41+'Avg Week Kisoro-Cyanika'!L41</f>
        <v>0</v>
      </c>
      <c r="M41" s="49">
        <f>'Avg Week Cyanika-Kisoro'!M41+'Avg Week Kisoro-Cyanika'!M41</f>
        <v>69.333333333333343</v>
      </c>
      <c r="N41" s="49">
        <f>'Avg Week Cyanika-Kisoro'!N41+'Avg Week Kisoro-Cyanika'!N41</f>
        <v>0</v>
      </c>
      <c r="O41" s="15">
        <f t="shared" si="0"/>
        <v>7.6666666666666652</v>
      </c>
      <c r="P41" s="15">
        <f t="shared" si="1"/>
        <v>77.000000000000014</v>
      </c>
      <c r="R41" s="5" t="s">
        <v>179</v>
      </c>
      <c r="S41" s="54">
        <f>SUM(S10:S33)</f>
        <v>342</v>
      </c>
      <c r="T41" s="54">
        <f t="shared" ref="T41:AD41" si="33">SUM(T10:T33)</f>
        <v>151.66666666666666</v>
      </c>
      <c r="U41" s="54">
        <f t="shared" si="33"/>
        <v>125</v>
      </c>
      <c r="V41" s="54">
        <f t="shared" si="33"/>
        <v>15</v>
      </c>
      <c r="W41" s="54">
        <f t="shared" si="33"/>
        <v>0.33333333333333331</v>
      </c>
      <c r="X41" s="54">
        <f t="shared" si="33"/>
        <v>2.6666666666666665</v>
      </c>
      <c r="Y41" s="54">
        <f t="shared" si="33"/>
        <v>46.666666666666671</v>
      </c>
      <c r="Z41" s="54">
        <f t="shared" si="33"/>
        <v>81</v>
      </c>
      <c r="AA41" s="54">
        <f t="shared" si="33"/>
        <v>5.6666666666666661</v>
      </c>
      <c r="AB41" s="54">
        <f t="shared" si="33"/>
        <v>0</v>
      </c>
      <c r="AC41" s="54">
        <f t="shared" si="33"/>
        <v>3634.3333333333335</v>
      </c>
      <c r="AD41" s="54">
        <f t="shared" si="33"/>
        <v>0</v>
      </c>
      <c r="AE41" s="55">
        <f>SUM(AE10:AE33)</f>
        <v>770</v>
      </c>
      <c r="AF41" s="55">
        <f>SUM(AF10:AF33)</f>
        <v>4404.333333333333</v>
      </c>
    </row>
    <row r="42" spans="2:32" ht="23.1" customHeight="1" x14ac:dyDescent="0.25">
      <c r="B42" s="24" t="s">
        <v>69</v>
      </c>
      <c r="C42" s="49">
        <f>'Avg Week Cyanika-Kisoro'!C42+'Avg Week Kisoro-Cyanika'!C42</f>
        <v>6.6666666666666661</v>
      </c>
      <c r="D42" s="49">
        <f>'Avg Week Cyanika-Kisoro'!D42+'Avg Week Kisoro-Cyanika'!D42</f>
        <v>3</v>
      </c>
      <c r="E42" s="49">
        <f>'Avg Week Cyanika-Kisoro'!E42+'Avg Week Kisoro-Cyanika'!E42</f>
        <v>1</v>
      </c>
      <c r="F42" s="49">
        <f>'Avg Week Cyanika-Kisoro'!F42+'Avg Week Kisoro-Cyanika'!F42</f>
        <v>0</v>
      </c>
      <c r="G42" s="49">
        <f>'Avg Week Cyanika-Kisoro'!G42+'Avg Week Kisoro-Cyanika'!G42</f>
        <v>0</v>
      </c>
      <c r="H42" s="49">
        <f>'Avg Week Cyanika-Kisoro'!H42+'Avg Week Kisoro-Cyanika'!H42</f>
        <v>0</v>
      </c>
      <c r="I42" s="49">
        <f>'Avg Week Cyanika-Kisoro'!I42+'Avg Week Kisoro-Cyanika'!I42</f>
        <v>0.66666666666666663</v>
      </c>
      <c r="J42" s="49">
        <f>'Avg Week Cyanika-Kisoro'!J42+'Avg Week Kisoro-Cyanika'!J42</f>
        <v>0.33333333333333331</v>
      </c>
      <c r="K42" s="49">
        <f>'Avg Week Cyanika-Kisoro'!K42+'Avg Week Kisoro-Cyanika'!K42</f>
        <v>0</v>
      </c>
      <c r="L42" s="49">
        <f>'Avg Week Cyanika-Kisoro'!L42+'Avg Week Kisoro-Cyanika'!L42</f>
        <v>0</v>
      </c>
      <c r="M42" s="49">
        <f>'Avg Week Cyanika-Kisoro'!M42+'Avg Week Kisoro-Cyanika'!M42</f>
        <v>85.333333333333343</v>
      </c>
      <c r="N42" s="49">
        <f>'Avg Week Cyanika-Kisoro'!N42+'Avg Week Kisoro-Cyanika'!N42</f>
        <v>0</v>
      </c>
      <c r="O42" s="15">
        <f t="shared" si="0"/>
        <v>11.666666666666666</v>
      </c>
      <c r="P42" s="15">
        <f t="shared" si="1"/>
        <v>97.000000000000014</v>
      </c>
      <c r="R42" s="5" t="s">
        <v>160</v>
      </c>
      <c r="S42" s="48">
        <f>S41/S40</f>
        <v>1.8486486486486486</v>
      </c>
      <c r="T42" s="48">
        <f t="shared" ref="T42:AF42" si="34">T41/T40</f>
        <v>1.6914498141263941</v>
      </c>
      <c r="U42" s="48">
        <f t="shared" si="34"/>
        <v>1.7857142857142858</v>
      </c>
      <c r="V42" s="48">
        <f t="shared" si="34"/>
        <v>2.1428571428571428</v>
      </c>
      <c r="W42" s="48">
        <f t="shared" si="34"/>
        <v>1</v>
      </c>
      <c r="X42" s="48">
        <f t="shared" si="34"/>
        <v>1.6</v>
      </c>
      <c r="Y42" s="48">
        <f t="shared" si="34"/>
        <v>1.6867469879518073</v>
      </c>
      <c r="Z42" s="48">
        <f t="shared" si="34"/>
        <v>1.8837209302325584</v>
      </c>
      <c r="AA42" s="48">
        <f t="shared" si="34"/>
        <v>3.4</v>
      </c>
      <c r="AB42" s="48">
        <v>0</v>
      </c>
      <c r="AC42" s="48">
        <f t="shared" si="34"/>
        <v>1.2479111823280302</v>
      </c>
      <c r="AD42" s="48">
        <v>0</v>
      </c>
      <c r="AE42" s="56">
        <f t="shared" si="34"/>
        <v>1.807511737089202</v>
      </c>
      <c r="AF42" s="56">
        <f t="shared" si="34"/>
        <v>1.3193210184722917</v>
      </c>
    </row>
    <row r="43" spans="2:32" ht="23.1" customHeight="1" x14ac:dyDescent="0.25">
      <c r="B43" s="23" t="s">
        <v>70</v>
      </c>
      <c r="C43" s="49">
        <f>'Avg Week Cyanika-Kisoro'!C43+'Avg Week Kisoro-Cyanika'!C43</f>
        <v>4.333333333333333</v>
      </c>
      <c r="D43" s="49">
        <f>'Avg Week Cyanika-Kisoro'!D43+'Avg Week Kisoro-Cyanika'!D43</f>
        <v>2.666666666666667</v>
      </c>
      <c r="E43" s="49">
        <f>'Avg Week Cyanika-Kisoro'!E43+'Avg Week Kisoro-Cyanika'!E43</f>
        <v>2</v>
      </c>
      <c r="F43" s="49">
        <f>'Avg Week Cyanika-Kisoro'!F43+'Avg Week Kisoro-Cyanika'!F43</f>
        <v>0</v>
      </c>
      <c r="G43" s="49">
        <f>'Avg Week Cyanika-Kisoro'!G43+'Avg Week Kisoro-Cyanika'!G43</f>
        <v>0</v>
      </c>
      <c r="H43" s="49">
        <f>'Avg Week Cyanika-Kisoro'!H43+'Avg Week Kisoro-Cyanika'!H43</f>
        <v>0</v>
      </c>
      <c r="I43" s="49">
        <f>'Avg Week Cyanika-Kisoro'!I43+'Avg Week Kisoro-Cyanika'!I43</f>
        <v>0.33333333333333331</v>
      </c>
      <c r="J43" s="49">
        <f>'Avg Week Cyanika-Kisoro'!J43+'Avg Week Kisoro-Cyanika'!J43</f>
        <v>0.66666666666666663</v>
      </c>
      <c r="K43" s="49">
        <f>'Avg Week Cyanika-Kisoro'!K43+'Avg Week Kisoro-Cyanika'!K43</f>
        <v>0</v>
      </c>
      <c r="L43" s="49">
        <f>'Avg Week Cyanika-Kisoro'!L43+'Avg Week Kisoro-Cyanika'!L43</f>
        <v>0</v>
      </c>
      <c r="M43" s="49">
        <f>'Avg Week Cyanika-Kisoro'!M43+'Avg Week Kisoro-Cyanika'!M43</f>
        <v>72.666666666666657</v>
      </c>
      <c r="N43" s="49">
        <f>'Avg Week Cyanika-Kisoro'!N43+'Avg Week Kisoro-Cyanika'!N43</f>
        <v>0</v>
      </c>
      <c r="O43" s="15">
        <f t="shared" si="0"/>
        <v>10</v>
      </c>
      <c r="P43" s="15">
        <f t="shared" si="1"/>
        <v>82.666666666666657</v>
      </c>
    </row>
    <row r="44" spans="2:32" ht="23.1" customHeight="1" x14ac:dyDescent="0.25">
      <c r="B44" s="25" t="s">
        <v>71</v>
      </c>
      <c r="C44" s="49">
        <f>'Avg Week Cyanika-Kisoro'!C44+'Avg Week Kisoro-Cyanika'!C44</f>
        <v>7</v>
      </c>
      <c r="D44" s="49">
        <f>'Avg Week Cyanika-Kisoro'!D44+'Avg Week Kisoro-Cyanika'!D44</f>
        <v>2</v>
      </c>
      <c r="E44" s="49">
        <f>'Avg Week Cyanika-Kisoro'!E44+'Avg Week Kisoro-Cyanika'!E44</f>
        <v>1</v>
      </c>
      <c r="F44" s="49">
        <f>'Avg Week Cyanika-Kisoro'!F44+'Avg Week Kisoro-Cyanika'!F44</f>
        <v>0.33333333333333331</v>
      </c>
      <c r="G44" s="49">
        <f>'Avg Week Cyanika-Kisoro'!G44+'Avg Week Kisoro-Cyanika'!G44</f>
        <v>0</v>
      </c>
      <c r="H44" s="49">
        <f>'Avg Week Cyanika-Kisoro'!H44+'Avg Week Kisoro-Cyanika'!H44</f>
        <v>0</v>
      </c>
      <c r="I44" s="49">
        <f>'Avg Week Cyanika-Kisoro'!I44+'Avg Week Kisoro-Cyanika'!I44</f>
        <v>0.33333333333333331</v>
      </c>
      <c r="J44" s="49">
        <f>'Avg Week Cyanika-Kisoro'!J44+'Avg Week Kisoro-Cyanika'!J44</f>
        <v>0.66666666666666663</v>
      </c>
      <c r="K44" s="49">
        <f>'Avg Week Cyanika-Kisoro'!K44+'Avg Week Kisoro-Cyanika'!K44</f>
        <v>0</v>
      </c>
      <c r="L44" s="49">
        <f>'Avg Week Cyanika-Kisoro'!L44+'Avg Week Kisoro-Cyanika'!L44</f>
        <v>0</v>
      </c>
      <c r="M44" s="49">
        <f>'Avg Week Cyanika-Kisoro'!M44+'Avg Week Kisoro-Cyanika'!M44</f>
        <v>72.333333333333343</v>
      </c>
      <c r="N44" s="49">
        <f>'Avg Week Cyanika-Kisoro'!N44+'Avg Week Kisoro-Cyanika'!N44</f>
        <v>0</v>
      </c>
      <c r="O44" s="15">
        <f t="shared" si="0"/>
        <v>11.333333333333334</v>
      </c>
      <c r="P44" s="15">
        <f t="shared" si="1"/>
        <v>83.666666666666671</v>
      </c>
    </row>
    <row r="45" spans="2:32" ht="23.1" customHeight="1" x14ac:dyDescent="0.25">
      <c r="B45" s="23" t="s">
        <v>72</v>
      </c>
      <c r="C45" s="49">
        <f>'Avg Week Cyanika-Kisoro'!C45+'Avg Week Kisoro-Cyanika'!C45</f>
        <v>2.3333333333333335</v>
      </c>
      <c r="D45" s="49">
        <f>'Avg Week Cyanika-Kisoro'!D45+'Avg Week Kisoro-Cyanika'!D45</f>
        <v>1.3333333333333333</v>
      </c>
      <c r="E45" s="49">
        <f>'Avg Week Cyanika-Kisoro'!E45+'Avg Week Kisoro-Cyanika'!E45</f>
        <v>1.3333333333333333</v>
      </c>
      <c r="F45" s="49">
        <f>'Avg Week Cyanika-Kisoro'!F45+'Avg Week Kisoro-Cyanika'!F45</f>
        <v>0</v>
      </c>
      <c r="G45" s="49">
        <f>'Avg Week Cyanika-Kisoro'!G45+'Avg Week Kisoro-Cyanika'!G45</f>
        <v>0</v>
      </c>
      <c r="H45" s="49">
        <f>'Avg Week Cyanika-Kisoro'!H45+'Avg Week Kisoro-Cyanika'!H45</f>
        <v>0</v>
      </c>
      <c r="I45" s="49">
        <f>'Avg Week Cyanika-Kisoro'!I45+'Avg Week Kisoro-Cyanika'!I45</f>
        <v>0.33333333333333331</v>
      </c>
      <c r="J45" s="49">
        <f>'Avg Week Cyanika-Kisoro'!J45+'Avg Week Kisoro-Cyanika'!J45</f>
        <v>1.3333333333333333</v>
      </c>
      <c r="K45" s="49">
        <f>'Avg Week Cyanika-Kisoro'!K45+'Avg Week Kisoro-Cyanika'!K45</f>
        <v>0</v>
      </c>
      <c r="L45" s="49">
        <f>'Avg Week Cyanika-Kisoro'!L45+'Avg Week Kisoro-Cyanika'!L45</f>
        <v>0</v>
      </c>
      <c r="M45" s="49">
        <f>'Avg Week Cyanika-Kisoro'!M45+'Avg Week Kisoro-Cyanika'!M45</f>
        <v>72.666666666666671</v>
      </c>
      <c r="N45" s="49">
        <f>'Avg Week Cyanika-Kisoro'!N45+'Avg Week Kisoro-Cyanika'!N45</f>
        <v>0</v>
      </c>
      <c r="O45" s="15">
        <f t="shared" si="0"/>
        <v>6.6666666666666661</v>
      </c>
      <c r="P45" s="15">
        <f t="shared" si="1"/>
        <v>79.333333333333343</v>
      </c>
    </row>
    <row r="46" spans="2:32" ht="23.1" customHeight="1" x14ac:dyDescent="0.25">
      <c r="B46" s="24" t="s">
        <v>73</v>
      </c>
      <c r="C46" s="49">
        <f>'Avg Week Cyanika-Kisoro'!C46+'Avg Week Kisoro-Cyanika'!C46</f>
        <v>5.6666666666666661</v>
      </c>
      <c r="D46" s="49">
        <f>'Avg Week Cyanika-Kisoro'!D46+'Avg Week Kisoro-Cyanika'!D46</f>
        <v>1.3333333333333333</v>
      </c>
      <c r="E46" s="49">
        <f>'Avg Week Cyanika-Kisoro'!E46+'Avg Week Kisoro-Cyanika'!E46</f>
        <v>1</v>
      </c>
      <c r="F46" s="49">
        <f>'Avg Week Cyanika-Kisoro'!F46+'Avg Week Kisoro-Cyanika'!F46</f>
        <v>0</v>
      </c>
      <c r="G46" s="49">
        <f>'Avg Week Cyanika-Kisoro'!G46+'Avg Week Kisoro-Cyanika'!G46</f>
        <v>0</v>
      </c>
      <c r="H46" s="49">
        <f>'Avg Week Cyanika-Kisoro'!H46+'Avg Week Kisoro-Cyanika'!H46</f>
        <v>0</v>
      </c>
      <c r="I46" s="49">
        <f>'Avg Week Cyanika-Kisoro'!I46+'Avg Week Kisoro-Cyanika'!I46</f>
        <v>0.66666666666666663</v>
      </c>
      <c r="J46" s="49">
        <f>'Avg Week Cyanika-Kisoro'!J46+'Avg Week Kisoro-Cyanika'!J46</f>
        <v>1.3333333333333333</v>
      </c>
      <c r="K46" s="49">
        <f>'Avg Week Cyanika-Kisoro'!K46+'Avg Week Kisoro-Cyanika'!K46</f>
        <v>0</v>
      </c>
      <c r="L46" s="49">
        <f>'Avg Week Cyanika-Kisoro'!L46+'Avg Week Kisoro-Cyanika'!L46</f>
        <v>0</v>
      </c>
      <c r="M46" s="49">
        <f>'Avg Week Cyanika-Kisoro'!M46+'Avg Week Kisoro-Cyanika'!M46</f>
        <v>74.333333333333329</v>
      </c>
      <c r="N46" s="49">
        <f>'Avg Week Cyanika-Kisoro'!N46+'Avg Week Kisoro-Cyanika'!N46</f>
        <v>0</v>
      </c>
      <c r="O46" s="15">
        <f t="shared" si="0"/>
        <v>10</v>
      </c>
      <c r="P46" s="15">
        <f t="shared" si="1"/>
        <v>84.333333333333329</v>
      </c>
      <c r="R46" s="8"/>
      <c r="T46"/>
    </row>
    <row r="47" spans="2:32" ht="23.1" customHeight="1" x14ac:dyDescent="0.25">
      <c r="B47" s="24" t="s">
        <v>74</v>
      </c>
      <c r="C47" s="49">
        <f>'Avg Week Cyanika-Kisoro'!C47+'Avg Week Kisoro-Cyanika'!C47</f>
        <v>5.333333333333333</v>
      </c>
      <c r="D47" s="49">
        <f>'Avg Week Cyanika-Kisoro'!D47+'Avg Week Kisoro-Cyanika'!D47</f>
        <v>3.666666666666667</v>
      </c>
      <c r="E47" s="49">
        <f>'Avg Week Cyanika-Kisoro'!E47+'Avg Week Kisoro-Cyanika'!E47</f>
        <v>1</v>
      </c>
      <c r="F47" s="49">
        <f>'Avg Week Cyanika-Kisoro'!F47+'Avg Week Kisoro-Cyanika'!F47</f>
        <v>0</v>
      </c>
      <c r="G47" s="49">
        <f>'Avg Week Cyanika-Kisoro'!G47+'Avg Week Kisoro-Cyanika'!G47</f>
        <v>0</v>
      </c>
      <c r="H47" s="49">
        <f>'Avg Week Cyanika-Kisoro'!H47+'Avg Week Kisoro-Cyanika'!H47</f>
        <v>0.33333333333333331</v>
      </c>
      <c r="I47" s="49">
        <f>'Avg Week Cyanika-Kisoro'!I47+'Avg Week Kisoro-Cyanika'!I47</f>
        <v>0.33333333333333331</v>
      </c>
      <c r="J47" s="49">
        <f>'Avg Week Cyanika-Kisoro'!J47+'Avg Week Kisoro-Cyanika'!J47</f>
        <v>0.33333333333333331</v>
      </c>
      <c r="K47" s="49">
        <f>'Avg Week Cyanika-Kisoro'!K47+'Avg Week Kisoro-Cyanika'!K47</f>
        <v>0</v>
      </c>
      <c r="L47" s="49">
        <f>'Avg Week Cyanika-Kisoro'!L47+'Avg Week Kisoro-Cyanika'!L47</f>
        <v>0</v>
      </c>
      <c r="M47" s="49">
        <f>'Avg Week Cyanika-Kisoro'!M47+'Avg Week Kisoro-Cyanika'!M47</f>
        <v>85</v>
      </c>
      <c r="N47" s="49">
        <f>'Avg Week Cyanika-Kisoro'!N47+'Avg Week Kisoro-Cyanika'!N47</f>
        <v>0</v>
      </c>
      <c r="O47" s="15">
        <f t="shared" si="0"/>
        <v>11.000000000000002</v>
      </c>
      <c r="P47" s="15">
        <f t="shared" si="1"/>
        <v>96</v>
      </c>
      <c r="R47" s="8"/>
      <c r="T47"/>
    </row>
    <row r="48" spans="2:32" ht="23.1" customHeight="1" x14ac:dyDescent="0.25">
      <c r="B48" s="24" t="s">
        <v>75</v>
      </c>
      <c r="C48" s="49">
        <f>'Avg Week Cyanika-Kisoro'!C48+'Avg Week Kisoro-Cyanika'!C48</f>
        <v>4.6666666666666661</v>
      </c>
      <c r="D48" s="49">
        <f>'Avg Week Cyanika-Kisoro'!D48+'Avg Week Kisoro-Cyanika'!D48</f>
        <v>2.3333333333333335</v>
      </c>
      <c r="E48" s="49">
        <f>'Avg Week Cyanika-Kisoro'!E48+'Avg Week Kisoro-Cyanika'!E48</f>
        <v>1.6666666666666665</v>
      </c>
      <c r="F48" s="49">
        <f>'Avg Week Cyanika-Kisoro'!F48+'Avg Week Kisoro-Cyanika'!F48</f>
        <v>0</v>
      </c>
      <c r="G48" s="49">
        <f>'Avg Week Cyanika-Kisoro'!G48+'Avg Week Kisoro-Cyanika'!G48</f>
        <v>0</v>
      </c>
      <c r="H48" s="49">
        <f>'Avg Week Cyanika-Kisoro'!H48+'Avg Week Kisoro-Cyanika'!H48</f>
        <v>0</v>
      </c>
      <c r="I48" s="49">
        <f>'Avg Week Cyanika-Kisoro'!I48+'Avg Week Kisoro-Cyanika'!I48</f>
        <v>0</v>
      </c>
      <c r="J48" s="49">
        <f>'Avg Week Cyanika-Kisoro'!J48+'Avg Week Kisoro-Cyanika'!J48</f>
        <v>1.3333333333333333</v>
      </c>
      <c r="K48" s="49">
        <f>'Avg Week Cyanika-Kisoro'!K48+'Avg Week Kisoro-Cyanika'!K48</f>
        <v>0</v>
      </c>
      <c r="L48" s="49">
        <f>'Avg Week Cyanika-Kisoro'!L48+'Avg Week Kisoro-Cyanika'!L48</f>
        <v>0</v>
      </c>
      <c r="M48" s="49">
        <f>'Avg Week Cyanika-Kisoro'!M48+'Avg Week Kisoro-Cyanika'!M48</f>
        <v>83.333333333333343</v>
      </c>
      <c r="N48" s="49">
        <f>'Avg Week Cyanika-Kisoro'!N48+'Avg Week Kisoro-Cyanika'!N48</f>
        <v>0</v>
      </c>
      <c r="O48" s="15">
        <f t="shared" si="0"/>
        <v>10</v>
      </c>
      <c r="P48" s="15">
        <f t="shared" si="1"/>
        <v>93.333333333333343</v>
      </c>
      <c r="R48" s="8"/>
      <c r="T48"/>
    </row>
    <row r="49" spans="2:20" ht="23.1" customHeight="1" x14ac:dyDescent="0.25">
      <c r="B49" s="23" t="s">
        <v>76</v>
      </c>
      <c r="C49" s="49">
        <f>'Avg Week Cyanika-Kisoro'!C49+'Avg Week Kisoro-Cyanika'!C49</f>
        <v>4.666666666666667</v>
      </c>
      <c r="D49" s="49">
        <f>'Avg Week Cyanika-Kisoro'!D49+'Avg Week Kisoro-Cyanika'!D49</f>
        <v>3</v>
      </c>
      <c r="E49" s="49">
        <f>'Avg Week Cyanika-Kisoro'!E49+'Avg Week Kisoro-Cyanika'!E49</f>
        <v>2</v>
      </c>
      <c r="F49" s="49">
        <f>'Avg Week Cyanika-Kisoro'!F49+'Avg Week Kisoro-Cyanika'!F49</f>
        <v>0.33333333333333331</v>
      </c>
      <c r="G49" s="49">
        <f>'Avg Week Cyanika-Kisoro'!G49+'Avg Week Kisoro-Cyanika'!G49</f>
        <v>0</v>
      </c>
      <c r="H49" s="49">
        <f>'Avg Week Cyanika-Kisoro'!H49+'Avg Week Kisoro-Cyanika'!H49</f>
        <v>0</v>
      </c>
      <c r="I49" s="49">
        <f>'Avg Week Cyanika-Kisoro'!I49+'Avg Week Kisoro-Cyanika'!I49</f>
        <v>0.66666666666666663</v>
      </c>
      <c r="J49" s="49">
        <f>'Avg Week Cyanika-Kisoro'!J49+'Avg Week Kisoro-Cyanika'!J49</f>
        <v>1.3333333333333333</v>
      </c>
      <c r="K49" s="49">
        <f>'Avg Week Cyanika-Kisoro'!K49+'Avg Week Kisoro-Cyanika'!K49</f>
        <v>0</v>
      </c>
      <c r="L49" s="49">
        <f>'Avg Week Cyanika-Kisoro'!L49+'Avg Week Kisoro-Cyanika'!L49</f>
        <v>0</v>
      </c>
      <c r="M49" s="49">
        <f>'Avg Week Cyanika-Kisoro'!M49+'Avg Week Kisoro-Cyanika'!M49</f>
        <v>76.666666666666671</v>
      </c>
      <c r="N49" s="49">
        <f>'Avg Week Cyanika-Kisoro'!N49+'Avg Week Kisoro-Cyanika'!N49</f>
        <v>0</v>
      </c>
      <c r="O49" s="15">
        <f t="shared" si="0"/>
        <v>12.000000000000002</v>
      </c>
      <c r="P49" s="15">
        <f t="shared" si="1"/>
        <v>88.666666666666671</v>
      </c>
      <c r="R49" s="8"/>
      <c r="T49"/>
    </row>
    <row r="50" spans="2:20" ht="23.1" customHeight="1" x14ac:dyDescent="0.25">
      <c r="B50" s="24" t="s">
        <v>77</v>
      </c>
      <c r="C50" s="49">
        <f>'Avg Week Cyanika-Kisoro'!C50+'Avg Week Kisoro-Cyanika'!C50</f>
        <v>3.666666666666667</v>
      </c>
      <c r="D50" s="49">
        <f>'Avg Week Cyanika-Kisoro'!D50+'Avg Week Kisoro-Cyanika'!D50</f>
        <v>3.666666666666667</v>
      </c>
      <c r="E50" s="49">
        <f>'Avg Week Cyanika-Kisoro'!E50+'Avg Week Kisoro-Cyanika'!E50</f>
        <v>1.6666666666666665</v>
      </c>
      <c r="F50" s="49">
        <f>'Avg Week Cyanika-Kisoro'!F50+'Avg Week Kisoro-Cyanika'!F50</f>
        <v>0</v>
      </c>
      <c r="G50" s="49">
        <f>'Avg Week Cyanika-Kisoro'!G50+'Avg Week Kisoro-Cyanika'!G50</f>
        <v>0</v>
      </c>
      <c r="H50" s="49">
        <f>'Avg Week Cyanika-Kisoro'!H50+'Avg Week Kisoro-Cyanika'!H50</f>
        <v>0</v>
      </c>
      <c r="I50" s="49">
        <f>'Avg Week Cyanika-Kisoro'!I50+'Avg Week Kisoro-Cyanika'!I50</f>
        <v>0.66666666666666663</v>
      </c>
      <c r="J50" s="49">
        <f>'Avg Week Cyanika-Kisoro'!J50+'Avg Week Kisoro-Cyanika'!J50</f>
        <v>0.66666666666666663</v>
      </c>
      <c r="K50" s="49">
        <f>'Avg Week Cyanika-Kisoro'!K50+'Avg Week Kisoro-Cyanika'!K50</f>
        <v>0</v>
      </c>
      <c r="L50" s="49">
        <f>'Avg Week Cyanika-Kisoro'!L50+'Avg Week Kisoro-Cyanika'!L50</f>
        <v>0</v>
      </c>
      <c r="M50" s="49">
        <f>'Avg Week Cyanika-Kisoro'!M50+'Avg Week Kisoro-Cyanika'!M50</f>
        <v>73.666666666666671</v>
      </c>
      <c r="N50" s="49">
        <f>'Avg Week Cyanika-Kisoro'!N50+'Avg Week Kisoro-Cyanika'!N50</f>
        <v>0</v>
      </c>
      <c r="O50" s="15">
        <f t="shared" si="0"/>
        <v>10.333333333333332</v>
      </c>
      <c r="P50" s="15">
        <f t="shared" si="1"/>
        <v>84</v>
      </c>
      <c r="R50" s="8"/>
      <c r="T50"/>
    </row>
    <row r="51" spans="2:20" ht="23.1" customHeight="1" x14ac:dyDescent="0.25">
      <c r="B51" s="24" t="s">
        <v>78</v>
      </c>
      <c r="C51" s="49">
        <f>'Avg Week Cyanika-Kisoro'!C51+'Avg Week Kisoro-Cyanika'!C51</f>
        <v>3.666666666666667</v>
      </c>
      <c r="D51" s="49">
        <f>'Avg Week Cyanika-Kisoro'!D51+'Avg Week Kisoro-Cyanika'!D51</f>
        <v>2.6666666666666665</v>
      </c>
      <c r="E51" s="49">
        <f>'Avg Week Cyanika-Kisoro'!E51+'Avg Week Kisoro-Cyanika'!E51</f>
        <v>1.3333333333333333</v>
      </c>
      <c r="F51" s="49">
        <f>'Avg Week Cyanika-Kisoro'!F51+'Avg Week Kisoro-Cyanika'!F51</f>
        <v>0.33333333333333331</v>
      </c>
      <c r="G51" s="49">
        <f>'Avg Week Cyanika-Kisoro'!G51+'Avg Week Kisoro-Cyanika'!G51</f>
        <v>0</v>
      </c>
      <c r="H51" s="49">
        <f>'Avg Week Cyanika-Kisoro'!H51+'Avg Week Kisoro-Cyanika'!H51</f>
        <v>0</v>
      </c>
      <c r="I51" s="49">
        <f>'Avg Week Cyanika-Kisoro'!I51+'Avg Week Kisoro-Cyanika'!I51</f>
        <v>0.66666666666666663</v>
      </c>
      <c r="J51" s="49">
        <f>'Avg Week Cyanika-Kisoro'!J51+'Avg Week Kisoro-Cyanika'!J51</f>
        <v>1.6666666666666667</v>
      </c>
      <c r="K51" s="49">
        <f>'Avg Week Cyanika-Kisoro'!K51+'Avg Week Kisoro-Cyanika'!K51</f>
        <v>0</v>
      </c>
      <c r="L51" s="49">
        <f>'Avg Week Cyanika-Kisoro'!L51+'Avg Week Kisoro-Cyanika'!L51</f>
        <v>0</v>
      </c>
      <c r="M51" s="49">
        <f>'Avg Week Cyanika-Kisoro'!M51+'Avg Week Kisoro-Cyanika'!M51</f>
        <v>76</v>
      </c>
      <c r="N51" s="49">
        <f>'Avg Week Cyanika-Kisoro'!N51+'Avg Week Kisoro-Cyanika'!N51</f>
        <v>0</v>
      </c>
      <c r="O51" s="15">
        <f t="shared" si="0"/>
        <v>10.333333333333332</v>
      </c>
      <c r="P51" s="15">
        <f t="shared" si="1"/>
        <v>86.333333333333329</v>
      </c>
      <c r="R51" s="8"/>
      <c r="T51"/>
    </row>
    <row r="52" spans="2:20" ht="23.1" customHeight="1" x14ac:dyDescent="0.25">
      <c r="B52" s="24" t="s">
        <v>79</v>
      </c>
      <c r="C52" s="49">
        <f>'Avg Week Cyanika-Kisoro'!C52+'Avg Week Kisoro-Cyanika'!C52</f>
        <v>3.666666666666667</v>
      </c>
      <c r="D52" s="49">
        <f>'Avg Week Cyanika-Kisoro'!D52+'Avg Week Kisoro-Cyanika'!D52</f>
        <v>1.6666666666666665</v>
      </c>
      <c r="E52" s="49">
        <f>'Avg Week Cyanika-Kisoro'!E52+'Avg Week Kisoro-Cyanika'!E52</f>
        <v>2</v>
      </c>
      <c r="F52" s="49">
        <f>'Avg Week Cyanika-Kisoro'!F52+'Avg Week Kisoro-Cyanika'!F52</f>
        <v>0.33333333333333331</v>
      </c>
      <c r="G52" s="49">
        <f>'Avg Week Cyanika-Kisoro'!G52+'Avg Week Kisoro-Cyanika'!G52</f>
        <v>0</v>
      </c>
      <c r="H52" s="49">
        <f>'Avg Week Cyanika-Kisoro'!H52+'Avg Week Kisoro-Cyanika'!H52</f>
        <v>0</v>
      </c>
      <c r="I52" s="49">
        <f>'Avg Week Cyanika-Kisoro'!I52+'Avg Week Kisoro-Cyanika'!I52</f>
        <v>0.66666666666666663</v>
      </c>
      <c r="J52" s="49">
        <f>'Avg Week Cyanika-Kisoro'!J52+'Avg Week Kisoro-Cyanika'!J52</f>
        <v>2</v>
      </c>
      <c r="K52" s="49">
        <f>'Avg Week Cyanika-Kisoro'!K52+'Avg Week Kisoro-Cyanika'!K52</f>
        <v>0</v>
      </c>
      <c r="L52" s="49">
        <f>'Avg Week Cyanika-Kisoro'!L52+'Avg Week Kisoro-Cyanika'!L52</f>
        <v>0</v>
      </c>
      <c r="M52" s="49">
        <f>'Avg Week Cyanika-Kisoro'!M52+'Avg Week Kisoro-Cyanika'!M52</f>
        <v>81.666666666666657</v>
      </c>
      <c r="N52" s="49">
        <f>'Avg Week Cyanika-Kisoro'!N52+'Avg Week Kisoro-Cyanika'!N52</f>
        <v>0</v>
      </c>
      <c r="O52" s="15">
        <f t="shared" si="0"/>
        <v>10.333333333333334</v>
      </c>
      <c r="P52" s="15">
        <f t="shared" si="1"/>
        <v>91.999999999999986</v>
      </c>
      <c r="R52" s="8"/>
      <c r="T52"/>
    </row>
    <row r="53" spans="2:20" ht="23.1" customHeight="1" x14ac:dyDescent="0.25">
      <c r="B53" s="23" t="s">
        <v>80</v>
      </c>
      <c r="C53" s="49">
        <f>'Avg Week Cyanika-Kisoro'!C53+'Avg Week Kisoro-Cyanika'!C53</f>
        <v>6</v>
      </c>
      <c r="D53" s="49">
        <f>'Avg Week Cyanika-Kisoro'!D53+'Avg Week Kisoro-Cyanika'!D53</f>
        <v>2.333333333333333</v>
      </c>
      <c r="E53" s="49">
        <f>'Avg Week Cyanika-Kisoro'!E53+'Avg Week Kisoro-Cyanika'!E53</f>
        <v>2.3333333333333335</v>
      </c>
      <c r="F53" s="49">
        <f>'Avg Week Cyanika-Kisoro'!F53+'Avg Week Kisoro-Cyanika'!F53</f>
        <v>0</v>
      </c>
      <c r="G53" s="49">
        <f>'Avg Week Cyanika-Kisoro'!G53+'Avg Week Kisoro-Cyanika'!G53</f>
        <v>0</v>
      </c>
      <c r="H53" s="49">
        <f>'Avg Week Cyanika-Kisoro'!H53+'Avg Week Kisoro-Cyanika'!H53</f>
        <v>0</v>
      </c>
      <c r="I53" s="49">
        <f>'Avg Week Cyanika-Kisoro'!I53+'Avg Week Kisoro-Cyanika'!I53</f>
        <v>0.33333333333333331</v>
      </c>
      <c r="J53" s="49">
        <f>'Avg Week Cyanika-Kisoro'!J53+'Avg Week Kisoro-Cyanika'!J53</f>
        <v>0.66666666666666663</v>
      </c>
      <c r="K53" s="49">
        <f>'Avg Week Cyanika-Kisoro'!K53+'Avg Week Kisoro-Cyanika'!K53</f>
        <v>0</v>
      </c>
      <c r="L53" s="49">
        <f>'Avg Week Cyanika-Kisoro'!L53+'Avg Week Kisoro-Cyanika'!L53</f>
        <v>0</v>
      </c>
      <c r="M53" s="49">
        <f>'Avg Week Cyanika-Kisoro'!M53+'Avg Week Kisoro-Cyanika'!M53</f>
        <v>88.666666666666657</v>
      </c>
      <c r="N53" s="49">
        <f>'Avg Week Cyanika-Kisoro'!N53+'Avg Week Kisoro-Cyanika'!N53</f>
        <v>0</v>
      </c>
      <c r="O53" s="15">
        <f t="shared" si="0"/>
        <v>11.666666666666666</v>
      </c>
      <c r="P53" s="15">
        <f t="shared" si="1"/>
        <v>100.33333333333333</v>
      </c>
      <c r="R53" s="8"/>
      <c r="T53"/>
    </row>
    <row r="54" spans="2:20" ht="23.1" customHeight="1" x14ac:dyDescent="0.25">
      <c r="B54" s="23" t="s">
        <v>81</v>
      </c>
      <c r="C54" s="49">
        <f>'Avg Week Cyanika-Kisoro'!C54+'Avg Week Kisoro-Cyanika'!C54</f>
        <v>6</v>
      </c>
      <c r="D54" s="49">
        <f>'Avg Week Cyanika-Kisoro'!D54+'Avg Week Kisoro-Cyanika'!D54</f>
        <v>2</v>
      </c>
      <c r="E54" s="49">
        <f>'Avg Week Cyanika-Kisoro'!E54+'Avg Week Kisoro-Cyanika'!E54</f>
        <v>1.6666666666666665</v>
      </c>
      <c r="F54" s="49">
        <f>'Avg Week Cyanika-Kisoro'!F54+'Avg Week Kisoro-Cyanika'!F54</f>
        <v>0</v>
      </c>
      <c r="G54" s="49">
        <f>'Avg Week Cyanika-Kisoro'!G54+'Avg Week Kisoro-Cyanika'!G54</f>
        <v>0</v>
      </c>
      <c r="H54" s="49">
        <f>'Avg Week Cyanika-Kisoro'!H54+'Avg Week Kisoro-Cyanika'!H54</f>
        <v>0</v>
      </c>
      <c r="I54" s="49">
        <f>'Avg Week Cyanika-Kisoro'!I54+'Avg Week Kisoro-Cyanika'!I54</f>
        <v>1</v>
      </c>
      <c r="J54" s="49">
        <f>'Avg Week Cyanika-Kisoro'!J54+'Avg Week Kisoro-Cyanika'!J54</f>
        <v>1</v>
      </c>
      <c r="K54" s="49">
        <f>'Avg Week Cyanika-Kisoro'!K54+'Avg Week Kisoro-Cyanika'!K54</f>
        <v>0</v>
      </c>
      <c r="L54" s="49">
        <f>'Avg Week Cyanika-Kisoro'!L54+'Avg Week Kisoro-Cyanika'!L54</f>
        <v>0</v>
      </c>
      <c r="M54" s="49">
        <f>'Avg Week Cyanika-Kisoro'!M54+'Avg Week Kisoro-Cyanika'!M54</f>
        <v>75</v>
      </c>
      <c r="N54" s="49">
        <f>'Avg Week Cyanika-Kisoro'!N54+'Avg Week Kisoro-Cyanika'!N54</f>
        <v>0</v>
      </c>
      <c r="O54" s="15">
        <f t="shared" si="0"/>
        <v>11.666666666666666</v>
      </c>
      <c r="P54" s="15">
        <f t="shared" si="1"/>
        <v>86.666666666666671</v>
      </c>
      <c r="R54" s="8"/>
      <c r="T54"/>
    </row>
    <row r="55" spans="2:20" ht="23.1" customHeight="1" x14ac:dyDescent="0.25">
      <c r="B55" s="23" t="s">
        <v>82</v>
      </c>
      <c r="C55" s="49">
        <f>'Avg Week Cyanika-Kisoro'!C55+'Avg Week Kisoro-Cyanika'!C55</f>
        <v>5.6666666666666661</v>
      </c>
      <c r="D55" s="49">
        <f>'Avg Week Cyanika-Kisoro'!D55+'Avg Week Kisoro-Cyanika'!D55</f>
        <v>3</v>
      </c>
      <c r="E55" s="49">
        <f>'Avg Week Cyanika-Kisoro'!E55+'Avg Week Kisoro-Cyanika'!E55</f>
        <v>1.6666666666666665</v>
      </c>
      <c r="F55" s="49">
        <f>'Avg Week Cyanika-Kisoro'!F55+'Avg Week Kisoro-Cyanika'!F55</f>
        <v>0</v>
      </c>
      <c r="G55" s="49">
        <f>'Avg Week Cyanika-Kisoro'!G55+'Avg Week Kisoro-Cyanika'!G55</f>
        <v>0</v>
      </c>
      <c r="H55" s="49">
        <f>'Avg Week Cyanika-Kisoro'!H55+'Avg Week Kisoro-Cyanika'!H55</f>
        <v>0</v>
      </c>
      <c r="I55" s="49">
        <f>'Avg Week Cyanika-Kisoro'!I55+'Avg Week Kisoro-Cyanika'!I55</f>
        <v>0.66666666666666663</v>
      </c>
      <c r="J55" s="49">
        <f>'Avg Week Cyanika-Kisoro'!J55+'Avg Week Kisoro-Cyanika'!J55</f>
        <v>1.3333333333333333</v>
      </c>
      <c r="K55" s="49">
        <f>'Avg Week Cyanika-Kisoro'!K55+'Avg Week Kisoro-Cyanika'!K55</f>
        <v>0</v>
      </c>
      <c r="L55" s="49">
        <f>'Avg Week Cyanika-Kisoro'!L55+'Avg Week Kisoro-Cyanika'!L55</f>
        <v>0</v>
      </c>
      <c r="M55" s="49">
        <f>'Avg Week Cyanika-Kisoro'!M55+'Avg Week Kisoro-Cyanika'!M55</f>
        <v>71.333333333333343</v>
      </c>
      <c r="N55" s="49">
        <f>'Avg Week Cyanika-Kisoro'!N55+'Avg Week Kisoro-Cyanika'!N55</f>
        <v>0</v>
      </c>
      <c r="O55" s="15">
        <f t="shared" si="0"/>
        <v>12.333333333333332</v>
      </c>
      <c r="P55" s="15">
        <f t="shared" si="1"/>
        <v>83.666666666666671</v>
      </c>
      <c r="R55" s="8"/>
      <c r="T55"/>
    </row>
    <row r="56" spans="2:20" ht="23.1" customHeight="1" x14ac:dyDescent="0.25">
      <c r="B56" s="23" t="s">
        <v>83</v>
      </c>
      <c r="C56" s="49">
        <f>'Avg Week Cyanika-Kisoro'!C56+'Avg Week Kisoro-Cyanika'!C56</f>
        <v>3.666666666666667</v>
      </c>
      <c r="D56" s="49">
        <f>'Avg Week Cyanika-Kisoro'!D56+'Avg Week Kisoro-Cyanika'!D56</f>
        <v>1</v>
      </c>
      <c r="E56" s="49">
        <f>'Avg Week Cyanika-Kisoro'!E56+'Avg Week Kisoro-Cyanika'!E56</f>
        <v>1.6666666666666665</v>
      </c>
      <c r="F56" s="49">
        <f>'Avg Week Cyanika-Kisoro'!F56+'Avg Week Kisoro-Cyanika'!F56</f>
        <v>0.33333333333333331</v>
      </c>
      <c r="G56" s="49">
        <f>'Avg Week Cyanika-Kisoro'!G56+'Avg Week Kisoro-Cyanika'!G56</f>
        <v>0</v>
      </c>
      <c r="H56" s="49">
        <f>'Avg Week Cyanika-Kisoro'!H56+'Avg Week Kisoro-Cyanika'!H56</f>
        <v>0</v>
      </c>
      <c r="I56" s="49">
        <f>'Avg Week Cyanika-Kisoro'!I56+'Avg Week Kisoro-Cyanika'!I56</f>
        <v>1</v>
      </c>
      <c r="J56" s="49">
        <f>'Avg Week Cyanika-Kisoro'!J56+'Avg Week Kisoro-Cyanika'!J56</f>
        <v>3.333333333333333</v>
      </c>
      <c r="K56" s="49">
        <f>'Avg Week Cyanika-Kisoro'!K56+'Avg Week Kisoro-Cyanika'!K56</f>
        <v>0</v>
      </c>
      <c r="L56" s="49">
        <f>'Avg Week Cyanika-Kisoro'!L56+'Avg Week Kisoro-Cyanika'!L56</f>
        <v>0</v>
      </c>
      <c r="M56" s="49">
        <f>'Avg Week Cyanika-Kisoro'!M56+'Avg Week Kisoro-Cyanika'!M56</f>
        <v>77</v>
      </c>
      <c r="N56" s="49">
        <f>'Avg Week Cyanika-Kisoro'!N56+'Avg Week Kisoro-Cyanika'!N56</f>
        <v>0</v>
      </c>
      <c r="O56" s="15">
        <f t="shared" si="0"/>
        <v>11</v>
      </c>
      <c r="P56" s="15">
        <f t="shared" si="1"/>
        <v>88</v>
      </c>
      <c r="R56" s="8"/>
      <c r="T56"/>
    </row>
    <row r="57" spans="2:20" ht="23.1" customHeight="1" x14ac:dyDescent="0.25">
      <c r="B57" s="23" t="s">
        <v>84</v>
      </c>
      <c r="C57" s="49">
        <f>'Avg Week Cyanika-Kisoro'!C57+'Avg Week Kisoro-Cyanika'!C57</f>
        <v>5</v>
      </c>
      <c r="D57" s="49">
        <f>'Avg Week Cyanika-Kisoro'!D57+'Avg Week Kisoro-Cyanika'!D57</f>
        <v>3</v>
      </c>
      <c r="E57" s="49">
        <f>'Avg Week Cyanika-Kisoro'!E57+'Avg Week Kisoro-Cyanika'!E57</f>
        <v>2.333333333333333</v>
      </c>
      <c r="F57" s="49">
        <f>'Avg Week Cyanika-Kisoro'!F57+'Avg Week Kisoro-Cyanika'!F57</f>
        <v>0.33333333333333331</v>
      </c>
      <c r="G57" s="49">
        <f>'Avg Week Cyanika-Kisoro'!G57+'Avg Week Kisoro-Cyanika'!G57</f>
        <v>0</v>
      </c>
      <c r="H57" s="49">
        <f>'Avg Week Cyanika-Kisoro'!H57+'Avg Week Kisoro-Cyanika'!H57</f>
        <v>0</v>
      </c>
      <c r="I57" s="49">
        <f>'Avg Week Cyanika-Kisoro'!I57+'Avg Week Kisoro-Cyanika'!I57</f>
        <v>0.33333333333333331</v>
      </c>
      <c r="J57" s="49">
        <f>'Avg Week Cyanika-Kisoro'!J57+'Avg Week Kisoro-Cyanika'!J57</f>
        <v>1</v>
      </c>
      <c r="K57" s="49">
        <f>'Avg Week Cyanika-Kisoro'!K57+'Avg Week Kisoro-Cyanika'!K57</f>
        <v>0</v>
      </c>
      <c r="L57" s="49">
        <f>'Avg Week Cyanika-Kisoro'!L57+'Avg Week Kisoro-Cyanika'!L57</f>
        <v>0</v>
      </c>
      <c r="M57" s="49">
        <f>'Avg Week Cyanika-Kisoro'!M57+'Avg Week Kisoro-Cyanika'!M57</f>
        <v>80.666666666666671</v>
      </c>
      <c r="N57" s="49">
        <f>'Avg Week Cyanika-Kisoro'!N57+'Avg Week Kisoro-Cyanika'!N57</f>
        <v>0</v>
      </c>
      <c r="O57" s="15">
        <f t="shared" si="0"/>
        <v>12</v>
      </c>
      <c r="P57" s="15">
        <f t="shared" si="1"/>
        <v>92.666666666666671</v>
      </c>
      <c r="R57" s="8"/>
      <c r="T57"/>
    </row>
    <row r="58" spans="2:20" ht="23.1" customHeight="1" x14ac:dyDescent="0.25">
      <c r="B58" s="23" t="s">
        <v>99</v>
      </c>
      <c r="C58" s="49">
        <f>'Avg Week Cyanika-Kisoro'!C58+'Avg Week Kisoro-Cyanika'!C58</f>
        <v>6</v>
      </c>
      <c r="D58" s="49">
        <f>'Avg Week Cyanika-Kisoro'!D58+'Avg Week Kisoro-Cyanika'!D58</f>
        <v>3</v>
      </c>
      <c r="E58" s="49">
        <f>'Avg Week Cyanika-Kisoro'!E58+'Avg Week Kisoro-Cyanika'!E58</f>
        <v>2</v>
      </c>
      <c r="F58" s="49">
        <f>'Avg Week Cyanika-Kisoro'!F58+'Avg Week Kisoro-Cyanika'!F58</f>
        <v>0</v>
      </c>
      <c r="G58" s="49">
        <f>'Avg Week Cyanika-Kisoro'!G58+'Avg Week Kisoro-Cyanika'!G58</f>
        <v>0</v>
      </c>
      <c r="H58" s="49">
        <f>'Avg Week Cyanika-Kisoro'!H58+'Avg Week Kisoro-Cyanika'!H58</f>
        <v>0</v>
      </c>
      <c r="I58" s="49">
        <f>'Avg Week Cyanika-Kisoro'!I58+'Avg Week Kisoro-Cyanika'!I58</f>
        <v>1</v>
      </c>
      <c r="J58" s="49">
        <f>'Avg Week Cyanika-Kisoro'!J58+'Avg Week Kisoro-Cyanika'!J58</f>
        <v>0</v>
      </c>
      <c r="K58" s="49">
        <f>'Avg Week Cyanika-Kisoro'!K58+'Avg Week Kisoro-Cyanika'!K58</f>
        <v>1</v>
      </c>
      <c r="L58" s="49">
        <f>'Avg Week Cyanika-Kisoro'!L58+'Avg Week Kisoro-Cyanika'!L58</f>
        <v>0</v>
      </c>
      <c r="M58" s="49">
        <f>'Avg Week Cyanika-Kisoro'!M58+'Avg Week Kisoro-Cyanika'!M58</f>
        <v>88</v>
      </c>
      <c r="N58" s="49">
        <f>'Avg Week Cyanika-Kisoro'!N58+'Avg Week Kisoro-Cyanika'!N58</f>
        <v>0</v>
      </c>
      <c r="O58" s="15">
        <f t="shared" si="0"/>
        <v>13</v>
      </c>
      <c r="P58" s="15">
        <f t="shared" si="1"/>
        <v>101</v>
      </c>
      <c r="R58" s="8"/>
      <c r="T58"/>
    </row>
    <row r="59" spans="2:20" ht="23.1" customHeight="1" x14ac:dyDescent="0.25">
      <c r="B59" s="23" t="s">
        <v>100</v>
      </c>
      <c r="C59" s="49">
        <f>'Avg Week Cyanika-Kisoro'!C59+'Avg Week Kisoro-Cyanika'!C59</f>
        <v>6</v>
      </c>
      <c r="D59" s="49">
        <f>'Avg Week Cyanika-Kisoro'!D59+'Avg Week Kisoro-Cyanika'!D59</f>
        <v>1</v>
      </c>
      <c r="E59" s="49">
        <f>'Avg Week Cyanika-Kisoro'!E59+'Avg Week Kisoro-Cyanika'!E59</f>
        <v>2</v>
      </c>
      <c r="F59" s="49">
        <f>'Avg Week Cyanika-Kisoro'!F59+'Avg Week Kisoro-Cyanika'!F59</f>
        <v>1</v>
      </c>
      <c r="G59" s="49">
        <f>'Avg Week Cyanika-Kisoro'!G59+'Avg Week Kisoro-Cyanika'!G59</f>
        <v>0</v>
      </c>
      <c r="H59" s="49">
        <f>'Avg Week Cyanika-Kisoro'!H59+'Avg Week Kisoro-Cyanika'!H59</f>
        <v>0</v>
      </c>
      <c r="I59" s="49">
        <f>'Avg Week Cyanika-Kisoro'!I59+'Avg Week Kisoro-Cyanika'!I59</f>
        <v>4</v>
      </c>
      <c r="J59" s="49">
        <f>'Avg Week Cyanika-Kisoro'!J59+'Avg Week Kisoro-Cyanika'!J59</f>
        <v>0</v>
      </c>
      <c r="K59" s="49">
        <f>'Avg Week Cyanika-Kisoro'!K59+'Avg Week Kisoro-Cyanika'!K59</f>
        <v>0</v>
      </c>
      <c r="L59" s="49">
        <f>'Avg Week Cyanika-Kisoro'!L59+'Avg Week Kisoro-Cyanika'!L59</f>
        <v>0</v>
      </c>
      <c r="M59" s="49">
        <f>'Avg Week Cyanika-Kisoro'!M59+'Avg Week Kisoro-Cyanika'!M59</f>
        <v>90</v>
      </c>
      <c r="N59" s="49">
        <f>'Avg Week Cyanika-Kisoro'!N59+'Avg Week Kisoro-Cyanika'!N59</f>
        <v>0</v>
      </c>
      <c r="O59" s="15">
        <f t="shared" si="0"/>
        <v>14</v>
      </c>
      <c r="P59" s="15">
        <f t="shared" si="1"/>
        <v>104</v>
      </c>
      <c r="R59" s="8"/>
      <c r="T59"/>
    </row>
    <row r="60" spans="2:20" ht="23.1" customHeight="1" x14ac:dyDescent="0.25">
      <c r="B60" s="23" t="s">
        <v>101</v>
      </c>
      <c r="C60" s="49">
        <f>'Avg Week Cyanika-Kisoro'!C60+'Avg Week Kisoro-Cyanika'!C60</f>
        <v>6</v>
      </c>
      <c r="D60" s="49">
        <f>'Avg Week Cyanika-Kisoro'!D60+'Avg Week Kisoro-Cyanika'!D60</f>
        <v>0</v>
      </c>
      <c r="E60" s="49">
        <f>'Avg Week Cyanika-Kisoro'!E60+'Avg Week Kisoro-Cyanika'!E60</f>
        <v>3</v>
      </c>
      <c r="F60" s="49">
        <f>'Avg Week Cyanika-Kisoro'!F60+'Avg Week Kisoro-Cyanika'!F60</f>
        <v>0</v>
      </c>
      <c r="G60" s="49">
        <f>'Avg Week Cyanika-Kisoro'!G60+'Avg Week Kisoro-Cyanika'!G60</f>
        <v>0</v>
      </c>
      <c r="H60" s="49">
        <f>'Avg Week Cyanika-Kisoro'!H60+'Avg Week Kisoro-Cyanika'!H60</f>
        <v>0</v>
      </c>
      <c r="I60" s="49">
        <f>'Avg Week Cyanika-Kisoro'!I60+'Avg Week Kisoro-Cyanika'!I60</f>
        <v>0</v>
      </c>
      <c r="J60" s="49">
        <f>'Avg Week Cyanika-Kisoro'!J60+'Avg Week Kisoro-Cyanika'!J60</f>
        <v>0</v>
      </c>
      <c r="K60" s="49">
        <f>'Avg Week Cyanika-Kisoro'!K60+'Avg Week Kisoro-Cyanika'!K60</f>
        <v>2</v>
      </c>
      <c r="L60" s="49">
        <f>'Avg Week Cyanika-Kisoro'!L60+'Avg Week Kisoro-Cyanika'!L60</f>
        <v>0</v>
      </c>
      <c r="M60" s="49">
        <f>'Avg Week Cyanika-Kisoro'!M60+'Avg Week Kisoro-Cyanika'!M60</f>
        <v>80</v>
      </c>
      <c r="N60" s="49">
        <f>'Avg Week Cyanika-Kisoro'!N60+'Avg Week Kisoro-Cyanika'!N60</f>
        <v>0</v>
      </c>
      <c r="O60" s="15">
        <f t="shared" si="0"/>
        <v>11</v>
      </c>
      <c r="P60" s="15">
        <f t="shared" si="1"/>
        <v>91</v>
      </c>
      <c r="R60" s="8"/>
      <c r="T60"/>
    </row>
    <row r="61" spans="2:20" ht="23.1" customHeight="1" x14ac:dyDescent="0.25">
      <c r="B61" s="23" t="s">
        <v>102</v>
      </c>
      <c r="C61" s="49">
        <f>'Avg Week Cyanika-Kisoro'!C61+'Avg Week Kisoro-Cyanika'!C61</f>
        <v>8</v>
      </c>
      <c r="D61" s="49">
        <f>'Avg Week Cyanika-Kisoro'!D61+'Avg Week Kisoro-Cyanika'!D61</f>
        <v>4</v>
      </c>
      <c r="E61" s="49">
        <f>'Avg Week Cyanika-Kisoro'!E61+'Avg Week Kisoro-Cyanika'!E61</f>
        <v>0</v>
      </c>
      <c r="F61" s="49">
        <f>'Avg Week Cyanika-Kisoro'!F61+'Avg Week Kisoro-Cyanika'!F61</f>
        <v>0</v>
      </c>
      <c r="G61" s="49">
        <f>'Avg Week Cyanika-Kisoro'!G61+'Avg Week Kisoro-Cyanika'!G61</f>
        <v>0</v>
      </c>
      <c r="H61" s="49">
        <f>'Avg Week Cyanika-Kisoro'!H61+'Avg Week Kisoro-Cyanika'!H61</f>
        <v>0</v>
      </c>
      <c r="I61" s="49">
        <f>'Avg Week Cyanika-Kisoro'!I61+'Avg Week Kisoro-Cyanika'!I61</f>
        <v>1</v>
      </c>
      <c r="J61" s="49">
        <f>'Avg Week Cyanika-Kisoro'!J61+'Avg Week Kisoro-Cyanika'!J61</f>
        <v>2</v>
      </c>
      <c r="K61" s="49">
        <f>'Avg Week Cyanika-Kisoro'!K61+'Avg Week Kisoro-Cyanika'!K61</f>
        <v>1</v>
      </c>
      <c r="L61" s="49">
        <f>'Avg Week Cyanika-Kisoro'!L61+'Avg Week Kisoro-Cyanika'!L61</f>
        <v>0</v>
      </c>
      <c r="M61" s="49">
        <f>'Avg Week Cyanika-Kisoro'!M61+'Avg Week Kisoro-Cyanika'!M61</f>
        <v>66</v>
      </c>
      <c r="N61" s="49">
        <f>'Avg Week Cyanika-Kisoro'!N61+'Avg Week Kisoro-Cyanika'!N61</f>
        <v>0</v>
      </c>
      <c r="O61" s="15">
        <f t="shared" si="0"/>
        <v>16</v>
      </c>
      <c r="P61" s="15">
        <f t="shared" si="1"/>
        <v>82</v>
      </c>
      <c r="R61" s="8"/>
      <c r="T61"/>
    </row>
    <row r="62" spans="2:20" ht="23.1" customHeight="1" x14ac:dyDescent="0.25">
      <c r="B62" s="23" t="s">
        <v>107</v>
      </c>
      <c r="C62" s="49">
        <f>'Avg Week Cyanika-Kisoro'!C62+'Avg Week Kisoro-Cyanika'!C62</f>
        <v>3</v>
      </c>
      <c r="D62" s="49">
        <f>'Avg Week Cyanika-Kisoro'!D62+'Avg Week Kisoro-Cyanika'!D62</f>
        <v>2</v>
      </c>
      <c r="E62" s="49">
        <f>'Avg Week Cyanika-Kisoro'!E62+'Avg Week Kisoro-Cyanika'!E62</f>
        <v>0</v>
      </c>
      <c r="F62" s="49">
        <f>'Avg Week Cyanika-Kisoro'!F62+'Avg Week Kisoro-Cyanika'!F62</f>
        <v>0</v>
      </c>
      <c r="G62" s="49">
        <f>'Avg Week Cyanika-Kisoro'!G62+'Avg Week Kisoro-Cyanika'!G62</f>
        <v>0</v>
      </c>
      <c r="H62" s="49">
        <f>'Avg Week Cyanika-Kisoro'!H62+'Avg Week Kisoro-Cyanika'!H62</f>
        <v>0</v>
      </c>
      <c r="I62" s="49">
        <f>'Avg Week Cyanika-Kisoro'!I62+'Avg Week Kisoro-Cyanika'!I62</f>
        <v>1</v>
      </c>
      <c r="J62" s="49">
        <f>'Avg Week Cyanika-Kisoro'!J62+'Avg Week Kisoro-Cyanika'!J62</f>
        <v>1</v>
      </c>
      <c r="K62" s="49">
        <f>'Avg Week Cyanika-Kisoro'!K62+'Avg Week Kisoro-Cyanika'!K62</f>
        <v>0</v>
      </c>
      <c r="L62" s="49">
        <f>'Avg Week Cyanika-Kisoro'!L62+'Avg Week Kisoro-Cyanika'!L62</f>
        <v>0</v>
      </c>
      <c r="M62" s="49">
        <f>'Avg Week Cyanika-Kisoro'!M62+'Avg Week Kisoro-Cyanika'!M62</f>
        <v>62</v>
      </c>
      <c r="N62" s="49">
        <f>'Avg Week Cyanika-Kisoro'!N62+'Avg Week Kisoro-Cyanika'!N62</f>
        <v>0</v>
      </c>
      <c r="O62" s="15">
        <f t="shared" si="0"/>
        <v>7</v>
      </c>
      <c r="P62" s="15">
        <f t="shared" si="1"/>
        <v>69</v>
      </c>
      <c r="R62" s="8"/>
      <c r="T62"/>
    </row>
    <row r="63" spans="2:20" ht="23.1" customHeight="1" x14ac:dyDescent="0.25">
      <c r="B63" s="23" t="s">
        <v>108</v>
      </c>
      <c r="C63" s="49">
        <f>'Avg Week Cyanika-Kisoro'!C63+'Avg Week Kisoro-Cyanika'!C63</f>
        <v>6</v>
      </c>
      <c r="D63" s="49">
        <f>'Avg Week Cyanika-Kisoro'!D63+'Avg Week Kisoro-Cyanika'!D63</f>
        <v>3</v>
      </c>
      <c r="E63" s="49">
        <f>'Avg Week Cyanika-Kisoro'!E63+'Avg Week Kisoro-Cyanika'!E63</f>
        <v>6</v>
      </c>
      <c r="F63" s="49">
        <f>'Avg Week Cyanika-Kisoro'!F63+'Avg Week Kisoro-Cyanika'!F63</f>
        <v>2</v>
      </c>
      <c r="G63" s="49">
        <f>'Avg Week Cyanika-Kisoro'!G63+'Avg Week Kisoro-Cyanika'!G63</f>
        <v>0</v>
      </c>
      <c r="H63" s="49">
        <f>'Avg Week Cyanika-Kisoro'!H63+'Avg Week Kisoro-Cyanika'!H63</f>
        <v>0</v>
      </c>
      <c r="I63" s="49">
        <f>'Avg Week Cyanika-Kisoro'!I63+'Avg Week Kisoro-Cyanika'!I63</f>
        <v>0</v>
      </c>
      <c r="J63" s="49">
        <f>'Avg Week Cyanika-Kisoro'!J63+'Avg Week Kisoro-Cyanika'!J63</f>
        <v>0</v>
      </c>
      <c r="K63" s="49">
        <f>'Avg Week Cyanika-Kisoro'!K63+'Avg Week Kisoro-Cyanika'!K63</f>
        <v>0</v>
      </c>
      <c r="L63" s="49">
        <f>'Avg Week Cyanika-Kisoro'!L63+'Avg Week Kisoro-Cyanika'!L63</f>
        <v>0</v>
      </c>
      <c r="M63" s="49">
        <f>'Avg Week Cyanika-Kisoro'!M63+'Avg Week Kisoro-Cyanika'!M63</f>
        <v>42</v>
      </c>
      <c r="N63" s="49">
        <f>'Avg Week Cyanika-Kisoro'!N63+'Avg Week Kisoro-Cyanika'!N63</f>
        <v>0</v>
      </c>
      <c r="O63" s="15">
        <f t="shared" si="0"/>
        <v>17</v>
      </c>
      <c r="P63" s="15">
        <f t="shared" si="1"/>
        <v>59</v>
      </c>
      <c r="R63" s="8"/>
      <c r="T63"/>
    </row>
    <row r="64" spans="2:20" ht="23.1" customHeight="1" x14ac:dyDescent="0.25">
      <c r="B64" s="23" t="s">
        <v>109</v>
      </c>
      <c r="C64" s="49">
        <f>'Avg Week Cyanika-Kisoro'!C64+'Avg Week Kisoro-Cyanika'!C64</f>
        <v>3</v>
      </c>
      <c r="D64" s="49">
        <f>'Avg Week Cyanika-Kisoro'!D64+'Avg Week Kisoro-Cyanika'!D64</f>
        <v>1</v>
      </c>
      <c r="E64" s="49">
        <f>'Avg Week Cyanika-Kisoro'!E64+'Avg Week Kisoro-Cyanika'!E64</f>
        <v>3</v>
      </c>
      <c r="F64" s="49">
        <f>'Avg Week Cyanika-Kisoro'!F64+'Avg Week Kisoro-Cyanika'!F64</f>
        <v>0</v>
      </c>
      <c r="G64" s="49">
        <f>'Avg Week Cyanika-Kisoro'!G64+'Avg Week Kisoro-Cyanika'!G64</f>
        <v>0</v>
      </c>
      <c r="H64" s="49">
        <f>'Avg Week Cyanika-Kisoro'!H64+'Avg Week Kisoro-Cyanika'!H64</f>
        <v>0</v>
      </c>
      <c r="I64" s="49">
        <f>'Avg Week Cyanika-Kisoro'!I64+'Avg Week Kisoro-Cyanika'!I64</f>
        <v>1</v>
      </c>
      <c r="J64" s="49">
        <f>'Avg Week Cyanika-Kisoro'!J64+'Avg Week Kisoro-Cyanika'!J64</f>
        <v>1</v>
      </c>
      <c r="K64" s="49">
        <f>'Avg Week Cyanika-Kisoro'!K64+'Avg Week Kisoro-Cyanika'!K64</f>
        <v>0</v>
      </c>
      <c r="L64" s="49">
        <f>'Avg Week Cyanika-Kisoro'!L64+'Avg Week Kisoro-Cyanika'!L64</f>
        <v>0</v>
      </c>
      <c r="M64" s="49">
        <f>'Avg Week Cyanika-Kisoro'!M64+'Avg Week Kisoro-Cyanika'!M64</f>
        <v>40</v>
      </c>
      <c r="N64" s="49">
        <f>'Avg Week Cyanika-Kisoro'!N64+'Avg Week Kisoro-Cyanika'!N64</f>
        <v>0</v>
      </c>
      <c r="O64" s="15">
        <f t="shared" si="0"/>
        <v>9</v>
      </c>
      <c r="P64" s="15">
        <f t="shared" si="1"/>
        <v>49</v>
      </c>
      <c r="R64" s="8"/>
      <c r="T64"/>
    </row>
    <row r="65" spans="2:20" ht="23.1" customHeight="1" x14ac:dyDescent="0.25">
      <c r="B65" s="23" t="s">
        <v>158</v>
      </c>
      <c r="C65" s="49">
        <f>'Avg Week Cyanika-Kisoro'!C65+'Avg Week Kisoro-Cyanika'!C65</f>
        <v>4</v>
      </c>
      <c r="D65" s="49">
        <f>'Avg Week Cyanika-Kisoro'!D65+'Avg Week Kisoro-Cyanika'!D65</f>
        <v>2</v>
      </c>
      <c r="E65" s="49">
        <f>'Avg Week Cyanika-Kisoro'!E65+'Avg Week Kisoro-Cyanika'!E65</f>
        <v>0</v>
      </c>
      <c r="F65" s="49">
        <f>'Avg Week Cyanika-Kisoro'!F65+'Avg Week Kisoro-Cyanika'!F65</f>
        <v>0</v>
      </c>
      <c r="G65" s="49">
        <f>'Avg Week Cyanika-Kisoro'!G65+'Avg Week Kisoro-Cyanika'!G65</f>
        <v>0</v>
      </c>
      <c r="H65" s="49">
        <f>'Avg Week Cyanika-Kisoro'!H65+'Avg Week Kisoro-Cyanika'!H65</f>
        <v>0</v>
      </c>
      <c r="I65" s="49">
        <f>'Avg Week Cyanika-Kisoro'!I65+'Avg Week Kisoro-Cyanika'!I65</f>
        <v>0</v>
      </c>
      <c r="J65" s="49">
        <f>'Avg Week Cyanika-Kisoro'!J65+'Avg Week Kisoro-Cyanika'!J65</f>
        <v>2</v>
      </c>
      <c r="K65" s="49">
        <f>'Avg Week Cyanika-Kisoro'!K65+'Avg Week Kisoro-Cyanika'!K65</f>
        <v>0</v>
      </c>
      <c r="L65" s="49">
        <f>'Avg Week Cyanika-Kisoro'!L65+'Avg Week Kisoro-Cyanika'!L65</f>
        <v>0</v>
      </c>
      <c r="M65" s="49">
        <f>'Avg Week Cyanika-Kisoro'!M65+'Avg Week Kisoro-Cyanika'!M65</f>
        <v>32</v>
      </c>
      <c r="N65" s="49">
        <f>'Avg Week Cyanika-Kisoro'!N65+'Avg Week Kisoro-Cyanika'!N65</f>
        <v>0</v>
      </c>
      <c r="O65" s="15">
        <f t="shared" si="0"/>
        <v>8</v>
      </c>
      <c r="P65" s="15">
        <f t="shared" si="1"/>
        <v>40</v>
      </c>
      <c r="R65" s="8"/>
      <c r="T65"/>
    </row>
    <row r="66" spans="2:20" ht="23.1" customHeight="1" x14ac:dyDescent="0.25">
      <c r="B66" s="23" t="s">
        <v>103</v>
      </c>
      <c r="C66" s="49">
        <f>'Avg Week Cyanika-Kisoro'!C66+'Avg Week Kisoro-Cyanika'!C66</f>
        <v>5</v>
      </c>
      <c r="D66" s="49">
        <f>'Avg Week Cyanika-Kisoro'!D66+'Avg Week Kisoro-Cyanika'!D66</f>
        <v>2</v>
      </c>
      <c r="E66" s="49">
        <f>'Avg Week Cyanika-Kisoro'!E66+'Avg Week Kisoro-Cyanika'!E66</f>
        <v>1</v>
      </c>
      <c r="F66" s="49">
        <f>'Avg Week Cyanika-Kisoro'!F66+'Avg Week Kisoro-Cyanika'!F66</f>
        <v>0</v>
      </c>
      <c r="G66" s="49">
        <f>'Avg Week Cyanika-Kisoro'!G66+'Avg Week Kisoro-Cyanika'!G66</f>
        <v>0</v>
      </c>
      <c r="H66" s="49">
        <f>'Avg Week Cyanika-Kisoro'!H66+'Avg Week Kisoro-Cyanika'!H66</f>
        <v>0</v>
      </c>
      <c r="I66" s="49">
        <f>'Avg Week Cyanika-Kisoro'!I66+'Avg Week Kisoro-Cyanika'!I66</f>
        <v>0</v>
      </c>
      <c r="J66" s="49">
        <f>'Avg Week Cyanika-Kisoro'!J66+'Avg Week Kisoro-Cyanika'!J66</f>
        <v>1</v>
      </c>
      <c r="K66" s="49">
        <f>'Avg Week Cyanika-Kisoro'!K66+'Avg Week Kisoro-Cyanika'!K66</f>
        <v>0</v>
      </c>
      <c r="L66" s="49">
        <f>'Avg Week Cyanika-Kisoro'!L66+'Avg Week Kisoro-Cyanika'!L66</f>
        <v>0</v>
      </c>
      <c r="M66" s="49">
        <f>'Avg Week Cyanika-Kisoro'!M66+'Avg Week Kisoro-Cyanika'!M66</f>
        <v>28</v>
      </c>
      <c r="N66" s="49">
        <f>'Avg Week Cyanika-Kisoro'!N66+'Avg Week Kisoro-Cyanika'!N66</f>
        <v>0</v>
      </c>
      <c r="O66" s="15">
        <f t="shared" si="0"/>
        <v>9</v>
      </c>
      <c r="P66" s="15">
        <f t="shared" si="1"/>
        <v>37</v>
      </c>
      <c r="R66" s="8"/>
      <c r="T66"/>
    </row>
    <row r="67" spans="2:20" ht="23.1" customHeight="1" x14ac:dyDescent="0.25">
      <c r="B67" s="23" t="s">
        <v>104</v>
      </c>
      <c r="C67" s="49">
        <f>'Avg Week Cyanika-Kisoro'!C67+'Avg Week Kisoro-Cyanika'!C67</f>
        <v>6</v>
      </c>
      <c r="D67" s="49">
        <f>'Avg Week Cyanika-Kisoro'!D67+'Avg Week Kisoro-Cyanika'!D67</f>
        <v>2</v>
      </c>
      <c r="E67" s="49">
        <f>'Avg Week Cyanika-Kisoro'!E67+'Avg Week Kisoro-Cyanika'!E67</f>
        <v>2</v>
      </c>
      <c r="F67" s="49">
        <f>'Avg Week Cyanika-Kisoro'!F67+'Avg Week Kisoro-Cyanika'!F67</f>
        <v>1</v>
      </c>
      <c r="G67" s="49">
        <f>'Avg Week Cyanika-Kisoro'!G67+'Avg Week Kisoro-Cyanika'!G67</f>
        <v>0</v>
      </c>
      <c r="H67" s="49">
        <f>'Avg Week Cyanika-Kisoro'!H67+'Avg Week Kisoro-Cyanika'!H67</f>
        <v>0</v>
      </c>
      <c r="I67" s="49">
        <f>'Avg Week Cyanika-Kisoro'!I67+'Avg Week Kisoro-Cyanika'!I67</f>
        <v>0</v>
      </c>
      <c r="J67" s="49">
        <f>'Avg Week Cyanika-Kisoro'!J67+'Avg Week Kisoro-Cyanika'!J67</f>
        <v>0</v>
      </c>
      <c r="K67" s="49">
        <f>'Avg Week Cyanika-Kisoro'!K67+'Avg Week Kisoro-Cyanika'!K67</f>
        <v>0</v>
      </c>
      <c r="L67" s="49">
        <f>'Avg Week Cyanika-Kisoro'!L67+'Avg Week Kisoro-Cyanika'!L67</f>
        <v>0</v>
      </c>
      <c r="M67" s="49">
        <f>'Avg Week Cyanika-Kisoro'!M67+'Avg Week Kisoro-Cyanika'!M67</f>
        <v>30</v>
      </c>
      <c r="N67" s="49">
        <f>'Avg Week Cyanika-Kisoro'!N67+'Avg Week Kisoro-Cyanika'!N67</f>
        <v>0</v>
      </c>
      <c r="O67" s="15">
        <f t="shared" si="0"/>
        <v>11</v>
      </c>
      <c r="P67" s="15">
        <f t="shared" si="1"/>
        <v>41</v>
      </c>
      <c r="R67" s="8"/>
      <c r="T67"/>
    </row>
    <row r="68" spans="2:20" ht="23.1" customHeight="1" x14ac:dyDescent="0.25">
      <c r="B68" s="23" t="s">
        <v>105</v>
      </c>
      <c r="C68" s="49">
        <f>'Avg Week Cyanika-Kisoro'!C68+'Avg Week Kisoro-Cyanika'!C68</f>
        <v>9</v>
      </c>
      <c r="D68" s="49">
        <f>'Avg Week Cyanika-Kisoro'!D68+'Avg Week Kisoro-Cyanika'!D68</f>
        <v>3</v>
      </c>
      <c r="E68" s="49">
        <f>'Avg Week Cyanika-Kisoro'!E68+'Avg Week Kisoro-Cyanika'!E68</f>
        <v>0</v>
      </c>
      <c r="F68" s="49">
        <f>'Avg Week Cyanika-Kisoro'!F68+'Avg Week Kisoro-Cyanika'!F68</f>
        <v>0</v>
      </c>
      <c r="G68" s="49">
        <f>'Avg Week Cyanika-Kisoro'!G68+'Avg Week Kisoro-Cyanika'!G68</f>
        <v>0</v>
      </c>
      <c r="H68" s="49">
        <f>'Avg Week Cyanika-Kisoro'!H68+'Avg Week Kisoro-Cyanika'!H68</f>
        <v>0</v>
      </c>
      <c r="I68" s="49">
        <f>'Avg Week Cyanika-Kisoro'!I68+'Avg Week Kisoro-Cyanika'!I68</f>
        <v>0</v>
      </c>
      <c r="J68" s="49">
        <f>'Avg Week Cyanika-Kisoro'!J68+'Avg Week Kisoro-Cyanika'!J68</f>
        <v>0</v>
      </c>
      <c r="K68" s="49">
        <f>'Avg Week Cyanika-Kisoro'!K68+'Avg Week Kisoro-Cyanika'!K68</f>
        <v>0</v>
      </c>
      <c r="L68" s="49">
        <f>'Avg Week Cyanika-Kisoro'!L68+'Avg Week Kisoro-Cyanika'!L68</f>
        <v>0</v>
      </c>
      <c r="M68" s="49">
        <f>'Avg Week Cyanika-Kisoro'!M68+'Avg Week Kisoro-Cyanika'!M68</f>
        <v>21</v>
      </c>
      <c r="N68" s="49">
        <f>'Avg Week Cyanika-Kisoro'!N68+'Avg Week Kisoro-Cyanika'!N68</f>
        <v>0</v>
      </c>
      <c r="O68" s="15">
        <f t="shared" si="0"/>
        <v>12</v>
      </c>
      <c r="P68" s="15">
        <f t="shared" si="1"/>
        <v>33</v>
      </c>
      <c r="R68" s="8"/>
      <c r="T68"/>
    </row>
    <row r="69" spans="2:20" ht="23.1" customHeight="1" x14ac:dyDescent="0.25">
      <c r="B69" s="23" t="s">
        <v>106</v>
      </c>
      <c r="C69" s="49">
        <f>'Avg Week Cyanika-Kisoro'!C69+'Avg Week Kisoro-Cyanika'!C69</f>
        <v>7</v>
      </c>
      <c r="D69" s="49">
        <f>'Avg Week Cyanika-Kisoro'!D69+'Avg Week Kisoro-Cyanika'!D69</f>
        <v>2</v>
      </c>
      <c r="E69" s="49">
        <f>'Avg Week Cyanika-Kisoro'!E69+'Avg Week Kisoro-Cyanika'!E69</f>
        <v>2</v>
      </c>
      <c r="F69" s="49">
        <f>'Avg Week Cyanika-Kisoro'!F69+'Avg Week Kisoro-Cyanika'!F69</f>
        <v>0</v>
      </c>
      <c r="G69" s="49">
        <f>'Avg Week Cyanika-Kisoro'!G69+'Avg Week Kisoro-Cyanika'!G69</f>
        <v>0</v>
      </c>
      <c r="H69" s="49">
        <f>'Avg Week Cyanika-Kisoro'!H69+'Avg Week Kisoro-Cyanika'!H69</f>
        <v>0</v>
      </c>
      <c r="I69" s="49">
        <f>'Avg Week Cyanika-Kisoro'!I69+'Avg Week Kisoro-Cyanika'!I69</f>
        <v>0</v>
      </c>
      <c r="J69" s="49">
        <f>'Avg Week Cyanika-Kisoro'!J69+'Avg Week Kisoro-Cyanika'!J69</f>
        <v>0</v>
      </c>
      <c r="K69" s="49">
        <f>'Avg Week Cyanika-Kisoro'!K69+'Avg Week Kisoro-Cyanika'!K69</f>
        <v>0</v>
      </c>
      <c r="L69" s="49">
        <f>'Avg Week Cyanika-Kisoro'!L69+'Avg Week Kisoro-Cyanika'!L69</f>
        <v>0</v>
      </c>
      <c r="M69" s="49">
        <f>'Avg Week Cyanika-Kisoro'!M69+'Avg Week Kisoro-Cyanika'!M69</f>
        <v>22</v>
      </c>
      <c r="N69" s="49">
        <f>'Avg Week Cyanika-Kisoro'!N69+'Avg Week Kisoro-Cyanika'!N69</f>
        <v>0</v>
      </c>
      <c r="O69" s="15">
        <f t="shared" si="0"/>
        <v>11</v>
      </c>
      <c r="P69" s="15">
        <f t="shared" si="1"/>
        <v>33</v>
      </c>
      <c r="R69" s="8"/>
      <c r="T69"/>
    </row>
    <row r="70" spans="2:20" ht="23.1" customHeight="1" x14ac:dyDescent="0.25">
      <c r="B70" s="23" t="s">
        <v>110</v>
      </c>
      <c r="C70" s="49">
        <f>'Avg Week Cyanika-Kisoro'!C70+'Avg Week Kisoro-Cyanika'!C70</f>
        <v>13</v>
      </c>
      <c r="D70" s="49">
        <f>'Avg Week Cyanika-Kisoro'!D70+'Avg Week Kisoro-Cyanika'!D70</f>
        <v>0</v>
      </c>
      <c r="E70" s="49">
        <f>'Avg Week Cyanika-Kisoro'!E70+'Avg Week Kisoro-Cyanika'!E70</f>
        <v>0</v>
      </c>
      <c r="F70" s="49">
        <f>'Avg Week Cyanika-Kisoro'!F70+'Avg Week Kisoro-Cyanika'!F70</f>
        <v>1</v>
      </c>
      <c r="G70" s="49">
        <f>'Avg Week Cyanika-Kisoro'!G70+'Avg Week Kisoro-Cyanika'!G70</f>
        <v>0</v>
      </c>
      <c r="H70" s="49">
        <f>'Avg Week Cyanika-Kisoro'!H70+'Avg Week Kisoro-Cyanika'!H70</f>
        <v>0</v>
      </c>
      <c r="I70" s="49">
        <f>'Avg Week Cyanika-Kisoro'!I70+'Avg Week Kisoro-Cyanika'!I70</f>
        <v>0</v>
      </c>
      <c r="J70" s="49">
        <f>'Avg Week Cyanika-Kisoro'!J70+'Avg Week Kisoro-Cyanika'!J70</f>
        <v>1</v>
      </c>
      <c r="K70" s="49">
        <f>'Avg Week Cyanika-Kisoro'!K70+'Avg Week Kisoro-Cyanika'!K70</f>
        <v>0</v>
      </c>
      <c r="L70" s="49">
        <f>'Avg Week Cyanika-Kisoro'!L70+'Avg Week Kisoro-Cyanika'!L70</f>
        <v>0</v>
      </c>
      <c r="M70" s="49">
        <f>'Avg Week Cyanika-Kisoro'!M70+'Avg Week Kisoro-Cyanika'!M70</f>
        <v>16</v>
      </c>
      <c r="N70" s="49">
        <f>'Avg Week Cyanika-Kisoro'!N70+'Avg Week Kisoro-Cyanika'!N70</f>
        <v>0</v>
      </c>
      <c r="O70" s="15">
        <f t="shared" si="0"/>
        <v>15</v>
      </c>
      <c r="P70" s="15">
        <f t="shared" si="1"/>
        <v>31</v>
      </c>
      <c r="R70" s="8"/>
      <c r="T70"/>
    </row>
    <row r="71" spans="2:20" ht="23.1" customHeight="1" x14ac:dyDescent="0.25">
      <c r="B71" s="23" t="s">
        <v>111</v>
      </c>
      <c r="C71" s="49">
        <f>'Avg Week Cyanika-Kisoro'!C71+'Avg Week Kisoro-Cyanika'!C71</f>
        <v>3</v>
      </c>
      <c r="D71" s="49">
        <f>'Avg Week Cyanika-Kisoro'!D71+'Avg Week Kisoro-Cyanika'!D71</f>
        <v>0</v>
      </c>
      <c r="E71" s="49">
        <f>'Avg Week Cyanika-Kisoro'!E71+'Avg Week Kisoro-Cyanika'!E71</f>
        <v>3</v>
      </c>
      <c r="F71" s="49">
        <f>'Avg Week Cyanika-Kisoro'!F71+'Avg Week Kisoro-Cyanika'!F71</f>
        <v>0</v>
      </c>
      <c r="G71" s="49">
        <f>'Avg Week Cyanika-Kisoro'!G71+'Avg Week Kisoro-Cyanika'!G71</f>
        <v>0</v>
      </c>
      <c r="H71" s="49">
        <f>'Avg Week Cyanika-Kisoro'!H71+'Avg Week Kisoro-Cyanika'!H71</f>
        <v>0</v>
      </c>
      <c r="I71" s="49">
        <f>'Avg Week Cyanika-Kisoro'!I71+'Avg Week Kisoro-Cyanika'!I71</f>
        <v>0</v>
      </c>
      <c r="J71" s="49">
        <f>'Avg Week Cyanika-Kisoro'!J71+'Avg Week Kisoro-Cyanika'!J71</f>
        <v>0</v>
      </c>
      <c r="K71" s="49">
        <f>'Avg Week Cyanika-Kisoro'!K71+'Avg Week Kisoro-Cyanika'!K71</f>
        <v>0</v>
      </c>
      <c r="L71" s="49">
        <f>'Avg Week Cyanika-Kisoro'!L71+'Avg Week Kisoro-Cyanika'!L71</f>
        <v>0</v>
      </c>
      <c r="M71" s="49">
        <f>'Avg Week Cyanika-Kisoro'!M71+'Avg Week Kisoro-Cyanika'!M71</f>
        <v>20</v>
      </c>
      <c r="N71" s="49">
        <f>'Avg Week Cyanika-Kisoro'!N71+'Avg Week Kisoro-Cyanika'!N71</f>
        <v>0</v>
      </c>
      <c r="O71" s="15">
        <f t="shared" si="0"/>
        <v>6</v>
      </c>
      <c r="P71" s="15">
        <f t="shared" si="1"/>
        <v>26</v>
      </c>
      <c r="R71" s="8"/>
      <c r="T71"/>
    </row>
    <row r="72" spans="2:20" ht="23.1" customHeight="1" x14ac:dyDescent="0.25">
      <c r="B72" s="23" t="s">
        <v>112</v>
      </c>
      <c r="C72" s="49">
        <f>'Avg Week Cyanika-Kisoro'!C72+'Avg Week Kisoro-Cyanika'!C72</f>
        <v>7</v>
      </c>
      <c r="D72" s="49">
        <f>'Avg Week Cyanika-Kisoro'!D72+'Avg Week Kisoro-Cyanika'!D72</f>
        <v>1</v>
      </c>
      <c r="E72" s="49">
        <f>'Avg Week Cyanika-Kisoro'!E72+'Avg Week Kisoro-Cyanika'!E72</f>
        <v>1</v>
      </c>
      <c r="F72" s="49">
        <f>'Avg Week Cyanika-Kisoro'!F72+'Avg Week Kisoro-Cyanika'!F72</f>
        <v>0</v>
      </c>
      <c r="G72" s="49">
        <f>'Avg Week Cyanika-Kisoro'!G72+'Avg Week Kisoro-Cyanika'!G72</f>
        <v>0</v>
      </c>
      <c r="H72" s="49">
        <f>'Avg Week Cyanika-Kisoro'!H72+'Avg Week Kisoro-Cyanika'!H72</f>
        <v>0</v>
      </c>
      <c r="I72" s="49">
        <f>'Avg Week Cyanika-Kisoro'!I72+'Avg Week Kisoro-Cyanika'!I72</f>
        <v>1</v>
      </c>
      <c r="J72" s="49">
        <f>'Avg Week Cyanika-Kisoro'!J72+'Avg Week Kisoro-Cyanika'!J72</f>
        <v>0</v>
      </c>
      <c r="K72" s="49">
        <f>'Avg Week Cyanika-Kisoro'!K72+'Avg Week Kisoro-Cyanika'!K72</f>
        <v>0</v>
      </c>
      <c r="L72" s="49">
        <f>'Avg Week Cyanika-Kisoro'!L72+'Avg Week Kisoro-Cyanika'!L72</f>
        <v>0</v>
      </c>
      <c r="M72" s="49">
        <f>'Avg Week Cyanika-Kisoro'!M72+'Avg Week Kisoro-Cyanika'!M72</f>
        <v>8</v>
      </c>
      <c r="N72" s="49">
        <f>'Avg Week Cyanika-Kisoro'!N72+'Avg Week Kisoro-Cyanika'!N72</f>
        <v>0</v>
      </c>
      <c r="O72" s="15">
        <f t="shared" si="0"/>
        <v>10</v>
      </c>
      <c r="P72" s="15">
        <f t="shared" si="1"/>
        <v>18</v>
      </c>
      <c r="R72" s="8"/>
      <c r="T72"/>
    </row>
    <row r="73" spans="2:20" ht="23.1" customHeight="1" x14ac:dyDescent="0.25">
      <c r="B73" s="23" t="s">
        <v>113</v>
      </c>
      <c r="C73" s="49">
        <f>'Avg Week Cyanika-Kisoro'!C73+'Avg Week Kisoro-Cyanika'!C73</f>
        <v>3</v>
      </c>
      <c r="D73" s="49">
        <f>'Avg Week Cyanika-Kisoro'!D73+'Avg Week Kisoro-Cyanika'!D73</f>
        <v>1</v>
      </c>
      <c r="E73" s="49">
        <f>'Avg Week Cyanika-Kisoro'!E73+'Avg Week Kisoro-Cyanika'!E73</f>
        <v>2</v>
      </c>
      <c r="F73" s="49">
        <f>'Avg Week Cyanika-Kisoro'!F73+'Avg Week Kisoro-Cyanika'!F73</f>
        <v>0</v>
      </c>
      <c r="G73" s="49">
        <f>'Avg Week Cyanika-Kisoro'!G73+'Avg Week Kisoro-Cyanika'!G73</f>
        <v>0</v>
      </c>
      <c r="H73" s="49">
        <f>'Avg Week Cyanika-Kisoro'!H73+'Avg Week Kisoro-Cyanika'!H73</f>
        <v>0</v>
      </c>
      <c r="I73" s="49">
        <f>'Avg Week Cyanika-Kisoro'!I73+'Avg Week Kisoro-Cyanika'!I73</f>
        <v>0</v>
      </c>
      <c r="J73" s="49">
        <f>'Avg Week Cyanika-Kisoro'!J73+'Avg Week Kisoro-Cyanika'!J73</f>
        <v>0</v>
      </c>
      <c r="K73" s="49">
        <f>'Avg Week Cyanika-Kisoro'!K73+'Avg Week Kisoro-Cyanika'!K73</f>
        <v>0</v>
      </c>
      <c r="L73" s="49">
        <f>'Avg Week Cyanika-Kisoro'!L73+'Avg Week Kisoro-Cyanika'!L73</f>
        <v>0</v>
      </c>
      <c r="M73" s="49">
        <f>'Avg Week Cyanika-Kisoro'!M73+'Avg Week Kisoro-Cyanika'!M73</f>
        <v>12</v>
      </c>
      <c r="N73" s="49">
        <f>'Avg Week Cyanika-Kisoro'!N73+'Avg Week Kisoro-Cyanika'!N73</f>
        <v>0</v>
      </c>
      <c r="O73" s="15">
        <f t="shared" si="0"/>
        <v>6</v>
      </c>
      <c r="P73" s="15">
        <f t="shared" si="1"/>
        <v>18</v>
      </c>
      <c r="R73" s="8"/>
      <c r="T73"/>
    </row>
    <row r="74" spans="2:20" ht="23.1" customHeight="1" x14ac:dyDescent="0.25">
      <c r="B74" s="23" t="s">
        <v>114</v>
      </c>
      <c r="C74" s="49">
        <f>'Avg Week Cyanika-Kisoro'!C74+'Avg Week Kisoro-Cyanika'!C74</f>
        <v>2</v>
      </c>
      <c r="D74" s="49">
        <f>'Avg Week Cyanika-Kisoro'!D74+'Avg Week Kisoro-Cyanika'!D74</f>
        <v>1</v>
      </c>
      <c r="E74" s="49">
        <f>'Avg Week Cyanika-Kisoro'!E74+'Avg Week Kisoro-Cyanika'!E74</f>
        <v>2</v>
      </c>
      <c r="F74" s="49">
        <f>'Avg Week Cyanika-Kisoro'!F74+'Avg Week Kisoro-Cyanika'!F74</f>
        <v>0</v>
      </c>
      <c r="G74" s="49">
        <f>'Avg Week Cyanika-Kisoro'!G74+'Avg Week Kisoro-Cyanika'!G74</f>
        <v>0</v>
      </c>
      <c r="H74" s="49">
        <f>'Avg Week Cyanika-Kisoro'!H74+'Avg Week Kisoro-Cyanika'!H74</f>
        <v>0</v>
      </c>
      <c r="I74" s="49">
        <f>'Avg Week Cyanika-Kisoro'!I74+'Avg Week Kisoro-Cyanika'!I74</f>
        <v>0</v>
      </c>
      <c r="J74" s="49">
        <f>'Avg Week Cyanika-Kisoro'!J74+'Avg Week Kisoro-Cyanika'!J74</f>
        <v>0</v>
      </c>
      <c r="K74" s="49">
        <f>'Avg Week Cyanika-Kisoro'!K74+'Avg Week Kisoro-Cyanika'!K74</f>
        <v>0</v>
      </c>
      <c r="L74" s="49">
        <f>'Avg Week Cyanika-Kisoro'!L74+'Avg Week Kisoro-Cyanika'!L74</f>
        <v>0</v>
      </c>
      <c r="M74" s="49">
        <f>'Avg Week Cyanika-Kisoro'!M74+'Avg Week Kisoro-Cyanika'!M74</f>
        <v>6</v>
      </c>
      <c r="N74" s="49">
        <f>'Avg Week Cyanika-Kisoro'!N74+'Avg Week Kisoro-Cyanika'!N74</f>
        <v>0</v>
      </c>
      <c r="O74" s="15">
        <f t="shared" ref="O74:O105" si="35">SUM(C74:L74,N74)</f>
        <v>5</v>
      </c>
      <c r="P74" s="15">
        <f t="shared" ref="P74:P105" si="36">SUM(C74:N74)</f>
        <v>11</v>
      </c>
      <c r="R74" s="8"/>
      <c r="T74"/>
    </row>
    <row r="75" spans="2:20" ht="23.1" customHeight="1" x14ac:dyDescent="0.25">
      <c r="B75" s="23" t="s">
        <v>115</v>
      </c>
      <c r="C75" s="49">
        <f>'Avg Week Cyanika-Kisoro'!C75+'Avg Week Kisoro-Cyanika'!C75</f>
        <v>1</v>
      </c>
      <c r="D75" s="49">
        <f>'Avg Week Cyanika-Kisoro'!D75+'Avg Week Kisoro-Cyanika'!D75</f>
        <v>2</v>
      </c>
      <c r="E75" s="49">
        <f>'Avg Week Cyanika-Kisoro'!E75+'Avg Week Kisoro-Cyanika'!E75</f>
        <v>0</v>
      </c>
      <c r="F75" s="49">
        <f>'Avg Week Cyanika-Kisoro'!F75+'Avg Week Kisoro-Cyanika'!F75</f>
        <v>1</v>
      </c>
      <c r="G75" s="49">
        <f>'Avg Week Cyanika-Kisoro'!G75+'Avg Week Kisoro-Cyanika'!G75</f>
        <v>0</v>
      </c>
      <c r="H75" s="49">
        <f>'Avg Week Cyanika-Kisoro'!H75+'Avg Week Kisoro-Cyanika'!H75</f>
        <v>0</v>
      </c>
      <c r="I75" s="49">
        <f>'Avg Week Cyanika-Kisoro'!I75+'Avg Week Kisoro-Cyanika'!I75</f>
        <v>0</v>
      </c>
      <c r="J75" s="49">
        <f>'Avg Week Cyanika-Kisoro'!J75+'Avg Week Kisoro-Cyanika'!J75</f>
        <v>0</v>
      </c>
      <c r="K75" s="49">
        <f>'Avg Week Cyanika-Kisoro'!K75+'Avg Week Kisoro-Cyanika'!K75</f>
        <v>0</v>
      </c>
      <c r="L75" s="49">
        <f>'Avg Week Cyanika-Kisoro'!L75+'Avg Week Kisoro-Cyanika'!L75</f>
        <v>0</v>
      </c>
      <c r="M75" s="49">
        <f>'Avg Week Cyanika-Kisoro'!M75+'Avg Week Kisoro-Cyanika'!M75</f>
        <v>8</v>
      </c>
      <c r="N75" s="49">
        <f>'Avg Week Cyanika-Kisoro'!N75+'Avg Week Kisoro-Cyanika'!N75</f>
        <v>0</v>
      </c>
      <c r="O75" s="15">
        <f t="shared" si="35"/>
        <v>4</v>
      </c>
      <c r="P75" s="15">
        <f t="shared" si="36"/>
        <v>12</v>
      </c>
      <c r="R75" s="8"/>
      <c r="T75"/>
    </row>
    <row r="76" spans="2:20" ht="23.1" customHeight="1" x14ac:dyDescent="0.25">
      <c r="B76" s="23" t="s">
        <v>116</v>
      </c>
      <c r="C76" s="49">
        <f>'Avg Week Cyanika-Kisoro'!C76+'Avg Week Kisoro-Cyanika'!C76</f>
        <v>3</v>
      </c>
      <c r="D76" s="49">
        <f>'Avg Week Cyanika-Kisoro'!D76+'Avg Week Kisoro-Cyanika'!D76</f>
        <v>2</v>
      </c>
      <c r="E76" s="49">
        <f>'Avg Week Cyanika-Kisoro'!E76+'Avg Week Kisoro-Cyanika'!E76</f>
        <v>2</v>
      </c>
      <c r="F76" s="49">
        <f>'Avg Week Cyanika-Kisoro'!F76+'Avg Week Kisoro-Cyanika'!F76</f>
        <v>0</v>
      </c>
      <c r="G76" s="49">
        <f>'Avg Week Cyanika-Kisoro'!G76+'Avg Week Kisoro-Cyanika'!G76</f>
        <v>0</v>
      </c>
      <c r="H76" s="49">
        <f>'Avg Week Cyanika-Kisoro'!H76+'Avg Week Kisoro-Cyanika'!H76</f>
        <v>0</v>
      </c>
      <c r="I76" s="49">
        <f>'Avg Week Cyanika-Kisoro'!I76+'Avg Week Kisoro-Cyanika'!I76</f>
        <v>0</v>
      </c>
      <c r="J76" s="49">
        <f>'Avg Week Cyanika-Kisoro'!J76+'Avg Week Kisoro-Cyanika'!J76</f>
        <v>0</v>
      </c>
      <c r="K76" s="49">
        <f>'Avg Week Cyanika-Kisoro'!K76+'Avg Week Kisoro-Cyanika'!K76</f>
        <v>0</v>
      </c>
      <c r="L76" s="49">
        <f>'Avg Week Cyanika-Kisoro'!L76+'Avg Week Kisoro-Cyanika'!L76</f>
        <v>0</v>
      </c>
      <c r="M76" s="49">
        <f>'Avg Week Cyanika-Kisoro'!M76+'Avg Week Kisoro-Cyanika'!M76</f>
        <v>4</v>
      </c>
      <c r="N76" s="49">
        <f>'Avg Week Cyanika-Kisoro'!N76+'Avg Week Kisoro-Cyanika'!N76</f>
        <v>0</v>
      </c>
      <c r="O76" s="15">
        <f t="shared" si="35"/>
        <v>7</v>
      </c>
      <c r="P76" s="15">
        <f t="shared" si="36"/>
        <v>11</v>
      </c>
      <c r="R76" s="8"/>
      <c r="T76"/>
    </row>
    <row r="77" spans="2:20" ht="23.1" customHeight="1" x14ac:dyDescent="0.25">
      <c r="B77" s="23" t="s">
        <v>117</v>
      </c>
      <c r="C77" s="49">
        <f>'Avg Week Cyanika-Kisoro'!C77+'Avg Week Kisoro-Cyanika'!C77</f>
        <v>2</v>
      </c>
      <c r="D77" s="49">
        <f>'Avg Week Cyanika-Kisoro'!D77+'Avg Week Kisoro-Cyanika'!D77</f>
        <v>3</v>
      </c>
      <c r="E77" s="49">
        <f>'Avg Week Cyanika-Kisoro'!E77+'Avg Week Kisoro-Cyanika'!E77</f>
        <v>0</v>
      </c>
      <c r="F77" s="49">
        <f>'Avg Week Cyanika-Kisoro'!F77+'Avg Week Kisoro-Cyanika'!F77</f>
        <v>0</v>
      </c>
      <c r="G77" s="49">
        <f>'Avg Week Cyanika-Kisoro'!G77+'Avg Week Kisoro-Cyanika'!G77</f>
        <v>0</v>
      </c>
      <c r="H77" s="49">
        <f>'Avg Week Cyanika-Kisoro'!H77+'Avg Week Kisoro-Cyanika'!H77</f>
        <v>0</v>
      </c>
      <c r="I77" s="49">
        <f>'Avg Week Cyanika-Kisoro'!I77+'Avg Week Kisoro-Cyanika'!I77</f>
        <v>1</v>
      </c>
      <c r="J77" s="49">
        <f>'Avg Week Cyanika-Kisoro'!J77+'Avg Week Kisoro-Cyanika'!J77</f>
        <v>2</v>
      </c>
      <c r="K77" s="49">
        <f>'Avg Week Cyanika-Kisoro'!K77+'Avg Week Kisoro-Cyanika'!K77</f>
        <v>0</v>
      </c>
      <c r="L77" s="49">
        <f>'Avg Week Cyanika-Kisoro'!L77+'Avg Week Kisoro-Cyanika'!L77</f>
        <v>0</v>
      </c>
      <c r="M77" s="49">
        <f>'Avg Week Cyanika-Kisoro'!M77+'Avg Week Kisoro-Cyanika'!M77</f>
        <v>4</v>
      </c>
      <c r="N77" s="49">
        <f>'Avg Week Cyanika-Kisoro'!N77+'Avg Week Kisoro-Cyanika'!N77</f>
        <v>0</v>
      </c>
      <c r="O77" s="15">
        <f t="shared" si="35"/>
        <v>8</v>
      </c>
      <c r="P77" s="15">
        <f t="shared" si="36"/>
        <v>12</v>
      </c>
      <c r="R77" s="8"/>
      <c r="T77"/>
    </row>
    <row r="78" spans="2:20" ht="23.1" customHeight="1" x14ac:dyDescent="0.25">
      <c r="B78" s="24" t="s">
        <v>118</v>
      </c>
      <c r="C78" s="49">
        <f>'Avg Week Cyanika-Kisoro'!C78+'Avg Week Kisoro-Cyanika'!C78</f>
        <v>2</v>
      </c>
      <c r="D78" s="49">
        <f>'Avg Week Cyanika-Kisoro'!D78+'Avg Week Kisoro-Cyanika'!D78</f>
        <v>0</v>
      </c>
      <c r="E78" s="49">
        <f>'Avg Week Cyanika-Kisoro'!E78+'Avg Week Kisoro-Cyanika'!E78</f>
        <v>2</v>
      </c>
      <c r="F78" s="49">
        <f>'Avg Week Cyanika-Kisoro'!F78+'Avg Week Kisoro-Cyanika'!F78</f>
        <v>0</v>
      </c>
      <c r="G78" s="49">
        <f>'Avg Week Cyanika-Kisoro'!G78+'Avg Week Kisoro-Cyanika'!G78</f>
        <v>0</v>
      </c>
      <c r="H78" s="49">
        <f>'Avg Week Cyanika-Kisoro'!H78+'Avg Week Kisoro-Cyanika'!H78</f>
        <v>0</v>
      </c>
      <c r="I78" s="49">
        <f>'Avg Week Cyanika-Kisoro'!I78+'Avg Week Kisoro-Cyanika'!I78</f>
        <v>1</v>
      </c>
      <c r="J78" s="49">
        <f>'Avg Week Cyanika-Kisoro'!J78+'Avg Week Kisoro-Cyanika'!J78</f>
        <v>1</v>
      </c>
      <c r="K78" s="49">
        <f>'Avg Week Cyanika-Kisoro'!K78+'Avg Week Kisoro-Cyanika'!K78</f>
        <v>0</v>
      </c>
      <c r="L78" s="49">
        <f>'Avg Week Cyanika-Kisoro'!L78+'Avg Week Kisoro-Cyanika'!L78</f>
        <v>0</v>
      </c>
      <c r="M78" s="49">
        <f>'Avg Week Cyanika-Kisoro'!M78+'Avg Week Kisoro-Cyanika'!M78</f>
        <v>2</v>
      </c>
      <c r="N78" s="49">
        <f>'Avg Week Cyanika-Kisoro'!N78+'Avg Week Kisoro-Cyanika'!N78</f>
        <v>0</v>
      </c>
      <c r="O78" s="15">
        <f t="shared" si="35"/>
        <v>6</v>
      </c>
      <c r="P78" s="15">
        <f t="shared" si="36"/>
        <v>8</v>
      </c>
      <c r="R78" s="8"/>
      <c r="T78"/>
    </row>
    <row r="79" spans="2:20" ht="23.1" customHeight="1" x14ac:dyDescent="0.25">
      <c r="B79" s="23" t="s">
        <v>119</v>
      </c>
      <c r="C79" s="49">
        <f>'Avg Week Cyanika-Kisoro'!C79+'Avg Week Kisoro-Cyanika'!C79</f>
        <v>2</v>
      </c>
      <c r="D79" s="49">
        <f>'Avg Week Cyanika-Kisoro'!D79+'Avg Week Kisoro-Cyanika'!D79</f>
        <v>0</v>
      </c>
      <c r="E79" s="49">
        <f>'Avg Week Cyanika-Kisoro'!E79+'Avg Week Kisoro-Cyanika'!E79</f>
        <v>0</v>
      </c>
      <c r="F79" s="49">
        <f>'Avg Week Cyanika-Kisoro'!F79+'Avg Week Kisoro-Cyanika'!F79</f>
        <v>0</v>
      </c>
      <c r="G79" s="49">
        <f>'Avg Week Cyanika-Kisoro'!G79+'Avg Week Kisoro-Cyanika'!G79</f>
        <v>0</v>
      </c>
      <c r="H79" s="49">
        <f>'Avg Week Cyanika-Kisoro'!H79+'Avg Week Kisoro-Cyanika'!H79</f>
        <v>0</v>
      </c>
      <c r="I79" s="49">
        <f>'Avg Week Cyanika-Kisoro'!I79+'Avg Week Kisoro-Cyanika'!I79</f>
        <v>0</v>
      </c>
      <c r="J79" s="49">
        <f>'Avg Week Cyanika-Kisoro'!J79+'Avg Week Kisoro-Cyanika'!J79</f>
        <v>0</v>
      </c>
      <c r="K79" s="49">
        <f>'Avg Week Cyanika-Kisoro'!K79+'Avg Week Kisoro-Cyanika'!K79</f>
        <v>0</v>
      </c>
      <c r="L79" s="49">
        <f>'Avg Week Cyanika-Kisoro'!L79+'Avg Week Kisoro-Cyanika'!L79</f>
        <v>0</v>
      </c>
      <c r="M79" s="49">
        <f>'Avg Week Cyanika-Kisoro'!M79+'Avg Week Kisoro-Cyanika'!M79</f>
        <v>0</v>
      </c>
      <c r="N79" s="49">
        <f>'Avg Week Cyanika-Kisoro'!N79+'Avg Week Kisoro-Cyanika'!N79</f>
        <v>0</v>
      </c>
      <c r="O79" s="15">
        <f t="shared" si="35"/>
        <v>2</v>
      </c>
      <c r="P79" s="15">
        <f t="shared" si="36"/>
        <v>2</v>
      </c>
      <c r="R79" s="8"/>
      <c r="T79"/>
    </row>
    <row r="80" spans="2:20" ht="23.1" customHeight="1" x14ac:dyDescent="0.25">
      <c r="B80" s="25" t="s">
        <v>120</v>
      </c>
      <c r="C80" s="49">
        <f>'Avg Week Cyanika-Kisoro'!C80+'Avg Week Kisoro-Cyanika'!C80</f>
        <v>0</v>
      </c>
      <c r="D80" s="49">
        <f>'Avg Week Cyanika-Kisoro'!D80+'Avg Week Kisoro-Cyanika'!D80</f>
        <v>1</v>
      </c>
      <c r="E80" s="49">
        <f>'Avg Week Cyanika-Kisoro'!E80+'Avg Week Kisoro-Cyanika'!E80</f>
        <v>2</v>
      </c>
      <c r="F80" s="49">
        <f>'Avg Week Cyanika-Kisoro'!F80+'Avg Week Kisoro-Cyanika'!F80</f>
        <v>0</v>
      </c>
      <c r="G80" s="49">
        <f>'Avg Week Cyanika-Kisoro'!G80+'Avg Week Kisoro-Cyanika'!G80</f>
        <v>0</v>
      </c>
      <c r="H80" s="49">
        <f>'Avg Week Cyanika-Kisoro'!H80+'Avg Week Kisoro-Cyanika'!H80</f>
        <v>0</v>
      </c>
      <c r="I80" s="49">
        <f>'Avg Week Cyanika-Kisoro'!I80+'Avg Week Kisoro-Cyanika'!I80</f>
        <v>0</v>
      </c>
      <c r="J80" s="49">
        <f>'Avg Week Cyanika-Kisoro'!J80+'Avg Week Kisoro-Cyanika'!J80</f>
        <v>0</v>
      </c>
      <c r="K80" s="49">
        <f>'Avg Week Cyanika-Kisoro'!K80+'Avg Week Kisoro-Cyanika'!K80</f>
        <v>0</v>
      </c>
      <c r="L80" s="49">
        <f>'Avg Week Cyanika-Kisoro'!L80+'Avg Week Kisoro-Cyanika'!L80</f>
        <v>0</v>
      </c>
      <c r="M80" s="49">
        <f>'Avg Week Cyanika-Kisoro'!M80+'Avg Week Kisoro-Cyanika'!M80</f>
        <v>2</v>
      </c>
      <c r="N80" s="49">
        <f>'Avg Week Cyanika-Kisoro'!N80+'Avg Week Kisoro-Cyanika'!N80</f>
        <v>0</v>
      </c>
      <c r="O80" s="15">
        <f t="shared" si="35"/>
        <v>3</v>
      </c>
      <c r="P80" s="15">
        <f t="shared" si="36"/>
        <v>5</v>
      </c>
      <c r="R80" s="8"/>
      <c r="T80"/>
    </row>
    <row r="81" spans="2:20" ht="23.1" customHeight="1" x14ac:dyDescent="0.25">
      <c r="B81" s="23" t="s">
        <v>121</v>
      </c>
      <c r="C81" s="49">
        <f>'Avg Week Cyanika-Kisoro'!C81+'Avg Week Kisoro-Cyanika'!C81</f>
        <v>3</v>
      </c>
      <c r="D81" s="49">
        <f>'Avg Week Cyanika-Kisoro'!D81+'Avg Week Kisoro-Cyanika'!D81</f>
        <v>1</v>
      </c>
      <c r="E81" s="49">
        <f>'Avg Week Cyanika-Kisoro'!E81+'Avg Week Kisoro-Cyanika'!E81</f>
        <v>0</v>
      </c>
      <c r="F81" s="49">
        <f>'Avg Week Cyanika-Kisoro'!F81+'Avg Week Kisoro-Cyanika'!F81</f>
        <v>0</v>
      </c>
      <c r="G81" s="49">
        <f>'Avg Week Cyanika-Kisoro'!G81+'Avg Week Kisoro-Cyanika'!G81</f>
        <v>0</v>
      </c>
      <c r="H81" s="49">
        <f>'Avg Week Cyanika-Kisoro'!H81+'Avg Week Kisoro-Cyanika'!H81</f>
        <v>0</v>
      </c>
      <c r="I81" s="49">
        <f>'Avg Week Cyanika-Kisoro'!I81+'Avg Week Kisoro-Cyanika'!I81</f>
        <v>1</v>
      </c>
      <c r="J81" s="49">
        <f>'Avg Week Cyanika-Kisoro'!J81+'Avg Week Kisoro-Cyanika'!J81</f>
        <v>1</v>
      </c>
      <c r="K81" s="49">
        <f>'Avg Week Cyanika-Kisoro'!K81+'Avg Week Kisoro-Cyanika'!K81</f>
        <v>0</v>
      </c>
      <c r="L81" s="49">
        <f>'Avg Week Cyanika-Kisoro'!L81+'Avg Week Kisoro-Cyanika'!L81</f>
        <v>0</v>
      </c>
      <c r="M81" s="49">
        <f>'Avg Week Cyanika-Kisoro'!M81+'Avg Week Kisoro-Cyanika'!M81</f>
        <v>0</v>
      </c>
      <c r="N81" s="49">
        <f>'Avg Week Cyanika-Kisoro'!N81+'Avg Week Kisoro-Cyanika'!N81</f>
        <v>0</v>
      </c>
      <c r="O81" s="15">
        <f t="shared" si="35"/>
        <v>6</v>
      </c>
      <c r="P81" s="15">
        <f t="shared" si="36"/>
        <v>6</v>
      </c>
      <c r="R81" s="8"/>
      <c r="T81"/>
    </row>
    <row r="82" spans="2:20" ht="23.1" customHeight="1" x14ac:dyDescent="0.25">
      <c r="B82" s="24" t="s">
        <v>122</v>
      </c>
      <c r="C82" s="49">
        <f>'Avg Week Cyanika-Kisoro'!C82+'Avg Week Kisoro-Cyanika'!C82</f>
        <v>0</v>
      </c>
      <c r="D82" s="49">
        <f>'Avg Week Cyanika-Kisoro'!D82+'Avg Week Kisoro-Cyanika'!D82</f>
        <v>0</v>
      </c>
      <c r="E82" s="49">
        <f>'Avg Week Cyanika-Kisoro'!E82+'Avg Week Kisoro-Cyanika'!E82</f>
        <v>1</v>
      </c>
      <c r="F82" s="49">
        <f>'Avg Week Cyanika-Kisoro'!F82+'Avg Week Kisoro-Cyanika'!F82</f>
        <v>0</v>
      </c>
      <c r="G82" s="49">
        <f>'Avg Week Cyanika-Kisoro'!G82+'Avg Week Kisoro-Cyanika'!G82</f>
        <v>0</v>
      </c>
      <c r="H82" s="49">
        <f>'Avg Week Cyanika-Kisoro'!H82+'Avg Week Kisoro-Cyanika'!H82</f>
        <v>0</v>
      </c>
      <c r="I82" s="49">
        <f>'Avg Week Cyanika-Kisoro'!I82+'Avg Week Kisoro-Cyanika'!I82</f>
        <v>0</v>
      </c>
      <c r="J82" s="49">
        <f>'Avg Week Cyanika-Kisoro'!J82+'Avg Week Kisoro-Cyanika'!J82</f>
        <v>1</v>
      </c>
      <c r="K82" s="49">
        <f>'Avg Week Cyanika-Kisoro'!K82+'Avg Week Kisoro-Cyanika'!K82</f>
        <v>0</v>
      </c>
      <c r="L82" s="49">
        <f>'Avg Week Cyanika-Kisoro'!L82+'Avg Week Kisoro-Cyanika'!L82</f>
        <v>0</v>
      </c>
      <c r="M82" s="49">
        <f>'Avg Week Cyanika-Kisoro'!M82+'Avg Week Kisoro-Cyanika'!M82</f>
        <v>2</v>
      </c>
      <c r="N82" s="49">
        <f>'Avg Week Cyanika-Kisoro'!N82+'Avg Week Kisoro-Cyanika'!N82</f>
        <v>0</v>
      </c>
      <c r="O82" s="15">
        <f t="shared" si="35"/>
        <v>2</v>
      </c>
      <c r="P82" s="15">
        <f t="shared" si="36"/>
        <v>4</v>
      </c>
      <c r="R82" s="8"/>
      <c r="T82"/>
    </row>
    <row r="83" spans="2:20" ht="23.1" customHeight="1" x14ac:dyDescent="0.25">
      <c r="B83" s="23" t="s">
        <v>123</v>
      </c>
      <c r="C83" s="49">
        <f>'Avg Week Cyanika-Kisoro'!C83+'Avg Week Kisoro-Cyanika'!C83</f>
        <v>1</v>
      </c>
      <c r="D83" s="49">
        <f>'Avg Week Cyanika-Kisoro'!D83+'Avg Week Kisoro-Cyanika'!D83</f>
        <v>2</v>
      </c>
      <c r="E83" s="49">
        <f>'Avg Week Cyanika-Kisoro'!E83+'Avg Week Kisoro-Cyanika'!E83</f>
        <v>1</v>
      </c>
      <c r="F83" s="49">
        <f>'Avg Week Cyanika-Kisoro'!F83+'Avg Week Kisoro-Cyanika'!F83</f>
        <v>0</v>
      </c>
      <c r="G83" s="49">
        <f>'Avg Week Cyanika-Kisoro'!G83+'Avg Week Kisoro-Cyanika'!G83</f>
        <v>0</v>
      </c>
      <c r="H83" s="49">
        <f>'Avg Week Cyanika-Kisoro'!H83+'Avg Week Kisoro-Cyanika'!H83</f>
        <v>0</v>
      </c>
      <c r="I83" s="49">
        <f>'Avg Week Cyanika-Kisoro'!I83+'Avg Week Kisoro-Cyanika'!I83</f>
        <v>0</v>
      </c>
      <c r="J83" s="49">
        <f>'Avg Week Cyanika-Kisoro'!J83+'Avg Week Kisoro-Cyanika'!J83</f>
        <v>1</v>
      </c>
      <c r="K83" s="49">
        <f>'Avg Week Cyanika-Kisoro'!K83+'Avg Week Kisoro-Cyanika'!K83</f>
        <v>0</v>
      </c>
      <c r="L83" s="49">
        <f>'Avg Week Cyanika-Kisoro'!L83+'Avg Week Kisoro-Cyanika'!L83</f>
        <v>0</v>
      </c>
      <c r="M83" s="49">
        <f>'Avg Week Cyanika-Kisoro'!M83+'Avg Week Kisoro-Cyanika'!M83</f>
        <v>0</v>
      </c>
      <c r="N83" s="49">
        <f>'Avg Week Cyanika-Kisoro'!N83+'Avg Week Kisoro-Cyanika'!N83</f>
        <v>0</v>
      </c>
      <c r="O83" s="15">
        <f t="shared" si="35"/>
        <v>5</v>
      </c>
      <c r="P83" s="15">
        <f t="shared" si="36"/>
        <v>5</v>
      </c>
      <c r="R83" s="8"/>
      <c r="T83"/>
    </row>
    <row r="84" spans="2:20" ht="23.1" customHeight="1" x14ac:dyDescent="0.25">
      <c r="B84" s="25" t="s">
        <v>124</v>
      </c>
      <c r="C84" s="49">
        <f>'Avg Week Cyanika-Kisoro'!C84+'Avg Week Kisoro-Cyanika'!C84</f>
        <v>4</v>
      </c>
      <c r="D84" s="49">
        <f>'Avg Week Cyanika-Kisoro'!D84+'Avg Week Kisoro-Cyanika'!D84</f>
        <v>3</v>
      </c>
      <c r="E84" s="49">
        <f>'Avg Week Cyanika-Kisoro'!E84+'Avg Week Kisoro-Cyanika'!E84</f>
        <v>0</v>
      </c>
      <c r="F84" s="49">
        <f>'Avg Week Cyanika-Kisoro'!F84+'Avg Week Kisoro-Cyanika'!F84</f>
        <v>0</v>
      </c>
      <c r="G84" s="49">
        <f>'Avg Week Cyanika-Kisoro'!G84+'Avg Week Kisoro-Cyanika'!G84</f>
        <v>0</v>
      </c>
      <c r="H84" s="49">
        <f>'Avg Week Cyanika-Kisoro'!H84+'Avg Week Kisoro-Cyanika'!H84</f>
        <v>0</v>
      </c>
      <c r="I84" s="49">
        <f>'Avg Week Cyanika-Kisoro'!I84+'Avg Week Kisoro-Cyanika'!I84</f>
        <v>0</v>
      </c>
      <c r="J84" s="49">
        <f>'Avg Week Cyanika-Kisoro'!J84+'Avg Week Kisoro-Cyanika'!J84</f>
        <v>0</v>
      </c>
      <c r="K84" s="49">
        <f>'Avg Week Cyanika-Kisoro'!K84+'Avg Week Kisoro-Cyanika'!K84</f>
        <v>0</v>
      </c>
      <c r="L84" s="49">
        <f>'Avg Week Cyanika-Kisoro'!L84+'Avg Week Kisoro-Cyanika'!L84</f>
        <v>0</v>
      </c>
      <c r="M84" s="49">
        <f>'Avg Week Cyanika-Kisoro'!M84+'Avg Week Kisoro-Cyanika'!M84</f>
        <v>0</v>
      </c>
      <c r="N84" s="49">
        <f>'Avg Week Cyanika-Kisoro'!N84+'Avg Week Kisoro-Cyanika'!N84</f>
        <v>0</v>
      </c>
      <c r="O84" s="15">
        <f t="shared" si="35"/>
        <v>7</v>
      </c>
      <c r="P84" s="15">
        <f t="shared" si="36"/>
        <v>7</v>
      </c>
      <c r="R84" s="8"/>
      <c r="T84"/>
    </row>
    <row r="85" spans="2:20" ht="23.1" customHeight="1" x14ac:dyDescent="0.25">
      <c r="B85" s="23" t="s">
        <v>125</v>
      </c>
      <c r="C85" s="49">
        <f>'Avg Week Cyanika-Kisoro'!C85+'Avg Week Kisoro-Cyanika'!C85</f>
        <v>0</v>
      </c>
      <c r="D85" s="49">
        <f>'Avg Week Cyanika-Kisoro'!D85+'Avg Week Kisoro-Cyanika'!D85</f>
        <v>0</v>
      </c>
      <c r="E85" s="49">
        <f>'Avg Week Cyanika-Kisoro'!E85+'Avg Week Kisoro-Cyanika'!E85</f>
        <v>0</v>
      </c>
      <c r="F85" s="49">
        <f>'Avg Week Cyanika-Kisoro'!F85+'Avg Week Kisoro-Cyanika'!F85</f>
        <v>0</v>
      </c>
      <c r="G85" s="49">
        <f>'Avg Week Cyanika-Kisoro'!G85+'Avg Week Kisoro-Cyanika'!G85</f>
        <v>0</v>
      </c>
      <c r="H85" s="49">
        <f>'Avg Week Cyanika-Kisoro'!H85+'Avg Week Kisoro-Cyanika'!H85</f>
        <v>0</v>
      </c>
      <c r="I85" s="49">
        <f>'Avg Week Cyanika-Kisoro'!I85+'Avg Week Kisoro-Cyanika'!I85</f>
        <v>0</v>
      </c>
      <c r="J85" s="49">
        <f>'Avg Week Cyanika-Kisoro'!J85+'Avg Week Kisoro-Cyanika'!J85</f>
        <v>2</v>
      </c>
      <c r="K85" s="49">
        <f>'Avg Week Cyanika-Kisoro'!K85+'Avg Week Kisoro-Cyanika'!K85</f>
        <v>0</v>
      </c>
      <c r="L85" s="49">
        <f>'Avg Week Cyanika-Kisoro'!L85+'Avg Week Kisoro-Cyanika'!L85</f>
        <v>0</v>
      </c>
      <c r="M85" s="49">
        <f>'Avg Week Cyanika-Kisoro'!M85+'Avg Week Kisoro-Cyanika'!M85</f>
        <v>0</v>
      </c>
      <c r="N85" s="49">
        <f>'Avg Week Cyanika-Kisoro'!N85+'Avg Week Kisoro-Cyanika'!N85</f>
        <v>0</v>
      </c>
      <c r="O85" s="15">
        <f t="shared" si="35"/>
        <v>2</v>
      </c>
      <c r="P85" s="15">
        <f t="shared" si="36"/>
        <v>2</v>
      </c>
      <c r="R85" s="8"/>
      <c r="T85"/>
    </row>
    <row r="86" spans="2:20" ht="23.1" customHeight="1" x14ac:dyDescent="0.25">
      <c r="B86" s="24" t="s">
        <v>126</v>
      </c>
      <c r="C86" s="49">
        <f>'Avg Week Cyanika-Kisoro'!C86+'Avg Week Kisoro-Cyanika'!C86</f>
        <v>4</v>
      </c>
      <c r="D86" s="49">
        <f>'Avg Week Cyanika-Kisoro'!D86+'Avg Week Kisoro-Cyanika'!D86</f>
        <v>0</v>
      </c>
      <c r="E86" s="49">
        <f>'Avg Week Cyanika-Kisoro'!E86+'Avg Week Kisoro-Cyanika'!E86</f>
        <v>1</v>
      </c>
      <c r="F86" s="49">
        <f>'Avg Week Cyanika-Kisoro'!F86+'Avg Week Kisoro-Cyanika'!F86</f>
        <v>0</v>
      </c>
      <c r="G86" s="49">
        <f>'Avg Week Cyanika-Kisoro'!G86+'Avg Week Kisoro-Cyanika'!G86</f>
        <v>0</v>
      </c>
      <c r="H86" s="49">
        <f>'Avg Week Cyanika-Kisoro'!H86+'Avg Week Kisoro-Cyanika'!H86</f>
        <v>0</v>
      </c>
      <c r="I86" s="49">
        <f>'Avg Week Cyanika-Kisoro'!I86+'Avg Week Kisoro-Cyanika'!I86</f>
        <v>0</v>
      </c>
      <c r="J86" s="49">
        <f>'Avg Week Cyanika-Kisoro'!J86+'Avg Week Kisoro-Cyanika'!J86</f>
        <v>0</v>
      </c>
      <c r="K86" s="49">
        <f>'Avg Week Cyanika-Kisoro'!K86+'Avg Week Kisoro-Cyanika'!K86</f>
        <v>0</v>
      </c>
      <c r="L86" s="49">
        <f>'Avg Week Cyanika-Kisoro'!L86+'Avg Week Kisoro-Cyanika'!L86</f>
        <v>0</v>
      </c>
      <c r="M86" s="49">
        <f>'Avg Week Cyanika-Kisoro'!M86+'Avg Week Kisoro-Cyanika'!M86</f>
        <v>0</v>
      </c>
      <c r="N86" s="49">
        <f>'Avg Week Cyanika-Kisoro'!N86+'Avg Week Kisoro-Cyanika'!N86</f>
        <v>0</v>
      </c>
      <c r="O86" s="15">
        <f t="shared" si="35"/>
        <v>5</v>
      </c>
      <c r="P86" s="15">
        <f t="shared" si="36"/>
        <v>5</v>
      </c>
      <c r="R86" s="8"/>
      <c r="T86"/>
    </row>
    <row r="87" spans="2:20" ht="23.1" customHeight="1" x14ac:dyDescent="0.25">
      <c r="B87" s="23" t="s">
        <v>127</v>
      </c>
      <c r="C87" s="49">
        <f>'Avg Week Cyanika-Kisoro'!C87+'Avg Week Kisoro-Cyanika'!C87</f>
        <v>2</v>
      </c>
      <c r="D87" s="49">
        <f>'Avg Week Cyanika-Kisoro'!D87+'Avg Week Kisoro-Cyanika'!D87</f>
        <v>4</v>
      </c>
      <c r="E87" s="49">
        <f>'Avg Week Cyanika-Kisoro'!E87+'Avg Week Kisoro-Cyanika'!E87</f>
        <v>1</v>
      </c>
      <c r="F87" s="49">
        <f>'Avg Week Cyanika-Kisoro'!F87+'Avg Week Kisoro-Cyanika'!F87</f>
        <v>0</v>
      </c>
      <c r="G87" s="49">
        <f>'Avg Week Cyanika-Kisoro'!G87+'Avg Week Kisoro-Cyanika'!G87</f>
        <v>0</v>
      </c>
      <c r="H87" s="49">
        <f>'Avg Week Cyanika-Kisoro'!H87+'Avg Week Kisoro-Cyanika'!H87</f>
        <v>1</v>
      </c>
      <c r="I87" s="49">
        <f>'Avg Week Cyanika-Kisoro'!I87+'Avg Week Kisoro-Cyanika'!I87</f>
        <v>0</v>
      </c>
      <c r="J87" s="49">
        <f>'Avg Week Cyanika-Kisoro'!J87+'Avg Week Kisoro-Cyanika'!J87</f>
        <v>1</v>
      </c>
      <c r="K87" s="49">
        <f>'Avg Week Cyanika-Kisoro'!K87+'Avg Week Kisoro-Cyanika'!K87</f>
        <v>0</v>
      </c>
      <c r="L87" s="49">
        <f>'Avg Week Cyanika-Kisoro'!L87+'Avg Week Kisoro-Cyanika'!L87</f>
        <v>0</v>
      </c>
      <c r="M87" s="49">
        <f>'Avg Week Cyanika-Kisoro'!M87+'Avg Week Kisoro-Cyanika'!M87</f>
        <v>0</v>
      </c>
      <c r="N87" s="49">
        <f>'Avg Week Cyanika-Kisoro'!N87+'Avg Week Kisoro-Cyanika'!N87</f>
        <v>0</v>
      </c>
      <c r="O87" s="15">
        <f t="shared" si="35"/>
        <v>9</v>
      </c>
      <c r="P87" s="15">
        <f t="shared" si="36"/>
        <v>9</v>
      </c>
      <c r="R87" s="8"/>
      <c r="T87"/>
    </row>
    <row r="88" spans="2:20" ht="23.1" customHeight="1" x14ac:dyDescent="0.25">
      <c r="B88" s="25" t="s">
        <v>128</v>
      </c>
      <c r="C88" s="49">
        <f>'Avg Week Cyanika-Kisoro'!C88+'Avg Week Kisoro-Cyanika'!C88</f>
        <v>2</v>
      </c>
      <c r="D88" s="49">
        <f>'Avg Week Cyanika-Kisoro'!D88+'Avg Week Kisoro-Cyanika'!D88</f>
        <v>1</v>
      </c>
      <c r="E88" s="49">
        <f>'Avg Week Cyanika-Kisoro'!E88+'Avg Week Kisoro-Cyanika'!E88</f>
        <v>0</v>
      </c>
      <c r="F88" s="49">
        <f>'Avg Week Cyanika-Kisoro'!F88+'Avg Week Kisoro-Cyanika'!F88</f>
        <v>0</v>
      </c>
      <c r="G88" s="49">
        <f>'Avg Week Cyanika-Kisoro'!G88+'Avg Week Kisoro-Cyanika'!G88</f>
        <v>0</v>
      </c>
      <c r="H88" s="49">
        <f>'Avg Week Cyanika-Kisoro'!H88+'Avg Week Kisoro-Cyanika'!H88</f>
        <v>0</v>
      </c>
      <c r="I88" s="49">
        <f>'Avg Week Cyanika-Kisoro'!I88+'Avg Week Kisoro-Cyanika'!I88</f>
        <v>0</v>
      </c>
      <c r="J88" s="49">
        <f>'Avg Week Cyanika-Kisoro'!J88+'Avg Week Kisoro-Cyanika'!J88</f>
        <v>2</v>
      </c>
      <c r="K88" s="49">
        <f>'Avg Week Cyanika-Kisoro'!K88+'Avg Week Kisoro-Cyanika'!K88</f>
        <v>0</v>
      </c>
      <c r="L88" s="49">
        <f>'Avg Week Cyanika-Kisoro'!L88+'Avg Week Kisoro-Cyanika'!L88</f>
        <v>0</v>
      </c>
      <c r="M88" s="49">
        <f>'Avg Week Cyanika-Kisoro'!M88+'Avg Week Kisoro-Cyanika'!M88</f>
        <v>0</v>
      </c>
      <c r="N88" s="49">
        <f>'Avg Week Cyanika-Kisoro'!N88+'Avg Week Kisoro-Cyanika'!N88</f>
        <v>0</v>
      </c>
      <c r="O88" s="15">
        <f t="shared" si="35"/>
        <v>5</v>
      </c>
      <c r="P88" s="15">
        <f t="shared" si="36"/>
        <v>5</v>
      </c>
      <c r="R88" s="8"/>
      <c r="T88"/>
    </row>
    <row r="89" spans="2:20" ht="23.1" customHeight="1" x14ac:dyDescent="0.25">
      <c r="B89" s="23" t="s">
        <v>129</v>
      </c>
      <c r="C89" s="49">
        <f>'Avg Week Cyanika-Kisoro'!C89+'Avg Week Kisoro-Cyanika'!C89</f>
        <v>5</v>
      </c>
      <c r="D89" s="49">
        <f>'Avg Week Cyanika-Kisoro'!D89+'Avg Week Kisoro-Cyanika'!D89</f>
        <v>2</v>
      </c>
      <c r="E89" s="49">
        <f>'Avg Week Cyanika-Kisoro'!E89+'Avg Week Kisoro-Cyanika'!E89</f>
        <v>2</v>
      </c>
      <c r="F89" s="49">
        <f>'Avg Week Cyanika-Kisoro'!F89+'Avg Week Kisoro-Cyanika'!F89</f>
        <v>0</v>
      </c>
      <c r="G89" s="49">
        <f>'Avg Week Cyanika-Kisoro'!G89+'Avg Week Kisoro-Cyanika'!G89</f>
        <v>0</v>
      </c>
      <c r="H89" s="49">
        <f>'Avg Week Cyanika-Kisoro'!H89+'Avg Week Kisoro-Cyanika'!H89</f>
        <v>0</v>
      </c>
      <c r="I89" s="49">
        <f>'Avg Week Cyanika-Kisoro'!I89+'Avg Week Kisoro-Cyanika'!I89</f>
        <v>1</v>
      </c>
      <c r="J89" s="49">
        <f>'Avg Week Cyanika-Kisoro'!J89+'Avg Week Kisoro-Cyanika'!J89</f>
        <v>2</v>
      </c>
      <c r="K89" s="49">
        <f>'Avg Week Cyanika-Kisoro'!K89+'Avg Week Kisoro-Cyanika'!K89</f>
        <v>0</v>
      </c>
      <c r="L89" s="49">
        <f>'Avg Week Cyanika-Kisoro'!L89+'Avg Week Kisoro-Cyanika'!L89</f>
        <v>0</v>
      </c>
      <c r="M89" s="49">
        <f>'Avg Week Cyanika-Kisoro'!M89+'Avg Week Kisoro-Cyanika'!M89</f>
        <v>0</v>
      </c>
      <c r="N89" s="49">
        <f>'Avg Week Cyanika-Kisoro'!N89+'Avg Week Kisoro-Cyanika'!N89</f>
        <v>0</v>
      </c>
      <c r="O89" s="15">
        <f t="shared" si="35"/>
        <v>12</v>
      </c>
      <c r="P89" s="15">
        <f t="shared" si="36"/>
        <v>12</v>
      </c>
      <c r="R89" s="8"/>
      <c r="T89"/>
    </row>
    <row r="90" spans="2:20" ht="23.1" customHeight="1" x14ac:dyDescent="0.25">
      <c r="B90" s="24" t="s">
        <v>130</v>
      </c>
      <c r="C90" s="49">
        <f>'Avg Week Cyanika-Kisoro'!C90+'Avg Week Kisoro-Cyanika'!C90</f>
        <v>2</v>
      </c>
      <c r="D90" s="49">
        <f>'Avg Week Cyanika-Kisoro'!D90+'Avg Week Kisoro-Cyanika'!D90</f>
        <v>3</v>
      </c>
      <c r="E90" s="49">
        <f>'Avg Week Cyanika-Kisoro'!E90+'Avg Week Kisoro-Cyanika'!E90</f>
        <v>0</v>
      </c>
      <c r="F90" s="49">
        <f>'Avg Week Cyanika-Kisoro'!F90+'Avg Week Kisoro-Cyanika'!F90</f>
        <v>0</v>
      </c>
      <c r="G90" s="49">
        <f>'Avg Week Cyanika-Kisoro'!G90+'Avg Week Kisoro-Cyanika'!G90</f>
        <v>0</v>
      </c>
      <c r="H90" s="49">
        <f>'Avg Week Cyanika-Kisoro'!H90+'Avg Week Kisoro-Cyanika'!H90</f>
        <v>0</v>
      </c>
      <c r="I90" s="49">
        <f>'Avg Week Cyanika-Kisoro'!I90+'Avg Week Kisoro-Cyanika'!I90</f>
        <v>0</v>
      </c>
      <c r="J90" s="49">
        <f>'Avg Week Cyanika-Kisoro'!J90+'Avg Week Kisoro-Cyanika'!J90</f>
        <v>0</v>
      </c>
      <c r="K90" s="49">
        <f>'Avg Week Cyanika-Kisoro'!K90+'Avg Week Kisoro-Cyanika'!K90</f>
        <v>0</v>
      </c>
      <c r="L90" s="49">
        <f>'Avg Week Cyanika-Kisoro'!L90+'Avg Week Kisoro-Cyanika'!L90</f>
        <v>0</v>
      </c>
      <c r="M90" s="49">
        <f>'Avg Week Cyanika-Kisoro'!M90+'Avg Week Kisoro-Cyanika'!M90</f>
        <v>0</v>
      </c>
      <c r="N90" s="49">
        <f>'Avg Week Cyanika-Kisoro'!N90+'Avg Week Kisoro-Cyanika'!N90</f>
        <v>0</v>
      </c>
      <c r="O90" s="15">
        <f t="shared" si="35"/>
        <v>5</v>
      </c>
      <c r="P90" s="15">
        <f t="shared" si="36"/>
        <v>5</v>
      </c>
      <c r="R90" s="8"/>
      <c r="T90"/>
    </row>
    <row r="91" spans="2:20" ht="23.1" customHeight="1" x14ac:dyDescent="0.25">
      <c r="B91" s="23" t="s">
        <v>131</v>
      </c>
      <c r="C91" s="49">
        <f>'Avg Week Cyanika-Kisoro'!C91+'Avg Week Kisoro-Cyanika'!C91</f>
        <v>0</v>
      </c>
      <c r="D91" s="49">
        <f>'Avg Week Cyanika-Kisoro'!D91+'Avg Week Kisoro-Cyanika'!D91</f>
        <v>2</v>
      </c>
      <c r="E91" s="49">
        <f>'Avg Week Cyanika-Kisoro'!E91+'Avg Week Kisoro-Cyanika'!E91</f>
        <v>2</v>
      </c>
      <c r="F91" s="49">
        <f>'Avg Week Cyanika-Kisoro'!F91+'Avg Week Kisoro-Cyanika'!F91</f>
        <v>0</v>
      </c>
      <c r="G91" s="49">
        <f>'Avg Week Cyanika-Kisoro'!G91+'Avg Week Kisoro-Cyanika'!G91</f>
        <v>0</v>
      </c>
      <c r="H91" s="49">
        <f>'Avg Week Cyanika-Kisoro'!H91+'Avg Week Kisoro-Cyanika'!H91</f>
        <v>0</v>
      </c>
      <c r="I91" s="49">
        <f>'Avg Week Cyanika-Kisoro'!I91+'Avg Week Kisoro-Cyanika'!I91</f>
        <v>0</v>
      </c>
      <c r="J91" s="49">
        <f>'Avg Week Cyanika-Kisoro'!J91+'Avg Week Kisoro-Cyanika'!J91</f>
        <v>2</v>
      </c>
      <c r="K91" s="49">
        <f>'Avg Week Cyanika-Kisoro'!K91+'Avg Week Kisoro-Cyanika'!K91</f>
        <v>0</v>
      </c>
      <c r="L91" s="49">
        <f>'Avg Week Cyanika-Kisoro'!L91+'Avg Week Kisoro-Cyanika'!L91</f>
        <v>0</v>
      </c>
      <c r="M91" s="49">
        <f>'Avg Week Cyanika-Kisoro'!M91+'Avg Week Kisoro-Cyanika'!M91</f>
        <v>0</v>
      </c>
      <c r="N91" s="49">
        <f>'Avg Week Cyanika-Kisoro'!N91+'Avg Week Kisoro-Cyanika'!N91</f>
        <v>0</v>
      </c>
      <c r="O91" s="15">
        <f t="shared" si="35"/>
        <v>6</v>
      </c>
      <c r="P91" s="15">
        <f t="shared" si="36"/>
        <v>6</v>
      </c>
      <c r="R91" s="8"/>
      <c r="T91"/>
    </row>
    <row r="92" spans="2:20" ht="23.1" customHeight="1" x14ac:dyDescent="0.25">
      <c r="B92" s="25" t="s">
        <v>132</v>
      </c>
      <c r="C92" s="49">
        <f>'Avg Week Cyanika-Kisoro'!C92+'Avg Week Kisoro-Cyanika'!C92</f>
        <v>1</v>
      </c>
      <c r="D92" s="49">
        <f>'Avg Week Cyanika-Kisoro'!D92+'Avg Week Kisoro-Cyanika'!D92</f>
        <v>1</v>
      </c>
      <c r="E92" s="49">
        <f>'Avg Week Cyanika-Kisoro'!E92+'Avg Week Kisoro-Cyanika'!E92</f>
        <v>2</v>
      </c>
      <c r="F92" s="49">
        <f>'Avg Week Cyanika-Kisoro'!F92+'Avg Week Kisoro-Cyanika'!F92</f>
        <v>1</v>
      </c>
      <c r="G92" s="49">
        <f>'Avg Week Cyanika-Kisoro'!G92+'Avg Week Kisoro-Cyanika'!G92</f>
        <v>0</v>
      </c>
      <c r="H92" s="49">
        <f>'Avg Week Cyanika-Kisoro'!H92+'Avg Week Kisoro-Cyanika'!H92</f>
        <v>0</v>
      </c>
      <c r="I92" s="49">
        <f>'Avg Week Cyanika-Kisoro'!I92+'Avg Week Kisoro-Cyanika'!I92</f>
        <v>0</v>
      </c>
      <c r="J92" s="49">
        <f>'Avg Week Cyanika-Kisoro'!J92+'Avg Week Kisoro-Cyanika'!J92</f>
        <v>1</v>
      </c>
      <c r="K92" s="49">
        <f>'Avg Week Cyanika-Kisoro'!K92+'Avg Week Kisoro-Cyanika'!K92</f>
        <v>0</v>
      </c>
      <c r="L92" s="49">
        <f>'Avg Week Cyanika-Kisoro'!L92+'Avg Week Kisoro-Cyanika'!L92</f>
        <v>0</v>
      </c>
      <c r="M92" s="49">
        <f>'Avg Week Cyanika-Kisoro'!M92+'Avg Week Kisoro-Cyanika'!M92</f>
        <v>0</v>
      </c>
      <c r="N92" s="49">
        <f>'Avg Week Cyanika-Kisoro'!N92+'Avg Week Kisoro-Cyanika'!N92</f>
        <v>0</v>
      </c>
      <c r="O92" s="15">
        <f t="shared" si="35"/>
        <v>6</v>
      </c>
      <c r="P92" s="15">
        <f t="shared" si="36"/>
        <v>6</v>
      </c>
      <c r="R92" s="8"/>
      <c r="T92"/>
    </row>
    <row r="93" spans="2:20" ht="23.1" customHeight="1" x14ac:dyDescent="0.25">
      <c r="B93" s="23" t="s">
        <v>133</v>
      </c>
      <c r="C93" s="49">
        <f>'Avg Week Cyanika-Kisoro'!C93+'Avg Week Kisoro-Cyanika'!C93</f>
        <v>5</v>
      </c>
      <c r="D93" s="49">
        <f>'Avg Week Cyanika-Kisoro'!D93+'Avg Week Kisoro-Cyanika'!D93</f>
        <v>0</v>
      </c>
      <c r="E93" s="49">
        <f>'Avg Week Cyanika-Kisoro'!E93+'Avg Week Kisoro-Cyanika'!E93</f>
        <v>1</v>
      </c>
      <c r="F93" s="49">
        <f>'Avg Week Cyanika-Kisoro'!F93+'Avg Week Kisoro-Cyanika'!F93</f>
        <v>0</v>
      </c>
      <c r="G93" s="49">
        <f>'Avg Week Cyanika-Kisoro'!G93+'Avg Week Kisoro-Cyanika'!G93</f>
        <v>0</v>
      </c>
      <c r="H93" s="49">
        <f>'Avg Week Cyanika-Kisoro'!H93+'Avg Week Kisoro-Cyanika'!H93</f>
        <v>0</v>
      </c>
      <c r="I93" s="49">
        <f>'Avg Week Cyanika-Kisoro'!I93+'Avg Week Kisoro-Cyanika'!I93</f>
        <v>1</v>
      </c>
      <c r="J93" s="49">
        <f>'Avg Week Cyanika-Kisoro'!J93+'Avg Week Kisoro-Cyanika'!J93</f>
        <v>1</v>
      </c>
      <c r="K93" s="49">
        <f>'Avg Week Cyanika-Kisoro'!K93+'Avg Week Kisoro-Cyanika'!K93</f>
        <v>0</v>
      </c>
      <c r="L93" s="49">
        <f>'Avg Week Cyanika-Kisoro'!L93+'Avg Week Kisoro-Cyanika'!L93</f>
        <v>0</v>
      </c>
      <c r="M93" s="49">
        <f>'Avg Week Cyanika-Kisoro'!M93+'Avg Week Kisoro-Cyanika'!M93</f>
        <v>0</v>
      </c>
      <c r="N93" s="49">
        <f>'Avg Week Cyanika-Kisoro'!N93+'Avg Week Kisoro-Cyanika'!N93</f>
        <v>0</v>
      </c>
      <c r="O93" s="15">
        <f t="shared" si="35"/>
        <v>8</v>
      </c>
      <c r="P93" s="15">
        <f t="shared" si="36"/>
        <v>8</v>
      </c>
      <c r="R93" s="8"/>
      <c r="T93"/>
    </row>
    <row r="94" spans="2:20" ht="23.1" customHeight="1" x14ac:dyDescent="0.25">
      <c r="B94" s="24" t="s">
        <v>134</v>
      </c>
      <c r="C94" s="49">
        <f>'Avg Week Cyanika-Kisoro'!C94+'Avg Week Kisoro-Cyanika'!C94</f>
        <v>6</v>
      </c>
      <c r="D94" s="49">
        <f>'Avg Week Cyanika-Kisoro'!D94+'Avg Week Kisoro-Cyanika'!D94</f>
        <v>0</v>
      </c>
      <c r="E94" s="49">
        <f>'Avg Week Cyanika-Kisoro'!E94+'Avg Week Kisoro-Cyanika'!E94</f>
        <v>1</v>
      </c>
      <c r="F94" s="49">
        <f>'Avg Week Cyanika-Kisoro'!F94+'Avg Week Kisoro-Cyanika'!F94</f>
        <v>0</v>
      </c>
      <c r="G94" s="49">
        <f>'Avg Week Cyanika-Kisoro'!G94+'Avg Week Kisoro-Cyanika'!G94</f>
        <v>0</v>
      </c>
      <c r="H94" s="49">
        <f>'Avg Week Cyanika-Kisoro'!H94+'Avg Week Kisoro-Cyanika'!H94</f>
        <v>0</v>
      </c>
      <c r="I94" s="49">
        <f>'Avg Week Cyanika-Kisoro'!I94+'Avg Week Kisoro-Cyanika'!I94</f>
        <v>0</v>
      </c>
      <c r="J94" s="49">
        <f>'Avg Week Cyanika-Kisoro'!J94+'Avg Week Kisoro-Cyanika'!J94</f>
        <v>0</v>
      </c>
      <c r="K94" s="49">
        <f>'Avg Week Cyanika-Kisoro'!K94+'Avg Week Kisoro-Cyanika'!K94</f>
        <v>0</v>
      </c>
      <c r="L94" s="49">
        <f>'Avg Week Cyanika-Kisoro'!L94+'Avg Week Kisoro-Cyanika'!L94</f>
        <v>0</v>
      </c>
      <c r="M94" s="49">
        <f>'Avg Week Cyanika-Kisoro'!M94+'Avg Week Kisoro-Cyanika'!M94</f>
        <v>0</v>
      </c>
      <c r="N94" s="49">
        <f>'Avg Week Cyanika-Kisoro'!N94+'Avg Week Kisoro-Cyanika'!N94</f>
        <v>0</v>
      </c>
      <c r="O94" s="15">
        <f t="shared" si="35"/>
        <v>7</v>
      </c>
      <c r="P94" s="15">
        <f t="shared" si="36"/>
        <v>7</v>
      </c>
      <c r="R94" s="8"/>
      <c r="T94"/>
    </row>
    <row r="95" spans="2:20" ht="23.1" customHeight="1" x14ac:dyDescent="0.25">
      <c r="B95" s="23" t="s">
        <v>135</v>
      </c>
      <c r="C95" s="49">
        <f>'Avg Week Cyanika-Kisoro'!C95+'Avg Week Kisoro-Cyanika'!C95</f>
        <v>2</v>
      </c>
      <c r="D95" s="49">
        <f>'Avg Week Cyanika-Kisoro'!D95+'Avg Week Kisoro-Cyanika'!D95</f>
        <v>2</v>
      </c>
      <c r="E95" s="49">
        <f>'Avg Week Cyanika-Kisoro'!E95+'Avg Week Kisoro-Cyanika'!E95</f>
        <v>0</v>
      </c>
      <c r="F95" s="49">
        <f>'Avg Week Cyanika-Kisoro'!F95+'Avg Week Kisoro-Cyanika'!F95</f>
        <v>0</v>
      </c>
      <c r="G95" s="49">
        <f>'Avg Week Cyanika-Kisoro'!G95+'Avg Week Kisoro-Cyanika'!G95</f>
        <v>0</v>
      </c>
      <c r="H95" s="49">
        <f>'Avg Week Cyanika-Kisoro'!H95+'Avg Week Kisoro-Cyanika'!H95</f>
        <v>0</v>
      </c>
      <c r="I95" s="49">
        <f>'Avg Week Cyanika-Kisoro'!I95+'Avg Week Kisoro-Cyanika'!I95</f>
        <v>1</v>
      </c>
      <c r="J95" s="49">
        <f>'Avg Week Cyanika-Kisoro'!J95+'Avg Week Kisoro-Cyanika'!J95</f>
        <v>1</v>
      </c>
      <c r="K95" s="49">
        <f>'Avg Week Cyanika-Kisoro'!K95+'Avg Week Kisoro-Cyanika'!K95</f>
        <v>0</v>
      </c>
      <c r="L95" s="49">
        <f>'Avg Week Cyanika-Kisoro'!L95+'Avg Week Kisoro-Cyanika'!L95</f>
        <v>0</v>
      </c>
      <c r="M95" s="49">
        <f>'Avg Week Cyanika-Kisoro'!M95+'Avg Week Kisoro-Cyanika'!M95</f>
        <v>0</v>
      </c>
      <c r="N95" s="49">
        <f>'Avg Week Cyanika-Kisoro'!N95+'Avg Week Kisoro-Cyanika'!N95</f>
        <v>0</v>
      </c>
      <c r="O95" s="15">
        <f t="shared" si="35"/>
        <v>6</v>
      </c>
      <c r="P95" s="15">
        <f t="shared" si="36"/>
        <v>6</v>
      </c>
      <c r="R95" s="8"/>
      <c r="T95"/>
    </row>
    <row r="96" spans="2:20" ht="23.1" customHeight="1" x14ac:dyDescent="0.25">
      <c r="B96" s="25" t="s">
        <v>136</v>
      </c>
      <c r="C96" s="49">
        <f>'Avg Week Cyanika-Kisoro'!C96+'Avg Week Kisoro-Cyanika'!C96</f>
        <v>1</v>
      </c>
      <c r="D96" s="49">
        <f>'Avg Week Cyanika-Kisoro'!D96+'Avg Week Kisoro-Cyanika'!D96</f>
        <v>0</v>
      </c>
      <c r="E96" s="49">
        <f>'Avg Week Cyanika-Kisoro'!E96+'Avg Week Kisoro-Cyanika'!E96</f>
        <v>0</v>
      </c>
      <c r="F96" s="49">
        <f>'Avg Week Cyanika-Kisoro'!F96+'Avg Week Kisoro-Cyanika'!F96</f>
        <v>0</v>
      </c>
      <c r="G96" s="49">
        <f>'Avg Week Cyanika-Kisoro'!G96+'Avg Week Kisoro-Cyanika'!G96</f>
        <v>0</v>
      </c>
      <c r="H96" s="49">
        <f>'Avg Week Cyanika-Kisoro'!H96+'Avg Week Kisoro-Cyanika'!H96</f>
        <v>0</v>
      </c>
      <c r="I96" s="49">
        <f>'Avg Week Cyanika-Kisoro'!I96+'Avg Week Kisoro-Cyanika'!I96</f>
        <v>1</v>
      </c>
      <c r="J96" s="49">
        <f>'Avg Week Cyanika-Kisoro'!J96+'Avg Week Kisoro-Cyanika'!J96</f>
        <v>6</v>
      </c>
      <c r="K96" s="49">
        <f>'Avg Week Cyanika-Kisoro'!K96+'Avg Week Kisoro-Cyanika'!K96</f>
        <v>0</v>
      </c>
      <c r="L96" s="49">
        <f>'Avg Week Cyanika-Kisoro'!L96+'Avg Week Kisoro-Cyanika'!L96</f>
        <v>0</v>
      </c>
      <c r="M96" s="49">
        <f>'Avg Week Cyanika-Kisoro'!M96+'Avg Week Kisoro-Cyanika'!M96</f>
        <v>0</v>
      </c>
      <c r="N96" s="49">
        <f>'Avg Week Cyanika-Kisoro'!N96+'Avg Week Kisoro-Cyanika'!N96</f>
        <v>0</v>
      </c>
      <c r="O96" s="15">
        <f t="shared" si="35"/>
        <v>8</v>
      </c>
      <c r="P96" s="15">
        <f t="shared" si="36"/>
        <v>8</v>
      </c>
      <c r="R96" s="8"/>
      <c r="T96"/>
    </row>
    <row r="97" spans="2:20" ht="23.1" customHeight="1" x14ac:dyDescent="0.25">
      <c r="B97" s="23" t="s">
        <v>137</v>
      </c>
      <c r="C97" s="49">
        <f>'Avg Week Cyanika-Kisoro'!C97+'Avg Week Kisoro-Cyanika'!C97</f>
        <v>1</v>
      </c>
      <c r="D97" s="49">
        <f>'Avg Week Cyanika-Kisoro'!D97+'Avg Week Kisoro-Cyanika'!D97</f>
        <v>1</v>
      </c>
      <c r="E97" s="49">
        <f>'Avg Week Cyanika-Kisoro'!E97+'Avg Week Kisoro-Cyanika'!E97</f>
        <v>3</v>
      </c>
      <c r="F97" s="49">
        <f>'Avg Week Cyanika-Kisoro'!F97+'Avg Week Kisoro-Cyanika'!F97</f>
        <v>0</v>
      </c>
      <c r="G97" s="49">
        <f>'Avg Week Cyanika-Kisoro'!G97+'Avg Week Kisoro-Cyanika'!G97</f>
        <v>0</v>
      </c>
      <c r="H97" s="49">
        <f>'Avg Week Cyanika-Kisoro'!H97+'Avg Week Kisoro-Cyanika'!H97</f>
        <v>0</v>
      </c>
      <c r="I97" s="49">
        <f>'Avg Week Cyanika-Kisoro'!I97+'Avg Week Kisoro-Cyanika'!I97</f>
        <v>1</v>
      </c>
      <c r="J97" s="49">
        <f>'Avg Week Cyanika-Kisoro'!J97+'Avg Week Kisoro-Cyanika'!J97</f>
        <v>0</v>
      </c>
      <c r="K97" s="49">
        <f>'Avg Week Cyanika-Kisoro'!K97+'Avg Week Kisoro-Cyanika'!K97</f>
        <v>0</v>
      </c>
      <c r="L97" s="49">
        <f>'Avg Week Cyanika-Kisoro'!L97+'Avg Week Kisoro-Cyanika'!L97</f>
        <v>0</v>
      </c>
      <c r="M97" s="49">
        <f>'Avg Week Cyanika-Kisoro'!M97+'Avg Week Kisoro-Cyanika'!M97</f>
        <v>0</v>
      </c>
      <c r="N97" s="49">
        <f>'Avg Week Cyanika-Kisoro'!N97+'Avg Week Kisoro-Cyanika'!N97</f>
        <v>0</v>
      </c>
      <c r="O97" s="15">
        <f t="shared" si="35"/>
        <v>6</v>
      </c>
      <c r="P97" s="15">
        <f t="shared" si="36"/>
        <v>6</v>
      </c>
      <c r="R97" s="8"/>
      <c r="T97"/>
    </row>
    <row r="98" spans="2:20" ht="23.1" customHeight="1" x14ac:dyDescent="0.25">
      <c r="B98" s="24" t="s">
        <v>138</v>
      </c>
      <c r="C98" s="49">
        <f>'Avg Week Cyanika-Kisoro'!C98+'Avg Week Kisoro-Cyanika'!C98</f>
        <v>2</v>
      </c>
      <c r="D98" s="49">
        <f>'Avg Week Cyanika-Kisoro'!D98+'Avg Week Kisoro-Cyanika'!D98</f>
        <v>0</v>
      </c>
      <c r="E98" s="49">
        <f>'Avg Week Cyanika-Kisoro'!E98+'Avg Week Kisoro-Cyanika'!E98</f>
        <v>0</v>
      </c>
      <c r="F98" s="49">
        <f>'Avg Week Cyanika-Kisoro'!F98+'Avg Week Kisoro-Cyanika'!F98</f>
        <v>0</v>
      </c>
      <c r="G98" s="49">
        <f>'Avg Week Cyanika-Kisoro'!G98+'Avg Week Kisoro-Cyanika'!G98</f>
        <v>0</v>
      </c>
      <c r="H98" s="49">
        <f>'Avg Week Cyanika-Kisoro'!H98+'Avg Week Kisoro-Cyanika'!H98</f>
        <v>0</v>
      </c>
      <c r="I98" s="49">
        <f>'Avg Week Cyanika-Kisoro'!I98+'Avg Week Kisoro-Cyanika'!I98</f>
        <v>0</v>
      </c>
      <c r="J98" s="49">
        <f>'Avg Week Cyanika-Kisoro'!J98+'Avg Week Kisoro-Cyanika'!J98</f>
        <v>2</v>
      </c>
      <c r="K98" s="49">
        <f>'Avg Week Cyanika-Kisoro'!K98+'Avg Week Kisoro-Cyanika'!K98</f>
        <v>0</v>
      </c>
      <c r="L98" s="49">
        <f>'Avg Week Cyanika-Kisoro'!L98+'Avg Week Kisoro-Cyanika'!L98</f>
        <v>0</v>
      </c>
      <c r="M98" s="49">
        <f>'Avg Week Cyanika-Kisoro'!M98+'Avg Week Kisoro-Cyanika'!M98</f>
        <v>2</v>
      </c>
      <c r="N98" s="49">
        <f>'Avg Week Cyanika-Kisoro'!N98+'Avg Week Kisoro-Cyanika'!N98</f>
        <v>0</v>
      </c>
      <c r="O98" s="15">
        <f t="shared" si="35"/>
        <v>4</v>
      </c>
      <c r="P98" s="15">
        <f t="shared" si="36"/>
        <v>6</v>
      </c>
      <c r="R98" s="8"/>
      <c r="T98"/>
    </row>
    <row r="99" spans="2:20" ht="23.1" customHeight="1" x14ac:dyDescent="0.25">
      <c r="B99" s="23" t="s">
        <v>139</v>
      </c>
      <c r="C99" s="49">
        <f>'Avg Week Cyanika-Kisoro'!C99+'Avg Week Kisoro-Cyanika'!C99</f>
        <v>3</v>
      </c>
      <c r="D99" s="49">
        <f>'Avg Week Cyanika-Kisoro'!D99+'Avg Week Kisoro-Cyanika'!D99</f>
        <v>0</v>
      </c>
      <c r="E99" s="49">
        <f>'Avg Week Cyanika-Kisoro'!E99+'Avg Week Kisoro-Cyanika'!E99</f>
        <v>1</v>
      </c>
      <c r="F99" s="49">
        <f>'Avg Week Cyanika-Kisoro'!F99+'Avg Week Kisoro-Cyanika'!F99</f>
        <v>0</v>
      </c>
      <c r="G99" s="49">
        <f>'Avg Week Cyanika-Kisoro'!G99+'Avg Week Kisoro-Cyanika'!G99</f>
        <v>0</v>
      </c>
      <c r="H99" s="49">
        <f>'Avg Week Cyanika-Kisoro'!H99+'Avg Week Kisoro-Cyanika'!H99</f>
        <v>0</v>
      </c>
      <c r="I99" s="49">
        <f>'Avg Week Cyanika-Kisoro'!I99+'Avg Week Kisoro-Cyanika'!I99</f>
        <v>0</v>
      </c>
      <c r="J99" s="49">
        <f>'Avg Week Cyanika-Kisoro'!J99+'Avg Week Kisoro-Cyanika'!J99</f>
        <v>2</v>
      </c>
      <c r="K99" s="49">
        <f>'Avg Week Cyanika-Kisoro'!K99+'Avg Week Kisoro-Cyanika'!K99</f>
        <v>0</v>
      </c>
      <c r="L99" s="49">
        <f>'Avg Week Cyanika-Kisoro'!L99+'Avg Week Kisoro-Cyanika'!L99</f>
        <v>0</v>
      </c>
      <c r="M99" s="49">
        <f>'Avg Week Cyanika-Kisoro'!M99+'Avg Week Kisoro-Cyanika'!M99</f>
        <v>0</v>
      </c>
      <c r="N99" s="49">
        <f>'Avg Week Cyanika-Kisoro'!N99+'Avg Week Kisoro-Cyanika'!N99</f>
        <v>0</v>
      </c>
      <c r="O99" s="15">
        <f t="shared" si="35"/>
        <v>6</v>
      </c>
      <c r="P99" s="15">
        <f t="shared" si="36"/>
        <v>6</v>
      </c>
      <c r="R99" s="8"/>
      <c r="T99"/>
    </row>
    <row r="100" spans="2:20" ht="23.1" customHeight="1" x14ac:dyDescent="0.25">
      <c r="B100" s="25" t="s">
        <v>140</v>
      </c>
      <c r="C100" s="49">
        <f>'Avg Week Cyanika-Kisoro'!C100+'Avg Week Kisoro-Cyanika'!C100</f>
        <v>0</v>
      </c>
      <c r="D100" s="49">
        <f>'Avg Week Cyanika-Kisoro'!D100+'Avg Week Kisoro-Cyanika'!D100</f>
        <v>1</v>
      </c>
      <c r="E100" s="49">
        <f>'Avg Week Cyanika-Kisoro'!E100+'Avg Week Kisoro-Cyanika'!E100</f>
        <v>1</v>
      </c>
      <c r="F100" s="49">
        <f>'Avg Week Cyanika-Kisoro'!F100+'Avg Week Kisoro-Cyanika'!F100</f>
        <v>0</v>
      </c>
      <c r="G100" s="49">
        <f>'Avg Week Cyanika-Kisoro'!G100+'Avg Week Kisoro-Cyanika'!G100</f>
        <v>0</v>
      </c>
      <c r="H100" s="49">
        <f>'Avg Week Cyanika-Kisoro'!H100+'Avg Week Kisoro-Cyanika'!H100</f>
        <v>0</v>
      </c>
      <c r="I100" s="49">
        <f>'Avg Week Cyanika-Kisoro'!I100+'Avg Week Kisoro-Cyanika'!I100</f>
        <v>0</v>
      </c>
      <c r="J100" s="49">
        <f>'Avg Week Cyanika-Kisoro'!J100+'Avg Week Kisoro-Cyanika'!J100</f>
        <v>0</v>
      </c>
      <c r="K100" s="49">
        <f>'Avg Week Cyanika-Kisoro'!K100+'Avg Week Kisoro-Cyanika'!K100</f>
        <v>0</v>
      </c>
      <c r="L100" s="49">
        <f>'Avg Week Cyanika-Kisoro'!L100+'Avg Week Kisoro-Cyanika'!L100</f>
        <v>0</v>
      </c>
      <c r="M100" s="49">
        <f>'Avg Week Cyanika-Kisoro'!M100+'Avg Week Kisoro-Cyanika'!M100</f>
        <v>4</v>
      </c>
      <c r="N100" s="49">
        <f>'Avg Week Cyanika-Kisoro'!N100+'Avg Week Kisoro-Cyanika'!N100</f>
        <v>0</v>
      </c>
      <c r="O100" s="15">
        <f t="shared" si="35"/>
        <v>2</v>
      </c>
      <c r="P100" s="15">
        <f t="shared" si="36"/>
        <v>6</v>
      </c>
      <c r="R100" s="8"/>
      <c r="T100"/>
    </row>
    <row r="101" spans="2:20" ht="23.1" customHeight="1" x14ac:dyDescent="0.25">
      <c r="B101" s="23" t="s">
        <v>141</v>
      </c>
      <c r="C101" s="49">
        <f>'Avg Week Cyanika-Kisoro'!C101+'Avg Week Kisoro-Cyanika'!C101</f>
        <v>2</v>
      </c>
      <c r="D101" s="49">
        <f>'Avg Week Cyanika-Kisoro'!D101+'Avg Week Kisoro-Cyanika'!D101</f>
        <v>0</v>
      </c>
      <c r="E101" s="49">
        <f>'Avg Week Cyanika-Kisoro'!E101+'Avg Week Kisoro-Cyanika'!E101</f>
        <v>2</v>
      </c>
      <c r="F101" s="49">
        <f>'Avg Week Cyanika-Kisoro'!F101+'Avg Week Kisoro-Cyanika'!F101</f>
        <v>0</v>
      </c>
      <c r="G101" s="49">
        <f>'Avg Week Cyanika-Kisoro'!G101+'Avg Week Kisoro-Cyanika'!G101</f>
        <v>0</v>
      </c>
      <c r="H101" s="49">
        <f>'Avg Week Cyanika-Kisoro'!H101+'Avg Week Kisoro-Cyanika'!H101</f>
        <v>0</v>
      </c>
      <c r="I101" s="49">
        <f>'Avg Week Cyanika-Kisoro'!I101+'Avg Week Kisoro-Cyanika'!I101</f>
        <v>1</v>
      </c>
      <c r="J101" s="49">
        <f>'Avg Week Cyanika-Kisoro'!J101+'Avg Week Kisoro-Cyanika'!J101</f>
        <v>2</v>
      </c>
      <c r="K101" s="49">
        <f>'Avg Week Cyanika-Kisoro'!K101+'Avg Week Kisoro-Cyanika'!K101</f>
        <v>0</v>
      </c>
      <c r="L101" s="49">
        <f>'Avg Week Cyanika-Kisoro'!L101+'Avg Week Kisoro-Cyanika'!L101</f>
        <v>0</v>
      </c>
      <c r="M101" s="49">
        <f>'Avg Week Cyanika-Kisoro'!M101+'Avg Week Kisoro-Cyanika'!M101</f>
        <v>2</v>
      </c>
      <c r="N101" s="49">
        <f>'Avg Week Cyanika-Kisoro'!N101+'Avg Week Kisoro-Cyanika'!N101</f>
        <v>0</v>
      </c>
      <c r="O101" s="15">
        <f t="shared" si="35"/>
        <v>7</v>
      </c>
      <c r="P101" s="15">
        <f t="shared" si="36"/>
        <v>9</v>
      </c>
      <c r="R101" s="8"/>
      <c r="T101"/>
    </row>
    <row r="102" spans="2:20" ht="23.1" customHeight="1" x14ac:dyDescent="0.25">
      <c r="B102" s="24" t="s">
        <v>142</v>
      </c>
      <c r="C102" s="49">
        <f>'Avg Week Cyanika-Kisoro'!C102+'Avg Week Kisoro-Cyanika'!C102</f>
        <v>2</v>
      </c>
      <c r="D102" s="49">
        <f>'Avg Week Cyanika-Kisoro'!D102+'Avg Week Kisoro-Cyanika'!D102</f>
        <v>2</v>
      </c>
      <c r="E102" s="49">
        <f>'Avg Week Cyanika-Kisoro'!E102+'Avg Week Kisoro-Cyanika'!E102</f>
        <v>0</v>
      </c>
      <c r="F102" s="49">
        <f>'Avg Week Cyanika-Kisoro'!F102+'Avg Week Kisoro-Cyanika'!F102</f>
        <v>0</v>
      </c>
      <c r="G102" s="49">
        <f>'Avg Week Cyanika-Kisoro'!G102+'Avg Week Kisoro-Cyanika'!G102</f>
        <v>0</v>
      </c>
      <c r="H102" s="49">
        <f>'Avg Week Cyanika-Kisoro'!H102+'Avg Week Kisoro-Cyanika'!H102</f>
        <v>0</v>
      </c>
      <c r="I102" s="49">
        <f>'Avg Week Cyanika-Kisoro'!I102+'Avg Week Kisoro-Cyanika'!I102</f>
        <v>0</v>
      </c>
      <c r="J102" s="49">
        <f>'Avg Week Cyanika-Kisoro'!J102+'Avg Week Kisoro-Cyanika'!J102</f>
        <v>0</v>
      </c>
      <c r="K102" s="49">
        <f>'Avg Week Cyanika-Kisoro'!K102+'Avg Week Kisoro-Cyanika'!K102</f>
        <v>0</v>
      </c>
      <c r="L102" s="49">
        <f>'Avg Week Cyanika-Kisoro'!L102+'Avg Week Kisoro-Cyanika'!L102</f>
        <v>0</v>
      </c>
      <c r="M102" s="49">
        <f>'Avg Week Cyanika-Kisoro'!M102+'Avg Week Kisoro-Cyanika'!M102</f>
        <v>2</v>
      </c>
      <c r="N102" s="49">
        <f>'Avg Week Cyanika-Kisoro'!N102+'Avg Week Kisoro-Cyanika'!N102</f>
        <v>0</v>
      </c>
      <c r="O102" s="15">
        <f t="shared" si="35"/>
        <v>4</v>
      </c>
      <c r="P102" s="15">
        <f t="shared" si="36"/>
        <v>6</v>
      </c>
      <c r="R102" s="8"/>
      <c r="T102"/>
    </row>
    <row r="103" spans="2:20" ht="23.1" customHeight="1" x14ac:dyDescent="0.25">
      <c r="B103" s="23" t="s">
        <v>143</v>
      </c>
      <c r="C103" s="49">
        <f>'Avg Week Cyanika-Kisoro'!C103+'Avg Week Kisoro-Cyanika'!C103</f>
        <v>2</v>
      </c>
      <c r="D103" s="49">
        <f>'Avg Week Cyanika-Kisoro'!D103+'Avg Week Kisoro-Cyanika'!D103</f>
        <v>1</v>
      </c>
      <c r="E103" s="49">
        <f>'Avg Week Cyanika-Kisoro'!E103+'Avg Week Kisoro-Cyanika'!E103</f>
        <v>0</v>
      </c>
      <c r="F103" s="49">
        <f>'Avg Week Cyanika-Kisoro'!F103+'Avg Week Kisoro-Cyanika'!F103</f>
        <v>0</v>
      </c>
      <c r="G103" s="49">
        <f>'Avg Week Cyanika-Kisoro'!G103+'Avg Week Kisoro-Cyanika'!G103</f>
        <v>0</v>
      </c>
      <c r="H103" s="49">
        <f>'Avg Week Cyanika-Kisoro'!H103+'Avg Week Kisoro-Cyanika'!H103</f>
        <v>0</v>
      </c>
      <c r="I103" s="49">
        <f>'Avg Week Cyanika-Kisoro'!I103+'Avg Week Kisoro-Cyanika'!I103</f>
        <v>0</v>
      </c>
      <c r="J103" s="49">
        <f>'Avg Week Cyanika-Kisoro'!J103+'Avg Week Kisoro-Cyanika'!J103</f>
        <v>0</v>
      </c>
      <c r="K103" s="49">
        <f>'Avg Week Cyanika-Kisoro'!K103+'Avg Week Kisoro-Cyanika'!K103</f>
        <v>0</v>
      </c>
      <c r="L103" s="49">
        <f>'Avg Week Cyanika-Kisoro'!L103+'Avg Week Kisoro-Cyanika'!L103</f>
        <v>0</v>
      </c>
      <c r="M103" s="49">
        <f>'Avg Week Cyanika-Kisoro'!M103+'Avg Week Kisoro-Cyanika'!M103</f>
        <v>4</v>
      </c>
      <c r="N103" s="49">
        <f>'Avg Week Cyanika-Kisoro'!N103+'Avg Week Kisoro-Cyanika'!N103</f>
        <v>0</v>
      </c>
      <c r="O103" s="15">
        <f t="shared" si="35"/>
        <v>3</v>
      </c>
      <c r="P103" s="15">
        <f t="shared" si="36"/>
        <v>7</v>
      </c>
      <c r="R103" s="8"/>
      <c r="T103"/>
    </row>
    <row r="104" spans="2:20" ht="23.1" customHeight="1" x14ac:dyDescent="0.25">
      <c r="B104" s="25" t="s">
        <v>144</v>
      </c>
      <c r="C104" s="49">
        <f>'Avg Week Cyanika-Kisoro'!C104+'Avg Week Kisoro-Cyanika'!C104</f>
        <v>0</v>
      </c>
      <c r="D104" s="49">
        <f>'Avg Week Cyanika-Kisoro'!D104+'Avg Week Kisoro-Cyanika'!D104</f>
        <v>0</v>
      </c>
      <c r="E104" s="49">
        <f>'Avg Week Cyanika-Kisoro'!E104+'Avg Week Kisoro-Cyanika'!E104</f>
        <v>1</v>
      </c>
      <c r="F104" s="49">
        <f>'Avg Week Cyanika-Kisoro'!F104+'Avg Week Kisoro-Cyanika'!F104</f>
        <v>0</v>
      </c>
      <c r="G104" s="49">
        <f>'Avg Week Cyanika-Kisoro'!G104+'Avg Week Kisoro-Cyanika'!G104</f>
        <v>0</v>
      </c>
      <c r="H104" s="49">
        <f>'Avg Week Cyanika-Kisoro'!H104+'Avg Week Kisoro-Cyanika'!H104</f>
        <v>0</v>
      </c>
      <c r="I104" s="49">
        <f>'Avg Week Cyanika-Kisoro'!I104+'Avg Week Kisoro-Cyanika'!I104</f>
        <v>1</v>
      </c>
      <c r="J104" s="49">
        <f>'Avg Week Cyanika-Kisoro'!J104+'Avg Week Kisoro-Cyanika'!J104</f>
        <v>0</v>
      </c>
      <c r="K104" s="49">
        <f>'Avg Week Cyanika-Kisoro'!K104+'Avg Week Kisoro-Cyanika'!K104</f>
        <v>0</v>
      </c>
      <c r="L104" s="49">
        <f>'Avg Week Cyanika-Kisoro'!L104+'Avg Week Kisoro-Cyanika'!L104</f>
        <v>0</v>
      </c>
      <c r="M104" s="49">
        <f>'Avg Week Cyanika-Kisoro'!M104+'Avg Week Kisoro-Cyanika'!M104</f>
        <v>8</v>
      </c>
      <c r="N104" s="49">
        <f>'Avg Week Cyanika-Kisoro'!N104+'Avg Week Kisoro-Cyanika'!N104</f>
        <v>0</v>
      </c>
      <c r="O104" s="15">
        <f t="shared" si="35"/>
        <v>2</v>
      </c>
      <c r="P104" s="15">
        <f t="shared" si="36"/>
        <v>10</v>
      </c>
      <c r="R104" s="8"/>
      <c r="T104"/>
    </row>
    <row r="105" spans="2:20" ht="23.1" customHeight="1" x14ac:dyDescent="0.25">
      <c r="B105" s="23" t="s">
        <v>145</v>
      </c>
      <c r="C105" s="49">
        <f>'Avg Week Cyanika-Kisoro'!C105+'Avg Week Kisoro-Cyanika'!C105</f>
        <v>0</v>
      </c>
      <c r="D105" s="49">
        <f>'Avg Week Cyanika-Kisoro'!D105+'Avg Week Kisoro-Cyanika'!D105</f>
        <v>0</v>
      </c>
      <c r="E105" s="49">
        <f>'Avg Week Cyanika-Kisoro'!E105+'Avg Week Kisoro-Cyanika'!E105</f>
        <v>0</v>
      </c>
      <c r="F105" s="49">
        <f>'Avg Week Cyanika-Kisoro'!F105+'Avg Week Kisoro-Cyanika'!F105</f>
        <v>1</v>
      </c>
      <c r="G105" s="49">
        <f>'Avg Week Cyanika-Kisoro'!G105+'Avg Week Kisoro-Cyanika'!G105</f>
        <v>0</v>
      </c>
      <c r="H105" s="49">
        <f>'Avg Week Cyanika-Kisoro'!H105+'Avg Week Kisoro-Cyanika'!H105</f>
        <v>0</v>
      </c>
      <c r="I105" s="49">
        <f>'Avg Week Cyanika-Kisoro'!I105+'Avg Week Kisoro-Cyanika'!I105</f>
        <v>0</v>
      </c>
      <c r="J105" s="49">
        <f>'Avg Week Cyanika-Kisoro'!J105+'Avg Week Kisoro-Cyanika'!J105</f>
        <v>0</v>
      </c>
      <c r="K105" s="49">
        <f>'Avg Week Cyanika-Kisoro'!K105+'Avg Week Kisoro-Cyanika'!K105</f>
        <v>0</v>
      </c>
      <c r="L105" s="49">
        <f>'Avg Week Cyanika-Kisoro'!L105+'Avg Week Kisoro-Cyanika'!L105</f>
        <v>0</v>
      </c>
      <c r="M105" s="49">
        <f>'Avg Week Cyanika-Kisoro'!M105+'Avg Week Kisoro-Cyanika'!M105</f>
        <v>15</v>
      </c>
      <c r="N105" s="49">
        <f>'Avg Week Cyanika-Kisoro'!N105+'Avg Week Kisoro-Cyanika'!N105</f>
        <v>0</v>
      </c>
      <c r="O105" s="15">
        <f t="shared" si="35"/>
        <v>1</v>
      </c>
      <c r="P105" s="15">
        <f t="shared" si="36"/>
        <v>16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341.99999999999994</v>
      </c>
      <c r="D106" s="16">
        <f t="shared" ref="D106:O106" si="37">SUM(D10:D105)</f>
        <v>151.66666666666669</v>
      </c>
      <c r="E106" s="16">
        <f t="shared" si="37"/>
        <v>125</v>
      </c>
      <c r="F106" s="16">
        <f t="shared" si="37"/>
        <v>14.999999999999996</v>
      </c>
      <c r="G106" s="16">
        <f t="shared" si="37"/>
        <v>0.33333333333333331</v>
      </c>
      <c r="H106" s="16">
        <f t="shared" si="37"/>
        <v>2.6666666666666665</v>
      </c>
      <c r="I106" s="16">
        <f t="shared" si="37"/>
        <v>46.666666666666671</v>
      </c>
      <c r="J106" s="16">
        <f t="shared" si="37"/>
        <v>81</v>
      </c>
      <c r="K106" s="16">
        <f t="shared" si="37"/>
        <v>5.6666666666666661</v>
      </c>
      <c r="L106" s="16">
        <f t="shared" si="37"/>
        <v>0</v>
      </c>
      <c r="M106" s="16">
        <f t="shared" si="37"/>
        <v>3634.3333333333326</v>
      </c>
      <c r="N106" s="16">
        <f t="shared" si="37"/>
        <v>0</v>
      </c>
      <c r="O106" s="16">
        <f t="shared" si="37"/>
        <v>770</v>
      </c>
      <c r="P106" s="16">
        <f>SUM(P10:P105)</f>
        <v>4404.333333333333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7.7650798456065984E-2</v>
      </c>
      <c r="D107" s="43">
        <f t="shared" si="38"/>
        <v>3.4435782941042922E-2</v>
      </c>
      <c r="E107" s="43">
        <f t="shared" si="38"/>
        <v>2.838113978657383E-2</v>
      </c>
      <c r="F107" s="43">
        <f t="shared" si="38"/>
        <v>3.4057367743888589E-3</v>
      </c>
      <c r="G107" s="43">
        <f t="shared" si="38"/>
        <v>7.568303943086355E-5</v>
      </c>
      <c r="H107" s="43">
        <f t="shared" si="38"/>
        <v>6.054643154469084E-4</v>
      </c>
      <c r="I107" s="43">
        <f t="shared" si="38"/>
        <v>1.0595625520320898E-2</v>
      </c>
      <c r="J107" s="43">
        <f t="shared" si="38"/>
        <v>1.8390978581699843E-2</v>
      </c>
      <c r="K107" s="43">
        <f t="shared" si="38"/>
        <v>1.2866116703246801E-3</v>
      </c>
      <c r="L107" s="43">
        <f t="shared" si="38"/>
        <v>0</v>
      </c>
      <c r="M107" s="43">
        <f t="shared" si="38"/>
        <v>0.82517217891470507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0.44415584415584408</v>
      </c>
      <c r="D108" s="44">
        <f t="shared" ref="D108:N108" si="39">D106/$O$106</f>
        <v>0.19696969696969699</v>
      </c>
      <c r="E108" s="44">
        <f t="shared" si="39"/>
        <v>0.16233766233766234</v>
      </c>
      <c r="F108" s="44">
        <f t="shared" si="39"/>
        <v>1.9480519480519477E-2</v>
      </c>
      <c r="G108" s="44">
        <f t="shared" si="39"/>
        <v>4.329004329004329E-4</v>
      </c>
      <c r="H108" s="44">
        <f t="shared" si="39"/>
        <v>3.4632034632034632E-3</v>
      </c>
      <c r="I108" s="44">
        <f t="shared" si="39"/>
        <v>6.0606060606060615E-2</v>
      </c>
      <c r="J108" s="44">
        <f t="shared" si="39"/>
        <v>0.10519480519480519</v>
      </c>
      <c r="K108" s="44">
        <f t="shared" si="39"/>
        <v>7.3593073593073589E-3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25.10.19 CYANIKA-KISORO-24h</vt:lpstr>
      <vt:lpstr>25.10.19 KISORO-CYANIKA-24h</vt:lpstr>
      <vt:lpstr>26.10 CYANIKA-KISORO</vt:lpstr>
      <vt:lpstr>26.10 KISORO-CYANIKA</vt:lpstr>
      <vt:lpstr>27.10 CYANIKA-KISORO</vt:lpstr>
      <vt:lpstr>27.10 KISORO-CYANIKA</vt:lpstr>
      <vt:lpstr>Avg Week Cyanika-Kisoro</vt:lpstr>
      <vt:lpstr>Avg Week Kisoro-Cyanika</vt:lpstr>
      <vt:lpstr>Avg Week Kisoro-Cyanika-2Dir</vt:lpstr>
      <vt:lpstr>'25.10.19 CYANIKA-KISORO-24h'!Print_Area</vt:lpstr>
      <vt:lpstr>'25.10.19 KISORO-CYANIKA-24h'!Print_Area</vt:lpstr>
      <vt:lpstr>'26.10 CYANIKA-KISORO'!Print_Area</vt:lpstr>
      <vt:lpstr>'26.10 KISORO-CYANIKA'!Print_Area</vt:lpstr>
      <vt:lpstr>'27.10 CYANIKA-KISORO'!Print_Area</vt:lpstr>
      <vt:lpstr>'27.10 KISORO-CYANIKA'!Print_Area</vt:lpstr>
      <vt:lpstr>'Avg Week Cyanika-Kisoro'!Print_Area</vt:lpstr>
      <vt:lpstr>'Avg Week Kisoro-Cyanika'!Print_Area</vt:lpstr>
      <vt:lpstr>'Avg Week Kisoro-Cyanika-2Dir'!Print_Area</vt:lpstr>
      <vt:lpstr>'25.10.19 CYANIKA-KISORO-24h'!Print_Titles</vt:lpstr>
      <vt:lpstr>'25.10.19 KISORO-CYANIKA-24h'!Print_Titles</vt:lpstr>
      <vt:lpstr>'26.10 CYANIKA-KISORO'!Print_Titles</vt:lpstr>
      <vt:lpstr>'26.10 KISORO-CYANIKA'!Print_Titles</vt:lpstr>
      <vt:lpstr>'27.10 CYANIKA-KISORO'!Print_Titles</vt:lpstr>
      <vt:lpstr>'27.10 KISORO-CYANIKA'!Print_Titles</vt:lpstr>
      <vt:lpstr>'Avg Week Cyanika-Kisoro'!Print_Titles</vt:lpstr>
      <vt:lpstr>'Avg Week Kisoro-Cyanika'!Print_Titles</vt:lpstr>
      <vt:lpstr>'Avg Week Kisoro-Cyanika-2Dir'!Print_Titles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USER</cp:lastModifiedBy>
  <cp:lastPrinted>2019-07-25T18:18:41Z</cp:lastPrinted>
  <dcterms:created xsi:type="dcterms:W3CDTF">2010-07-06T07:39:49Z</dcterms:created>
  <dcterms:modified xsi:type="dcterms:W3CDTF">2020-04-06T17:29:48Z</dcterms:modified>
</cp:coreProperties>
</file>