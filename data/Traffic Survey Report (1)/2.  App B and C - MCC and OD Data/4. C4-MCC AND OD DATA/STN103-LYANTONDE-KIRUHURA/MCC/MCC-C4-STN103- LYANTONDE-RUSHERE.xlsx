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8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0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2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 FOLDER\Steward Consultant\EDMP\EDMP Analysis\C-4 Analysis Complete-Benard\STN103-LYANTONDE-KIRUHURA\MCC\"/>
    </mc:Choice>
  </mc:AlternateContent>
  <xr:revisionPtr revIDLastSave="0" documentId="13_ncr:1_{BB68C11D-6DC1-4E11-B02A-7A353E9B2BC5}" xr6:coauthVersionLast="45" xr6:coauthVersionMax="45" xr10:uidLastSave="{00000000-0000-0000-0000-000000000000}"/>
  <bookViews>
    <workbookView xWindow="-120" yWindow="-120" windowWidth="20730" windowHeight="11160" tabRatio="901" firstSheet="14" activeTab="16" xr2:uid="{00000000-000D-0000-FFFF-FFFF00000000}"/>
  </bookViews>
  <sheets>
    <sheet name="25.10 Lyantonde-Rushere" sheetId="93" r:id="rId1"/>
    <sheet name="25.10 Rushere-Lyantonde" sheetId="94" r:id="rId2"/>
    <sheet name="26.10 Lyantonde-Rushere-24hr" sheetId="101" r:id="rId3"/>
    <sheet name="26.10 Rushere-Lyantonde-24hr" sheetId="109" r:id="rId4"/>
    <sheet name="27.10 Lyantonde-Rushere" sheetId="95" r:id="rId5"/>
    <sheet name="27.10 Rushere-Lyantonde" sheetId="96" r:id="rId6"/>
    <sheet name="28.10 Lyantonde-Rushere-24h" sheetId="105" r:id="rId7"/>
    <sheet name="28.10 Rushere-Lyantonde-24h" sheetId="110" r:id="rId8"/>
    <sheet name="29.10 Lyantonde-Rushere" sheetId="97" r:id="rId9"/>
    <sheet name="29.10 Rushere-Lyantonde" sheetId="98" r:id="rId10"/>
    <sheet name="30.10 Lyantonde-Rushere" sheetId="99" r:id="rId11"/>
    <sheet name="30.10 Rushere-Lyantonde" sheetId="100" r:id="rId12"/>
    <sheet name="31.10 Lyantonde-Rushere" sheetId="103" r:id="rId13"/>
    <sheet name="31.10 Rushere-Lyantonde" sheetId="104" r:id="rId14"/>
    <sheet name="Avg Week Lyantonde-Rushere" sheetId="107" r:id="rId15"/>
    <sheet name="Avg Week Rushere-Lyantonde" sheetId="108" r:id="rId16"/>
    <sheet name="Avg Week Lyantonde-Rushere-2Dir" sheetId="111" r:id="rId17"/>
  </sheets>
  <definedNames>
    <definedName name="_xlnm.Print_Area" localSheetId="0">'25.10 Lyantonde-Rushere'!$A$1:$AF$60</definedName>
    <definedName name="_xlnm.Print_Area" localSheetId="1">'25.10 Rushere-Lyantonde'!$A$1:$AF$60</definedName>
    <definedName name="_xlnm.Print_Area" localSheetId="2">'26.10 Lyantonde-Rushere-24hr'!$A$1:$AF$108</definedName>
    <definedName name="_xlnm.Print_Area" localSheetId="3">'26.10 Rushere-Lyantonde-24hr'!$A$1:$AF$108</definedName>
    <definedName name="_xlnm.Print_Area" localSheetId="4">'27.10 Lyantonde-Rushere'!$A$1:$AF$60</definedName>
    <definedName name="_xlnm.Print_Area" localSheetId="5">'27.10 Rushere-Lyantonde'!$A$1:$AF$60</definedName>
    <definedName name="_xlnm.Print_Area" localSheetId="6">'28.10 Lyantonde-Rushere-24h'!$A$1:$AF$108</definedName>
    <definedName name="_xlnm.Print_Area" localSheetId="7">'28.10 Rushere-Lyantonde-24h'!$A$1:$AF$108</definedName>
    <definedName name="_xlnm.Print_Area" localSheetId="8">'29.10 Lyantonde-Rushere'!$A$1:$AF$60</definedName>
    <definedName name="_xlnm.Print_Area" localSheetId="9">'29.10 Rushere-Lyantonde'!$A$1:$AF$60</definedName>
    <definedName name="_xlnm.Print_Area" localSheetId="10">'30.10 Lyantonde-Rushere'!$A$1:$AF$60</definedName>
    <definedName name="_xlnm.Print_Area" localSheetId="11">'30.10 Rushere-Lyantonde'!$A$1:$AF$60</definedName>
    <definedName name="_xlnm.Print_Area" localSheetId="12">'31.10 Lyantonde-Rushere'!$A$1:$AF$60</definedName>
    <definedName name="_xlnm.Print_Area" localSheetId="13">'31.10 Rushere-Lyantonde'!$A$1:$AF$60</definedName>
    <definedName name="_xlnm.Print_Area" localSheetId="14">'Avg Week Lyantonde-Rushere'!$A$1:$AF$108</definedName>
    <definedName name="_xlnm.Print_Area" localSheetId="16">'Avg Week Lyantonde-Rushere-2Dir'!$A$1:$AF$108</definedName>
    <definedName name="_xlnm.Print_Area" localSheetId="15">'Avg Week Rushere-Lyantonde'!$A$1:$AF$108</definedName>
    <definedName name="_xlnm.Print_Titles" localSheetId="0">'25.10 Lyantonde-Rushere'!$1:$8</definedName>
    <definedName name="_xlnm.Print_Titles" localSheetId="1">'25.10 Rushere-Lyantonde'!$1:$8</definedName>
    <definedName name="_xlnm.Print_Titles" localSheetId="2">'26.10 Lyantonde-Rushere-24hr'!$1:$8</definedName>
    <definedName name="_xlnm.Print_Titles" localSheetId="3">'26.10 Rushere-Lyantonde-24hr'!$1:$8</definedName>
    <definedName name="_xlnm.Print_Titles" localSheetId="4">'27.10 Lyantonde-Rushere'!$1:$8</definedName>
    <definedName name="_xlnm.Print_Titles" localSheetId="5">'27.10 Rushere-Lyantonde'!$1:$8</definedName>
    <definedName name="_xlnm.Print_Titles" localSheetId="6">'28.10 Lyantonde-Rushere-24h'!$1:$8</definedName>
    <definedName name="_xlnm.Print_Titles" localSheetId="7">'28.10 Rushere-Lyantonde-24h'!$1:$8</definedName>
    <definedName name="_xlnm.Print_Titles" localSheetId="8">'29.10 Lyantonde-Rushere'!$1:$8</definedName>
    <definedName name="_xlnm.Print_Titles" localSheetId="9">'29.10 Rushere-Lyantonde'!$1:$8</definedName>
    <definedName name="_xlnm.Print_Titles" localSheetId="10">'30.10 Lyantonde-Rushere'!$1:$8</definedName>
    <definedName name="_xlnm.Print_Titles" localSheetId="11">'30.10 Rushere-Lyantonde'!$1:$8</definedName>
    <definedName name="_xlnm.Print_Titles" localSheetId="12">'31.10 Lyantonde-Rushere'!$1:$8</definedName>
    <definedName name="_xlnm.Print_Titles" localSheetId="13">'31.10 Rushere-Lyantonde'!$1:$8</definedName>
    <definedName name="_xlnm.Print_Titles" localSheetId="14">'Avg Week Lyantonde-Rushere'!$1:$8</definedName>
    <definedName name="_xlnm.Print_Titles" localSheetId="16">'Avg Week Lyantonde-Rushere-2Dir'!$1:$8</definedName>
    <definedName name="_xlnm.Print_Titles" localSheetId="15">'Avg Week Rushere-Lyantonde'!$1:$8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5" i="107" l="1"/>
  <c r="M59" i="111"/>
  <c r="J60" i="111"/>
  <c r="K65" i="111"/>
  <c r="H66" i="111"/>
  <c r="I71" i="111"/>
  <c r="F72" i="111"/>
  <c r="G77" i="111"/>
  <c r="D78" i="111"/>
  <c r="H82" i="111"/>
  <c r="G85" i="111"/>
  <c r="F88" i="111"/>
  <c r="N90" i="111"/>
  <c r="E91" i="111"/>
  <c r="D94" i="111"/>
  <c r="N96" i="111"/>
  <c r="M99" i="111"/>
  <c r="J102" i="111"/>
  <c r="K102" i="111"/>
  <c r="D105" i="111"/>
  <c r="C64" i="111"/>
  <c r="C80" i="111"/>
  <c r="C96" i="111"/>
  <c r="D58" i="108"/>
  <c r="T22" i="108" s="1"/>
  <c r="E58" i="108"/>
  <c r="F58" i="108"/>
  <c r="G58" i="108"/>
  <c r="H58" i="108"/>
  <c r="I58" i="108"/>
  <c r="J58" i="108"/>
  <c r="K58" i="108"/>
  <c r="AA22" i="108" s="1"/>
  <c r="L58" i="108"/>
  <c r="AB22" i="108" s="1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W23" i="108" s="1"/>
  <c r="H62" i="108"/>
  <c r="X23" i="108" s="1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T24" i="108" s="1"/>
  <c r="E66" i="108"/>
  <c r="F66" i="108"/>
  <c r="G66" i="108"/>
  <c r="H66" i="108"/>
  <c r="I66" i="108"/>
  <c r="J66" i="108"/>
  <c r="K66" i="108"/>
  <c r="AA24" i="108" s="1"/>
  <c r="L66" i="108"/>
  <c r="AB24" i="108" s="1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W25" i="108" s="1"/>
  <c r="H70" i="108"/>
  <c r="X25" i="108" s="1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T26" i="108" s="1"/>
  <c r="E74" i="108"/>
  <c r="F74" i="108"/>
  <c r="G74" i="108"/>
  <c r="H74" i="108"/>
  <c r="I74" i="108"/>
  <c r="J74" i="108"/>
  <c r="K74" i="108"/>
  <c r="AA26" i="108" s="1"/>
  <c r="L74" i="108"/>
  <c r="AB26" i="108" s="1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W27" i="108" s="1"/>
  <c r="H78" i="108"/>
  <c r="X27" i="108" s="1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T28" i="108" s="1"/>
  <c r="E82" i="108"/>
  <c r="F82" i="108"/>
  <c r="G82" i="108"/>
  <c r="H82" i="108"/>
  <c r="I82" i="108"/>
  <c r="J82" i="108"/>
  <c r="K82" i="108"/>
  <c r="AA28" i="108" s="1"/>
  <c r="L82" i="108"/>
  <c r="AB28" i="108" s="1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W29" i="108" s="1"/>
  <c r="H86" i="108"/>
  <c r="X29" i="108" s="1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T30" i="108" s="1"/>
  <c r="E90" i="108"/>
  <c r="F90" i="108"/>
  <c r="G90" i="108"/>
  <c r="H90" i="108"/>
  <c r="I90" i="108"/>
  <c r="J90" i="108"/>
  <c r="K90" i="108"/>
  <c r="AA30" i="108" s="1"/>
  <c r="L90" i="108"/>
  <c r="AB30" i="108" s="1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W31" i="108" s="1"/>
  <c r="H94" i="108"/>
  <c r="X31" i="108" s="1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T32" i="108" s="1"/>
  <c r="E98" i="108"/>
  <c r="F98" i="108"/>
  <c r="G98" i="108"/>
  <c r="H98" i="108"/>
  <c r="I98" i="108"/>
  <c r="J98" i="108"/>
  <c r="K98" i="108"/>
  <c r="AA32" i="108" s="1"/>
  <c r="L98" i="108"/>
  <c r="AB32" i="108" s="1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W33" i="108" s="1"/>
  <c r="H102" i="108"/>
  <c r="X33" i="108" s="1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S23" i="108" s="1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D58" i="107"/>
  <c r="E58" i="107"/>
  <c r="F58" i="107"/>
  <c r="G58" i="107"/>
  <c r="H58" i="107"/>
  <c r="H58" i="111" s="1"/>
  <c r="I58" i="107"/>
  <c r="J58" i="107"/>
  <c r="K58" i="107"/>
  <c r="L58" i="107"/>
  <c r="M58" i="107"/>
  <c r="N58" i="107"/>
  <c r="D59" i="107"/>
  <c r="D59" i="111" s="1"/>
  <c r="E59" i="107"/>
  <c r="E59" i="111" s="1"/>
  <c r="F59" i="107"/>
  <c r="F59" i="111" s="1"/>
  <c r="G59" i="107"/>
  <c r="G59" i="111" s="1"/>
  <c r="H59" i="107"/>
  <c r="I59" i="107"/>
  <c r="J59" i="107"/>
  <c r="J59" i="111" s="1"/>
  <c r="K59" i="107"/>
  <c r="K59" i="111" s="1"/>
  <c r="L59" i="107"/>
  <c r="L59" i="111" s="1"/>
  <c r="M59" i="107"/>
  <c r="N59" i="107"/>
  <c r="N59" i="111" s="1"/>
  <c r="D60" i="107"/>
  <c r="D60" i="111" s="1"/>
  <c r="E60" i="107"/>
  <c r="F60" i="107"/>
  <c r="G60" i="107"/>
  <c r="G60" i="111" s="1"/>
  <c r="H60" i="107"/>
  <c r="H60" i="111" s="1"/>
  <c r="I60" i="107"/>
  <c r="I60" i="111" s="1"/>
  <c r="J60" i="107"/>
  <c r="K60" i="107"/>
  <c r="K60" i="111" s="1"/>
  <c r="L60" i="107"/>
  <c r="L60" i="111" s="1"/>
  <c r="M60" i="107"/>
  <c r="N60" i="107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K61" i="107"/>
  <c r="L61" i="107"/>
  <c r="L61" i="111" s="1"/>
  <c r="M61" i="107"/>
  <c r="M61" i="111" s="1"/>
  <c r="N61" i="107"/>
  <c r="N61" i="111" s="1"/>
  <c r="D62" i="107"/>
  <c r="D62" i="111" s="1"/>
  <c r="E62" i="107"/>
  <c r="F62" i="107"/>
  <c r="G62" i="107"/>
  <c r="H62" i="107"/>
  <c r="I62" i="107"/>
  <c r="J62" i="107"/>
  <c r="K62" i="107"/>
  <c r="L62" i="107"/>
  <c r="L62" i="111" s="1"/>
  <c r="M62" i="107"/>
  <c r="N62" i="107"/>
  <c r="D63" i="107"/>
  <c r="E63" i="107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M63" i="107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J64" i="107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G65" i="107"/>
  <c r="H65" i="107"/>
  <c r="H65" i="111" s="1"/>
  <c r="I65" i="107"/>
  <c r="I65" i="111" s="1"/>
  <c r="J65" i="107"/>
  <c r="J65" i="111" s="1"/>
  <c r="K65" i="107"/>
  <c r="L65" i="107"/>
  <c r="L65" i="111" s="1"/>
  <c r="M65" i="107"/>
  <c r="M65" i="111" s="1"/>
  <c r="N65" i="107"/>
  <c r="D66" i="107"/>
  <c r="E66" i="107"/>
  <c r="F66" i="107"/>
  <c r="G66" i="107"/>
  <c r="H66" i="107"/>
  <c r="I66" i="107"/>
  <c r="J66" i="107"/>
  <c r="K66" i="107"/>
  <c r="L66" i="107"/>
  <c r="M66" i="107"/>
  <c r="N66" i="107"/>
  <c r="D67" i="107"/>
  <c r="D67" i="111" s="1"/>
  <c r="E67" i="107"/>
  <c r="E67" i="111" s="1"/>
  <c r="F67" i="107"/>
  <c r="F67" i="111" s="1"/>
  <c r="G67" i="107"/>
  <c r="G67" i="111" s="1"/>
  <c r="H67" i="107"/>
  <c r="I67" i="107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F68" i="107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N68" i="107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K69" i="107"/>
  <c r="L69" i="107"/>
  <c r="L69" i="111" s="1"/>
  <c r="M69" i="107"/>
  <c r="M69" i="111" s="1"/>
  <c r="N69" i="107"/>
  <c r="N69" i="111" s="1"/>
  <c r="D70" i="107"/>
  <c r="D70" i="111" s="1"/>
  <c r="E70" i="107"/>
  <c r="F70" i="107"/>
  <c r="G70" i="107"/>
  <c r="H70" i="107"/>
  <c r="I70" i="107"/>
  <c r="J70" i="107"/>
  <c r="K70" i="107"/>
  <c r="L70" i="107"/>
  <c r="L70" i="111" s="1"/>
  <c r="M70" i="107"/>
  <c r="M70" i="111" s="1"/>
  <c r="N70" i="107"/>
  <c r="D71" i="107"/>
  <c r="E71" i="107"/>
  <c r="F71" i="107"/>
  <c r="F71" i="111" s="1"/>
  <c r="G71" i="107"/>
  <c r="G71" i="111" s="1"/>
  <c r="H71" i="107"/>
  <c r="H71" i="111" s="1"/>
  <c r="I71" i="107"/>
  <c r="J71" i="107"/>
  <c r="J71" i="111" s="1"/>
  <c r="K71" i="107"/>
  <c r="K71" i="111" s="1"/>
  <c r="L71" i="107"/>
  <c r="M71" i="107"/>
  <c r="N71" i="107"/>
  <c r="N71" i="111" s="1"/>
  <c r="D72" i="107"/>
  <c r="D72" i="111" s="1"/>
  <c r="E72" i="107"/>
  <c r="E72" i="111" s="1"/>
  <c r="F72" i="107"/>
  <c r="G72" i="107"/>
  <c r="G72" i="111" s="1"/>
  <c r="H72" i="107"/>
  <c r="H72" i="111" s="1"/>
  <c r="I72" i="107"/>
  <c r="J72" i="107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G73" i="107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D74" i="107"/>
  <c r="E74" i="107"/>
  <c r="F74" i="107"/>
  <c r="G74" i="107"/>
  <c r="H74" i="107"/>
  <c r="H74" i="111" s="1"/>
  <c r="I74" i="107"/>
  <c r="J74" i="107"/>
  <c r="K74" i="107"/>
  <c r="L74" i="107"/>
  <c r="M74" i="107"/>
  <c r="N74" i="107"/>
  <c r="D75" i="107"/>
  <c r="D75" i="111" s="1"/>
  <c r="E75" i="107"/>
  <c r="E75" i="111" s="1"/>
  <c r="F75" i="107"/>
  <c r="F75" i="111" s="1"/>
  <c r="G75" i="107"/>
  <c r="G75" i="111" s="1"/>
  <c r="H75" i="107"/>
  <c r="I75" i="107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F76" i="107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N76" i="107"/>
  <c r="D77" i="107"/>
  <c r="D77" i="111" s="1"/>
  <c r="E77" i="107"/>
  <c r="E77" i="111" s="1"/>
  <c r="F77" i="107"/>
  <c r="F77" i="111" s="1"/>
  <c r="G77" i="107"/>
  <c r="H77" i="107"/>
  <c r="H77" i="111" s="1"/>
  <c r="I77" i="107"/>
  <c r="I77" i="111" s="1"/>
  <c r="J77" i="107"/>
  <c r="K77" i="107"/>
  <c r="L77" i="107"/>
  <c r="L77" i="111" s="1"/>
  <c r="M77" i="107"/>
  <c r="M77" i="111" s="1"/>
  <c r="N77" i="107"/>
  <c r="N77" i="111" s="1"/>
  <c r="D78" i="107"/>
  <c r="E78" i="107"/>
  <c r="F78" i="107"/>
  <c r="G78" i="107"/>
  <c r="H78" i="107"/>
  <c r="I78" i="107"/>
  <c r="J78" i="107"/>
  <c r="K78" i="107"/>
  <c r="L78" i="107"/>
  <c r="M78" i="107"/>
  <c r="N78" i="107"/>
  <c r="D79" i="107"/>
  <c r="E79" i="107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M79" i="107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J80" i="107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G81" i="107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D82" i="107"/>
  <c r="E82" i="107"/>
  <c r="F82" i="107"/>
  <c r="G82" i="107"/>
  <c r="H82" i="107"/>
  <c r="I82" i="107"/>
  <c r="J82" i="107"/>
  <c r="K82" i="107"/>
  <c r="L82" i="107"/>
  <c r="M82" i="107"/>
  <c r="N82" i="107"/>
  <c r="D83" i="107"/>
  <c r="D83" i="111" s="1"/>
  <c r="E83" i="107"/>
  <c r="E83" i="111" s="1"/>
  <c r="F83" i="107"/>
  <c r="F83" i="111" s="1"/>
  <c r="G83" i="107"/>
  <c r="G83" i="111" s="1"/>
  <c r="H83" i="107"/>
  <c r="I83" i="107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F84" i="107"/>
  <c r="G84" i="107"/>
  <c r="G84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N84" i="107"/>
  <c r="D85" i="107"/>
  <c r="D85" i="111" s="1"/>
  <c r="E85" i="107"/>
  <c r="E85" i="111" s="1"/>
  <c r="F85" i="107"/>
  <c r="F85" i="111" s="1"/>
  <c r="G85" i="107"/>
  <c r="H85" i="107"/>
  <c r="H85" i="111" s="1"/>
  <c r="I85" i="107"/>
  <c r="I85" i="111" s="1"/>
  <c r="J85" i="107"/>
  <c r="K85" i="107"/>
  <c r="L85" i="107"/>
  <c r="L85" i="111" s="1"/>
  <c r="M85" i="107"/>
  <c r="M85" i="111" s="1"/>
  <c r="N85" i="107"/>
  <c r="N85" i="111" s="1"/>
  <c r="D86" i="107"/>
  <c r="D86" i="111" s="1"/>
  <c r="E86" i="107"/>
  <c r="F86" i="107"/>
  <c r="G86" i="107"/>
  <c r="H86" i="107"/>
  <c r="I86" i="107"/>
  <c r="J86" i="107"/>
  <c r="K86" i="107"/>
  <c r="L86" i="107"/>
  <c r="L86" i="111" s="1"/>
  <c r="M86" i="107"/>
  <c r="N86" i="107"/>
  <c r="D87" i="107"/>
  <c r="E87" i="107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M87" i="107"/>
  <c r="N87" i="107"/>
  <c r="N87" i="111" s="1"/>
  <c r="D88" i="107"/>
  <c r="D88" i="111" s="1"/>
  <c r="E88" i="107"/>
  <c r="E88" i="111" s="1"/>
  <c r="F88" i="107"/>
  <c r="G88" i="107"/>
  <c r="G88" i="111" s="1"/>
  <c r="H88" i="107"/>
  <c r="H88" i="111" s="1"/>
  <c r="I88" i="107"/>
  <c r="I88" i="111" s="1"/>
  <c r="J88" i="107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H89" i="107"/>
  <c r="H89" i="111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F90" i="107"/>
  <c r="G90" i="107"/>
  <c r="H90" i="107"/>
  <c r="H90" i="111" s="1"/>
  <c r="I90" i="107"/>
  <c r="J90" i="107"/>
  <c r="K90" i="107"/>
  <c r="L90" i="107"/>
  <c r="M90" i="107"/>
  <c r="N90" i="107"/>
  <c r="D91" i="107"/>
  <c r="D91" i="111" s="1"/>
  <c r="E91" i="107"/>
  <c r="F91" i="107"/>
  <c r="F91" i="111" s="1"/>
  <c r="G91" i="107"/>
  <c r="G91" i="111" s="1"/>
  <c r="H91" i="107"/>
  <c r="H91" i="111" s="1"/>
  <c r="I91" i="107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L93" i="107"/>
  <c r="L93" i="111" s="1"/>
  <c r="M93" i="107"/>
  <c r="M93" i="111" s="1"/>
  <c r="N93" i="107"/>
  <c r="N93" i="111" s="1"/>
  <c r="D94" i="107"/>
  <c r="E94" i="107"/>
  <c r="F94" i="107"/>
  <c r="G94" i="107"/>
  <c r="H94" i="107"/>
  <c r="I94" i="107"/>
  <c r="J94" i="107"/>
  <c r="K94" i="107"/>
  <c r="L94" i="107"/>
  <c r="L94" i="111" s="1"/>
  <c r="M94" i="107"/>
  <c r="N94" i="107"/>
  <c r="D95" i="107"/>
  <c r="D95" i="111" s="1"/>
  <c r="E95" i="107"/>
  <c r="F95" i="107"/>
  <c r="F95" i="111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K96" i="107"/>
  <c r="K96" i="111" s="1"/>
  <c r="L96" i="107"/>
  <c r="L96" i="111" s="1"/>
  <c r="M96" i="107"/>
  <c r="M96" i="111" s="1"/>
  <c r="N96" i="107"/>
  <c r="D97" i="107"/>
  <c r="D97" i="111" s="1"/>
  <c r="E97" i="107"/>
  <c r="E97" i="111" s="1"/>
  <c r="F97" i="107"/>
  <c r="F97" i="111" s="1"/>
  <c r="G97" i="107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E98" i="107"/>
  <c r="F98" i="107"/>
  <c r="G98" i="107"/>
  <c r="H98" i="107"/>
  <c r="H98" i="111" s="1"/>
  <c r="I98" i="107"/>
  <c r="J98" i="107"/>
  <c r="K98" i="107"/>
  <c r="L98" i="107"/>
  <c r="M98" i="107"/>
  <c r="N98" i="107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J99" i="107"/>
  <c r="J99" i="111" s="1"/>
  <c r="K99" i="107"/>
  <c r="K99" i="111" s="1"/>
  <c r="L99" i="107"/>
  <c r="L99" i="111" s="1"/>
  <c r="M99" i="107"/>
  <c r="N99" i="107"/>
  <c r="N99" i="111" s="1"/>
  <c r="D100" i="107"/>
  <c r="D100" i="111" s="1"/>
  <c r="E100" i="107"/>
  <c r="E100" i="111" s="1"/>
  <c r="F100" i="107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L101" i="107"/>
  <c r="L101" i="111" s="1"/>
  <c r="M101" i="107"/>
  <c r="M101" i="111" s="1"/>
  <c r="N101" i="107"/>
  <c r="N101" i="111" s="1"/>
  <c r="D102" i="107"/>
  <c r="E102" i="107"/>
  <c r="F102" i="107"/>
  <c r="G102" i="107"/>
  <c r="H102" i="107"/>
  <c r="I102" i="107"/>
  <c r="J102" i="107"/>
  <c r="K102" i="107"/>
  <c r="L102" i="107"/>
  <c r="M102" i="107"/>
  <c r="N102" i="107"/>
  <c r="D103" i="107"/>
  <c r="D103" i="111" s="1"/>
  <c r="E103" i="107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K104" i="107"/>
  <c r="K104" i="111" s="1"/>
  <c r="L104" i="107"/>
  <c r="L104" i="111" s="1"/>
  <c r="M104" i="107"/>
  <c r="M104" i="111" s="1"/>
  <c r="N104" i="107"/>
  <c r="N104" i="111" s="1"/>
  <c r="D105" i="107"/>
  <c r="E105" i="107"/>
  <c r="E105" i="111" s="1"/>
  <c r="F105" i="107"/>
  <c r="F105" i="111" s="1"/>
  <c r="G105" i="107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C60" i="107"/>
  <c r="C61" i="107"/>
  <c r="C62" i="107"/>
  <c r="C63" i="107"/>
  <c r="C63" i="111" s="1"/>
  <c r="C64" i="107"/>
  <c r="C65" i="107"/>
  <c r="C66" i="107"/>
  <c r="C67" i="107"/>
  <c r="C68" i="107"/>
  <c r="C69" i="107"/>
  <c r="C70" i="107"/>
  <c r="C71" i="107"/>
  <c r="C71" i="111" s="1"/>
  <c r="C72" i="107"/>
  <c r="C72" i="111" s="1"/>
  <c r="C73" i="107"/>
  <c r="C74" i="107"/>
  <c r="C75" i="107"/>
  <c r="C76" i="107"/>
  <c r="C77" i="107"/>
  <c r="C78" i="107"/>
  <c r="C79" i="107"/>
  <c r="O79" i="107" s="1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4" i="111" s="1"/>
  <c r="C105" i="107"/>
  <c r="C58" i="111"/>
  <c r="C58" i="108"/>
  <c r="C58" i="107"/>
  <c r="S32" i="107" l="1"/>
  <c r="P98" i="107"/>
  <c r="O98" i="107"/>
  <c r="C98" i="111"/>
  <c r="S26" i="107"/>
  <c r="P74" i="107"/>
  <c r="AF26" i="107" s="1"/>
  <c r="O74" i="107"/>
  <c r="C74" i="111"/>
  <c r="P103" i="107"/>
  <c r="O103" i="107"/>
  <c r="O87" i="107"/>
  <c r="P87" i="107"/>
  <c r="P86" i="107"/>
  <c r="O86" i="107"/>
  <c r="AE29" i="107" s="1"/>
  <c r="S29" i="107"/>
  <c r="C86" i="111"/>
  <c r="S25" i="107"/>
  <c r="P70" i="107"/>
  <c r="AF25" i="107" s="1"/>
  <c r="O70" i="107"/>
  <c r="C70" i="111"/>
  <c r="AA33" i="107"/>
  <c r="W32" i="107"/>
  <c r="G98" i="111"/>
  <c r="W32" i="111" s="1"/>
  <c r="AA29" i="107"/>
  <c r="K86" i="111"/>
  <c r="AA29" i="111" s="1"/>
  <c r="W28" i="107"/>
  <c r="G82" i="111"/>
  <c r="W28" i="111" s="1"/>
  <c r="AA27" i="107"/>
  <c r="K78" i="111"/>
  <c r="AA27" i="111" s="1"/>
  <c r="W26" i="107"/>
  <c r="G74" i="111"/>
  <c r="W26" i="111" s="1"/>
  <c r="AA23" i="107"/>
  <c r="K62" i="111"/>
  <c r="AA23" i="111" s="1"/>
  <c r="W22" i="107"/>
  <c r="G58" i="111"/>
  <c r="W22" i="111" s="1"/>
  <c r="P93" i="107"/>
  <c r="O93" i="107"/>
  <c r="C93" i="111"/>
  <c r="P77" i="107"/>
  <c r="O77" i="107"/>
  <c r="C77" i="111"/>
  <c r="O77" i="111" s="1"/>
  <c r="P61" i="107"/>
  <c r="O61" i="107"/>
  <c r="C61" i="111"/>
  <c r="P61" i="111" s="1"/>
  <c r="Z33" i="107"/>
  <c r="Z31" i="107"/>
  <c r="J94" i="111"/>
  <c r="V30" i="107"/>
  <c r="F90" i="111"/>
  <c r="AD28" i="107"/>
  <c r="N82" i="111"/>
  <c r="Z27" i="107"/>
  <c r="J78" i="111"/>
  <c r="Z27" i="111" s="1"/>
  <c r="V26" i="107"/>
  <c r="F74" i="111"/>
  <c r="AD24" i="107"/>
  <c r="N66" i="111"/>
  <c r="V24" i="107"/>
  <c r="F66" i="111"/>
  <c r="V22" i="107"/>
  <c r="F58" i="111"/>
  <c r="V22" i="111" s="1"/>
  <c r="P100" i="107"/>
  <c r="O100" i="107"/>
  <c r="C100" i="111"/>
  <c r="P92" i="107"/>
  <c r="O92" i="107"/>
  <c r="C92" i="111"/>
  <c r="P76" i="107"/>
  <c r="O76" i="107"/>
  <c r="C76" i="111"/>
  <c r="P60" i="107"/>
  <c r="O60" i="107"/>
  <c r="C60" i="111"/>
  <c r="O60" i="111" s="1"/>
  <c r="AC32" i="107"/>
  <c r="M98" i="111"/>
  <c r="AC32" i="111" s="1"/>
  <c r="Y31" i="107"/>
  <c r="I94" i="111"/>
  <c r="Y31" i="111" s="1"/>
  <c r="U30" i="107"/>
  <c r="E90" i="111"/>
  <c r="U30" i="111" s="1"/>
  <c r="I86" i="111"/>
  <c r="Y29" i="111" s="1"/>
  <c r="Y29" i="107"/>
  <c r="AC28" i="107"/>
  <c r="M82" i="111"/>
  <c r="U28" i="107"/>
  <c r="E82" i="111"/>
  <c r="Y27" i="107"/>
  <c r="I78" i="111"/>
  <c r="AC26" i="107"/>
  <c r="M74" i="111"/>
  <c r="U26" i="107"/>
  <c r="E74" i="111"/>
  <c r="T31" i="111"/>
  <c r="X28" i="111"/>
  <c r="S30" i="107"/>
  <c r="P90" i="107"/>
  <c r="O90" i="107"/>
  <c r="C90" i="111"/>
  <c r="S24" i="107"/>
  <c r="P66" i="107"/>
  <c r="O66" i="107"/>
  <c r="AE24" i="107" s="1"/>
  <c r="C66" i="111"/>
  <c r="S24" i="111" s="1"/>
  <c r="W33" i="107"/>
  <c r="G102" i="111"/>
  <c r="AA32" i="107"/>
  <c r="K98" i="111"/>
  <c r="W31" i="107"/>
  <c r="G94" i="111"/>
  <c r="AA30" i="107"/>
  <c r="K90" i="111"/>
  <c r="AA30" i="111" s="1"/>
  <c r="P95" i="107"/>
  <c r="O95" i="107"/>
  <c r="S33" i="107"/>
  <c r="P102" i="107"/>
  <c r="O102" i="107"/>
  <c r="C102" i="111"/>
  <c r="O102" i="111" s="1"/>
  <c r="AE33" i="111" s="1"/>
  <c r="S31" i="107"/>
  <c r="P94" i="107"/>
  <c r="O94" i="107"/>
  <c r="C94" i="111"/>
  <c r="S27" i="107"/>
  <c r="P78" i="107"/>
  <c r="O78" i="107"/>
  <c r="C78" i="111"/>
  <c r="S27" i="111" s="1"/>
  <c r="S23" i="107"/>
  <c r="P62" i="107"/>
  <c r="O62" i="107"/>
  <c r="C62" i="111"/>
  <c r="AA31" i="107"/>
  <c r="K94" i="111"/>
  <c r="AA31" i="111" s="1"/>
  <c r="W30" i="107"/>
  <c r="G90" i="111"/>
  <c r="W30" i="111" s="1"/>
  <c r="AA25" i="107"/>
  <c r="K70" i="111"/>
  <c r="AA25" i="111" s="1"/>
  <c r="W24" i="107"/>
  <c r="G66" i="111"/>
  <c r="W24" i="111" s="1"/>
  <c r="P101" i="107"/>
  <c r="O101" i="107"/>
  <c r="C101" i="111"/>
  <c r="P85" i="107"/>
  <c r="O85" i="107"/>
  <c r="C85" i="111"/>
  <c r="P69" i="107"/>
  <c r="O69" i="107"/>
  <c r="C69" i="111"/>
  <c r="AD32" i="107"/>
  <c r="N98" i="111"/>
  <c r="V32" i="107"/>
  <c r="F98" i="111"/>
  <c r="V32" i="111" s="1"/>
  <c r="AD30" i="107"/>
  <c r="Z29" i="107"/>
  <c r="J86" i="111"/>
  <c r="V28" i="107"/>
  <c r="AD26" i="107"/>
  <c r="N74" i="111"/>
  <c r="Z25" i="107"/>
  <c r="J70" i="111"/>
  <c r="Z25" i="111" s="1"/>
  <c r="Z23" i="107"/>
  <c r="J62" i="111"/>
  <c r="AD22" i="107"/>
  <c r="N58" i="111"/>
  <c r="AD22" i="111" s="1"/>
  <c r="C79" i="111"/>
  <c r="S22" i="107"/>
  <c r="P58" i="107"/>
  <c r="O58" i="107"/>
  <c r="AE22" i="107" s="1"/>
  <c r="P84" i="107"/>
  <c r="O84" i="107"/>
  <c r="C84" i="111"/>
  <c r="P68" i="107"/>
  <c r="O68" i="107"/>
  <c r="C68" i="111"/>
  <c r="Y33" i="107"/>
  <c r="I102" i="111"/>
  <c r="Y33" i="111" s="1"/>
  <c r="U32" i="107"/>
  <c r="E98" i="111"/>
  <c r="U32" i="111" s="1"/>
  <c r="AC30" i="107"/>
  <c r="M90" i="111"/>
  <c r="AC30" i="111" s="1"/>
  <c r="S22" i="108"/>
  <c r="P58" i="108"/>
  <c r="O58" i="108"/>
  <c r="AE22" i="108" s="1"/>
  <c r="P99" i="107"/>
  <c r="O99" i="107"/>
  <c r="C99" i="111"/>
  <c r="O91" i="107"/>
  <c r="C91" i="111"/>
  <c r="O91" i="111" s="1"/>
  <c r="P91" i="107"/>
  <c r="O83" i="107"/>
  <c r="C83" i="111"/>
  <c r="P83" i="111" s="1"/>
  <c r="P83" i="107"/>
  <c r="O75" i="107"/>
  <c r="C75" i="111"/>
  <c r="O67" i="107"/>
  <c r="P67" i="107"/>
  <c r="C67" i="111"/>
  <c r="O59" i="107"/>
  <c r="C59" i="111"/>
  <c r="P59" i="107"/>
  <c r="G105" i="111"/>
  <c r="J104" i="111"/>
  <c r="M103" i="111"/>
  <c r="E103" i="111"/>
  <c r="X33" i="107"/>
  <c r="H102" i="111"/>
  <c r="X33" i="111" s="1"/>
  <c r="K101" i="111"/>
  <c r="O101" i="111" s="1"/>
  <c r="N100" i="111"/>
  <c r="P100" i="111" s="1"/>
  <c r="F100" i="111"/>
  <c r="I99" i="111"/>
  <c r="AB32" i="107"/>
  <c r="L98" i="111"/>
  <c r="AB32" i="111" s="1"/>
  <c r="T32" i="107"/>
  <c r="D98" i="111"/>
  <c r="T32" i="111" s="1"/>
  <c r="G97" i="111"/>
  <c r="O97" i="111" s="1"/>
  <c r="J96" i="111"/>
  <c r="O96" i="111" s="1"/>
  <c r="M95" i="111"/>
  <c r="E95" i="111"/>
  <c r="X31" i="107"/>
  <c r="H94" i="111"/>
  <c r="X31" i="111" s="1"/>
  <c r="K93" i="111"/>
  <c r="N92" i="111"/>
  <c r="C103" i="111"/>
  <c r="P103" i="111" s="1"/>
  <c r="F82" i="111"/>
  <c r="V28" i="111" s="1"/>
  <c r="O105" i="107"/>
  <c r="P105" i="107"/>
  <c r="C105" i="111"/>
  <c r="P105" i="111" s="1"/>
  <c r="O97" i="107"/>
  <c r="C97" i="111"/>
  <c r="P97" i="107"/>
  <c r="P89" i="107"/>
  <c r="O89" i="107"/>
  <c r="C89" i="111"/>
  <c r="P81" i="107"/>
  <c r="O81" i="107"/>
  <c r="C81" i="111"/>
  <c r="P73" i="107"/>
  <c r="O73" i="107"/>
  <c r="C73" i="111"/>
  <c r="O73" i="111" s="1"/>
  <c r="P65" i="107"/>
  <c r="O65" i="107"/>
  <c r="C65" i="111"/>
  <c r="AD33" i="107"/>
  <c r="N102" i="111"/>
  <c r="AD33" i="111" s="1"/>
  <c r="V33" i="107"/>
  <c r="F102" i="111"/>
  <c r="V33" i="111" s="1"/>
  <c r="J98" i="111"/>
  <c r="Z32" i="111" s="1"/>
  <c r="Z32" i="107"/>
  <c r="AD31" i="107"/>
  <c r="N94" i="111"/>
  <c r="AD31" i="111" s="1"/>
  <c r="V31" i="107"/>
  <c r="F94" i="111"/>
  <c r="V31" i="111" s="1"/>
  <c r="Z30" i="107"/>
  <c r="J90" i="111"/>
  <c r="Z30" i="111" s="1"/>
  <c r="AD29" i="107"/>
  <c r="N86" i="111"/>
  <c r="AD29" i="111" s="1"/>
  <c r="C95" i="111"/>
  <c r="P95" i="111" s="1"/>
  <c r="Z33" i="111"/>
  <c r="AD30" i="111"/>
  <c r="P79" i="107"/>
  <c r="P104" i="107"/>
  <c r="O104" i="107"/>
  <c r="P96" i="107"/>
  <c r="O96" i="107"/>
  <c r="P88" i="107"/>
  <c r="O88" i="107"/>
  <c r="P80" i="107"/>
  <c r="O80" i="107"/>
  <c r="P72" i="107"/>
  <c r="O72" i="107"/>
  <c r="P64" i="107"/>
  <c r="O64" i="107"/>
  <c r="M102" i="111"/>
  <c r="AC33" i="111" s="1"/>
  <c r="AC33" i="107"/>
  <c r="E102" i="111"/>
  <c r="U33" i="111" s="1"/>
  <c r="U33" i="107"/>
  <c r="Y32" i="107"/>
  <c r="I98" i="111"/>
  <c r="Y32" i="111" s="1"/>
  <c r="AC31" i="107"/>
  <c r="M94" i="111"/>
  <c r="AC31" i="111" s="1"/>
  <c r="U31" i="107"/>
  <c r="E94" i="111"/>
  <c r="U31" i="111" s="1"/>
  <c r="Y30" i="107"/>
  <c r="I90" i="111"/>
  <c r="P99" i="108"/>
  <c r="O99" i="108"/>
  <c r="P91" i="108"/>
  <c r="O91" i="108"/>
  <c r="P83" i="108"/>
  <c r="O83" i="108"/>
  <c r="P75" i="108"/>
  <c r="O75" i="108"/>
  <c r="P67" i="108"/>
  <c r="O67" i="108"/>
  <c r="P59" i="108"/>
  <c r="O59" i="108"/>
  <c r="C88" i="111"/>
  <c r="AB30" i="107"/>
  <c r="S28" i="107"/>
  <c r="P82" i="107"/>
  <c r="O82" i="107"/>
  <c r="C82" i="111"/>
  <c r="S28" i="111" s="1"/>
  <c r="AA33" i="111"/>
  <c r="O71" i="107"/>
  <c r="P71" i="107"/>
  <c r="O63" i="107"/>
  <c r="P63" i="107"/>
  <c r="AB33" i="107"/>
  <c r="L102" i="111"/>
  <c r="AB33" i="111" s="1"/>
  <c r="T33" i="107"/>
  <c r="D102" i="111"/>
  <c r="T33" i="111" s="1"/>
  <c r="X32" i="111"/>
  <c r="AB31" i="111"/>
  <c r="X30" i="111"/>
  <c r="AB29" i="111"/>
  <c r="AB25" i="111"/>
  <c r="T25" i="111"/>
  <c r="P98" i="108"/>
  <c r="S32" i="108"/>
  <c r="O98" i="108"/>
  <c r="S30" i="108"/>
  <c r="P90" i="108"/>
  <c r="AF30" i="108" s="1"/>
  <c r="O90" i="108"/>
  <c r="S28" i="108"/>
  <c r="P82" i="108"/>
  <c r="O82" i="108"/>
  <c r="AE28" i="108" s="1"/>
  <c r="S26" i="108"/>
  <c r="P74" i="108"/>
  <c r="O74" i="108"/>
  <c r="P66" i="108"/>
  <c r="S24" i="108"/>
  <c r="O66" i="108"/>
  <c r="C87" i="111"/>
  <c r="AC25" i="107"/>
  <c r="Y25" i="107"/>
  <c r="I70" i="111"/>
  <c r="Y25" i="111" s="1"/>
  <c r="AC24" i="107"/>
  <c r="M66" i="111"/>
  <c r="AC24" i="111" s="1"/>
  <c r="U24" i="107"/>
  <c r="E66" i="111"/>
  <c r="Y23" i="107"/>
  <c r="I62" i="111"/>
  <c r="AC22" i="107"/>
  <c r="M58" i="111"/>
  <c r="U22" i="107"/>
  <c r="E58" i="111"/>
  <c r="U22" i="111" s="1"/>
  <c r="O105" i="108"/>
  <c r="P105" i="108"/>
  <c r="O97" i="108"/>
  <c r="P97" i="108"/>
  <c r="O89" i="108"/>
  <c r="P89" i="108"/>
  <c r="O81" i="108"/>
  <c r="P81" i="108"/>
  <c r="O73" i="108"/>
  <c r="P73" i="108"/>
  <c r="O65" i="108"/>
  <c r="P65" i="108"/>
  <c r="AD33" i="108"/>
  <c r="V33" i="108"/>
  <c r="Z32" i="108"/>
  <c r="AD31" i="108"/>
  <c r="V31" i="108"/>
  <c r="Z30" i="108"/>
  <c r="AD29" i="108"/>
  <c r="V29" i="108"/>
  <c r="Z28" i="108"/>
  <c r="AD27" i="108"/>
  <c r="V27" i="108"/>
  <c r="Z26" i="108"/>
  <c r="AD25" i="108"/>
  <c r="V25" i="108"/>
  <c r="Z24" i="108"/>
  <c r="AD23" i="108"/>
  <c r="V23" i="108"/>
  <c r="Z22" i="108"/>
  <c r="F92" i="111"/>
  <c r="I91" i="111"/>
  <c r="L90" i="111"/>
  <c r="AB30" i="111" s="1"/>
  <c r="D90" i="111"/>
  <c r="T30" i="111" s="1"/>
  <c r="T30" i="107"/>
  <c r="G89" i="111"/>
  <c r="J88" i="111"/>
  <c r="M87" i="111"/>
  <c r="E87" i="111"/>
  <c r="X29" i="107"/>
  <c r="H86" i="111"/>
  <c r="X29" i="111" s="1"/>
  <c r="K85" i="111"/>
  <c r="N84" i="111"/>
  <c r="F84" i="111"/>
  <c r="I83" i="111"/>
  <c r="AB28" i="107"/>
  <c r="L82" i="111"/>
  <c r="AB28" i="111" s="1"/>
  <c r="T28" i="107"/>
  <c r="D82" i="111"/>
  <c r="T28" i="111" s="1"/>
  <c r="G81" i="111"/>
  <c r="J80" i="111"/>
  <c r="M79" i="111"/>
  <c r="E79" i="111"/>
  <c r="X27" i="107"/>
  <c r="H78" i="111"/>
  <c r="X27" i="111" s="1"/>
  <c r="K77" i="111"/>
  <c r="N76" i="111"/>
  <c r="F76" i="111"/>
  <c r="I75" i="111"/>
  <c r="AB26" i="107"/>
  <c r="L74" i="111"/>
  <c r="AB26" i="111" s="1"/>
  <c r="T26" i="107"/>
  <c r="D74" i="111"/>
  <c r="T26" i="111" s="1"/>
  <c r="G73" i="111"/>
  <c r="J72" i="111"/>
  <c r="M71" i="111"/>
  <c r="E71" i="111"/>
  <c r="X25" i="107"/>
  <c r="H70" i="111"/>
  <c r="X25" i="111" s="1"/>
  <c r="K69" i="111"/>
  <c r="N68" i="111"/>
  <c r="F68" i="111"/>
  <c r="P68" i="111" s="1"/>
  <c r="I67" i="111"/>
  <c r="AB24" i="107"/>
  <c r="L66" i="111"/>
  <c r="AB24" i="111" s="1"/>
  <c r="T24" i="107"/>
  <c r="D66" i="111"/>
  <c r="T24" i="111" s="1"/>
  <c r="G65" i="111"/>
  <c r="J64" i="111"/>
  <c r="M63" i="111"/>
  <c r="E63" i="111"/>
  <c r="X23" i="107"/>
  <c r="H62" i="111"/>
  <c r="X23" i="111" s="1"/>
  <c r="K61" i="111"/>
  <c r="N60" i="111"/>
  <c r="F60" i="111"/>
  <c r="I59" i="111"/>
  <c r="AB22" i="107"/>
  <c r="L58" i="111"/>
  <c r="AB22" i="111" s="1"/>
  <c r="T22" i="107"/>
  <c r="D58" i="111"/>
  <c r="T22" i="111" s="1"/>
  <c r="P104" i="108"/>
  <c r="O104" i="108"/>
  <c r="P96" i="108"/>
  <c r="O96" i="108"/>
  <c r="P88" i="108"/>
  <c r="O88" i="108"/>
  <c r="P80" i="108"/>
  <c r="O80" i="108"/>
  <c r="P72" i="108"/>
  <c r="O72" i="108"/>
  <c r="P64" i="108"/>
  <c r="O64" i="108"/>
  <c r="AC33" i="108"/>
  <c r="U33" i="108"/>
  <c r="Y32" i="108"/>
  <c r="AC31" i="108"/>
  <c r="U31" i="108"/>
  <c r="Y30" i="108"/>
  <c r="AC29" i="108"/>
  <c r="U29" i="108"/>
  <c r="Y28" i="108"/>
  <c r="AC27" i="108"/>
  <c r="U27" i="108"/>
  <c r="Y26" i="108"/>
  <c r="AC25" i="108"/>
  <c r="U25" i="108"/>
  <c r="Y24" i="108"/>
  <c r="AC23" i="108"/>
  <c r="U23" i="108"/>
  <c r="Y22" i="108"/>
  <c r="L87" i="111"/>
  <c r="D87" i="111"/>
  <c r="T29" i="111" s="1"/>
  <c r="W29" i="107"/>
  <c r="G86" i="111"/>
  <c r="J85" i="111"/>
  <c r="M84" i="111"/>
  <c r="E84" i="111"/>
  <c r="P84" i="111" s="1"/>
  <c r="H83" i="111"/>
  <c r="AA28" i="107"/>
  <c r="K82" i="111"/>
  <c r="N81" i="111"/>
  <c r="O81" i="111" s="1"/>
  <c r="F81" i="111"/>
  <c r="I80" i="111"/>
  <c r="P80" i="111" s="1"/>
  <c r="L79" i="111"/>
  <c r="D79" i="111"/>
  <c r="T27" i="111" s="1"/>
  <c r="W27" i="107"/>
  <c r="G78" i="111"/>
  <c r="W27" i="111" s="1"/>
  <c r="J77" i="111"/>
  <c r="M76" i="111"/>
  <c r="E76" i="111"/>
  <c r="H75" i="111"/>
  <c r="X26" i="111" s="1"/>
  <c r="AA26" i="107"/>
  <c r="K74" i="111"/>
  <c r="AA26" i="111" s="1"/>
  <c r="N73" i="111"/>
  <c r="F73" i="111"/>
  <c r="I72" i="111"/>
  <c r="L71" i="111"/>
  <c r="D71" i="111"/>
  <c r="P71" i="111" s="1"/>
  <c r="W25" i="107"/>
  <c r="G70" i="111"/>
  <c r="J69" i="111"/>
  <c r="M68" i="111"/>
  <c r="E68" i="111"/>
  <c r="H67" i="111"/>
  <c r="X24" i="111" s="1"/>
  <c r="AA24" i="107"/>
  <c r="K66" i="111"/>
  <c r="N65" i="111"/>
  <c r="F65" i="111"/>
  <c r="O65" i="111" s="1"/>
  <c r="I64" i="111"/>
  <c r="P64" i="111" s="1"/>
  <c r="L63" i="111"/>
  <c r="AB23" i="111" s="1"/>
  <c r="D63" i="111"/>
  <c r="P63" i="111" s="1"/>
  <c r="G62" i="111"/>
  <c r="W23" i="107"/>
  <c r="J61" i="111"/>
  <c r="M60" i="111"/>
  <c r="E60" i="111"/>
  <c r="H59" i="111"/>
  <c r="X22" i="111" s="1"/>
  <c r="AA22" i="107"/>
  <c r="K58" i="111"/>
  <c r="P103" i="108"/>
  <c r="O103" i="108"/>
  <c r="P95" i="108"/>
  <c r="O95" i="108"/>
  <c r="P87" i="108"/>
  <c r="O87" i="108"/>
  <c r="P79" i="108"/>
  <c r="O79" i="108"/>
  <c r="P71" i="108"/>
  <c r="O71" i="108"/>
  <c r="P63" i="108"/>
  <c r="O63" i="108"/>
  <c r="AB33" i="108"/>
  <c r="T33" i="108"/>
  <c r="X32" i="108"/>
  <c r="AB31" i="108"/>
  <c r="T31" i="108"/>
  <c r="X30" i="108"/>
  <c r="AB29" i="108"/>
  <c r="T29" i="108"/>
  <c r="X28" i="108"/>
  <c r="AB27" i="108"/>
  <c r="T27" i="108"/>
  <c r="X26" i="108"/>
  <c r="AB25" i="108"/>
  <c r="T25" i="108"/>
  <c r="X24" i="108"/>
  <c r="AB23" i="108"/>
  <c r="T23" i="108"/>
  <c r="X22" i="108"/>
  <c r="V29" i="107"/>
  <c r="F86" i="111"/>
  <c r="V29" i="111" s="1"/>
  <c r="Z28" i="107"/>
  <c r="J82" i="111"/>
  <c r="Z28" i="111" s="1"/>
  <c r="AD27" i="107"/>
  <c r="N78" i="111"/>
  <c r="V27" i="107"/>
  <c r="F78" i="111"/>
  <c r="V27" i="111" s="1"/>
  <c r="Z26" i="107"/>
  <c r="J74" i="111"/>
  <c r="Z26" i="111" s="1"/>
  <c r="AD25" i="107"/>
  <c r="N70" i="111"/>
  <c r="AD25" i="111" s="1"/>
  <c r="V25" i="107"/>
  <c r="F70" i="111"/>
  <c r="V25" i="111" s="1"/>
  <c r="J66" i="111"/>
  <c r="Z24" i="107"/>
  <c r="AD23" i="107"/>
  <c r="N62" i="111"/>
  <c r="V23" i="107"/>
  <c r="F62" i="111"/>
  <c r="Z22" i="107"/>
  <c r="J58" i="111"/>
  <c r="Z22" i="111" s="1"/>
  <c r="S33" i="108"/>
  <c r="P102" i="108"/>
  <c r="AF33" i="108" s="1"/>
  <c r="O102" i="108"/>
  <c r="P94" i="108"/>
  <c r="O94" i="108"/>
  <c r="S31" i="108"/>
  <c r="S29" i="108"/>
  <c r="P86" i="108"/>
  <c r="O86" i="108"/>
  <c r="S27" i="108"/>
  <c r="P78" i="108"/>
  <c r="O78" i="108"/>
  <c r="S25" i="108"/>
  <c r="P70" i="108"/>
  <c r="AF25" i="108" s="1"/>
  <c r="O70" i="108"/>
  <c r="P62" i="108"/>
  <c r="O62" i="108"/>
  <c r="AE23" i="108" s="1"/>
  <c r="AA33" i="108"/>
  <c r="W32" i="108"/>
  <c r="AA31" i="108"/>
  <c r="W30" i="108"/>
  <c r="AA29" i="108"/>
  <c r="W28" i="108"/>
  <c r="AA27" i="108"/>
  <c r="W26" i="108"/>
  <c r="AA25" i="108"/>
  <c r="W24" i="108"/>
  <c r="AA23" i="108"/>
  <c r="W22" i="108"/>
  <c r="AC29" i="107"/>
  <c r="M86" i="111"/>
  <c r="U29" i="107"/>
  <c r="E86" i="111"/>
  <c r="U29" i="111" s="1"/>
  <c r="Y28" i="107"/>
  <c r="I82" i="111"/>
  <c r="Y28" i="111" s="1"/>
  <c r="AC27" i="107"/>
  <c r="M78" i="111"/>
  <c r="U27" i="107"/>
  <c r="E78" i="111"/>
  <c r="U27" i="111" s="1"/>
  <c r="Y26" i="107"/>
  <c r="I74" i="111"/>
  <c r="Y26" i="111" s="1"/>
  <c r="AC25" i="111"/>
  <c r="E70" i="111"/>
  <c r="U25" i="111" s="1"/>
  <c r="U25" i="107"/>
  <c r="Y24" i="107"/>
  <c r="I66" i="111"/>
  <c r="Y24" i="111" s="1"/>
  <c r="AC23" i="107"/>
  <c r="M62" i="111"/>
  <c r="U23" i="107"/>
  <c r="E62" i="111"/>
  <c r="U23" i="111" s="1"/>
  <c r="Y22" i="107"/>
  <c r="I58" i="111"/>
  <c r="O101" i="108"/>
  <c r="O93" i="108"/>
  <c r="P93" i="108"/>
  <c r="O85" i="108"/>
  <c r="P85" i="108"/>
  <c r="O77" i="108"/>
  <c r="P77" i="108"/>
  <c r="O69" i="108"/>
  <c r="O61" i="108"/>
  <c r="P61" i="108"/>
  <c r="Z33" i="108"/>
  <c r="AD32" i="108"/>
  <c r="V32" i="108"/>
  <c r="Z31" i="108"/>
  <c r="AD30" i="108"/>
  <c r="V30" i="108"/>
  <c r="Z29" i="108"/>
  <c r="AD28" i="108"/>
  <c r="V28" i="108"/>
  <c r="Z27" i="108"/>
  <c r="AD26" i="108"/>
  <c r="V26" i="108"/>
  <c r="Z25" i="108"/>
  <c r="AD24" i="108"/>
  <c r="V24" i="108"/>
  <c r="Z23" i="108"/>
  <c r="AD22" i="108"/>
  <c r="V22" i="108"/>
  <c r="P69" i="108"/>
  <c r="X32" i="107"/>
  <c r="AB31" i="107"/>
  <c r="T31" i="107"/>
  <c r="X30" i="107"/>
  <c r="AB29" i="107"/>
  <c r="T29" i="107"/>
  <c r="X28" i="107"/>
  <c r="AB27" i="107"/>
  <c r="T27" i="107"/>
  <c r="X26" i="107"/>
  <c r="AB25" i="107"/>
  <c r="T25" i="107"/>
  <c r="X24" i="107"/>
  <c r="AB23" i="107"/>
  <c r="T23" i="107"/>
  <c r="X22" i="107"/>
  <c r="P100" i="108"/>
  <c r="O100" i="108"/>
  <c r="P92" i="108"/>
  <c r="O92" i="108"/>
  <c r="P84" i="108"/>
  <c r="O84" i="108"/>
  <c r="P76" i="108"/>
  <c r="O76" i="108"/>
  <c r="P68" i="108"/>
  <c r="O68" i="108"/>
  <c r="P60" i="108"/>
  <c r="O60" i="108"/>
  <c r="Y33" i="108"/>
  <c r="AC32" i="108"/>
  <c r="U32" i="108"/>
  <c r="Y31" i="108"/>
  <c r="AC30" i="108"/>
  <c r="U30" i="108"/>
  <c r="Y29" i="108"/>
  <c r="AC28" i="108"/>
  <c r="U28" i="108"/>
  <c r="Y27" i="108"/>
  <c r="AC26" i="108"/>
  <c r="U26" i="108"/>
  <c r="Y25" i="108"/>
  <c r="AC24" i="108"/>
  <c r="U24" i="108"/>
  <c r="Y23" i="108"/>
  <c r="AC22" i="108"/>
  <c r="U22" i="108"/>
  <c r="L78" i="111"/>
  <c r="P101" i="108"/>
  <c r="O61" i="111"/>
  <c r="P60" i="111"/>
  <c r="O59" i="111"/>
  <c r="O63" i="111"/>
  <c r="O67" i="111"/>
  <c r="P104" i="111"/>
  <c r="O104" i="111"/>
  <c r="O100" i="111"/>
  <c r="P92" i="111"/>
  <c r="O92" i="111"/>
  <c r="P88" i="111"/>
  <c r="O88" i="111"/>
  <c r="O84" i="111"/>
  <c r="O80" i="111"/>
  <c r="P76" i="111"/>
  <c r="O76" i="111"/>
  <c r="P72" i="111"/>
  <c r="O72" i="111"/>
  <c r="O105" i="111"/>
  <c r="O103" i="111"/>
  <c r="O99" i="111"/>
  <c r="O95" i="111"/>
  <c r="O93" i="111"/>
  <c r="O89" i="111"/>
  <c r="O87" i="111"/>
  <c r="O85" i="111"/>
  <c r="O75" i="111"/>
  <c r="O71" i="111"/>
  <c r="C11" i="108"/>
  <c r="D11" i="108"/>
  <c r="E11" i="108"/>
  <c r="F11" i="108"/>
  <c r="G11" i="108"/>
  <c r="H11" i="108"/>
  <c r="I11" i="108"/>
  <c r="J11" i="108"/>
  <c r="K11" i="108"/>
  <c r="L11" i="108"/>
  <c r="M11" i="108"/>
  <c r="N11" i="108"/>
  <c r="C12" i="108"/>
  <c r="D12" i="108"/>
  <c r="E12" i="108"/>
  <c r="F12" i="108"/>
  <c r="G12" i="108"/>
  <c r="H12" i="108"/>
  <c r="I12" i="108"/>
  <c r="J12" i="108"/>
  <c r="K12" i="108"/>
  <c r="L12" i="108"/>
  <c r="M12" i="108"/>
  <c r="N12" i="108"/>
  <c r="C13" i="108"/>
  <c r="D13" i="108"/>
  <c r="E13" i="108"/>
  <c r="F13" i="108"/>
  <c r="G13" i="108"/>
  <c r="H13" i="108"/>
  <c r="I13" i="108"/>
  <c r="J13" i="108"/>
  <c r="K13" i="108"/>
  <c r="L13" i="108"/>
  <c r="M13" i="108"/>
  <c r="N13" i="108"/>
  <c r="C14" i="108"/>
  <c r="D14" i="108"/>
  <c r="E14" i="108"/>
  <c r="F14" i="108"/>
  <c r="G14" i="108"/>
  <c r="H14" i="108"/>
  <c r="I14" i="108"/>
  <c r="J14" i="108"/>
  <c r="K14" i="108"/>
  <c r="L14" i="108"/>
  <c r="M14" i="108"/>
  <c r="N14" i="108"/>
  <c r="C15" i="108"/>
  <c r="D15" i="108"/>
  <c r="E15" i="108"/>
  <c r="F15" i="108"/>
  <c r="G15" i="108"/>
  <c r="H15" i="108"/>
  <c r="I15" i="108"/>
  <c r="J15" i="108"/>
  <c r="K15" i="108"/>
  <c r="L15" i="108"/>
  <c r="M15" i="108"/>
  <c r="N15" i="108"/>
  <c r="C16" i="108"/>
  <c r="D16" i="108"/>
  <c r="E16" i="108"/>
  <c r="F16" i="108"/>
  <c r="G16" i="108"/>
  <c r="H16" i="108"/>
  <c r="I16" i="108"/>
  <c r="J16" i="108"/>
  <c r="K16" i="108"/>
  <c r="L16" i="108"/>
  <c r="M16" i="108"/>
  <c r="N16" i="108"/>
  <c r="C17" i="108"/>
  <c r="D17" i="108"/>
  <c r="E17" i="108"/>
  <c r="F17" i="108"/>
  <c r="G17" i="108"/>
  <c r="H17" i="108"/>
  <c r="I17" i="108"/>
  <c r="J17" i="108"/>
  <c r="K17" i="108"/>
  <c r="L17" i="108"/>
  <c r="M17" i="108"/>
  <c r="N17" i="108"/>
  <c r="C18" i="108"/>
  <c r="D18" i="108"/>
  <c r="E18" i="108"/>
  <c r="F18" i="108"/>
  <c r="G18" i="108"/>
  <c r="H18" i="108"/>
  <c r="I18" i="108"/>
  <c r="J18" i="108"/>
  <c r="K18" i="108"/>
  <c r="L18" i="108"/>
  <c r="M18" i="108"/>
  <c r="N18" i="108"/>
  <c r="C19" i="108"/>
  <c r="D19" i="108"/>
  <c r="E19" i="108"/>
  <c r="F19" i="108"/>
  <c r="G19" i="108"/>
  <c r="H19" i="108"/>
  <c r="I19" i="108"/>
  <c r="J19" i="108"/>
  <c r="K19" i="108"/>
  <c r="L19" i="108"/>
  <c r="M19" i="108"/>
  <c r="N19" i="108"/>
  <c r="C20" i="108"/>
  <c r="D20" i="108"/>
  <c r="E20" i="108"/>
  <c r="F20" i="108"/>
  <c r="G20" i="108"/>
  <c r="H20" i="108"/>
  <c r="I20" i="108"/>
  <c r="J20" i="108"/>
  <c r="K20" i="108"/>
  <c r="L20" i="108"/>
  <c r="M20" i="108"/>
  <c r="N20" i="108"/>
  <c r="C21" i="108"/>
  <c r="D21" i="108"/>
  <c r="E21" i="108"/>
  <c r="F21" i="108"/>
  <c r="G21" i="108"/>
  <c r="H21" i="108"/>
  <c r="I21" i="108"/>
  <c r="J21" i="108"/>
  <c r="K21" i="108"/>
  <c r="L21" i="108"/>
  <c r="M21" i="108"/>
  <c r="N21" i="108"/>
  <c r="C22" i="108"/>
  <c r="D22" i="108"/>
  <c r="E22" i="108"/>
  <c r="F22" i="108"/>
  <c r="G22" i="108"/>
  <c r="H22" i="108"/>
  <c r="I22" i="108"/>
  <c r="J22" i="108"/>
  <c r="K22" i="108"/>
  <c r="L22" i="108"/>
  <c r="M22" i="108"/>
  <c r="N22" i="108"/>
  <c r="C23" i="108"/>
  <c r="D23" i="108"/>
  <c r="E23" i="108"/>
  <c r="F23" i="108"/>
  <c r="G23" i="108"/>
  <c r="H23" i="108"/>
  <c r="I23" i="108"/>
  <c r="J23" i="108"/>
  <c r="K23" i="108"/>
  <c r="L23" i="108"/>
  <c r="M23" i="108"/>
  <c r="N23" i="108"/>
  <c r="C24" i="108"/>
  <c r="D24" i="108"/>
  <c r="E24" i="108"/>
  <c r="F24" i="108"/>
  <c r="G24" i="108"/>
  <c r="H24" i="108"/>
  <c r="I24" i="108"/>
  <c r="J24" i="108"/>
  <c r="K24" i="108"/>
  <c r="L24" i="108"/>
  <c r="M24" i="108"/>
  <c r="N24" i="108"/>
  <c r="C25" i="108"/>
  <c r="D25" i="108"/>
  <c r="E25" i="108"/>
  <c r="F25" i="108"/>
  <c r="G25" i="108"/>
  <c r="H25" i="108"/>
  <c r="I25" i="108"/>
  <c r="J25" i="108"/>
  <c r="K25" i="108"/>
  <c r="L25" i="108"/>
  <c r="M25" i="108"/>
  <c r="N25" i="108"/>
  <c r="C26" i="108"/>
  <c r="D26" i="108"/>
  <c r="E26" i="108"/>
  <c r="F26" i="108"/>
  <c r="G26" i="108"/>
  <c r="H26" i="108"/>
  <c r="I26" i="108"/>
  <c r="J26" i="108"/>
  <c r="K26" i="108"/>
  <c r="L26" i="108"/>
  <c r="M26" i="108"/>
  <c r="N26" i="108"/>
  <c r="C27" i="108"/>
  <c r="D27" i="108"/>
  <c r="E27" i="108"/>
  <c r="F27" i="108"/>
  <c r="G27" i="108"/>
  <c r="H27" i="108"/>
  <c r="I27" i="108"/>
  <c r="J27" i="108"/>
  <c r="K27" i="108"/>
  <c r="L27" i="108"/>
  <c r="M27" i="108"/>
  <c r="N27" i="108"/>
  <c r="C28" i="108"/>
  <c r="D28" i="108"/>
  <c r="E28" i="108"/>
  <c r="F28" i="108"/>
  <c r="G28" i="108"/>
  <c r="H28" i="108"/>
  <c r="I28" i="108"/>
  <c r="J28" i="108"/>
  <c r="K28" i="108"/>
  <c r="L28" i="108"/>
  <c r="M28" i="108"/>
  <c r="N28" i="108"/>
  <c r="C29" i="108"/>
  <c r="D29" i="108"/>
  <c r="E29" i="108"/>
  <c r="F29" i="108"/>
  <c r="G29" i="108"/>
  <c r="H29" i="108"/>
  <c r="I29" i="108"/>
  <c r="J29" i="108"/>
  <c r="K29" i="108"/>
  <c r="L29" i="108"/>
  <c r="M29" i="108"/>
  <c r="N29" i="108"/>
  <c r="C30" i="108"/>
  <c r="D30" i="108"/>
  <c r="E30" i="108"/>
  <c r="F30" i="108"/>
  <c r="G30" i="108"/>
  <c r="H30" i="108"/>
  <c r="I30" i="108"/>
  <c r="J30" i="108"/>
  <c r="K30" i="108"/>
  <c r="L30" i="108"/>
  <c r="M30" i="108"/>
  <c r="N30" i="108"/>
  <c r="C31" i="108"/>
  <c r="D31" i="108"/>
  <c r="E31" i="108"/>
  <c r="F31" i="108"/>
  <c r="G31" i="108"/>
  <c r="H31" i="108"/>
  <c r="I31" i="108"/>
  <c r="J31" i="108"/>
  <c r="K31" i="108"/>
  <c r="L31" i="108"/>
  <c r="M31" i="108"/>
  <c r="N31" i="108"/>
  <c r="C32" i="108"/>
  <c r="D32" i="108"/>
  <c r="E32" i="108"/>
  <c r="F32" i="108"/>
  <c r="G32" i="108"/>
  <c r="H32" i="108"/>
  <c r="I32" i="108"/>
  <c r="J32" i="108"/>
  <c r="K32" i="108"/>
  <c r="L32" i="108"/>
  <c r="M32" i="108"/>
  <c r="N32" i="108"/>
  <c r="C33" i="108"/>
  <c r="D33" i="108"/>
  <c r="E33" i="108"/>
  <c r="F33" i="108"/>
  <c r="G33" i="108"/>
  <c r="H33" i="108"/>
  <c r="I33" i="108"/>
  <c r="J33" i="108"/>
  <c r="K33" i="108"/>
  <c r="L33" i="108"/>
  <c r="M33" i="108"/>
  <c r="N33" i="108"/>
  <c r="C34" i="108"/>
  <c r="D34" i="108"/>
  <c r="E34" i="108"/>
  <c r="F34" i="108"/>
  <c r="G34" i="108"/>
  <c r="H34" i="108"/>
  <c r="I34" i="108"/>
  <c r="J34" i="108"/>
  <c r="K34" i="108"/>
  <c r="L34" i="108"/>
  <c r="M34" i="108"/>
  <c r="N34" i="108"/>
  <c r="C35" i="108"/>
  <c r="D35" i="108"/>
  <c r="E35" i="108"/>
  <c r="F35" i="108"/>
  <c r="G35" i="108"/>
  <c r="H35" i="108"/>
  <c r="I35" i="108"/>
  <c r="J35" i="108"/>
  <c r="K35" i="108"/>
  <c r="L35" i="108"/>
  <c r="M35" i="108"/>
  <c r="N35" i="108"/>
  <c r="C36" i="108"/>
  <c r="D36" i="108"/>
  <c r="E36" i="108"/>
  <c r="F36" i="108"/>
  <c r="G36" i="108"/>
  <c r="H36" i="108"/>
  <c r="I36" i="108"/>
  <c r="J36" i="108"/>
  <c r="K36" i="108"/>
  <c r="L36" i="108"/>
  <c r="M36" i="108"/>
  <c r="N36" i="108"/>
  <c r="C37" i="108"/>
  <c r="D37" i="108"/>
  <c r="E37" i="108"/>
  <c r="F37" i="108"/>
  <c r="G37" i="108"/>
  <c r="H37" i="108"/>
  <c r="I37" i="108"/>
  <c r="J37" i="108"/>
  <c r="K37" i="108"/>
  <c r="L37" i="108"/>
  <c r="M37" i="108"/>
  <c r="N37" i="108"/>
  <c r="C38" i="108"/>
  <c r="D38" i="108"/>
  <c r="E38" i="108"/>
  <c r="F38" i="108"/>
  <c r="G38" i="108"/>
  <c r="H38" i="108"/>
  <c r="I38" i="108"/>
  <c r="J38" i="108"/>
  <c r="K38" i="108"/>
  <c r="L38" i="108"/>
  <c r="M38" i="108"/>
  <c r="N38" i="108"/>
  <c r="C39" i="108"/>
  <c r="D39" i="108"/>
  <c r="E39" i="108"/>
  <c r="F39" i="108"/>
  <c r="G39" i="108"/>
  <c r="H39" i="108"/>
  <c r="I39" i="108"/>
  <c r="J39" i="108"/>
  <c r="K39" i="108"/>
  <c r="L39" i="108"/>
  <c r="M39" i="108"/>
  <c r="N39" i="108"/>
  <c r="C40" i="108"/>
  <c r="D40" i="108"/>
  <c r="E40" i="108"/>
  <c r="F40" i="108"/>
  <c r="G40" i="108"/>
  <c r="H40" i="108"/>
  <c r="I40" i="108"/>
  <c r="J40" i="108"/>
  <c r="K40" i="108"/>
  <c r="L40" i="108"/>
  <c r="M40" i="108"/>
  <c r="N40" i="108"/>
  <c r="C41" i="108"/>
  <c r="D41" i="108"/>
  <c r="E41" i="108"/>
  <c r="F41" i="108"/>
  <c r="G41" i="108"/>
  <c r="H41" i="108"/>
  <c r="I41" i="108"/>
  <c r="J41" i="108"/>
  <c r="K41" i="108"/>
  <c r="L41" i="108"/>
  <c r="M41" i="108"/>
  <c r="N41" i="108"/>
  <c r="C42" i="108"/>
  <c r="D42" i="108"/>
  <c r="E42" i="108"/>
  <c r="F42" i="108"/>
  <c r="G42" i="108"/>
  <c r="H42" i="108"/>
  <c r="I42" i="108"/>
  <c r="J42" i="108"/>
  <c r="K42" i="108"/>
  <c r="L42" i="108"/>
  <c r="M42" i="108"/>
  <c r="N42" i="108"/>
  <c r="C43" i="108"/>
  <c r="D43" i="108"/>
  <c r="E43" i="108"/>
  <c r="F43" i="108"/>
  <c r="G43" i="108"/>
  <c r="H43" i="108"/>
  <c r="I43" i="108"/>
  <c r="J43" i="108"/>
  <c r="K43" i="108"/>
  <c r="L43" i="108"/>
  <c r="M43" i="108"/>
  <c r="N43" i="108"/>
  <c r="C44" i="108"/>
  <c r="D44" i="108"/>
  <c r="E44" i="108"/>
  <c r="F44" i="108"/>
  <c r="G44" i="108"/>
  <c r="H44" i="108"/>
  <c r="I44" i="108"/>
  <c r="J44" i="108"/>
  <c r="K44" i="108"/>
  <c r="L44" i="108"/>
  <c r="M44" i="108"/>
  <c r="N44" i="108"/>
  <c r="C45" i="108"/>
  <c r="D45" i="108"/>
  <c r="E45" i="108"/>
  <c r="F45" i="108"/>
  <c r="G45" i="108"/>
  <c r="H45" i="108"/>
  <c r="I45" i="108"/>
  <c r="J45" i="108"/>
  <c r="K45" i="108"/>
  <c r="L45" i="108"/>
  <c r="M45" i="108"/>
  <c r="N45" i="108"/>
  <c r="C46" i="108"/>
  <c r="D46" i="108"/>
  <c r="E46" i="108"/>
  <c r="F46" i="108"/>
  <c r="G46" i="108"/>
  <c r="H46" i="108"/>
  <c r="I46" i="108"/>
  <c r="J46" i="108"/>
  <c r="K46" i="108"/>
  <c r="L46" i="108"/>
  <c r="M46" i="108"/>
  <c r="N46" i="108"/>
  <c r="C47" i="108"/>
  <c r="D47" i="108"/>
  <c r="E47" i="108"/>
  <c r="F47" i="108"/>
  <c r="G47" i="108"/>
  <c r="H47" i="108"/>
  <c r="I47" i="108"/>
  <c r="J47" i="108"/>
  <c r="K47" i="108"/>
  <c r="L47" i="108"/>
  <c r="M47" i="108"/>
  <c r="N47" i="108"/>
  <c r="C48" i="108"/>
  <c r="D48" i="108"/>
  <c r="E48" i="108"/>
  <c r="F48" i="108"/>
  <c r="G48" i="108"/>
  <c r="H48" i="108"/>
  <c r="I48" i="108"/>
  <c r="J48" i="108"/>
  <c r="K48" i="108"/>
  <c r="L48" i="108"/>
  <c r="M48" i="108"/>
  <c r="N48" i="108"/>
  <c r="C49" i="108"/>
  <c r="D49" i="108"/>
  <c r="E49" i="108"/>
  <c r="F49" i="108"/>
  <c r="G49" i="108"/>
  <c r="H49" i="108"/>
  <c r="I49" i="108"/>
  <c r="J49" i="108"/>
  <c r="K49" i="108"/>
  <c r="L49" i="108"/>
  <c r="M49" i="108"/>
  <c r="N49" i="108"/>
  <c r="C50" i="108"/>
  <c r="D50" i="108"/>
  <c r="E50" i="108"/>
  <c r="F50" i="108"/>
  <c r="G50" i="108"/>
  <c r="H50" i="108"/>
  <c r="I50" i="108"/>
  <c r="J50" i="108"/>
  <c r="K50" i="108"/>
  <c r="L50" i="108"/>
  <c r="M50" i="108"/>
  <c r="N50" i="108"/>
  <c r="C51" i="108"/>
  <c r="D51" i="108"/>
  <c r="E51" i="108"/>
  <c r="F51" i="108"/>
  <c r="G51" i="108"/>
  <c r="H51" i="108"/>
  <c r="I51" i="108"/>
  <c r="J51" i="108"/>
  <c r="K51" i="108"/>
  <c r="L51" i="108"/>
  <c r="M51" i="108"/>
  <c r="N51" i="108"/>
  <c r="C52" i="108"/>
  <c r="D52" i="108"/>
  <c r="E52" i="108"/>
  <c r="F52" i="108"/>
  <c r="G52" i="108"/>
  <c r="H52" i="108"/>
  <c r="I52" i="108"/>
  <c r="J52" i="108"/>
  <c r="K52" i="108"/>
  <c r="L52" i="108"/>
  <c r="M52" i="108"/>
  <c r="N52" i="108"/>
  <c r="C53" i="108"/>
  <c r="D53" i="108"/>
  <c r="E53" i="108"/>
  <c r="F53" i="108"/>
  <c r="G53" i="108"/>
  <c r="H53" i="108"/>
  <c r="I53" i="108"/>
  <c r="J53" i="108"/>
  <c r="K53" i="108"/>
  <c r="L53" i="108"/>
  <c r="M53" i="108"/>
  <c r="N53" i="108"/>
  <c r="C54" i="108"/>
  <c r="D54" i="108"/>
  <c r="E54" i="108"/>
  <c r="F54" i="108"/>
  <c r="G54" i="108"/>
  <c r="H54" i="108"/>
  <c r="I54" i="108"/>
  <c r="J54" i="108"/>
  <c r="K54" i="108"/>
  <c r="L54" i="108"/>
  <c r="M54" i="108"/>
  <c r="N54" i="108"/>
  <c r="C55" i="108"/>
  <c r="D55" i="108"/>
  <c r="E55" i="108"/>
  <c r="F55" i="108"/>
  <c r="G55" i="108"/>
  <c r="H55" i="108"/>
  <c r="I55" i="108"/>
  <c r="J55" i="108"/>
  <c r="K55" i="108"/>
  <c r="L55" i="108"/>
  <c r="M55" i="108"/>
  <c r="N55" i="108"/>
  <c r="C56" i="108"/>
  <c r="D56" i="108"/>
  <c r="E56" i="108"/>
  <c r="F56" i="108"/>
  <c r="G56" i="108"/>
  <c r="H56" i="108"/>
  <c r="I56" i="108"/>
  <c r="J56" i="108"/>
  <c r="K56" i="108"/>
  <c r="L56" i="108"/>
  <c r="M56" i="108"/>
  <c r="N56" i="108"/>
  <c r="C57" i="108"/>
  <c r="D57" i="108"/>
  <c r="E57" i="108"/>
  <c r="F57" i="108"/>
  <c r="G57" i="108"/>
  <c r="H57" i="108"/>
  <c r="I57" i="108"/>
  <c r="J57" i="108"/>
  <c r="K57" i="108"/>
  <c r="L57" i="108"/>
  <c r="M57" i="108"/>
  <c r="N57" i="108"/>
  <c r="D10" i="108"/>
  <c r="D106" i="108" s="1"/>
  <c r="E10" i="108"/>
  <c r="F10" i="108"/>
  <c r="G10" i="108"/>
  <c r="H10" i="108"/>
  <c r="H106" i="108" s="1"/>
  <c r="I10" i="108"/>
  <c r="J10" i="108"/>
  <c r="K10" i="108"/>
  <c r="L10" i="108"/>
  <c r="L106" i="108" s="1"/>
  <c r="M10" i="108"/>
  <c r="N10" i="108"/>
  <c r="C10" i="108"/>
  <c r="C11" i="107"/>
  <c r="C11" i="111" s="1"/>
  <c r="D11" i="107"/>
  <c r="D11" i="111" s="1"/>
  <c r="E11" i="107"/>
  <c r="E11" i="111" s="1"/>
  <c r="F11" i="107"/>
  <c r="F11" i="111" s="1"/>
  <c r="G11" i="107"/>
  <c r="G11" i="111" s="1"/>
  <c r="H11" i="107"/>
  <c r="H11" i="111" s="1"/>
  <c r="I11" i="107"/>
  <c r="I11" i="111" s="1"/>
  <c r="J11" i="107"/>
  <c r="J11" i="111" s="1"/>
  <c r="K11" i="107"/>
  <c r="K11" i="111" s="1"/>
  <c r="L11" i="107"/>
  <c r="L11" i="111" s="1"/>
  <c r="M11" i="107"/>
  <c r="M11" i="111" s="1"/>
  <c r="N11" i="107"/>
  <c r="N11" i="111" s="1"/>
  <c r="C12" i="107"/>
  <c r="C12" i="111" s="1"/>
  <c r="D12" i="107"/>
  <c r="D12" i="111" s="1"/>
  <c r="E12" i="107"/>
  <c r="E12" i="111" s="1"/>
  <c r="F12" i="107"/>
  <c r="F12" i="111" s="1"/>
  <c r="G12" i="107"/>
  <c r="G12" i="111" s="1"/>
  <c r="H12" i="107"/>
  <c r="H12" i="111" s="1"/>
  <c r="I12" i="107"/>
  <c r="I12" i="111" s="1"/>
  <c r="J12" i="107"/>
  <c r="J12" i="111" s="1"/>
  <c r="K12" i="107"/>
  <c r="K12" i="111" s="1"/>
  <c r="L12" i="107"/>
  <c r="L12" i="111" s="1"/>
  <c r="M12" i="107"/>
  <c r="M12" i="111" s="1"/>
  <c r="N12" i="107"/>
  <c r="N12" i="111" s="1"/>
  <c r="C13" i="107"/>
  <c r="C13" i="111" s="1"/>
  <c r="D13" i="107"/>
  <c r="D13" i="111" s="1"/>
  <c r="E13" i="107"/>
  <c r="E13" i="111" s="1"/>
  <c r="F13" i="107"/>
  <c r="F13" i="111" s="1"/>
  <c r="G13" i="107"/>
  <c r="G13" i="111" s="1"/>
  <c r="H13" i="107"/>
  <c r="H13" i="111" s="1"/>
  <c r="I13" i="107"/>
  <c r="I13" i="111" s="1"/>
  <c r="J13" i="107"/>
  <c r="J13" i="111" s="1"/>
  <c r="K13" i="107"/>
  <c r="K13" i="111" s="1"/>
  <c r="L13" i="107"/>
  <c r="L13" i="111" s="1"/>
  <c r="M13" i="107"/>
  <c r="M13" i="111" s="1"/>
  <c r="N13" i="107"/>
  <c r="N13" i="111" s="1"/>
  <c r="C14" i="107"/>
  <c r="C14" i="111" s="1"/>
  <c r="D14" i="107"/>
  <c r="D14" i="111" s="1"/>
  <c r="E14" i="107"/>
  <c r="E14" i="111" s="1"/>
  <c r="F14" i="107"/>
  <c r="F14" i="111" s="1"/>
  <c r="G14" i="107"/>
  <c r="G14" i="111" s="1"/>
  <c r="H14" i="107"/>
  <c r="H14" i="111" s="1"/>
  <c r="I14" i="107"/>
  <c r="I14" i="111" s="1"/>
  <c r="J14" i="107"/>
  <c r="J14" i="111" s="1"/>
  <c r="K14" i="107"/>
  <c r="K14" i="111" s="1"/>
  <c r="L14" i="107"/>
  <c r="L14" i="111" s="1"/>
  <c r="M14" i="107"/>
  <c r="M14" i="111" s="1"/>
  <c r="N14" i="107"/>
  <c r="N14" i="111" s="1"/>
  <c r="C15" i="107"/>
  <c r="C15" i="111" s="1"/>
  <c r="D15" i="107"/>
  <c r="D15" i="111" s="1"/>
  <c r="E15" i="107"/>
  <c r="E15" i="111" s="1"/>
  <c r="F15" i="107"/>
  <c r="F15" i="111" s="1"/>
  <c r="G15" i="107"/>
  <c r="G15" i="111" s="1"/>
  <c r="H15" i="107"/>
  <c r="H15" i="111" s="1"/>
  <c r="I15" i="107"/>
  <c r="I15" i="111" s="1"/>
  <c r="J15" i="107"/>
  <c r="J15" i="111" s="1"/>
  <c r="K15" i="107"/>
  <c r="K15" i="111" s="1"/>
  <c r="L15" i="107"/>
  <c r="L15" i="111" s="1"/>
  <c r="M15" i="107"/>
  <c r="M15" i="111" s="1"/>
  <c r="N15" i="107"/>
  <c r="N15" i="111" s="1"/>
  <c r="C16" i="107"/>
  <c r="C16" i="111" s="1"/>
  <c r="D16" i="107"/>
  <c r="D16" i="111" s="1"/>
  <c r="E16" i="107"/>
  <c r="E16" i="111" s="1"/>
  <c r="F16" i="107"/>
  <c r="F16" i="111" s="1"/>
  <c r="G16" i="107"/>
  <c r="G16" i="111" s="1"/>
  <c r="H16" i="107"/>
  <c r="H16" i="111" s="1"/>
  <c r="I16" i="107"/>
  <c r="I16" i="111" s="1"/>
  <c r="J16" i="107"/>
  <c r="J16" i="111" s="1"/>
  <c r="K16" i="107"/>
  <c r="K16" i="111" s="1"/>
  <c r="L16" i="107"/>
  <c r="L16" i="111" s="1"/>
  <c r="M16" i="107"/>
  <c r="M16" i="111" s="1"/>
  <c r="N16" i="107"/>
  <c r="N16" i="111" s="1"/>
  <c r="C17" i="107"/>
  <c r="C17" i="111" s="1"/>
  <c r="D17" i="107"/>
  <c r="D17" i="111" s="1"/>
  <c r="E17" i="107"/>
  <c r="E17" i="111" s="1"/>
  <c r="F17" i="107"/>
  <c r="F17" i="111" s="1"/>
  <c r="G17" i="107"/>
  <c r="G17" i="111" s="1"/>
  <c r="H17" i="107"/>
  <c r="H17" i="111" s="1"/>
  <c r="I17" i="107"/>
  <c r="I17" i="111" s="1"/>
  <c r="J17" i="107"/>
  <c r="J17" i="111" s="1"/>
  <c r="K17" i="107"/>
  <c r="K17" i="111" s="1"/>
  <c r="L17" i="107"/>
  <c r="L17" i="111" s="1"/>
  <c r="M17" i="107"/>
  <c r="M17" i="111" s="1"/>
  <c r="N17" i="107"/>
  <c r="N17" i="111" s="1"/>
  <c r="C18" i="107"/>
  <c r="C18" i="111" s="1"/>
  <c r="D18" i="107"/>
  <c r="D18" i="111" s="1"/>
  <c r="E18" i="107"/>
  <c r="E18" i="111" s="1"/>
  <c r="F18" i="107"/>
  <c r="F18" i="111" s="1"/>
  <c r="G18" i="107"/>
  <c r="G18" i="111" s="1"/>
  <c r="H18" i="107"/>
  <c r="H18" i="111" s="1"/>
  <c r="I18" i="107"/>
  <c r="I18" i="111" s="1"/>
  <c r="J18" i="107"/>
  <c r="J18" i="111" s="1"/>
  <c r="K18" i="107"/>
  <c r="K18" i="111" s="1"/>
  <c r="L18" i="107"/>
  <c r="L18" i="111" s="1"/>
  <c r="M18" i="107"/>
  <c r="M18" i="111" s="1"/>
  <c r="N18" i="107"/>
  <c r="N18" i="111" s="1"/>
  <c r="C19" i="107"/>
  <c r="C19" i="111" s="1"/>
  <c r="D19" i="107"/>
  <c r="D19" i="111" s="1"/>
  <c r="E19" i="107"/>
  <c r="E19" i="111" s="1"/>
  <c r="F19" i="107"/>
  <c r="F19" i="111" s="1"/>
  <c r="G19" i="107"/>
  <c r="G19" i="111" s="1"/>
  <c r="H19" i="107"/>
  <c r="H19" i="111" s="1"/>
  <c r="I19" i="107"/>
  <c r="I19" i="111" s="1"/>
  <c r="J19" i="107"/>
  <c r="J19" i="111" s="1"/>
  <c r="K19" i="107"/>
  <c r="K19" i="111" s="1"/>
  <c r="L19" i="107"/>
  <c r="L19" i="111" s="1"/>
  <c r="M19" i="107"/>
  <c r="M19" i="111" s="1"/>
  <c r="N19" i="107"/>
  <c r="N19" i="111" s="1"/>
  <c r="C20" i="107"/>
  <c r="C20" i="111" s="1"/>
  <c r="D20" i="107"/>
  <c r="D20" i="111" s="1"/>
  <c r="E20" i="107"/>
  <c r="E20" i="111" s="1"/>
  <c r="F20" i="107"/>
  <c r="F20" i="111" s="1"/>
  <c r="G20" i="107"/>
  <c r="G20" i="111" s="1"/>
  <c r="H20" i="107"/>
  <c r="H20" i="111" s="1"/>
  <c r="I20" i="107"/>
  <c r="I20" i="111" s="1"/>
  <c r="J20" i="107"/>
  <c r="J20" i="111" s="1"/>
  <c r="K20" i="107"/>
  <c r="K20" i="111" s="1"/>
  <c r="L20" i="107"/>
  <c r="L20" i="111" s="1"/>
  <c r="M20" i="107"/>
  <c r="M20" i="111" s="1"/>
  <c r="N20" i="107"/>
  <c r="N20" i="111" s="1"/>
  <c r="C21" i="107"/>
  <c r="C21" i="111" s="1"/>
  <c r="D21" i="107"/>
  <c r="D21" i="111" s="1"/>
  <c r="E21" i="107"/>
  <c r="E21" i="111" s="1"/>
  <c r="F21" i="107"/>
  <c r="F21" i="111" s="1"/>
  <c r="G21" i="107"/>
  <c r="G21" i="111" s="1"/>
  <c r="H21" i="107"/>
  <c r="H21" i="111" s="1"/>
  <c r="I21" i="107"/>
  <c r="I21" i="111" s="1"/>
  <c r="J21" i="107"/>
  <c r="J21" i="111" s="1"/>
  <c r="K21" i="107"/>
  <c r="K21" i="111" s="1"/>
  <c r="L21" i="107"/>
  <c r="L21" i="111" s="1"/>
  <c r="M21" i="107"/>
  <c r="M21" i="111" s="1"/>
  <c r="N21" i="107"/>
  <c r="N21" i="111" s="1"/>
  <c r="C22" i="107"/>
  <c r="C22" i="111" s="1"/>
  <c r="D22" i="107"/>
  <c r="D22" i="111" s="1"/>
  <c r="E22" i="107"/>
  <c r="E22" i="111" s="1"/>
  <c r="F22" i="107"/>
  <c r="F22" i="111" s="1"/>
  <c r="G22" i="107"/>
  <c r="G22" i="111" s="1"/>
  <c r="H22" i="107"/>
  <c r="H22" i="111" s="1"/>
  <c r="I22" i="107"/>
  <c r="I22" i="111" s="1"/>
  <c r="J22" i="107"/>
  <c r="J22" i="111" s="1"/>
  <c r="K22" i="107"/>
  <c r="K22" i="111" s="1"/>
  <c r="L22" i="107"/>
  <c r="L22" i="111" s="1"/>
  <c r="M22" i="107"/>
  <c r="M22" i="111" s="1"/>
  <c r="N22" i="107"/>
  <c r="N22" i="111" s="1"/>
  <c r="C23" i="107"/>
  <c r="C23" i="111" s="1"/>
  <c r="D23" i="107"/>
  <c r="D23" i="111" s="1"/>
  <c r="E23" i="107"/>
  <c r="E23" i="111" s="1"/>
  <c r="F23" i="107"/>
  <c r="F23" i="111" s="1"/>
  <c r="G23" i="107"/>
  <c r="G23" i="111" s="1"/>
  <c r="H23" i="107"/>
  <c r="H23" i="111" s="1"/>
  <c r="I23" i="107"/>
  <c r="I23" i="111" s="1"/>
  <c r="J23" i="107"/>
  <c r="J23" i="111" s="1"/>
  <c r="K23" i="107"/>
  <c r="K23" i="111" s="1"/>
  <c r="L23" i="107"/>
  <c r="L23" i="111" s="1"/>
  <c r="M23" i="107"/>
  <c r="M23" i="111" s="1"/>
  <c r="N23" i="107"/>
  <c r="N23" i="111" s="1"/>
  <c r="C24" i="107"/>
  <c r="C24" i="111" s="1"/>
  <c r="D24" i="107"/>
  <c r="D24" i="111" s="1"/>
  <c r="E24" i="107"/>
  <c r="E24" i="111" s="1"/>
  <c r="F24" i="107"/>
  <c r="F24" i="111" s="1"/>
  <c r="G24" i="107"/>
  <c r="G24" i="111" s="1"/>
  <c r="H24" i="107"/>
  <c r="H24" i="111" s="1"/>
  <c r="I24" i="107"/>
  <c r="I24" i="111" s="1"/>
  <c r="J24" i="107"/>
  <c r="J24" i="111" s="1"/>
  <c r="K24" i="107"/>
  <c r="K24" i="111" s="1"/>
  <c r="L24" i="107"/>
  <c r="L24" i="111" s="1"/>
  <c r="M24" i="107"/>
  <c r="M24" i="111" s="1"/>
  <c r="N24" i="107"/>
  <c r="N24" i="111" s="1"/>
  <c r="C25" i="107"/>
  <c r="C25" i="111" s="1"/>
  <c r="D25" i="107"/>
  <c r="D25" i="111" s="1"/>
  <c r="E25" i="107"/>
  <c r="E25" i="111" s="1"/>
  <c r="F25" i="107"/>
  <c r="F25" i="111" s="1"/>
  <c r="G25" i="107"/>
  <c r="G25" i="111" s="1"/>
  <c r="H25" i="107"/>
  <c r="H25" i="111" s="1"/>
  <c r="I25" i="107"/>
  <c r="I25" i="111" s="1"/>
  <c r="J25" i="107"/>
  <c r="J25" i="111" s="1"/>
  <c r="K25" i="107"/>
  <c r="K25" i="111" s="1"/>
  <c r="L25" i="107"/>
  <c r="L25" i="111" s="1"/>
  <c r="M25" i="107"/>
  <c r="M25" i="111" s="1"/>
  <c r="N25" i="107"/>
  <c r="N25" i="111" s="1"/>
  <c r="C26" i="107"/>
  <c r="C26" i="111" s="1"/>
  <c r="D26" i="107"/>
  <c r="D26" i="111" s="1"/>
  <c r="E26" i="107"/>
  <c r="E26" i="111" s="1"/>
  <c r="F26" i="107"/>
  <c r="F26" i="111" s="1"/>
  <c r="G26" i="107"/>
  <c r="G26" i="111" s="1"/>
  <c r="H26" i="107"/>
  <c r="H26" i="111" s="1"/>
  <c r="I26" i="107"/>
  <c r="I26" i="111" s="1"/>
  <c r="J26" i="107"/>
  <c r="J26" i="111" s="1"/>
  <c r="K26" i="107"/>
  <c r="K26" i="111" s="1"/>
  <c r="L26" i="107"/>
  <c r="L26" i="111" s="1"/>
  <c r="M26" i="107"/>
  <c r="M26" i="111" s="1"/>
  <c r="N26" i="107"/>
  <c r="N26" i="111" s="1"/>
  <c r="C27" i="107"/>
  <c r="C27" i="111" s="1"/>
  <c r="D27" i="107"/>
  <c r="D27" i="111" s="1"/>
  <c r="E27" i="107"/>
  <c r="E27" i="111" s="1"/>
  <c r="F27" i="107"/>
  <c r="F27" i="111" s="1"/>
  <c r="G27" i="107"/>
  <c r="G27" i="111" s="1"/>
  <c r="H27" i="107"/>
  <c r="H27" i="111" s="1"/>
  <c r="I27" i="107"/>
  <c r="I27" i="111" s="1"/>
  <c r="J27" i="107"/>
  <c r="J27" i="111" s="1"/>
  <c r="K27" i="107"/>
  <c r="K27" i="111" s="1"/>
  <c r="L27" i="107"/>
  <c r="L27" i="111" s="1"/>
  <c r="M27" i="107"/>
  <c r="M27" i="111" s="1"/>
  <c r="N27" i="107"/>
  <c r="N27" i="111" s="1"/>
  <c r="C28" i="107"/>
  <c r="C28" i="111" s="1"/>
  <c r="D28" i="107"/>
  <c r="D28" i="111" s="1"/>
  <c r="E28" i="107"/>
  <c r="E28" i="111" s="1"/>
  <c r="F28" i="107"/>
  <c r="F28" i="111" s="1"/>
  <c r="G28" i="107"/>
  <c r="G28" i="111" s="1"/>
  <c r="H28" i="107"/>
  <c r="H28" i="111" s="1"/>
  <c r="I28" i="107"/>
  <c r="I28" i="111" s="1"/>
  <c r="J28" i="107"/>
  <c r="J28" i="111" s="1"/>
  <c r="K28" i="107"/>
  <c r="K28" i="111" s="1"/>
  <c r="L28" i="107"/>
  <c r="L28" i="111" s="1"/>
  <c r="M28" i="107"/>
  <c r="M28" i="111" s="1"/>
  <c r="N28" i="107"/>
  <c r="N28" i="111" s="1"/>
  <c r="C29" i="107"/>
  <c r="C29" i="111" s="1"/>
  <c r="D29" i="107"/>
  <c r="D29" i="111" s="1"/>
  <c r="E29" i="107"/>
  <c r="E29" i="111" s="1"/>
  <c r="F29" i="107"/>
  <c r="F29" i="111" s="1"/>
  <c r="G29" i="107"/>
  <c r="G29" i="111" s="1"/>
  <c r="H29" i="107"/>
  <c r="H29" i="111" s="1"/>
  <c r="I29" i="107"/>
  <c r="I29" i="111" s="1"/>
  <c r="J29" i="107"/>
  <c r="J29" i="111" s="1"/>
  <c r="K29" i="107"/>
  <c r="K29" i="111" s="1"/>
  <c r="L29" i="107"/>
  <c r="L29" i="111" s="1"/>
  <c r="M29" i="107"/>
  <c r="M29" i="111" s="1"/>
  <c r="N29" i="107"/>
  <c r="N29" i="111" s="1"/>
  <c r="C30" i="107"/>
  <c r="C30" i="111" s="1"/>
  <c r="D30" i="107"/>
  <c r="D30" i="111" s="1"/>
  <c r="E30" i="107"/>
  <c r="E30" i="111" s="1"/>
  <c r="F30" i="107"/>
  <c r="F30" i="111" s="1"/>
  <c r="G30" i="107"/>
  <c r="G30" i="111" s="1"/>
  <c r="H30" i="107"/>
  <c r="H30" i="111" s="1"/>
  <c r="I30" i="107"/>
  <c r="I30" i="111" s="1"/>
  <c r="J30" i="107"/>
  <c r="J30" i="111" s="1"/>
  <c r="K30" i="107"/>
  <c r="K30" i="111" s="1"/>
  <c r="L30" i="107"/>
  <c r="L30" i="111" s="1"/>
  <c r="M30" i="107"/>
  <c r="M30" i="111" s="1"/>
  <c r="N30" i="107"/>
  <c r="N30" i="111" s="1"/>
  <c r="C31" i="107"/>
  <c r="C31" i="111" s="1"/>
  <c r="D31" i="107"/>
  <c r="D31" i="111" s="1"/>
  <c r="E31" i="107"/>
  <c r="E31" i="111" s="1"/>
  <c r="F31" i="107"/>
  <c r="F31" i="111" s="1"/>
  <c r="G31" i="107"/>
  <c r="G31" i="111" s="1"/>
  <c r="H31" i="107"/>
  <c r="H31" i="111" s="1"/>
  <c r="I31" i="107"/>
  <c r="I31" i="111" s="1"/>
  <c r="J31" i="107"/>
  <c r="J31" i="111" s="1"/>
  <c r="K31" i="107"/>
  <c r="K31" i="111" s="1"/>
  <c r="L31" i="107"/>
  <c r="L31" i="111" s="1"/>
  <c r="M31" i="107"/>
  <c r="M31" i="111" s="1"/>
  <c r="N31" i="107"/>
  <c r="N31" i="111" s="1"/>
  <c r="C32" i="107"/>
  <c r="C32" i="111" s="1"/>
  <c r="D32" i="107"/>
  <c r="D32" i="111" s="1"/>
  <c r="E32" i="107"/>
  <c r="E32" i="111" s="1"/>
  <c r="F32" i="107"/>
  <c r="F32" i="111" s="1"/>
  <c r="G32" i="107"/>
  <c r="G32" i="111" s="1"/>
  <c r="H32" i="107"/>
  <c r="H32" i="111" s="1"/>
  <c r="I32" i="107"/>
  <c r="I32" i="111" s="1"/>
  <c r="J32" i="107"/>
  <c r="J32" i="111" s="1"/>
  <c r="K32" i="107"/>
  <c r="K32" i="111" s="1"/>
  <c r="L32" i="107"/>
  <c r="L32" i="111" s="1"/>
  <c r="M32" i="107"/>
  <c r="M32" i="111" s="1"/>
  <c r="N32" i="107"/>
  <c r="N32" i="111" s="1"/>
  <c r="C33" i="107"/>
  <c r="C33" i="111" s="1"/>
  <c r="D33" i="107"/>
  <c r="D33" i="111" s="1"/>
  <c r="E33" i="107"/>
  <c r="E33" i="111" s="1"/>
  <c r="F33" i="107"/>
  <c r="F33" i="111" s="1"/>
  <c r="G33" i="107"/>
  <c r="G33" i="111" s="1"/>
  <c r="H33" i="107"/>
  <c r="H33" i="111" s="1"/>
  <c r="I33" i="107"/>
  <c r="I33" i="111" s="1"/>
  <c r="J33" i="107"/>
  <c r="J33" i="111" s="1"/>
  <c r="K33" i="107"/>
  <c r="K33" i="111" s="1"/>
  <c r="L33" i="107"/>
  <c r="L33" i="111" s="1"/>
  <c r="M33" i="107"/>
  <c r="M33" i="111" s="1"/>
  <c r="N33" i="107"/>
  <c r="N33" i="111" s="1"/>
  <c r="C34" i="107"/>
  <c r="C34" i="111" s="1"/>
  <c r="D34" i="107"/>
  <c r="D34" i="111" s="1"/>
  <c r="E34" i="107"/>
  <c r="E34" i="111" s="1"/>
  <c r="F34" i="107"/>
  <c r="F34" i="111" s="1"/>
  <c r="G34" i="107"/>
  <c r="G34" i="111" s="1"/>
  <c r="H34" i="107"/>
  <c r="H34" i="111" s="1"/>
  <c r="I34" i="107"/>
  <c r="I34" i="111" s="1"/>
  <c r="J34" i="107"/>
  <c r="J34" i="111" s="1"/>
  <c r="K34" i="107"/>
  <c r="K34" i="111" s="1"/>
  <c r="L34" i="107"/>
  <c r="L34" i="111" s="1"/>
  <c r="M34" i="107"/>
  <c r="M34" i="111" s="1"/>
  <c r="N34" i="107"/>
  <c r="N34" i="111" s="1"/>
  <c r="C35" i="107"/>
  <c r="C35" i="111" s="1"/>
  <c r="D35" i="107"/>
  <c r="D35" i="111" s="1"/>
  <c r="E35" i="107"/>
  <c r="E35" i="111" s="1"/>
  <c r="F35" i="107"/>
  <c r="F35" i="111" s="1"/>
  <c r="G35" i="107"/>
  <c r="G35" i="111" s="1"/>
  <c r="H35" i="107"/>
  <c r="H35" i="111" s="1"/>
  <c r="I35" i="107"/>
  <c r="I35" i="111" s="1"/>
  <c r="J35" i="107"/>
  <c r="J35" i="111" s="1"/>
  <c r="K35" i="107"/>
  <c r="K35" i="111" s="1"/>
  <c r="L35" i="107"/>
  <c r="L35" i="111" s="1"/>
  <c r="M35" i="107"/>
  <c r="M35" i="111" s="1"/>
  <c r="N35" i="107"/>
  <c r="N35" i="111" s="1"/>
  <c r="C36" i="107"/>
  <c r="C36" i="111" s="1"/>
  <c r="D36" i="107"/>
  <c r="D36" i="111" s="1"/>
  <c r="E36" i="107"/>
  <c r="E36" i="111" s="1"/>
  <c r="F36" i="107"/>
  <c r="F36" i="111" s="1"/>
  <c r="G36" i="107"/>
  <c r="G36" i="111" s="1"/>
  <c r="H36" i="107"/>
  <c r="H36" i="111" s="1"/>
  <c r="I36" i="107"/>
  <c r="I36" i="111" s="1"/>
  <c r="J36" i="107"/>
  <c r="J36" i="111" s="1"/>
  <c r="K36" i="107"/>
  <c r="K36" i="111" s="1"/>
  <c r="L36" i="107"/>
  <c r="L36" i="111" s="1"/>
  <c r="M36" i="107"/>
  <c r="M36" i="111" s="1"/>
  <c r="N36" i="107"/>
  <c r="N36" i="111" s="1"/>
  <c r="C37" i="107"/>
  <c r="C37" i="111" s="1"/>
  <c r="D37" i="107"/>
  <c r="D37" i="111" s="1"/>
  <c r="E37" i="107"/>
  <c r="E37" i="111" s="1"/>
  <c r="F37" i="107"/>
  <c r="F37" i="111" s="1"/>
  <c r="G37" i="107"/>
  <c r="G37" i="111" s="1"/>
  <c r="H37" i="107"/>
  <c r="H37" i="111" s="1"/>
  <c r="I37" i="107"/>
  <c r="I37" i="111" s="1"/>
  <c r="J37" i="107"/>
  <c r="J37" i="111" s="1"/>
  <c r="K37" i="107"/>
  <c r="K37" i="111" s="1"/>
  <c r="L37" i="107"/>
  <c r="L37" i="111" s="1"/>
  <c r="M37" i="107"/>
  <c r="M37" i="111" s="1"/>
  <c r="N37" i="107"/>
  <c r="N37" i="111" s="1"/>
  <c r="C38" i="107"/>
  <c r="C38" i="111" s="1"/>
  <c r="D38" i="107"/>
  <c r="D38" i="111" s="1"/>
  <c r="E38" i="107"/>
  <c r="E38" i="111" s="1"/>
  <c r="F38" i="107"/>
  <c r="F38" i="111" s="1"/>
  <c r="G38" i="107"/>
  <c r="G38" i="111" s="1"/>
  <c r="H38" i="107"/>
  <c r="H38" i="111" s="1"/>
  <c r="I38" i="107"/>
  <c r="I38" i="111" s="1"/>
  <c r="J38" i="107"/>
  <c r="J38" i="111" s="1"/>
  <c r="K38" i="107"/>
  <c r="K38" i="111" s="1"/>
  <c r="L38" i="107"/>
  <c r="L38" i="111" s="1"/>
  <c r="M38" i="107"/>
  <c r="M38" i="111" s="1"/>
  <c r="N38" i="107"/>
  <c r="N38" i="111" s="1"/>
  <c r="C39" i="107"/>
  <c r="C39" i="111" s="1"/>
  <c r="D39" i="107"/>
  <c r="D39" i="111" s="1"/>
  <c r="E39" i="107"/>
  <c r="E39" i="111" s="1"/>
  <c r="F39" i="107"/>
  <c r="F39" i="111" s="1"/>
  <c r="G39" i="107"/>
  <c r="G39" i="111" s="1"/>
  <c r="H39" i="107"/>
  <c r="H39" i="111" s="1"/>
  <c r="I39" i="107"/>
  <c r="I39" i="111" s="1"/>
  <c r="J39" i="107"/>
  <c r="J39" i="111" s="1"/>
  <c r="K39" i="107"/>
  <c r="K39" i="111" s="1"/>
  <c r="L39" i="107"/>
  <c r="L39" i="111" s="1"/>
  <c r="M39" i="107"/>
  <c r="M39" i="111" s="1"/>
  <c r="N39" i="107"/>
  <c r="N39" i="111" s="1"/>
  <c r="C40" i="107"/>
  <c r="C40" i="111" s="1"/>
  <c r="D40" i="107"/>
  <c r="D40" i="111" s="1"/>
  <c r="E40" i="107"/>
  <c r="E40" i="111" s="1"/>
  <c r="F40" i="107"/>
  <c r="F40" i="111" s="1"/>
  <c r="G40" i="107"/>
  <c r="G40" i="111" s="1"/>
  <c r="H40" i="107"/>
  <c r="H40" i="111" s="1"/>
  <c r="I40" i="107"/>
  <c r="I40" i="111" s="1"/>
  <c r="J40" i="107"/>
  <c r="J40" i="111" s="1"/>
  <c r="K40" i="107"/>
  <c r="K40" i="111" s="1"/>
  <c r="L40" i="107"/>
  <c r="L40" i="111" s="1"/>
  <c r="M40" i="107"/>
  <c r="M40" i="111" s="1"/>
  <c r="N40" i="107"/>
  <c r="N40" i="111" s="1"/>
  <c r="C41" i="107"/>
  <c r="C41" i="111" s="1"/>
  <c r="D41" i="107"/>
  <c r="D41" i="111" s="1"/>
  <c r="E41" i="107"/>
  <c r="E41" i="111" s="1"/>
  <c r="F41" i="107"/>
  <c r="F41" i="111" s="1"/>
  <c r="G41" i="107"/>
  <c r="G41" i="111" s="1"/>
  <c r="H41" i="107"/>
  <c r="H41" i="111" s="1"/>
  <c r="I41" i="107"/>
  <c r="I41" i="111" s="1"/>
  <c r="J41" i="107"/>
  <c r="J41" i="111" s="1"/>
  <c r="K41" i="107"/>
  <c r="K41" i="111" s="1"/>
  <c r="L41" i="107"/>
  <c r="L41" i="111" s="1"/>
  <c r="M41" i="107"/>
  <c r="M41" i="111" s="1"/>
  <c r="N41" i="107"/>
  <c r="N41" i="111" s="1"/>
  <c r="C42" i="107"/>
  <c r="C42" i="111" s="1"/>
  <c r="D42" i="107"/>
  <c r="D42" i="111" s="1"/>
  <c r="E42" i="107"/>
  <c r="E42" i="111" s="1"/>
  <c r="F42" i="107"/>
  <c r="F42" i="111" s="1"/>
  <c r="G42" i="107"/>
  <c r="G42" i="111" s="1"/>
  <c r="H42" i="107"/>
  <c r="H42" i="111" s="1"/>
  <c r="I42" i="107"/>
  <c r="I42" i="111" s="1"/>
  <c r="J42" i="107"/>
  <c r="J42" i="111" s="1"/>
  <c r="K42" i="107"/>
  <c r="K42" i="111" s="1"/>
  <c r="L42" i="107"/>
  <c r="L42" i="111" s="1"/>
  <c r="M42" i="107"/>
  <c r="M42" i="111" s="1"/>
  <c r="N42" i="107"/>
  <c r="N42" i="111" s="1"/>
  <c r="C43" i="107"/>
  <c r="C43" i="111" s="1"/>
  <c r="D43" i="107"/>
  <c r="D43" i="111" s="1"/>
  <c r="E43" i="107"/>
  <c r="E43" i="111" s="1"/>
  <c r="F43" i="107"/>
  <c r="F43" i="111" s="1"/>
  <c r="G43" i="107"/>
  <c r="G43" i="111" s="1"/>
  <c r="H43" i="107"/>
  <c r="H43" i="111" s="1"/>
  <c r="I43" i="107"/>
  <c r="I43" i="111" s="1"/>
  <c r="J43" i="107"/>
  <c r="J43" i="111" s="1"/>
  <c r="K43" i="107"/>
  <c r="K43" i="111" s="1"/>
  <c r="L43" i="107"/>
  <c r="L43" i="111" s="1"/>
  <c r="M43" i="107"/>
  <c r="M43" i="111" s="1"/>
  <c r="N43" i="107"/>
  <c r="N43" i="111" s="1"/>
  <c r="C44" i="107"/>
  <c r="C44" i="111" s="1"/>
  <c r="D44" i="107"/>
  <c r="D44" i="111" s="1"/>
  <c r="E44" i="107"/>
  <c r="E44" i="111" s="1"/>
  <c r="F44" i="107"/>
  <c r="F44" i="111" s="1"/>
  <c r="G44" i="107"/>
  <c r="G44" i="111" s="1"/>
  <c r="H44" i="107"/>
  <c r="H44" i="111" s="1"/>
  <c r="I44" i="107"/>
  <c r="I44" i="111" s="1"/>
  <c r="J44" i="107"/>
  <c r="J44" i="111" s="1"/>
  <c r="K44" i="107"/>
  <c r="K44" i="111" s="1"/>
  <c r="L44" i="107"/>
  <c r="L44" i="111" s="1"/>
  <c r="M44" i="107"/>
  <c r="M44" i="111" s="1"/>
  <c r="N44" i="107"/>
  <c r="N44" i="111" s="1"/>
  <c r="C45" i="107"/>
  <c r="C45" i="111" s="1"/>
  <c r="D45" i="107"/>
  <c r="D45" i="111" s="1"/>
  <c r="E45" i="107"/>
  <c r="E45" i="111" s="1"/>
  <c r="F45" i="107"/>
  <c r="F45" i="111" s="1"/>
  <c r="G45" i="107"/>
  <c r="G45" i="111" s="1"/>
  <c r="H45" i="107"/>
  <c r="H45" i="111" s="1"/>
  <c r="I45" i="107"/>
  <c r="I45" i="111" s="1"/>
  <c r="J45" i="107"/>
  <c r="J45" i="111" s="1"/>
  <c r="K45" i="107"/>
  <c r="K45" i="111" s="1"/>
  <c r="L45" i="107"/>
  <c r="L45" i="111" s="1"/>
  <c r="M45" i="107"/>
  <c r="M45" i="111" s="1"/>
  <c r="N45" i="107"/>
  <c r="N45" i="111" s="1"/>
  <c r="C46" i="107"/>
  <c r="C46" i="111" s="1"/>
  <c r="D46" i="107"/>
  <c r="D46" i="111" s="1"/>
  <c r="E46" i="107"/>
  <c r="E46" i="111" s="1"/>
  <c r="F46" i="107"/>
  <c r="F46" i="111" s="1"/>
  <c r="G46" i="107"/>
  <c r="G46" i="111" s="1"/>
  <c r="H46" i="107"/>
  <c r="H46" i="111" s="1"/>
  <c r="I46" i="107"/>
  <c r="I46" i="111" s="1"/>
  <c r="J46" i="107"/>
  <c r="J46" i="111" s="1"/>
  <c r="K46" i="107"/>
  <c r="K46" i="111" s="1"/>
  <c r="L46" i="107"/>
  <c r="L46" i="111" s="1"/>
  <c r="M46" i="107"/>
  <c r="M46" i="111" s="1"/>
  <c r="N46" i="107"/>
  <c r="N46" i="111" s="1"/>
  <c r="C47" i="107"/>
  <c r="C47" i="111" s="1"/>
  <c r="D47" i="107"/>
  <c r="D47" i="111" s="1"/>
  <c r="E47" i="107"/>
  <c r="E47" i="111" s="1"/>
  <c r="F47" i="107"/>
  <c r="F47" i="111" s="1"/>
  <c r="G47" i="107"/>
  <c r="G47" i="111" s="1"/>
  <c r="H47" i="107"/>
  <c r="H47" i="111" s="1"/>
  <c r="I47" i="107"/>
  <c r="I47" i="111" s="1"/>
  <c r="J47" i="107"/>
  <c r="J47" i="111" s="1"/>
  <c r="K47" i="107"/>
  <c r="K47" i="111" s="1"/>
  <c r="L47" i="107"/>
  <c r="L47" i="111" s="1"/>
  <c r="M47" i="107"/>
  <c r="M47" i="111" s="1"/>
  <c r="N47" i="107"/>
  <c r="N47" i="111" s="1"/>
  <c r="C48" i="107"/>
  <c r="C48" i="111" s="1"/>
  <c r="D48" i="107"/>
  <c r="D48" i="111" s="1"/>
  <c r="E48" i="107"/>
  <c r="E48" i="111" s="1"/>
  <c r="F48" i="107"/>
  <c r="F48" i="111" s="1"/>
  <c r="G48" i="107"/>
  <c r="G48" i="111" s="1"/>
  <c r="H48" i="107"/>
  <c r="H48" i="111" s="1"/>
  <c r="I48" i="107"/>
  <c r="I48" i="111" s="1"/>
  <c r="J48" i="107"/>
  <c r="J48" i="111" s="1"/>
  <c r="K48" i="107"/>
  <c r="K48" i="111" s="1"/>
  <c r="L48" i="107"/>
  <c r="L48" i="111" s="1"/>
  <c r="M48" i="107"/>
  <c r="M48" i="111" s="1"/>
  <c r="N48" i="107"/>
  <c r="N48" i="111" s="1"/>
  <c r="C49" i="107"/>
  <c r="C49" i="111" s="1"/>
  <c r="D49" i="107"/>
  <c r="D49" i="111" s="1"/>
  <c r="E49" i="107"/>
  <c r="E49" i="111" s="1"/>
  <c r="F49" i="107"/>
  <c r="F49" i="111" s="1"/>
  <c r="G49" i="107"/>
  <c r="G49" i="111" s="1"/>
  <c r="H49" i="107"/>
  <c r="H49" i="111" s="1"/>
  <c r="I49" i="107"/>
  <c r="I49" i="111" s="1"/>
  <c r="J49" i="107"/>
  <c r="J49" i="111" s="1"/>
  <c r="K49" i="107"/>
  <c r="K49" i="111" s="1"/>
  <c r="L49" i="107"/>
  <c r="L49" i="111" s="1"/>
  <c r="M49" i="107"/>
  <c r="M49" i="111" s="1"/>
  <c r="N49" i="107"/>
  <c r="N49" i="111" s="1"/>
  <c r="C50" i="107"/>
  <c r="C50" i="111" s="1"/>
  <c r="D50" i="107"/>
  <c r="D50" i="111" s="1"/>
  <c r="E50" i="107"/>
  <c r="E50" i="111" s="1"/>
  <c r="F50" i="107"/>
  <c r="F50" i="111" s="1"/>
  <c r="G50" i="107"/>
  <c r="G50" i="111" s="1"/>
  <c r="H50" i="107"/>
  <c r="H50" i="111" s="1"/>
  <c r="I50" i="107"/>
  <c r="I50" i="111" s="1"/>
  <c r="J50" i="107"/>
  <c r="J50" i="111" s="1"/>
  <c r="K50" i="107"/>
  <c r="K50" i="111" s="1"/>
  <c r="L50" i="107"/>
  <c r="L50" i="111" s="1"/>
  <c r="M50" i="107"/>
  <c r="M50" i="111" s="1"/>
  <c r="N50" i="107"/>
  <c r="N50" i="111" s="1"/>
  <c r="C51" i="107"/>
  <c r="C51" i="111" s="1"/>
  <c r="D51" i="107"/>
  <c r="D51" i="111" s="1"/>
  <c r="E51" i="107"/>
  <c r="E51" i="111" s="1"/>
  <c r="F51" i="107"/>
  <c r="F51" i="111" s="1"/>
  <c r="G51" i="107"/>
  <c r="G51" i="111" s="1"/>
  <c r="H51" i="107"/>
  <c r="H51" i="111" s="1"/>
  <c r="I51" i="107"/>
  <c r="I51" i="111" s="1"/>
  <c r="J51" i="107"/>
  <c r="J51" i="111" s="1"/>
  <c r="K51" i="107"/>
  <c r="K51" i="111" s="1"/>
  <c r="L51" i="107"/>
  <c r="L51" i="111" s="1"/>
  <c r="M51" i="107"/>
  <c r="M51" i="111" s="1"/>
  <c r="N51" i="107"/>
  <c r="N51" i="111" s="1"/>
  <c r="C52" i="107"/>
  <c r="C52" i="111" s="1"/>
  <c r="D52" i="107"/>
  <c r="D52" i="111" s="1"/>
  <c r="E52" i="107"/>
  <c r="E52" i="111" s="1"/>
  <c r="F52" i="107"/>
  <c r="F52" i="111" s="1"/>
  <c r="G52" i="107"/>
  <c r="G52" i="111" s="1"/>
  <c r="H52" i="107"/>
  <c r="H52" i="111" s="1"/>
  <c r="I52" i="107"/>
  <c r="I52" i="111" s="1"/>
  <c r="J52" i="107"/>
  <c r="J52" i="111" s="1"/>
  <c r="K52" i="107"/>
  <c r="K52" i="111" s="1"/>
  <c r="L52" i="107"/>
  <c r="L52" i="111" s="1"/>
  <c r="M52" i="107"/>
  <c r="M52" i="111" s="1"/>
  <c r="N52" i="107"/>
  <c r="N52" i="111" s="1"/>
  <c r="C53" i="107"/>
  <c r="C53" i="111" s="1"/>
  <c r="D53" i="107"/>
  <c r="D53" i="111" s="1"/>
  <c r="E53" i="107"/>
  <c r="E53" i="111" s="1"/>
  <c r="F53" i="107"/>
  <c r="F53" i="111" s="1"/>
  <c r="G53" i="107"/>
  <c r="G53" i="111" s="1"/>
  <c r="H53" i="107"/>
  <c r="H53" i="111" s="1"/>
  <c r="I53" i="107"/>
  <c r="I53" i="111" s="1"/>
  <c r="J53" i="107"/>
  <c r="J53" i="111" s="1"/>
  <c r="K53" i="107"/>
  <c r="K53" i="111" s="1"/>
  <c r="L53" i="107"/>
  <c r="L53" i="111" s="1"/>
  <c r="M53" i="107"/>
  <c r="M53" i="111" s="1"/>
  <c r="N53" i="107"/>
  <c r="N53" i="111" s="1"/>
  <c r="C54" i="107"/>
  <c r="C54" i="111" s="1"/>
  <c r="D54" i="107"/>
  <c r="D54" i="111" s="1"/>
  <c r="E54" i="107"/>
  <c r="E54" i="111" s="1"/>
  <c r="F54" i="107"/>
  <c r="F54" i="111" s="1"/>
  <c r="G54" i="107"/>
  <c r="G54" i="111" s="1"/>
  <c r="H54" i="107"/>
  <c r="H54" i="111" s="1"/>
  <c r="I54" i="107"/>
  <c r="I54" i="111" s="1"/>
  <c r="J54" i="107"/>
  <c r="J54" i="111" s="1"/>
  <c r="K54" i="107"/>
  <c r="K54" i="111" s="1"/>
  <c r="L54" i="107"/>
  <c r="L54" i="111" s="1"/>
  <c r="M54" i="107"/>
  <c r="M54" i="111" s="1"/>
  <c r="N54" i="107"/>
  <c r="N54" i="111" s="1"/>
  <c r="C55" i="107"/>
  <c r="C55" i="111" s="1"/>
  <c r="D55" i="107"/>
  <c r="D55" i="111" s="1"/>
  <c r="E55" i="107"/>
  <c r="E55" i="111" s="1"/>
  <c r="F55" i="107"/>
  <c r="F55" i="111" s="1"/>
  <c r="G55" i="107"/>
  <c r="G55" i="111" s="1"/>
  <c r="H55" i="107"/>
  <c r="H55" i="111" s="1"/>
  <c r="I55" i="107"/>
  <c r="I55" i="111" s="1"/>
  <c r="J55" i="107"/>
  <c r="J55" i="111" s="1"/>
  <c r="K55" i="107"/>
  <c r="K55" i="111" s="1"/>
  <c r="L55" i="107"/>
  <c r="L55" i="111" s="1"/>
  <c r="M55" i="107"/>
  <c r="M55" i="111" s="1"/>
  <c r="N55" i="107"/>
  <c r="N55" i="111" s="1"/>
  <c r="C56" i="107"/>
  <c r="C56" i="111" s="1"/>
  <c r="D56" i="107"/>
  <c r="D56" i="111" s="1"/>
  <c r="E56" i="107"/>
  <c r="E56" i="111" s="1"/>
  <c r="F56" i="107"/>
  <c r="F56" i="111" s="1"/>
  <c r="G56" i="107"/>
  <c r="G56" i="111" s="1"/>
  <c r="H56" i="107"/>
  <c r="H56" i="111" s="1"/>
  <c r="I56" i="107"/>
  <c r="I56" i="111" s="1"/>
  <c r="J56" i="107"/>
  <c r="J56" i="111" s="1"/>
  <c r="K56" i="107"/>
  <c r="K56" i="111" s="1"/>
  <c r="L56" i="107"/>
  <c r="L56" i="111" s="1"/>
  <c r="M56" i="107"/>
  <c r="M56" i="111" s="1"/>
  <c r="N56" i="107"/>
  <c r="N56" i="111" s="1"/>
  <c r="C57" i="107"/>
  <c r="C57" i="111" s="1"/>
  <c r="D57" i="107"/>
  <c r="D57" i="111" s="1"/>
  <c r="E57" i="107"/>
  <c r="E57" i="111" s="1"/>
  <c r="F57" i="107"/>
  <c r="F57" i="111" s="1"/>
  <c r="G57" i="107"/>
  <c r="G57" i="111" s="1"/>
  <c r="H57" i="107"/>
  <c r="H57" i="111" s="1"/>
  <c r="I57" i="107"/>
  <c r="I57" i="111" s="1"/>
  <c r="J57" i="107"/>
  <c r="J57" i="111" s="1"/>
  <c r="K57" i="107"/>
  <c r="K57" i="111" s="1"/>
  <c r="L57" i="107"/>
  <c r="L57" i="111" s="1"/>
  <c r="M57" i="107"/>
  <c r="M57" i="111" s="1"/>
  <c r="N57" i="107"/>
  <c r="N57" i="111" s="1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E29" i="108" l="1"/>
  <c r="W25" i="111"/>
  <c r="AF22" i="107"/>
  <c r="AF29" i="107"/>
  <c r="N10" i="111"/>
  <c r="N106" i="111" s="1"/>
  <c r="N106" i="107"/>
  <c r="N106" i="108"/>
  <c r="F106" i="108"/>
  <c r="O66" i="111"/>
  <c r="O70" i="111"/>
  <c r="AE25" i="111" s="1"/>
  <c r="O78" i="111"/>
  <c r="O86" i="111"/>
  <c r="AE29" i="111" s="1"/>
  <c r="O94" i="111"/>
  <c r="AE31" i="111" s="1"/>
  <c r="P62" i="111"/>
  <c r="AB27" i="111"/>
  <c r="AC23" i="111"/>
  <c r="AF23" i="108"/>
  <c r="AF29" i="108"/>
  <c r="AD27" i="111"/>
  <c r="AC22" i="111"/>
  <c r="AF26" i="108"/>
  <c r="AE32" i="108"/>
  <c r="AE28" i="107"/>
  <c r="P97" i="111"/>
  <c r="AF22" i="108"/>
  <c r="AD26" i="111"/>
  <c r="AD32" i="111"/>
  <c r="P101" i="111"/>
  <c r="AE27" i="107"/>
  <c r="AE33" i="107"/>
  <c r="W31" i="111"/>
  <c r="AF24" i="107"/>
  <c r="U26" i="111"/>
  <c r="AC28" i="111"/>
  <c r="V24" i="111"/>
  <c r="AD28" i="111"/>
  <c r="S25" i="111"/>
  <c r="S32" i="111"/>
  <c r="H10" i="111"/>
  <c r="H106" i="111" s="1"/>
  <c r="H106" i="107"/>
  <c r="AF24" i="108"/>
  <c r="U28" i="111"/>
  <c r="G106" i="108"/>
  <c r="O68" i="111"/>
  <c r="Z24" i="111"/>
  <c r="AE26" i="108"/>
  <c r="P59" i="111"/>
  <c r="S33" i="111"/>
  <c r="F10" i="111"/>
  <c r="F106" i="111" s="1"/>
  <c r="F106" i="107"/>
  <c r="M10" i="111"/>
  <c r="M106" i="111" s="1"/>
  <c r="M106" i="107"/>
  <c r="E10" i="111"/>
  <c r="E106" i="111" s="1"/>
  <c r="E106" i="107"/>
  <c r="M106" i="108"/>
  <c r="E106" i="108"/>
  <c r="O64" i="111"/>
  <c r="P70" i="111"/>
  <c r="P78" i="111"/>
  <c r="P86" i="111"/>
  <c r="P94" i="111"/>
  <c r="P102" i="111"/>
  <c r="AF33" i="111" s="1"/>
  <c r="AC29" i="111"/>
  <c r="AE25" i="108"/>
  <c r="AA24" i="111"/>
  <c r="W29" i="111"/>
  <c r="AF28" i="107"/>
  <c r="Y30" i="111"/>
  <c r="P81" i="111"/>
  <c r="P67" i="111"/>
  <c r="P79" i="111"/>
  <c r="AF27" i="107"/>
  <c r="AF33" i="107"/>
  <c r="AE25" i="107"/>
  <c r="AE32" i="107"/>
  <c r="P73" i="111"/>
  <c r="G10" i="111"/>
  <c r="G106" i="111" s="1"/>
  <c r="G106" i="107"/>
  <c r="C106" i="108"/>
  <c r="D10" i="111"/>
  <c r="D106" i="111" s="1"/>
  <c r="D106" i="107"/>
  <c r="O79" i="111"/>
  <c r="V23" i="111"/>
  <c r="Y23" i="111"/>
  <c r="AF32" i="108"/>
  <c r="P91" i="111"/>
  <c r="P69" i="111"/>
  <c r="AA32" i="111"/>
  <c r="AC26" i="111"/>
  <c r="AD24" i="111"/>
  <c r="V30" i="111"/>
  <c r="AF32" i="107"/>
  <c r="K10" i="111"/>
  <c r="K106" i="111" s="1"/>
  <c r="K106" i="107"/>
  <c r="K106" i="108"/>
  <c r="P96" i="111"/>
  <c r="AC27" i="111"/>
  <c r="AE31" i="108"/>
  <c r="W23" i="111"/>
  <c r="AA28" i="111"/>
  <c r="P87" i="111"/>
  <c r="AF28" i="108"/>
  <c r="P65" i="111"/>
  <c r="Z29" i="111"/>
  <c r="S23" i="111"/>
  <c r="S31" i="111"/>
  <c r="AE30" i="107"/>
  <c r="C10" i="111"/>
  <c r="C106" i="111" s="1"/>
  <c r="C106" i="107"/>
  <c r="O62" i="111"/>
  <c r="AE23" i="111" s="1"/>
  <c r="P66" i="111"/>
  <c r="AF24" i="111" s="1"/>
  <c r="S30" i="111"/>
  <c r="P77" i="111"/>
  <c r="J10" i="111"/>
  <c r="J106" i="111" s="1"/>
  <c r="J106" i="107"/>
  <c r="J106" i="108"/>
  <c r="O58" i="111"/>
  <c r="AE22" i="111" s="1"/>
  <c r="O83" i="111"/>
  <c r="O74" i="111"/>
  <c r="AE26" i="111" s="1"/>
  <c r="O82" i="111"/>
  <c r="AE28" i="111" s="1"/>
  <c r="O90" i="111"/>
  <c r="AE30" i="111" s="1"/>
  <c r="O98" i="111"/>
  <c r="AE32" i="111" s="1"/>
  <c r="P58" i="111"/>
  <c r="Y22" i="111"/>
  <c r="AE27" i="108"/>
  <c r="AF31" i="108"/>
  <c r="AD23" i="111"/>
  <c r="AA22" i="111"/>
  <c r="U24" i="111"/>
  <c r="AE24" i="108"/>
  <c r="T23" i="111"/>
  <c r="P89" i="111"/>
  <c r="P75" i="111"/>
  <c r="P99" i="111"/>
  <c r="Z23" i="111"/>
  <c r="AE23" i="107"/>
  <c r="AE31" i="107"/>
  <c r="W33" i="111"/>
  <c r="AF30" i="107"/>
  <c r="Y27" i="111"/>
  <c r="V26" i="111"/>
  <c r="Z31" i="111"/>
  <c r="S29" i="111"/>
  <c r="S26" i="111"/>
  <c r="L10" i="111"/>
  <c r="L106" i="111" s="1"/>
  <c r="L106" i="107"/>
  <c r="I10" i="111"/>
  <c r="I106" i="111" s="1"/>
  <c r="I106" i="107"/>
  <c r="I106" i="108"/>
  <c r="O69" i="111"/>
  <c r="P74" i="111"/>
  <c r="AF26" i="111" s="1"/>
  <c r="P82" i="111"/>
  <c r="AF28" i="111" s="1"/>
  <c r="P90" i="111"/>
  <c r="P98" i="111"/>
  <c r="AF32" i="111" s="1"/>
  <c r="AF27" i="108"/>
  <c r="AE33" i="108"/>
  <c r="AE30" i="108"/>
  <c r="S22" i="111"/>
  <c r="P85" i="111"/>
  <c r="AF23" i="107"/>
  <c r="AF31" i="107"/>
  <c r="P93" i="111"/>
  <c r="AE26" i="107"/>
  <c r="C3" i="94"/>
  <c r="AF23" i="111" l="1"/>
  <c r="AF31" i="111"/>
  <c r="AF29" i="111"/>
  <c r="AF22" i="111"/>
  <c r="AF27" i="111"/>
  <c r="AE27" i="111"/>
  <c r="AF25" i="111"/>
  <c r="AF30" i="111"/>
  <c r="AE24" i="111"/>
  <c r="O105" i="105"/>
  <c r="O52" i="109"/>
  <c r="D5" i="100"/>
  <c r="O46" i="97"/>
  <c r="K5" i="95"/>
  <c r="K6" i="98" l="1"/>
  <c r="K6" i="99" s="1"/>
  <c r="K6" i="100" s="1"/>
  <c r="K6" i="101" s="1"/>
  <c r="K6" i="109" s="1"/>
  <c r="K6" i="105" s="1"/>
  <c r="K6" i="110" s="1"/>
  <c r="K6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G5" i="96"/>
  <c r="K6" i="95"/>
  <c r="G5" i="95"/>
  <c r="K6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10"/>
  <c r="D5" i="109"/>
  <c r="D5" i="98"/>
  <c r="D5" i="96"/>
  <c r="D5" i="94"/>
  <c r="K6" i="107" l="1"/>
  <c r="K6" i="104"/>
  <c r="K6" i="108" s="1"/>
  <c r="K6" i="111" s="1"/>
  <c r="K5" i="11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Z19" i="105"/>
  <c r="Y19" i="105"/>
  <c r="X19" i="105"/>
  <c r="X39" i="105" s="1"/>
  <c r="W19" i="105"/>
  <c r="W39" i="105" s="1"/>
  <c r="V19" i="105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U19" i="103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AA39" i="101" s="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C19" i="97"/>
  <c r="AB19" i="97"/>
  <c r="AB27" i="97" s="1"/>
  <c r="AA19" i="97"/>
  <c r="Z19" i="97"/>
  <c r="Z27" i="97" s="1"/>
  <c r="Y19" i="97"/>
  <c r="X19" i="97"/>
  <c r="X27" i="97" s="1"/>
  <c r="W19" i="97"/>
  <c r="V19" i="97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C39" i="109" l="1"/>
  <c r="V27" i="97"/>
  <c r="AD27" i="97"/>
  <c r="T27" i="99"/>
  <c r="U24" i="103"/>
  <c r="V27" i="103"/>
  <c r="AD27" i="103"/>
  <c r="AA39" i="105"/>
  <c r="U39" i="109"/>
  <c r="AD38" i="101"/>
  <c r="Y39" i="109"/>
  <c r="V39" i="105"/>
  <c r="Z39" i="105"/>
  <c r="AA26" i="95"/>
  <c r="X26" i="98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AB15" i="95"/>
  <c r="U17" i="97"/>
  <c r="U26" i="97" s="1"/>
  <c r="P23" i="110"/>
  <c r="S13" i="110"/>
  <c r="P31" i="110"/>
  <c r="S15" i="110"/>
  <c r="X10" i="110"/>
  <c r="P13" i="110"/>
  <c r="P15" i="110"/>
  <c r="W11" i="110"/>
  <c r="AA14" i="94"/>
  <c r="AA15" i="94"/>
  <c r="AA16" i="94"/>
  <c r="AA18" i="94"/>
  <c r="P19" i="110"/>
  <c r="S12" i="110"/>
  <c r="Z13" i="109"/>
  <c r="P12" i="110"/>
  <c r="D106" i="110"/>
  <c r="L106" i="110"/>
  <c r="P27" i="110"/>
  <c r="S14" i="110"/>
  <c r="T19" i="108"/>
  <c r="V19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V13" i="109"/>
  <c r="AD13" i="109"/>
  <c r="V15" i="109"/>
  <c r="AD15" i="109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AC15" i="105"/>
  <c r="P12" i="105"/>
  <c r="S12" i="105"/>
  <c r="P13" i="105"/>
  <c r="S13" i="105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AF28" i="101" l="1"/>
  <c r="X26" i="96"/>
  <c r="Y38" i="105"/>
  <c r="AF32" i="101"/>
  <c r="AF33" i="101"/>
  <c r="Z26" i="95"/>
  <c r="S38" i="105"/>
  <c r="AF25" i="101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S24" i="94"/>
  <c r="AD21" i="108"/>
  <c r="Z20" i="108"/>
  <c r="W27" i="95"/>
  <c r="W24" i="95"/>
  <c r="AB24" i="98"/>
  <c r="W26" i="96"/>
  <c r="V21" i="108"/>
  <c r="AD19" i="108"/>
  <c r="Z21" i="108"/>
  <c r="AD20" i="108"/>
  <c r="V20" i="108"/>
  <c r="Z19" i="108"/>
  <c r="AC26" i="97"/>
  <c r="AC23" i="97"/>
  <c r="T13" i="111"/>
  <c r="AD12" i="111"/>
  <c r="T12" i="111"/>
  <c r="AC24" i="94"/>
  <c r="Y24" i="94"/>
  <c r="S27" i="94"/>
  <c r="AA38" i="110"/>
  <c r="W24" i="94"/>
  <c r="W27" i="94"/>
  <c r="S26" i="94"/>
  <c r="U23" i="97"/>
  <c r="AA27" i="94"/>
  <c r="U27" i="95"/>
  <c r="U24" i="95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AC41" i="107" s="1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AA41" i="107" s="1"/>
  <c r="P10" i="107"/>
  <c r="S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C41" i="108" l="1"/>
  <c r="AC42" i="108" s="1"/>
  <c r="V41" i="108"/>
  <c r="V41" i="107"/>
  <c r="S41" i="108"/>
  <c r="AA41" i="108"/>
  <c r="AD41" i="107"/>
  <c r="W41" i="108"/>
  <c r="Y41" i="108"/>
  <c r="Y42" i="108" s="1"/>
  <c r="T41" i="107"/>
  <c r="AB41" i="108"/>
  <c r="AB42" i="108" s="1"/>
  <c r="S36" i="107"/>
  <c r="X41" i="107"/>
  <c r="U41" i="107"/>
  <c r="U41" i="108"/>
  <c r="Y34" i="108"/>
  <c r="T41" i="108"/>
  <c r="V36" i="108"/>
  <c r="V22" i="93"/>
  <c r="AE24" i="98"/>
  <c r="O106" i="107"/>
  <c r="Y41" i="107"/>
  <c r="U36" i="107"/>
  <c r="Z41" i="107"/>
  <c r="Z42" i="107" s="1"/>
  <c r="W41" i="107"/>
  <c r="S41" i="107"/>
  <c r="AB41" i="107"/>
  <c r="Z41" i="108"/>
  <c r="AD41" i="108"/>
  <c r="P106" i="107"/>
  <c r="V39" i="107"/>
  <c r="P106" i="108"/>
  <c r="O106" i="108"/>
  <c r="X41" i="108"/>
  <c r="X42" i="108" s="1"/>
  <c r="AD39" i="107"/>
  <c r="U39" i="107"/>
  <c r="X42" i="109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X41" i="111" s="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AC42" i="107" s="1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42" i="107" s="1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AF41" i="107" l="1"/>
  <c r="Y41" i="111"/>
  <c r="W41" i="111"/>
  <c r="AF41" i="108"/>
  <c r="U42" i="108"/>
  <c r="W42" i="108"/>
  <c r="AE41" i="107"/>
  <c r="AD42" i="108"/>
  <c r="Y42" i="107"/>
  <c r="U42" i="107"/>
  <c r="AD42" i="107"/>
  <c r="AA41" i="111"/>
  <c r="AB41" i="111"/>
  <c r="P106" i="111"/>
  <c r="Z41" i="111"/>
  <c r="Z42" i="108"/>
  <c r="X42" i="107"/>
  <c r="AA42" i="108"/>
  <c r="AC41" i="111"/>
  <c r="T41" i="111"/>
  <c r="S42" i="108"/>
  <c r="U41" i="111"/>
  <c r="V41" i="111"/>
  <c r="AB42" i="107"/>
  <c r="V42" i="107"/>
  <c r="AE41" i="108"/>
  <c r="S41" i="111"/>
  <c r="S42" i="107"/>
  <c r="T42" i="107"/>
  <c r="V42" i="108"/>
  <c r="AD41" i="111"/>
  <c r="O106" i="111"/>
  <c r="W42" i="107"/>
  <c r="T42" i="108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X42" i="111" s="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AD42" i="111" l="1"/>
  <c r="V42" i="111"/>
  <c r="Z42" i="111"/>
  <c r="AE42" i="107"/>
  <c r="AF34" i="111"/>
  <c r="AF41" i="111"/>
  <c r="U42" i="111"/>
  <c r="AB42" i="111"/>
  <c r="T42" i="111"/>
  <c r="AA42" i="111"/>
  <c r="AF42" i="108"/>
  <c r="S42" i="111"/>
  <c r="AC42" i="111"/>
  <c r="W42" i="111"/>
  <c r="AE42" i="108"/>
  <c r="Y42" i="111"/>
  <c r="AE41" i="111"/>
  <c r="AE42" i="111" s="1"/>
  <c r="AF42" i="107"/>
  <c r="AF37" i="111"/>
  <c r="K10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F42" i="111" l="1"/>
</calcChain>
</file>

<file path=xl/sharedStrings.xml><?xml version="1.0" encoding="utf-8"?>
<sst xmlns="http://schemas.openxmlformats.org/spreadsheetml/2006/main" count="2338" uniqueCount="181">
  <si>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</si>
  <si>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</si>
  <si>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</si>
  <si>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</si>
  <si>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</si>
  <si>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</si>
  <si>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</si>
  <si>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</si>
  <si>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</si>
  <si>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</si>
  <si>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</si>
  <si>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</si>
  <si>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</si>
  <si>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</si>
  <si>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</si>
  <si>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</si>
  <si>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</si>
  <si>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</si>
  <si>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</si>
  <si>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</si>
  <si>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</si>
  <si>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</si>
  <si>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</si>
  <si>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</si>
  <si>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</si>
  <si>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</si>
  <si>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</si>
  <si>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</si>
  <si>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</si>
  <si>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</si>
  <si>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</si>
  <si>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</si>
  <si>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</si>
  <si>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</si>
  <si>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</si>
  <si>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</si>
  <si>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</si>
  <si>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</si>
  <si>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</si>
  <si>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</si>
  <si>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</si>
  <si>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</si>
  <si>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</si>
  <si>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</si>
  <si>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</si>
  <si>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</si>
  <si>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</si>
  <si>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</si>
  <si>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</si>
  <si>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</si>
  <si>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</si>
  <si>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</si>
  <si>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</si>
  <si>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</si>
  <si>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</si>
  <si>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</si>
  <si>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</si>
  <si>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</si>
  <si>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</si>
  <si>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</si>
  <si>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</si>
  <si>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</si>
  <si>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</si>
  <si>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</si>
  <si>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</si>
  <si>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</si>
  <si>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</si>
  <si>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</si>
  <si>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</si>
  <si>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</si>
  <si>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</si>
  <si>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</si>
  <si>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</si>
  <si>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</si>
  <si>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</si>
  <si>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</si>
  <si>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</si>
  <si>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</si>
  <si>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</si>
  <si>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</si>
  <si>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</si>
  <si>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</si>
  <si>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</si>
  <si>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</si>
  <si>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</si>
  <si>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</si>
  <si>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</si>
  <si>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</si>
  <si>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</si>
  <si>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</si>
  <si>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</si>
  <si>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</si>
  <si>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</si>
  <si>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</si>
  <si>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</si>
  <si>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</si>
  <si>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</si>
  <si>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</si>
  <si>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</si>
  <si>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</si>
  <si>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</si>
  <si>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</si>
  <si>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</si>
  <si>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</si>
  <si>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</si>
  <si>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</si>
  <si>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</si>
  <si>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</si>
  <si>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</si>
  <si>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</si>
  <si>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</si>
  <si>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</si>
  <si>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</si>
  <si>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</si>
  <si>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</si>
  <si>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</si>
  <si>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</si>
  <si>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</si>
  <si>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</si>
  <si>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</si>
  <si>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</si>
  <si>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</si>
  <si>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</si>
  <si>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</si>
  <si>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</si>
  <si>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</si>
  <si>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</si>
  <si>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</si>
  <si>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</si>
  <si>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</si>
  <si>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</si>
  <si>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</si>
  <si>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</si>
  <si>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</si>
  <si>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</si>
  <si>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</si>
  <si>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</si>
  <si>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</si>
  <si>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</si>
  <si>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</si>
  <si>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</si>
  <si>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</si>
  <si>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</si>
  <si>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</si>
  <si>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</si>
  <si>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</si>
  <si>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</si>
  <si>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</si>
  <si>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</si>
  <si>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</si>
  <si>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</si>
  <si>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</si>
  <si>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</si>
  <si>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</si>
  <si>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</si>
  <si>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</si>
  <si>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</si>
  <si>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</si>
  <si>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</si>
  <si>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</si>
  <si>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</si>
  <si>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</si>
  <si>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</si>
  <si>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25.10.19</t>
  </si>
  <si>
    <t>Lyantonde</t>
  </si>
  <si>
    <t>Rushere</t>
  </si>
  <si>
    <t>Kaguta road JTC</t>
  </si>
  <si>
    <t>Josephine</t>
  </si>
  <si>
    <t>Nusulah</t>
  </si>
  <si>
    <t>27.10.19</t>
  </si>
  <si>
    <t>29.10.19</t>
  </si>
  <si>
    <t>30.10.19</t>
  </si>
  <si>
    <t>26.10.19</t>
  </si>
  <si>
    <t>Josephine, Kobusingye</t>
  </si>
  <si>
    <t>Nusulah, Ashaba</t>
  </si>
  <si>
    <t>28.10.19</t>
  </si>
  <si>
    <t>31.10.19</t>
  </si>
  <si>
    <t>MCC- C4- TN103 - LYANTONDE-RUSHERE ROAD</t>
  </si>
  <si>
    <t>XXXX</t>
  </si>
  <si>
    <t>24 Hours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</si>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</sst>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0.0%"/>
    <numFmt numFmtId="166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5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/>
    </xf>
    <xf numFmtId="164" fontId="1" fillId="0" borderId="1" xfId="2" applyFont="1" applyBorder="1" applyAlignment="1">
      <alignment horizontal="center"/>
    </xf>
    <xf numFmtId="164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Lyantonde-Rushere'!$AE$9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Lyantonde-Rushere'!$AE$10:$AE$21</c:f>
              <c:numCache>
                <c:formatCode>0</c:formatCode>
                <c:ptCount val="12"/>
                <c:pt idx="0">
                  <c:v>11</c:v>
                </c:pt>
                <c:pt idx="1">
                  <c:v>19</c:v>
                </c:pt>
                <c:pt idx="2">
                  <c:v>32</c:v>
                </c:pt>
                <c:pt idx="3">
                  <c:v>23</c:v>
                </c:pt>
                <c:pt idx="4">
                  <c:v>33</c:v>
                </c:pt>
                <c:pt idx="5">
                  <c:v>32</c:v>
                </c:pt>
                <c:pt idx="6">
                  <c:v>36</c:v>
                </c:pt>
                <c:pt idx="7">
                  <c:v>26</c:v>
                </c:pt>
                <c:pt idx="8">
                  <c:v>40</c:v>
                </c:pt>
                <c:pt idx="9">
                  <c:v>21</c:v>
                </c:pt>
                <c:pt idx="10">
                  <c:v>30</c:v>
                </c:pt>
                <c:pt idx="11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'25.10 Lyantonde-Rushere'!$AF$9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Lyantonde-Rushere'!$AF$10:$AF$21</c:f>
              <c:numCache>
                <c:formatCode>0</c:formatCode>
                <c:ptCount val="12"/>
                <c:pt idx="0">
                  <c:v>22</c:v>
                </c:pt>
                <c:pt idx="1">
                  <c:v>40</c:v>
                </c:pt>
                <c:pt idx="2">
                  <c:v>54</c:v>
                </c:pt>
                <c:pt idx="3">
                  <c:v>54</c:v>
                </c:pt>
                <c:pt idx="4">
                  <c:v>61</c:v>
                </c:pt>
                <c:pt idx="5">
                  <c:v>51</c:v>
                </c:pt>
                <c:pt idx="6">
                  <c:v>64</c:v>
                </c:pt>
                <c:pt idx="7">
                  <c:v>52</c:v>
                </c:pt>
                <c:pt idx="8">
                  <c:v>58</c:v>
                </c:pt>
                <c:pt idx="9">
                  <c:v>48</c:v>
                </c:pt>
                <c:pt idx="10">
                  <c:v>61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819648"/>
        <c:axId val="733820736"/>
      </c:lineChart>
      <c:catAx>
        <c:axId val="7338196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33820736"/>
        <c:crosses val="autoZero"/>
        <c:auto val="1"/>
        <c:lblAlgn val="ctr"/>
        <c:lblOffset val="100"/>
        <c:noMultiLvlLbl val="0"/>
      </c:catAx>
      <c:valAx>
        <c:axId val="733820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3381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Lyantonde-Rushere'!$C$59:$N$59</c:f>
              <c:numCache>
                <c:formatCode>0.0%</c:formatCode>
                <c:ptCount val="12"/>
                <c:pt idx="0">
                  <c:v>0.2607361963190184</c:v>
                </c:pt>
                <c:pt idx="1">
                  <c:v>9.9693251533742325E-2</c:v>
                </c:pt>
                <c:pt idx="2">
                  <c:v>3.834355828220859E-2</c:v>
                </c:pt>
                <c:pt idx="3">
                  <c:v>1.5337423312883436E-2</c:v>
                </c:pt>
                <c:pt idx="4">
                  <c:v>0</c:v>
                </c:pt>
                <c:pt idx="5">
                  <c:v>4.601226993865031E-3</c:v>
                </c:pt>
                <c:pt idx="6">
                  <c:v>4.1411042944785273E-2</c:v>
                </c:pt>
                <c:pt idx="7">
                  <c:v>3.9877300613496931E-2</c:v>
                </c:pt>
                <c:pt idx="8">
                  <c:v>1.9938650306748466E-2</c:v>
                </c:pt>
                <c:pt idx="9">
                  <c:v>1.9938650306748466E-2</c:v>
                </c:pt>
                <c:pt idx="10">
                  <c:v>0.46012269938650308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Lyantonde-Rushere'!$C$60:$N$60</c:f>
              <c:numCache>
                <c:formatCode>0.00%</c:formatCode>
                <c:ptCount val="12"/>
                <c:pt idx="0">
                  <c:v>0.48295454545454547</c:v>
                </c:pt>
                <c:pt idx="1">
                  <c:v>0.18465909090909091</c:v>
                </c:pt>
                <c:pt idx="2">
                  <c:v>7.1022727272727279E-2</c:v>
                </c:pt>
                <c:pt idx="3">
                  <c:v>2.8409090909090908E-2</c:v>
                </c:pt>
                <c:pt idx="4">
                  <c:v>0</c:v>
                </c:pt>
                <c:pt idx="5">
                  <c:v>8.5227272727272721E-3</c:v>
                </c:pt>
                <c:pt idx="6">
                  <c:v>7.6704545454545456E-2</c:v>
                </c:pt>
                <c:pt idx="7">
                  <c:v>7.3863636363636367E-2</c:v>
                </c:pt>
                <c:pt idx="8">
                  <c:v>3.6931818181818184E-2</c:v>
                </c:pt>
                <c:pt idx="9">
                  <c:v>3.6931818181818184E-2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Rushere-Lyantonde'!$AE$9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Rushere-Lyantonde'!$AE$10:$AE$21</c:f>
              <c:numCache>
                <c:formatCode>0</c:formatCode>
                <c:ptCount val="12"/>
                <c:pt idx="0">
                  <c:v>23</c:v>
                </c:pt>
                <c:pt idx="1">
                  <c:v>9</c:v>
                </c:pt>
                <c:pt idx="2">
                  <c:v>39</c:v>
                </c:pt>
                <c:pt idx="3">
                  <c:v>17</c:v>
                </c:pt>
                <c:pt idx="4">
                  <c:v>15</c:v>
                </c:pt>
                <c:pt idx="5">
                  <c:v>26</c:v>
                </c:pt>
                <c:pt idx="6">
                  <c:v>29</c:v>
                </c:pt>
                <c:pt idx="7">
                  <c:v>26</c:v>
                </c:pt>
                <c:pt idx="8">
                  <c:v>29</c:v>
                </c:pt>
                <c:pt idx="9">
                  <c:v>38</c:v>
                </c:pt>
                <c:pt idx="10">
                  <c:v>46</c:v>
                </c:pt>
                <c:pt idx="11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'25.10 Rushere-Lyantonde'!$AF$9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Rushere-Lyantonde'!$AF$10:$AF$21</c:f>
              <c:numCache>
                <c:formatCode>0</c:formatCode>
                <c:ptCount val="12"/>
                <c:pt idx="0">
                  <c:v>34</c:v>
                </c:pt>
                <c:pt idx="1">
                  <c:v>24</c:v>
                </c:pt>
                <c:pt idx="2">
                  <c:v>60</c:v>
                </c:pt>
                <c:pt idx="3">
                  <c:v>38</c:v>
                </c:pt>
                <c:pt idx="4">
                  <c:v>42</c:v>
                </c:pt>
                <c:pt idx="5">
                  <c:v>56</c:v>
                </c:pt>
                <c:pt idx="6">
                  <c:v>53</c:v>
                </c:pt>
                <c:pt idx="7">
                  <c:v>44</c:v>
                </c:pt>
                <c:pt idx="8">
                  <c:v>54</c:v>
                </c:pt>
                <c:pt idx="9">
                  <c:v>75</c:v>
                </c:pt>
                <c:pt idx="10">
                  <c:v>93</c:v>
                </c:pt>
                <c:pt idx="11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815840"/>
        <c:axId val="733814752"/>
      </c:lineChart>
      <c:catAx>
        <c:axId val="7338158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33814752"/>
        <c:crosses val="autoZero"/>
        <c:auto val="1"/>
        <c:lblAlgn val="ctr"/>
        <c:lblOffset val="100"/>
        <c:noMultiLvlLbl val="0"/>
      </c:catAx>
      <c:valAx>
        <c:axId val="7338147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3381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Rushere-Lyantonde'!$C$59:$N$59</c:f>
              <c:numCache>
                <c:formatCode>0.0%</c:formatCode>
                <c:ptCount val="12"/>
                <c:pt idx="0">
                  <c:v>0.22464898595943839</c:v>
                </c:pt>
                <c:pt idx="1">
                  <c:v>0.10920436817472699</c:v>
                </c:pt>
                <c:pt idx="2">
                  <c:v>5.4602184087363496E-2</c:v>
                </c:pt>
                <c:pt idx="3">
                  <c:v>2.0280811232449299E-2</c:v>
                </c:pt>
                <c:pt idx="4">
                  <c:v>6.2402496099843996E-3</c:v>
                </c:pt>
                <c:pt idx="5">
                  <c:v>4.6801872074882997E-3</c:v>
                </c:pt>
                <c:pt idx="6">
                  <c:v>5.6162246489859596E-2</c:v>
                </c:pt>
                <c:pt idx="7">
                  <c:v>4.9921996879875197E-2</c:v>
                </c:pt>
                <c:pt idx="8">
                  <c:v>1.4040561622464899E-2</c:v>
                </c:pt>
                <c:pt idx="9">
                  <c:v>7.8003120124804995E-3</c:v>
                </c:pt>
                <c:pt idx="10">
                  <c:v>0.45241809672386896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'25.10 Rushere-Lyantonde'!$S$9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Rushere-Lyantonde'!$S$10:$S$21</c:f>
              <c:numCache>
                <c:formatCode>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24</c:v>
                </c:pt>
                <c:pt idx="3">
                  <c:v>11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10</c:v>
                </c:pt>
                <c:pt idx="8">
                  <c:v>11</c:v>
                </c:pt>
                <c:pt idx="9">
                  <c:v>11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'25.10 Rushere-Lyantonde'!$T$9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'25.10 Rushere-Lyantonde'!$T$10:$T$21</c:f>
              <c:numCache>
                <c:formatCode>0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8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11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'25.10 Rushere-Lyantonde'!$U$9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'25.10 Rushere-Lyantonde'!$U$10:$U$21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'25.10 Rushere-Lyantonde'!$V$9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'25.10 Rushere-Lyantonde'!$V$10:$V$21</c:f>
              <c:numCache>
                <c:formatCode>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'25.10 Rushere-Lyantonde'!$W$9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'25.10 Rushere-Lyantonde'!$W$10:$W$21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'25.10 Rushere-Lyantonde'!$X$9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'25.10 Rushere-Lyantonde'!$X$10:$X$21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'25.10 Rushere-Lyantonde'!$Y$9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Rushere-Lyantonde'!$Y$10:$Y$21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6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'25.10 Rushere-Lyantonde'!$Z$9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Rushere-Lyantonde'!$Z$10:$Z$21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'25.10 Rushere-Lyantonde'!$AA$9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Rushere-Lyantonde'!$AA$10:$AA$21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'25.10 Rushere-Lyantonde'!$AB$9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Rushere-Lyantonde'!$AB$10:$AB$21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'25.10 Rushere-Lyantonde'!$AC$9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Rushere-Lyantonde'!$AC$10:$AC$21</c:f>
              <c:numCache>
                <c:formatCode>0</c:formatCode>
                <c:ptCount val="12"/>
                <c:pt idx="0">
                  <c:v>11</c:v>
                </c:pt>
                <c:pt idx="1">
                  <c:v>15</c:v>
                </c:pt>
                <c:pt idx="2">
                  <c:v>21</c:v>
                </c:pt>
                <c:pt idx="3">
                  <c:v>21</c:v>
                </c:pt>
                <c:pt idx="4">
                  <c:v>27</c:v>
                </c:pt>
                <c:pt idx="5">
                  <c:v>30</c:v>
                </c:pt>
                <c:pt idx="6">
                  <c:v>24</c:v>
                </c:pt>
                <c:pt idx="7">
                  <c:v>18</c:v>
                </c:pt>
                <c:pt idx="8">
                  <c:v>25</c:v>
                </c:pt>
                <c:pt idx="9">
                  <c:v>37</c:v>
                </c:pt>
                <c:pt idx="10">
                  <c:v>47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'25.10 Rushere-Lyantonde'!$AD$9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'25.10 Rushere-Lyantonde'!$AD$10:$AD$21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816384"/>
        <c:axId val="733806048"/>
      </c:lineChart>
      <c:catAx>
        <c:axId val="73381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33806048"/>
        <c:crosses val="autoZero"/>
        <c:auto val="1"/>
        <c:lblAlgn val="ctr"/>
        <c:lblOffset val="100"/>
        <c:noMultiLvlLbl val="0"/>
      </c:catAx>
      <c:valAx>
        <c:axId val="73380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3381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'25.10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'25.10 Rushere-Lyantonde'!$C$60:$N$60</c:f>
              <c:numCache>
                <c:formatCode>0.00%</c:formatCode>
                <c:ptCount val="12"/>
                <c:pt idx="0">
                  <c:v>0.41025641025641024</c:v>
                </c:pt>
                <c:pt idx="1">
                  <c:v>0.19943019943019943</c:v>
                </c:pt>
                <c:pt idx="2">
                  <c:v>9.9715099715099717E-2</c:v>
                </c:pt>
                <c:pt idx="3">
                  <c:v>3.7037037037037035E-2</c:v>
                </c:pt>
                <c:pt idx="4">
                  <c:v>1.1396011396011397E-2</c:v>
                </c:pt>
                <c:pt idx="5">
                  <c:v>8.5470085470085479E-3</c:v>
                </c:pt>
                <c:pt idx="6">
                  <c:v>0.10256410256410256</c:v>
                </c:pt>
                <c:pt idx="7">
                  <c:v>9.1168091168091173E-2</c:v>
                </c:pt>
                <c:pt idx="8">
                  <c:v>2.564102564102564E-2</c:v>
                </c:pt>
                <c:pt idx="9">
                  <c:v>1.4245014245014245E-2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Lyantonde-Rushere-24hr'!$AE$9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Lyantonde-Rushere-24hr'!$R$10:$R$33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Lyantonde-Rushere-24hr'!$AE$10:$AE$33</c:f>
              <c:numCache>
                <c:formatCode>0</c:formatCode>
                <c:ptCount val="24"/>
                <c:pt idx="0">
                  <c:v>32</c:v>
                </c:pt>
                <c:pt idx="1">
                  <c:v>24</c:v>
                </c:pt>
                <c:pt idx="2">
                  <c:v>35</c:v>
                </c:pt>
                <c:pt idx="3">
                  <c:v>35</c:v>
                </c:pt>
                <c:pt idx="4">
                  <c:v>53</c:v>
                </c:pt>
                <c:pt idx="5">
                  <c:v>54</c:v>
                </c:pt>
                <c:pt idx="6">
                  <c:v>33</c:v>
                </c:pt>
                <c:pt idx="7">
                  <c:v>44</c:v>
                </c:pt>
                <c:pt idx="8">
                  <c:v>34</c:v>
                </c:pt>
                <c:pt idx="9">
                  <c:v>20</c:v>
                </c:pt>
                <c:pt idx="10">
                  <c:v>41</c:v>
                </c:pt>
                <c:pt idx="11">
                  <c:v>40</c:v>
                </c:pt>
                <c:pt idx="12">
                  <c:v>44</c:v>
                </c:pt>
                <c:pt idx="13">
                  <c:v>37</c:v>
                </c:pt>
                <c:pt idx="14">
                  <c:v>40</c:v>
                </c:pt>
                <c:pt idx="15">
                  <c:v>38</c:v>
                </c:pt>
                <c:pt idx="16">
                  <c:v>54</c:v>
                </c:pt>
                <c:pt idx="17">
                  <c:v>25</c:v>
                </c:pt>
                <c:pt idx="18">
                  <c:v>24</c:v>
                </c:pt>
                <c:pt idx="19">
                  <c:v>27</c:v>
                </c:pt>
                <c:pt idx="20">
                  <c:v>38</c:v>
                </c:pt>
                <c:pt idx="21">
                  <c:v>50</c:v>
                </c:pt>
                <c:pt idx="22">
                  <c:v>57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'26.10 Lyantonde-Rushere-24hr'!$AF$9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Lyantonde-Rushere-24hr'!$R$10:$R$33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Lyantonde-Rushere-24hr'!$AF$10:$AF$33</c:f>
              <c:numCache>
                <c:formatCode>0</c:formatCode>
                <c:ptCount val="24"/>
                <c:pt idx="0">
                  <c:v>48</c:v>
                </c:pt>
                <c:pt idx="1">
                  <c:v>28</c:v>
                </c:pt>
                <c:pt idx="2">
                  <c:v>45</c:v>
                </c:pt>
                <c:pt idx="3">
                  <c:v>48</c:v>
                </c:pt>
                <c:pt idx="4">
                  <c:v>68</c:v>
                </c:pt>
                <c:pt idx="5">
                  <c:v>70</c:v>
                </c:pt>
                <c:pt idx="6">
                  <c:v>54</c:v>
                </c:pt>
                <c:pt idx="7">
                  <c:v>64</c:v>
                </c:pt>
                <c:pt idx="8">
                  <c:v>53</c:v>
                </c:pt>
                <c:pt idx="9">
                  <c:v>42</c:v>
                </c:pt>
                <c:pt idx="10">
                  <c:v>74</c:v>
                </c:pt>
                <c:pt idx="11">
                  <c:v>78</c:v>
                </c:pt>
                <c:pt idx="12">
                  <c:v>68</c:v>
                </c:pt>
                <c:pt idx="13">
                  <c:v>50</c:v>
                </c:pt>
                <c:pt idx="14">
                  <c:v>52</c:v>
                </c:pt>
                <c:pt idx="15">
                  <c:v>50</c:v>
                </c:pt>
                <c:pt idx="16">
                  <c:v>68</c:v>
                </c:pt>
                <c:pt idx="17">
                  <c:v>30</c:v>
                </c:pt>
                <c:pt idx="18">
                  <c:v>25</c:v>
                </c:pt>
                <c:pt idx="19">
                  <c:v>27</c:v>
                </c:pt>
                <c:pt idx="20">
                  <c:v>40</c:v>
                </c:pt>
                <c:pt idx="21">
                  <c:v>53</c:v>
                </c:pt>
                <c:pt idx="22">
                  <c:v>69</c:v>
                </c:pt>
                <c:pt idx="23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813664"/>
        <c:axId val="733651360"/>
      </c:lineChart>
      <c:catAx>
        <c:axId val="7338136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33651360"/>
        <c:crosses val="autoZero"/>
        <c:auto val="1"/>
        <c:lblAlgn val="ctr"/>
        <c:lblOffset val="100"/>
        <c:noMultiLvlLbl val="0"/>
      </c:catAx>
      <c:valAx>
        <c:axId val="733651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73381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Lyantonde-Rushere-24hr'!$C$9:$N$9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Lyantonde-Rushere-24hr'!$C$107:$N$107</c:f>
              <c:numCache>
                <c:formatCode>0.0%</c:formatCode>
                <c:ptCount val="12"/>
                <c:pt idx="0">
                  <c:v>0.3309409888357257</c:v>
                </c:pt>
                <c:pt idx="1">
                  <c:v>0.13157894736842105</c:v>
                </c:pt>
                <c:pt idx="2">
                  <c:v>5.5821371610845293E-2</c:v>
                </c:pt>
                <c:pt idx="3">
                  <c:v>2.7910685805422646E-2</c:v>
                </c:pt>
                <c:pt idx="4">
                  <c:v>5.5821371610845294E-3</c:v>
                </c:pt>
                <c:pt idx="5">
                  <c:v>4.7846889952153108E-3</c:v>
                </c:pt>
                <c:pt idx="6">
                  <c:v>3.4290271132376399E-2</c:v>
                </c:pt>
                <c:pt idx="7">
                  <c:v>2.4720893141945772E-2</c:v>
                </c:pt>
                <c:pt idx="8">
                  <c:v>5.3429027113237638E-2</c:v>
                </c:pt>
                <c:pt idx="9">
                  <c:v>6.2998405103668262E-2</c:v>
                </c:pt>
                <c:pt idx="10">
                  <c:v>0.26315789473684209</c:v>
                </c:pt>
                <c:pt idx="11">
                  <c:v>4.7846889952153108E-3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Lyantonde-Rushere-24hr'!$C$9:$N$9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Lyantonde-Rushere-24hr'!$C$108:$N$108</c:f>
              <c:numCache>
                <c:formatCode>0.00%</c:formatCode>
                <c:ptCount val="12"/>
                <c:pt idx="0">
                  <c:v>0.44913419913419911</c:v>
                </c:pt>
                <c:pt idx="1">
                  <c:v>0.17857142857142858</c:v>
                </c:pt>
                <c:pt idx="2">
                  <c:v>7.575757575757576E-2</c:v>
                </c:pt>
                <c:pt idx="3">
                  <c:v>3.787878787878788E-2</c:v>
                </c:pt>
                <c:pt idx="4">
                  <c:v>7.575757575757576E-3</c:v>
                </c:pt>
                <c:pt idx="5">
                  <c:v>6.4935064935064939E-3</c:v>
                </c:pt>
                <c:pt idx="6">
                  <c:v>4.6536796536796536E-2</c:v>
                </c:pt>
                <c:pt idx="7">
                  <c:v>3.3549783549783552E-2</c:v>
                </c:pt>
                <c:pt idx="8">
                  <c:v>7.2510822510822512E-2</c:v>
                </c:pt>
                <c:pt idx="9">
                  <c:v>8.5497835497835503E-2</c:v>
                </c:pt>
                <c:pt idx="11">
                  <c:v>6.4935064935064939E-3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'26.10 Rushere-Lyantonde-24hr'!$AE$9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'26.10 Rushere-Lyantonde-24hr'!$R$10:$R$33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Rushere-Lyantonde-24hr'!$AE$10:$AE$33</c:f>
              <c:numCache>
                <c:formatCode>0</c:formatCode>
                <c:ptCount val="24"/>
                <c:pt idx="0">
                  <c:v>22</c:v>
                </c:pt>
                <c:pt idx="1">
                  <c:v>8</c:v>
                </c:pt>
                <c:pt idx="2">
                  <c:v>19</c:v>
                </c:pt>
                <c:pt idx="3">
                  <c:v>26</c:v>
                </c:pt>
                <c:pt idx="4">
                  <c:v>23</c:v>
                </c:pt>
                <c:pt idx="5">
                  <c:v>28</c:v>
                </c:pt>
                <c:pt idx="6">
                  <c:v>28</c:v>
                </c:pt>
                <c:pt idx="7">
                  <c:v>36</c:v>
                </c:pt>
                <c:pt idx="8">
                  <c:v>34</c:v>
                </c:pt>
                <c:pt idx="9">
                  <c:v>38</c:v>
                </c:pt>
                <c:pt idx="10">
                  <c:v>37</c:v>
                </c:pt>
                <c:pt idx="11">
                  <c:v>40</c:v>
                </c:pt>
                <c:pt idx="12">
                  <c:v>33</c:v>
                </c:pt>
                <c:pt idx="13">
                  <c:v>30</c:v>
                </c:pt>
                <c:pt idx="14">
                  <c:v>38</c:v>
                </c:pt>
                <c:pt idx="15">
                  <c:v>24</c:v>
                </c:pt>
                <c:pt idx="16">
                  <c:v>20</c:v>
                </c:pt>
                <c:pt idx="17">
                  <c:v>27</c:v>
                </c:pt>
                <c:pt idx="18">
                  <c:v>12</c:v>
                </c:pt>
                <c:pt idx="19">
                  <c:v>20</c:v>
                </c:pt>
                <c:pt idx="20">
                  <c:v>14</c:v>
                </c:pt>
                <c:pt idx="21">
                  <c:v>15</c:v>
                </c:pt>
                <c:pt idx="22">
                  <c:v>27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'26.10 Rushere-Lyantonde-24hr'!$AF$9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'26.10 Rushere-Lyantonde-24hr'!$R$10:$R$33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'26.10 Rushere-Lyantonde-24hr'!$AF$10:$AF$33</c:f>
              <c:numCache>
                <c:formatCode>0</c:formatCode>
                <c:ptCount val="24"/>
                <c:pt idx="0">
                  <c:v>27</c:v>
                </c:pt>
                <c:pt idx="1">
                  <c:v>23</c:v>
                </c:pt>
                <c:pt idx="2">
                  <c:v>36</c:v>
                </c:pt>
                <c:pt idx="3">
                  <c:v>39</c:v>
                </c:pt>
                <c:pt idx="4">
                  <c:v>41</c:v>
                </c:pt>
                <c:pt idx="5">
                  <c:v>57</c:v>
                </c:pt>
                <c:pt idx="6">
                  <c:v>47</c:v>
                </c:pt>
                <c:pt idx="7">
                  <c:v>62</c:v>
                </c:pt>
                <c:pt idx="8">
                  <c:v>61</c:v>
                </c:pt>
                <c:pt idx="9">
                  <c:v>66</c:v>
                </c:pt>
                <c:pt idx="10">
                  <c:v>63</c:v>
                </c:pt>
                <c:pt idx="11">
                  <c:v>66</c:v>
                </c:pt>
                <c:pt idx="12">
                  <c:v>47</c:v>
                </c:pt>
                <c:pt idx="13">
                  <c:v>35</c:v>
                </c:pt>
                <c:pt idx="14">
                  <c:v>38</c:v>
                </c:pt>
                <c:pt idx="15">
                  <c:v>24</c:v>
                </c:pt>
                <c:pt idx="16">
                  <c:v>20</c:v>
                </c:pt>
                <c:pt idx="17">
                  <c:v>27</c:v>
                </c:pt>
                <c:pt idx="18">
                  <c:v>12</c:v>
                </c:pt>
                <c:pt idx="19">
                  <c:v>20</c:v>
                </c:pt>
                <c:pt idx="20">
                  <c:v>14</c:v>
                </c:pt>
                <c:pt idx="21">
                  <c:v>15</c:v>
                </c:pt>
                <c:pt idx="22">
                  <c:v>33</c:v>
                </c:pt>
                <c:pt idx="23">
                  <c:v>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908880"/>
        <c:axId val="829902352"/>
      </c:lineChart>
      <c:catAx>
        <c:axId val="8299088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902352"/>
        <c:crosses val="autoZero"/>
        <c:auto val="1"/>
        <c:lblAlgn val="ctr"/>
        <c:lblOffset val="100"/>
        <c:noMultiLvlLbl val="0"/>
      </c:catAx>
      <c:valAx>
        <c:axId val="82990235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90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Rushere-Lyantonde-24hr'!$C$9:$N$9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Rushere-Lyantonde-24hr'!$C$107:$N$107</c:f>
              <c:numCache>
                <c:formatCode>0.0%</c:formatCode>
                <c:ptCount val="12"/>
                <c:pt idx="0">
                  <c:v>0.30605738575982999</c:v>
                </c:pt>
                <c:pt idx="1">
                  <c:v>8.9266737513283748E-2</c:v>
                </c:pt>
                <c:pt idx="2">
                  <c:v>8.6078639744952182E-2</c:v>
                </c:pt>
                <c:pt idx="3">
                  <c:v>1.5940488841657812E-2</c:v>
                </c:pt>
                <c:pt idx="4">
                  <c:v>4.2507970244420826E-3</c:v>
                </c:pt>
                <c:pt idx="5">
                  <c:v>8.5015940488841653E-3</c:v>
                </c:pt>
                <c:pt idx="6">
                  <c:v>6.1636556854410204E-2</c:v>
                </c:pt>
                <c:pt idx="7">
                  <c:v>6.69500531349628E-2</c:v>
                </c:pt>
                <c:pt idx="8">
                  <c:v>3.0818278427205102E-2</c:v>
                </c:pt>
                <c:pt idx="9">
                  <c:v>2.3379383634431455E-2</c:v>
                </c:pt>
                <c:pt idx="10">
                  <c:v>0.30605738575982999</c:v>
                </c:pt>
                <c:pt idx="11">
                  <c:v>1.0626992561105207E-3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'26.10 Rushere-Lyantonde-24hr'!$C$9:$N$9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'26.10 Rushere-Lyantonde-24hr'!$C$108:$N$108</c:f>
              <c:numCache>
                <c:formatCode>0.00%</c:formatCode>
                <c:ptCount val="12"/>
                <c:pt idx="0">
                  <c:v>0.44104134762633995</c:v>
                </c:pt>
                <c:pt idx="1">
                  <c:v>0.12863705972434916</c:v>
                </c:pt>
                <c:pt idx="2">
                  <c:v>0.12404287901990811</c:v>
                </c:pt>
                <c:pt idx="3">
                  <c:v>2.2970903522205207E-2</c:v>
                </c:pt>
                <c:pt idx="4">
                  <c:v>6.1255742725880554E-3</c:v>
                </c:pt>
                <c:pt idx="5">
                  <c:v>1.2251148545176111E-2</c:v>
                </c:pt>
                <c:pt idx="6">
                  <c:v>8.8820826952526799E-2</c:v>
                </c:pt>
                <c:pt idx="7">
                  <c:v>9.6477794793261865E-2</c:v>
                </c:pt>
                <c:pt idx="8">
                  <c:v>4.44104134762634E-2</c:v>
                </c:pt>
                <c:pt idx="9">
                  <c:v>3.3690658499234305E-2</c:v>
                </c:pt>
                <c:pt idx="11">
                  <c:v>1.5313935681470138E-3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Lyantonde-Rushere'!$AE$9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Lyantonde-Rushere'!$AE$10:$AE$21</c:f>
              <c:numCache>
                <c:formatCode>0</c:formatCode>
                <c:ptCount val="12"/>
                <c:pt idx="0">
                  <c:v>13</c:v>
                </c:pt>
                <c:pt idx="1">
                  <c:v>13</c:v>
                </c:pt>
                <c:pt idx="2">
                  <c:v>30</c:v>
                </c:pt>
                <c:pt idx="3">
                  <c:v>30</c:v>
                </c:pt>
                <c:pt idx="4">
                  <c:v>35</c:v>
                </c:pt>
                <c:pt idx="5">
                  <c:v>33</c:v>
                </c:pt>
                <c:pt idx="6">
                  <c:v>33</c:v>
                </c:pt>
                <c:pt idx="7">
                  <c:v>30</c:v>
                </c:pt>
                <c:pt idx="8">
                  <c:v>17</c:v>
                </c:pt>
                <c:pt idx="9">
                  <c:v>29</c:v>
                </c:pt>
                <c:pt idx="10">
                  <c:v>32</c:v>
                </c:pt>
                <c:pt idx="11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'27.10 Lyantonde-Rushere'!$AF$9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Lyantonde-Rushere'!$AF$10:$AF$21</c:f>
              <c:numCache>
                <c:formatCode>0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44</c:v>
                </c:pt>
                <c:pt idx="3">
                  <c:v>53</c:v>
                </c:pt>
                <c:pt idx="4">
                  <c:v>55</c:v>
                </c:pt>
                <c:pt idx="5">
                  <c:v>49</c:v>
                </c:pt>
                <c:pt idx="6">
                  <c:v>44</c:v>
                </c:pt>
                <c:pt idx="7">
                  <c:v>59</c:v>
                </c:pt>
                <c:pt idx="8">
                  <c:v>38</c:v>
                </c:pt>
                <c:pt idx="9">
                  <c:v>56</c:v>
                </c:pt>
                <c:pt idx="10">
                  <c:v>55</c:v>
                </c:pt>
                <c:pt idx="11">
                  <c:v>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903440"/>
        <c:axId val="829907248"/>
      </c:lineChart>
      <c:catAx>
        <c:axId val="829903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907248"/>
        <c:crosses val="autoZero"/>
        <c:auto val="1"/>
        <c:lblAlgn val="ctr"/>
        <c:lblOffset val="100"/>
        <c:noMultiLvlLbl val="0"/>
      </c:catAx>
      <c:valAx>
        <c:axId val="8299072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90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Lyantonde-Rushere'!$C$59:$N$59</c:f>
              <c:numCache>
                <c:formatCode>0.0%</c:formatCode>
                <c:ptCount val="12"/>
                <c:pt idx="0">
                  <c:v>0.2512908777969019</c:v>
                </c:pt>
                <c:pt idx="1">
                  <c:v>0.12736660929432014</c:v>
                </c:pt>
                <c:pt idx="2">
                  <c:v>4.9913941480206538E-2</c:v>
                </c:pt>
                <c:pt idx="3">
                  <c:v>1.549053356282272E-2</c:v>
                </c:pt>
                <c:pt idx="4">
                  <c:v>1.7211703958691911E-3</c:v>
                </c:pt>
                <c:pt idx="5">
                  <c:v>1.7211703958691911E-3</c:v>
                </c:pt>
                <c:pt idx="6">
                  <c:v>2.9259896729776247E-2</c:v>
                </c:pt>
                <c:pt idx="7">
                  <c:v>5.163511187607573E-2</c:v>
                </c:pt>
                <c:pt idx="8">
                  <c:v>2.7538726333907058E-2</c:v>
                </c:pt>
                <c:pt idx="9">
                  <c:v>1.549053356282272E-2</c:v>
                </c:pt>
                <c:pt idx="10">
                  <c:v>0.42512908777969016</c:v>
                </c:pt>
                <c:pt idx="11">
                  <c:v>3.4423407917383822E-3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Lyantonde-Rushere'!$S$9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Lyantonde-Rushere'!$S$10:$S$21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15</c:v>
                </c:pt>
                <c:pt idx="4">
                  <c:v>16</c:v>
                </c:pt>
                <c:pt idx="5">
                  <c:v>14</c:v>
                </c:pt>
                <c:pt idx="6">
                  <c:v>16</c:v>
                </c:pt>
                <c:pt idx="7">
                  <c:v>11</c:v>
                </c:pt>
                <c:pt idx="8">
                  <c:v>8</c:v>
                </c:pt>
                <c:pt idx="9">
                  <c:v>9</c:v>
                </c:pt>
                <c:pt idx="10">
                  <c:v>16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'27.10 Lyantonde-Rushere'!$T$9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Lyantonde-Rushere'!$T$10:$T$21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13</c:v>
                </c:pt>
                <c:pt idx="3">
                  <c:v>7</c:v>
                </c:pt>
                <c:pt idx="4">
                  <c:v>5</c:v>
                </c:pt>
                <c:pt idx="5">
                  <c:v>10</c:v>
                </c:pt>
                <c:pt idx="6">
                  <c:v>4</c:v>
                </c:pt>
                <c:pt idx="7">
                  <c:v>10</c:v>
                </c:pt>
                <c:pt idx="8">
                  <c:v>3</c:v>
                </c:pt>
                <c:pt idx="9">
                  <c:v>6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'27.10 Lyantonde-Rushere'!$U$9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Lyantonde-Rushere'!$U$10:$U$21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'27.10 Lyantonde-Rushere'!$V$9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Lyantonde-Rushere'!$V$10:$V$21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'27.10 Lyantonde-Rushere'!$W$9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Lyantonde-Rushere'!$W$10:$W$21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'27.10 Lyantonde-Rushere'!$X$9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Lyantonde-Rushere'!$X$10:$X$21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'27.10 Lyantonde-Rushere'!$Y$9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Lyantonde-Rushere'!$Y$10:$Y$21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'27.10 Lyantonde-Rushere'!$Z$9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Lyantonde-Rushere'!$Z$10:$Z$21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7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'27.10 Lyantonde-Rushere'!$AA$9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Lyantonde-Rushere'!$AA$10:$AA$21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'27.10 Lyantonde-Rushere'!$AB$9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Lyantonde-Rushere'!$AB$10:$AB$21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'27.10 Lyantonde-Rushere'!$AC$9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Lyantonde-Rushere'!$AC$10:$AC$21</c:f>
              <c:numCache>
                <c:formatCode>0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14</c:v>
                </c:pt>
                <c:pt idx="3">
                  <c:v>23</c:v>
                </c:pt>
                <c:pt idx="4">
                  <c:v>20</c:v>
                </c:pt>
                <c:pt idx="5">
                  <c:v>16</c:v>
                </c:pt>
                <c:pt idx="6">
                  <c:v>11</c:v>
                </c:pt>
                <c:pt idx="7">
                  <c:v>29</c:v>
                </c:pt>
                <c:pt idx="8">
                  <c:v>21</c:v>
                </c:pt>
                <c:pt idx="9">
                  <c:v>27</c:v>
                </c:pt>
                <c:pt idx="10">
                  <c:v>23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'27.10 Lyantonde-Rushere'!$AD$9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Lyantonde-Rushere'!$AD$10:$AD$21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897456"/>
        <c:axId val="829898000"/>
      </c:lineChart>
      <c:catAx>
        <c:axId val="82989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898000"/>
        <c:crosses val="autoZero"/>
        <c:auto val="1"/>
        <c:lblAlgn val="ctr"/>
        <c:lblOffset val="100"/>
        <c:noMultiLvlLbl val="0"/>
      </c:catAx>
      <c:valAx>
        <c:axId val="82989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89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Lyantonde-Rushere'!$C$60:$N$60</c:f>
              <c:numCache>
                <c:formatCode>0.00%</c:formatCode>
                <c:ptCount val="12"/>
                <c:pt idx="0">
                  <c:v>0.43712574850299402</c:v>
                </c:pt>
                <c:pt idx="1">
                  <c:v>0.22155688622754491</c:v>
                </c:pt>
                <c:pt idx="2">
                  <c:v>8.6826347305389226E-2</c:v>
                </c:pt>
                <c:pt idx="3">
                  <c:v>2.6946107784431138E-2</c:v>
                </c:pt>
                <c:pt idx="4">
                  <c:v>2.9940119760479044E-3</c:v>
                </c:pt>
                <c:pt idx="5">
                  <c:v>2.9940119760479044E-3</c:v>
                </c:pt>
                <c:pt idx="6">
                  <c:v>5.089820359281437E-2</c:v>
                </c:pt>
                <c:pt idx="7">
                  <c:v>8.9820359281437126E-2</c:v>
                </c:pt>
                <c:pt idx="8">
                  <c:v>4.790419161676647E-2</c:v>
                </c:pt>
                <c:pt idx="9">
                  <c:v>2.6946107784431138E-2</c:v>
                </c:pt>
                <c:pt idx="11">
                  <c:v>5.9880239520958087E-3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Rushere-Lyantonde'!$AE$9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Rushere-Lyantonde'!$AE$10:$AE$21</c:f>
              <c:numCache>
                <c:formatCode>0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15</c:v>
                </c:pt>
                <c:pt idx="3">
                  <c:v>22</c:v>
                </c:pt>
                <c:pt idx="4">
                  <c:v>33</c:v>
                </c:pt>
                <c:pt idx="5">
                  <c:v>26</c:v>
                </c:pt>
                <c:pt idx="6">
                  <c:v>38</c:v>
                </c:pt>
                <c:pt idx="7">
                  <c:v>43</c:v>
                </c:pt>
                <c:pt idx="8">
                  <c:v>30</c:v>
                </c:pt>
                <c:pt idx="9">
                  <c:v>40</c:v>
                </c:pt>
                <c:pt idx="10">
                  <c:v>53</c:v>
                </c:pt>
                <c:pt idx="11">
                  <c:v>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'27.10 Rushere-Lyantonde'!$AF$9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Rushere-Lyantonde'!$AF$10:$AF$21</c:f>
              <c:numCache>
                <c:formatCode>0</c:formatCode>
                <c:ptCount val="12"/>
                <c:pt idx="0">
                  <c:v>21</c:v>
                </c:pt>
                <c:pt idx="1">
                  <c:v>23</c:v>
                </c:pt>
                <c:pt idx="2">
                  <c:v>34</c:v>
                </c:pt>
                <c:pt idx="3">
                  <c:v>57</c:v>
                </c:pt>
                <c:pt idx="4">
                  <c:v>76</c:v>
                </c:pt>
                <c:pt idx="5">
                  <c:v>34</c:v>
                </c:pt>
                <c:pt idx="6">
                  <c:v>49</c:v>
                </c:pt>
                <c:pt idx="7">
                  <c:v>77</c:v>
                </c:pt>
                <c:pt idx="8">
                  <c:v>49</c:v>
                </c:pt>
                <c:pt idx="9">
                  <c:v>79</c:v>
                </c:pt>
                <c:pt idx="10">
                  <c:v>88</c:v>
                </c:pt>
                <c:pt idx="11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906160"/>
        <c:axId val="831450064"/>
      </c:lineChart>
      <c:catAx>
        <c:axId val="8299061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50064"/>
        <c:crosses val="autoZero"/>
        <c:auto val="1"/>
        <c:lblAlgn val="ctr"/>
        <c:lblOffset val="100"/>
        <c:noMultiLvlLbl val="0"/>
      </c:catAx>
      <c:valAx>
        <c:axId val="831450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2990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Rushere-Lyantonde'!$C$59:$N$59</c:f>
              <c:numCache>
                <c:formatCode>0.0%</c:formatCode>
                <c:ptCount val="12"/>
                <c:pt idx="0">
                  <c:v>0.22205438066465258</c:v>
                </c:pt>
                <c:pt idx="1">
                  <c:v>0.13141993957703926</c:v>
                </c:pt>
                <c:pt idx="2">
                  <c:v>4.9848942598187312E-2</c:v>
                </c:pt>
                <c:pt idx="3">
                  <c:v>2.5679758308157101E-2</c:v>
                </c:pt>
                <c:pt idx="4">
                  <c:v>3.0211480362537764E-3</c:v>
                </c:pt>
                <c:pt idx="5">
                  <c:v>3.0211480362537764E-3</c:v>
                </c:pt>
                <c:pt idx="6">
                  <c:v>3.1722054380664652E-2</c:v>
                </c:pt>
                <c:pt idx="7">
                  <c:v>3.6253776435045321E-2</c:v>
                </c:pt>
                <c:pt idx="8">
                  <c:v>3.0211480362537766E-2</c:v>
                </c:pt>
                <c:pt idx="9">
                  <c:v>1.9637462235649546E-2</c:v>
                </c:pt>
                <c:pt idx="10">
                  <c:v>0.44410876132930516</c:v>
                </c:pt>
                <c:pt idx="11">
                  <c:v>3.0211480362537764E-3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'27.10 Rushere-Lyantonde'!$S$9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Rushere-Lyantonde'!$S$10:$S$21</c:f>
              <c:numCache>
                <c:formatCode>0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9</c:v>
                </c:pt>
                <c:pt idx="3">
                  <c:v>15</c:v>
                </c:pt>
                <c:pt idx="4">
                  <c:v>16</c:v>
                </c:pt>
                <c:pt idx="5">
                  <c:v>7</c:v>
                </c:pt>
                <c:pt idx="6">
                  <c:v>12</c:v>
                </c:pt>
                <c:pt idx="7">
                  <c:v>8</c:v>
                </c:pt>
                <c:pt idx="8">
                  <c:v>13</c:v>
                </c:pt>
                <c:pt idx="9">
                  <c:v>15</c:v>
                </c:pt>
                <c:pt idx="10">
                  <c:v>21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'27.10 Rushere-Lyantonde'!$T$9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'27.10 Rushere-Lyantonde'!$T$10:$T$21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13</c:v>
                </c:pt>
                <c:pt idx="8">
                  <c:v>5</c:v>
                </c:pt>
                <c:pt idx="9">
                  <c:v>5</c:v>
                </c:pt>
                <c:pt idx="10">
                  <c:v>15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'27.10 Rushere-Lyantonde'!$U$9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'27.10 Rushere-Lyantonde'!$U$10:$U$21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'27.10 Rushere-Lyantonde'!$V$9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'27.10 Rushere-Lyantonde'!$V$10:$V$21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'27.10 Rushere-Lyantonde'!$W$9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'27.10 Rushere-Lyantonde'!$W$10:$W$21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'27.10 Rushere-Lyantonde'!$X$9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'27.10 Rushere-Lyantonde'!$X$10:$X$21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'27.10 Rushere-Lyantonde'!$Y$9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Rushere-Lyantonde'!$Y$10:$Y$21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'27.10 Rushere-Lyantonde'!$Z$9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Rushere-Lyantonde'!$Z$10:$Z$21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8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'27.10 Rushere-Lyantonde'!$AA$9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Rushere-Lyantonde'!$AA$10:$AA$21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'27.10 Rushere-Lyantonde'!$AB$9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Rushere-Lyantonde'!$AB$10:$AB$21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'27.10 Rushere-Lyantonde'!$AC$9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Rushere-Lyantonde'!$AC$10:$AC$21</c:f>
              <c:numCache>
                <c:formatCode>0</c:formatCode>
                <c:ptCount val="12"/>
                <c:pt idx="0">
                  <c:v>10</c:v>
                </c:pt>
                <c:pt idx="1">
                  <c:v>13</c:v>
                </c:pt>
                <c:pt idx="2">
                  <c:v>19</c:v>
                </c:pt>
                <c:pt idx="3">
                  <c:v>35</c:v>
                </c:pt>
                <c:pt idx="4">
                  <c:v>43</c:v>
                </c:pt>
                <c:pt idx="5">
                  <c:v>8</c:v>
                </c:pt>
                <c:pt idx="6">
                  <c:v>11</c:v>
                </c:pt>
                <c:pt idx="7">
                  <c:v>34</c:v>
                </c:pt>
                <c:pt idx="8">
                  <c:v>19</c:v>
                </c:pt>
                <c:pt idx="9">
                  <c:v>39</c:v>
                </c:pt>
                <c:pt idx="10">
                  <c:v>35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'27.10 Rushere-Lyantonde'!$AD$9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'27.10 Rushere-Lyantonde'!$AD$10:$AD$21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443536"/>
        <c:axId val="831458224"/>
      </c:lineChart>
      <c:catAx>
        <c:axId val="83144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58224"/>
        <c:crosses val="autoZero"/>
        <c:auto val="1"/>
        <c:lblAlgn val="ctr"/>
        <c:lblOffset val="100"/>
        <c:noMultiLvlLbl val="0"/>
      </c:catAx>
      <c:valAx>
        <c:axId val="83145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4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'27.10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'27.10 Rushere-Lyantonde'!$C$60:$N$60</c:f>
              <c:numCache>
                <c:formatCode>0.00%</c:formatCode>
                <c:ptCount val="12"/>
                <c:pt idx="0">
                  <c:v>0.39945652173913043</c:v>
                </c:pt>
                <c:pt idx="1">
                  <c:v>0.23641304347826086</c:v>
                </c:pt>
                <c:pt idx="2">
                  <c:v>8.9673913043478257E-2</c:v>
                </c:pt>
                <c:pt idx="3">
                  <c:v>4.619565217391304E-2</c:v>
                </c:pt>
                <c:pt idx="4">
                  <c:v>5.434782608695652E-3</c:v>
                </c:pt>
                <c:pt idx="5">
                  <c:v>5.434782608695652E-3</c:v>
                </c:pt>
                <c:pt idx="6">
                  <c:v>5.7065217391304345E-2</c:v>
                </c:pt>
                <c:pt idx="7">
                  <c:v>6.5217391304347824E-2</c:v>
                </c:pt>
                <c:pt idx="8">
                  <c:v>5.434782608695652E-2</c:v>
                </c:pt>
                <c:pt idx="9">
                  <c:v>3.5326086956521736E-2</c:v>
                </c:pt>
                <c:pt idx="11">
                  <c:v>5.434782608695652E-3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Lyantonde-Rushere-24h'!$AE$9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Lyantonde-Rushere-24h'!$R$10:$R$33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Lyantonde-Rushere-24h'!$AE$10:$AE$33</c:f>
              <c:numCache>
                <c:formatCode>0</c:formatCode>
                <c:ptCount val="24"/>
                <c:pt idx="0">
                  <c:v>34</c:v>
                </c:pt>
                <c:pt idx="1">
                  <c:v>14</c:v>
                </c:pt>
                <c:pt idx="2">
                  <c:v>11</c:v>
                </c:pt>
                <c:pt idx="3">
                  <c:v>19</c:v>
                </c:pt>
                <c:pt idx="4">
                  <c:v>14</c:v>
                </c:pt>
                <c:pt idx="5">
                  <c:v>39</c:v>
                </c:pt>
                <c:pt idx="6">
                  <c:v>38</c:v>
                </c:pt>
                <c:pt idx="7">
                  <c:v>26</c:v>
                </c:pt>
                <c:pt idx="8">
                  <c:v>31</c:v>
                </c:pt>
                <c:pt idx="9">
                  <c:v>58</c:v>
                </c:pt>
                <c:pt idx="10">
                  <c:v>37</c:v>
                </c:pt>
                <c:pt idx="11">
                  <c:v>26</c:v>
                </c:pt>
                <c:pt idx="12">
                  <c:v>35</c:v>
                </c:pt>
                <c:pt idx="13">
                  <c:v>23</c:v>
                </c:pt>
                <c:pt idx="14">
                  <c:v>32</c:v>
                </c:pt>
                <c:pt idx="15">
                  <c:v>40</c:v>
                </c:pt>
                <c:pt idx="16">
                  <c:v>37</c:v>
                </c:pt>
                <c:pt idx="17">
                  <c:v>34</c:v>
                </c:pt>
                <c:pt idx="18">
                  <c:v>25</c:v>
                </c:pt>
                <c:pt idx="19">
                  <c:v>23</c:v>
                </c:pt>
                <c:pt idx="20">
                  <c:v>34</c:v>
                </c:pt>
                <c:pt idx="21">
                  <c:v>25</c:v>
                </c:pt>
                <c:pt idx="22">
                  <c:v>41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'28.10 Lyantonde-Rushere-24h'!$AF$9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Lyantonde-Rushere-24h'!$R$10:$R$33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Lyantonde-Rushere-24h'!$AF$10:$AF$33</c:f>
              <c:numCache>
                <c:formatCode>0</c:formatCode>
                <c:ptCount val="24"/>
                <c:pt idx="0">
                  <c:v>54</c:v>
                </c:pt>
                <c:pt idx="1">
                  <c:v>32</c:v>
                </c:pt>
                <c:pt idx="2">
                  <c:v>43</c:v>
                </c:pt>
                <c:pt idx="3">
                  <c:v>43</c:v>
                </c:pt>
                <c:pt idx="4">
                  <c:v>29</c:v>
                </c:pt>
                <c:pt idx="5">
                  <c:v>67</c:v>
                </c:pt>
                <c:pt idx="6">
                  <c:v>61</c:v>
                </c:pt>
                <c:pt idx="7">
                  <c:v>55</c:v>
                </c:pt>
                <c:pt idx="8">
                  <c:v>56</c:v>
                </c:pt>
                <c:pt idx="9">
                  <c:v>90</c:v>
                </c:pt>
                <c:pt idx="10">
                  <c:v>60</c:v>
                </c:pt>
                <c:pt idx="11">
                  <c:v>46</c:v>
                </c:pt>
                <c:pt idx="12">
                  <c:v>52</c:v>
                </c:pt>
                <c:pt idx="13">
                  <c:v>39</c:v>
                </c:pt>
                <c:pt idx="14">
                  <c:v>39</c:v>
                </c:pt>
                <c:pt idx="15">
                  <c:v>45</c:v>
                </c:pt>
                <c:pt idx="16">
                  <c:v>40</c:v>
                </c:pt>
                <c:pt idx="17">
                  <c:v>34</c:v>
                </c:pt>
                <c:pt idx="18">
                  <c:v>28</c:v>
                </c:pt>
                <c:pt idx="19">
                  <c:v>23</c:v>
                </c:pt>
                <c:pt idx="20">
                  <c:v>34</c:v>
                </c:pt>
                <c:pt idx="21">
                  <c:v>25</c:v>
                </c:pt>
                <c:pt idx="22">
                  <c:v>54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444080"/>
        <c:axId val="831450608"/>
      </c:lineChart>
      <c:catAx>
        <c:axId val="831444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50608"/>
        <c:crosses val="autoZero"/>
        <c:auto val="1"/>
        <c:lblAlgn val="ctr"/>
        <c:lblOffset val="100"/>
        <c:noMultiLvlLbl val="0"/>
      </c:catAx>
      <c:valAx>
        <c:axId val="831450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4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Lyantonde-Rushere-24h'!$C$9:$N$9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Lyantonde-Rushere-24h'!$C$107:$N$107</c:f>
              <c:numCache>
                <c:formatCode>0.0%</c:formatCode>
                <c:ptCount val="12"/>
                <c:pt idx="0">
                  <c:v>0.25186567164179102</c:v>
                </c:pt>
                <c:pt idx="1">
                  <c:v>0.10354477611940298</c:v>
                </c:pt>
                <c:pt idx="2">
                  <c:v>5.8768656716417914E-2</c:v>
                </c:pt>
                <c:pt idx="3">
                  <c:v>1.2126865671641791E-2</c:v>
                </c:pt>
                <c:pt idx="4">
                  <c:v>2.798507462686567E-3</c:v>
                </c:pt>
                <c:pt idx="5">
                  <c:v>1.1194029850746268E-2</c:v>
                </c:pt>
                <c:pt idx="6">
                  <c:v>5.503731343283582E-2</c:v>
                </c:pt>
                <c:pt idx="7">
                  <c:v>5.3171641791044777E-2</c:v>
                </c:pt>
                <c:pt idx="8">
                  <c:v>5.3171641791044777E-2</c:v>
                </c:pt>
                <c:pt idx="9">
                  <c:v>6.3432835820895525E-2</c:v>
                </c:pt>
                <c:pt idx="10">
                  <c:v>0.33208955223880599</c:v>
                </c:pt>
                <c:pt idx="11">
                  <c:v>2.798507462686567E-3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Lyantonde-Rushere-24h'!$C$9:$N$9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Lyantonde-Rushere-24h'!$C$108:$N$108</c:f>
              <c:numCache>
                <c:formatCode>0.00%</c:formatCode>
                <c:ptCount val="12"/>
                <c:pt idx="0">
                  <c:v>0.37709497206703912</c:v>
                </c:pt>
                <c:pt idx="1">
                  <c:v>0.15502793296089384</c:v>
                </c:pt>
                <c:pt idx="2">
                  <c:v>8.7988826815642462E-2</c:v>
                </c:pt>
                <c:pt idx="3">
                  <c:v>1.8156424581005588E-2</c:v>
                </c:pt>
                <c:pt idx="4">
                  <c:v>4.1899441340782122E-3</c:v>
                </c:pt>
                <c:pt idx="5">
                  <c:v>1.6759776536312849E-2</c:v>
                </c:pt>
                <c:pt idx="6">
                  <c:v>8.2402234636871505E-2</c:v>
                </c:pt>
                <c:pt idx="7">
                  <c:v>7.9608938547486033E-2</c:v>
                </c:pt>
                <c:pt idx="8">
                  <c:v>7.9608938547486033E-2</c:v>
                </c:pt>
                <c:pt idx="9">
                  <c:v>9.4972067039106142E-2</c:v>
                </c:pt>
                <c:pt idx="11">
                  <c:v>4.1899441340782122E-3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'28.10 Rushere-Lyantonde-24h'!$AE$9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'28.10 Rushere-Lyantonde-24h'!$R$10:$R$33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Rushere-Lyantonde-24h'!$AE$10:$AE$33</c:f>
              <c:numCache>
                <c:formatCode>0</c:formatCode>
                <c:ptCount val="24"/>
                <c:pt idx="0">
                  <c:v>33</c:v>
                </c:pt>
                <c:pt idx="1">
                  <c:v>13</c:v>
                </c:pt>
                <c:pt idx="2">
                  <c:v>22</c:v>
                </c:pt>
                <c:pt idx="3">
                  <c:v>51</c:v>
                </c:pt>
                <c:pt idx="4">
                  <c:v>29</c:v>
                </c:pt>
                <c:pt idx="5">
                  <c:v>47</c:v>
                </c:pt>
                <c:pt idx="6">
                  <c:v>62</c:v>
                </c:pt>
                <c:pt idx="7">
                  <c:v>57</c:v>
                </c:pt>
                <c:pt idx="8">
                  <c:v>75</c:v>
                </c:pt>
                <c:pt idx="9">
                  <c:v>80</c:v>
                </c:pt>
                <c:pt idx="10">
                  <c:v>86</c:v>
                </c:pt>
                <c:pt idx="11">
                  <c:v>36</c:v>
                </c:pt>
                <c:pt idx="12">
                  <c:v>33</c:v>
                </c:pt>
                <c:pt idx="13">
                  <c:v>38</c:v>
                </c:pt>
                <c:pt idx="14">
                  <c:v>29</c:v>
                </c:pt>
                <c:pt idx="15">
                  <c:v>19</c:v>
                </c:pt>
                <c:pt idx="16">
                  <c:v>18</c:v>
                </c:pt>
                <c:pt idx="17">
                  <c:v>21</c:v>
                </c:pt>
                <c:pt idx="18">
                  <c:v>15</c:v>
                </c:pt>
                <c:pt idx="19">
                  <c:v>13</c:v>
                </c:pt>
                <c:pt idx="20">
                  <c:v>16</c:v>
                </c:pt>
                <c:pt idx="21">
                  <c:v>19</c:v>
                </c:pt>
                <c:pt idx="22">
                  <c:v>31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'28.10 Rushere-Lyantonde-24h'!$AF$9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'28.10 Rushere-Lyantonde-24h'!$R$10:$R$33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'28.10 Rushere-Lyantonde-24h'!$AF$10:$AF$33</c:f>
              <c:numCache>
                <c:formatCode>0</c:formatCode>
                <c:ptCount val="24"/>
                <c:pt idx="0">
                  <c:v>58</c:v>
                </c:pt>
                <c:pt idx="1">
                  <c:v>36</c:v>
                </c:pt>
                <c:pt idx="2">
                  <c:v>48</c:v>
                </c:pt>
                <c:pt idx="3">
                  <c:v>78</c:v>
                </c:pt>
                <c:pt idx="4">
                  <c:v>45</c:v>
                </c:pt>
                <c:pt idx="5">
                  <c:v>81</c:v>
                </c:pt>
                <c:pt idx="6">
                  <c:v>89</c:v>
                </c:pt>
                <c:pt idx="7">
                  <c:v>89</c:v>
                </c:pt>
                <c:pt idx="8">
                  <c:v>118</c:v>
                </c:pt>
                <c:pt idx="9">
                  <c:v>116</c:v>
                </c:pt>
                <c:pt idx="10">
                  <c:v>125</c:v>
                </c:pt>
                <c:pt idx="11">
                  <c:v>62</c:v>
                </c:pt>
                <c:pt idx="12">
                  <c:v>36</c:v>
                </c:pt>
                <c:pt idx="13">
                  <c:v>49</c:v>
                </c:pt>
                <c:pt idx="14">
                  <c:v>29</c:v>
                </c:pt>
                <c:pt idx="15">
                  <c:v>19</c:v>
                </c:pt>
                <c:pt idx="16">
                  <c:v>18</c:v>
                </c:pt>
                <c:pt idx="17">
                  <c:v>21</c:v>
                </c:pt>
                <c:pt idx="18">
                  <c:v>15</c:v>
                </c:pt>
                <c:pt idx="19">
                  <c:v>13</c:v>
                </c:pt>
                <c:pt idx="20">
                  <c:v>16</c:v>
                </c:pt>
                <c:pt idx="21">
                  <c:v>19</c:v>
                </c:pt>
                <c:pt idx="22">
                  <c:v>31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454960"/>
        <c:axId val="831447344"/>
      </c:lineChart>
      <c:catAx>
        <c:axId val="831454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47344"/>
        <c:crosses val="autoZero"/>
        <c:auto val="1"/>
        <c:lblAlgn val="ctr"/>
        <c:lblOffset val="100"/>
        <c:noMultiLvlLbl val="0"/>
      </c:catAx>
      <c:valAx>
        <c:axId val="8314473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5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Rushere-Lyantonde-24h'!$C$9:$N$9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Rushere-Lyantonde-24h'!$C$107:$N$107</c:f>
              <c:numCache>
                <c:formatCode>0.0%</c:formatCode>
                <c:ptCount val="12"/>
                <c:pt idx="0">
                  <c:v>0.29000812347684807</c:v>
                </c:pt>
                <c:pt idx="1">
                  <c:v>0.12835093419983754</c:v>
                </c:pt>
                <c:pt idx="2">
                  <c:v>7.2298943948009745E-2</c:v>
                </c:pt>
                <c:pt idx="3">
                  <c:v>8.9358245329000819E-3</c:v>
                </c:pt>
                <c:pt idx="4">
                  <c:v>2.437043054427295E-3</c:v>
                </c:pt>
                <c:pt idx="5">
                  <c:v>3.249390739236393E-3</c:v>
                </c:pt>
                <c:pt idx="6">
                  <c:v>0.10073111291632819</c:v>
                </c:pt>
                <c:pt idx="7">
                  <c:v>3.4930950446791224E-2</c:v>
                </c:pt>
                <c:pt idx="8">
                  <c:v>2.5995125913891144E-2</c:v>
                </c:pt>
                <c:pt idx="9">
                  <c:v>2.5182778229082048E-2</c:v>
                </c:pt>
                <c:pt idx="10">
                  <c:v>0.30706742485783917</c:v>
                </c:pt>
                <c:pt idx="11">
                  <c:v>8.1234768480909826E-4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'28.10 Rushere-Lyantonde-24h'!$C$9:$N$9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'28.10 Rushere-Lyantonde-24h'!$C$108:$N$108</c:f>
              <c:numCache>
                <c:formatCode>0.00%</c:formatCode>
                <c:ptCount val="12"/>
                <c:pt idx="0">
                  <c:v>0.41852286049237986</c:v>
                </c:pt>
                <c:pt idx="1">
                  <c:v>0.18522860492379836</c:v>
                </c:pt>
                <c:pt idx="2">
                  <c:v>0.10433763188745604</c:v>
                </c:pt>
                <c:pt idx="3">
                  <c:v>1.2895662368112544E-2</c:v>
                </c:pt>
                <c:pt idx="4">
                  <c:v>3.5169988276670576E-3</c:v>
                </c:pt>
                <c:pt idx="5">
                  <c:v>4.6893317702227429E-3</c:v>
                </c:pt>
                <c:pt idx="6">
                  <c:v>0.14536928487690504</c:v>
                </c:pt>
                <c:pt idx="7">
                  <c:v>5.0410316529894493E-2</c:v>
                </c:pt>
                <c:pt idx="8">
                  <c:v>3.7514654161781943E-2</c:v>
                </c:pt>
                <c:pt idx="9">
                  <c:v>3.6342321219226259E-2</c:v>
                </c:pt>
                <c:pt idx="11">
                  <c:v>1.1723329425556857E-3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Lyantonde-Rushere'!$AE$9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Lyantonde-Rushere'!$AE$10:$AE$21</c:f>
              <c:numCache>
                <c:formatCode>0</c:formatCode>
                <c:ptCount val="12"/>
                <c:pt idx="0">
                  <c:v>17</c:v>
                </c:pt>
                <c:pt idx="1">
                  <c:v>20</c:v>
                </c:pt>
                <c:pt idx="2">
                  <c:v>19</c:v>
                </c:pt>
                <c:pt idx="3">
                  <c:v>20</c:v>
                </c:pt>
                <c:pt idx="4">
                  <c:v>29</c:v>
                </c:pt>
                <c:pt idx="5">
                  <c:v>18</c:v>
                </c:pt>
                <c:pt idx="6">
                  <c:v>30</c:v>
                </c:pt>
                <c:pt idx="7">
                  <c:v>33</c:v>
                </c:pt>
                <c:pt idx="8">
                  <c:v>21</c:v>
                </c:pt>
                <c:pt idx="9">
                  <c:v>22</c:v>
                </c:pt>
                <c:pt idx="10">
                  <c:v>32</c:v>
                </c:pt>
                <c:pt idx="11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'29.10 Lyantonde-Rushere'!$AF$9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Lyantonde-Rushere'!$AF$10:$AF$21</c:f>
              <c:numCache>
                <c:formatCode>0</c:formatCode>
                <c:ptCount val="12"/>
                <c:pt idx="0">
                  <c:v>29</c:v>
                </c:pt>
                <c:pt idx="1">
                  <c:v>38</c:v>
                </c:pt>
                <c:pt idx="2">
                  <c:v>33</c:v>
                </c:pt>
                <c:pt idx="3">
                  <c:v>36</c:v>
                </c:pt>
                <c:pt idx="4">
                  <c:v>59</c:v>
                </c:pt>
                <c:pt idx="5">
                  <c:v>28</c:v>
                </c:pt>
                <c:pt idx="6">
                  <c:v>53</c:v>
                </c:pt>
                <c:pt idx="7">
                  <c:v>51</c:v>
                </c:pt>
                <c:pt idx="8">
                  <c:v>44</c:v>
                </c:pt>
                <c:pt idx="9">
                  <c:v>47</c:v>
                </c:pt>
                <c:pt idx="10">
                  <c:v>62</c:v>
                </c:pt>
                <c:pt idx="11">
                  <c:v>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457136"/>
        <c:axId val="831457680"/>
      </c:lineChart>
      <c:catAx>
        <c:axId val="8314571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57680"/>
        <c:crosses val="autoZero"/>
        <c:auto val="1"/>
        <c:lblAlgn val="ctr"/>
        <c:lblOffset val="100"/>
        <c:noMultiLvlLbl val="0"/>
      </c:catAx>
      <c:valAx>
        <c:axId val="8314576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3145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Lyantonde-Rushere'!$C$59:$N$59</c:f>
              <c:numCache>
                <c:formatCode>0.0%</c:formatCode>
                <c:ptCount val="12"/>
                <c:pt idx="0">
                  <c:v>0.27689594356261021</c:v>
                </c:pt>
                <c:pt idx="1">
                  <c:v>6.3492063492063489E-2</c:v>
                </c:pt>
                <c:pt idx="2">
                  <c:v>6.8783068783068779E-2</c:v>
                </c:pt>
                <c:pt idx="3">
                  <c:v>1.2345679012345678E-2</c:v>
                </c:pt>
                <c:pt idx="4">
                  <c:v>3.5273368606701938E-3</c:v>
                </c:pt>
                <c:pt idx="5">
                  <c:v>7.0546737213403876E-3</c:v>
                </c:pt>
                <c:pt idx="6">
                  <c:v>4.4091710758377423E-2</c:v>
                </c:pt>
                <c:pt idx="7">
                  <c:v>5.4673721340388004E-2</c:v>
                </c:pt>
                <c:pt idx="8">
                  <c:v>2.292768959435626E-2</c:v>
                </c:pt>
                <c:pt idx="9">
                  <c:v>7.0546737213403876E-3</c:v>
                </c:pt>
                <c:pt idx="10">
                  <c:v>0.43562610229276894</c:v>
                </c:pt>
                <c:pt idx="11">
                  <c:v>3.5273368606701938E-3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Lyantonde-Rushere'!$S$9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Lyantonde-Rushere'!$S$10:$S$21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15</c:v>
                </c:pt>
                <c:pt idx="5">
                  <c:v>11</c:v>
                </c:pt>
                <c:pt idx="6">
                  <c:v>20</c:v>
                </c:pt>
                <c:pt idx="7">
                  <c:v>14</c:v>
                </c:pt>
                <c:pt idx="8">
                  <c:v>10</c:v>
                </c:pt>
                <c:pt idx="9">
                  <c:v>11</c:v>
                </c:pt>
                <c:pt idx="10">
                  <c:v>22</c:v>
                </c:pt>
                <c:pt idx="11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'29.10 Lyantonde-Rushere'!$T$9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Lyantonde-Rushere'!$T$10:$T$21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4</c:v>
                </c:pt>
                <c:pt idx="8">
                  <c:v>7</c:v>
                </c:pt>
                <c:pt idx="9">
                  <c:v>2</c:v>
                </c:pt>
                <c:pt idx="10">
                  <c:v>5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'29.10 Lyantonde-Rushere'!$U$9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'29.10 Lyantonde-Rushere'!$U$10:$U$21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3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'29.10 Lyantonde-Rushere'!$V$9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'29.10 Lyantonde-Rushere'!$V$10:$V$21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'29.10 Lyantonde-Rushere'!$W$9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'29.10 Lyantonde-Rushere'!$W$10:$W$21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'29.10 Lyantonde-Rushere'!$X$9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'29.10 Lyantonde-Rushere'!$X$10:$X$21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'29.10 Lyantonde-Rushere'!$Y$9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Lyantonde-Rushere'!$Y$10:$Y$21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'29.10 Lyantonde-Rushere'!$Z$9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Lyantonde-Rushere'!$Z$10:$Z$21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'29.10 Lyantonde-Rushere'!$AA$9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Lyantonde-Rushere'!$AA$10:$AA$21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'29.10 Lyantonde-Rushere'!$AB$9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Lyantonde-Rushere'!$AB$10:$AB$21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'29.10 Lyantonde-Rushere'!$AC$9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Lyantonde-Rushere'!$AC$10:$AC$21</c:f>
              <c:numCache>
                <c:formatCode>0</c:formatCode>
                <c:ptCount val="12"/>
                <c:pt idx="0">
                  <c:v>12</c:v>
                </c:pt>
                <c:pt idx="1">
                  <c:v>18</c:v>
                </c:pt>
                <c:pt idx="2">
                  <c:v>14</c:v>
                </c:pt>
                <c:pt idx="3">
                  <c:v>16</c:v>
                </c:pt>
                <c:pt idx="4">
                  <c:v>30</c:v>
                </c:pt>
                <c:pt idx="5">
                  <c:v>10</c:v>
                </c:pt>
                <c:pt idx="6">
                  <c:v>23</c:v>
                </c:pt>
                <c:pt idx="7">
                  <c:v>18</c:v>
                </c:pt>
                <c:pt idx="8">
                  <c:v>23</c:v>
                </c:pt>
                <c:pt idx="9">
                  <c:v>25</c:v>
                </c:pt>
                <c:pt idx="10">
                  <c:v>30</c:v>
                </c:pt>
                <c:pt idx="1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'29.10 Lyantonde-Rushere'!$AD$9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'29.10 Lyantonde-Rushere'!$AD$10:$AD$21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518464"/>
        <c:axId val="873515200"/>
      </c:lineChart>
      <c:catAx>
        <c:axId val="87351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3515200"/>
        <c:crosses val="autoZero"/>
        <c:auto val="1"/>
        <c:lblAlgn val="ctr"/>
        <c:lblOffset val="100"/>
        <c:noMultiLvlLbl val="0"/>
      </c:catAx>
      <c:valAx>
        <c:axId val="87351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351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Lyantonde-Rushere'!$C$60:$N$60</c:f>
              <c:numCache>
                <c:formatCode>0.00%</c:formatCode>
                <c:ptCount val="12"/>
                <c:pt idx="0">
                  <c:v>0.49062499999999998</c:v>
                </c:pt>
                <c:pt idx="1">
                  <c:v>0.1125</c:v>
                </c:pt>
                <c:pt idx="2">
                  <c:v>0.121875</c:v>
                </c:pt>
                <c:pt idx="3">
                  <c:v>2.1874999999999999E-2</c:v>
                </c:pt>
                <c:pt idx="4">
                  <c:v>6.2500000000000003E-3</c:v>
                </c:pt>
                <c:pt idx="5">
                  <c:v>1.2500000000000001E-2</c:v>
                </c:pt>
                <c:pt idx="6">
                  <c:v>7.8125E-2</c:v>
                </c:pt>
                <c:pt idx="7">
                  <c:v>9.6875000000000003E-2</c:v>
                </c:pt>
                <c:pt idx="8">
                  <c:v>4.0625000000000001E-2</c:v>
                </c:pt>
                <c:pt idx="9">
                  <c:v>1.2500000000000001E-2</c:v>
                </c:pt>
                <c:pt idx="11">
                  <c:v>6.2500000000000003E-3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'29.10 Rushere-Lyantonde'!$AE$9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Rushere-Lyantonde'!$AE$10:$AE$21</c:f>
              <c:numCache>
                <c:formatCode>0</c:formatCode>
                <c:ptCount val="12"/>
                <c:pt idx="0">
                  <c:v>17</c:v>
                </c:pt>
                <c:pt idx="1">
                  <c:v>8</c:v>
                </c:pt>
                <c:pt idx="2">
                  <c:v>20</c:v>
                </c:pt>
                <c:pt idx="3">
                  <c:v>13</c:v>
                </c:pt>
                <c:pt idx="4">
                  <c:v>31</c:v>
                </c:pt>
                <c:pt idx="5">
                  <c:v>24</c:v>
                </c:pt>
                <c:pt idx="6">
                  <c:v>36</c:v>
                </c:pt>
                <c:pt idx="7">
                  <c:v>22</c:v>
                </c:pt>
                <c:pt idx="8">
                  <c:v>22</c:v>
                </c:pt>
                <c:pt idx="9">
                  <c:v>32</c:v>
                </c:pt>
                <c:pt idx="10">
                  <c:v>40</c:v>
                </c:pt>
                <c:pt idx="11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'29.10 Rushere-Lyantonde'!$AF$9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'29.10 Rushere-Lyantonde'!$AF$10:$AF$21</c:f>
              <c:numCache>
                <c:formatCode>0</c:formatCode>
                <c:ptCount val="12"/>
                <c:pt idx="0">
                  <c:v>27</c:v>
                </c:pt>
                <c:pt idx="1">
                  <c:v>22</c:v>
                </c:pt>
                <c:pt idx="2">
                  <c:v>36</c:v>
                </c:pt>
                <c:pt idx="3">
                  <c:v>32</c:v>
                </c:pt>
                <c:pt idx="4">
                  <c:v>57</c:v>
                </c:pt>
                <c:pt idx="5">
                  <c:v>45</c:v>
                </c:pt>
                <c:pt idx="6">
                  <c:v>58</c:v>
                </c:pt>
                <c:pt idx="7">
                  <c:v>47</c:v>
                </c:pt>
                <c:pt idx="8">
                  <c:v>40</c:v>
                </c:pt>
                <c:pt idx="9">
                  <c:v>65</c:v>
                </c:pt>
                <c:pt idx="10">
                  <c:v>74</c:v>
                </c:pt>
                <c:pt idx="11">
                  <c:v>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520096"/>
        <c:axId val="873527712"/>
      </c:lineChart>
      <c:catAx>
        <c:axId val="8735200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3527712"/>
        <c:crosses val="autoZero"/>
        <c:auto val="1"/>
        <c:lblAlgn val="ctr"/>
        <c:lblOffset val="100"/>
        <c:noMultiLvlLbl val="0"/>
      </c:catAx>
      <c:valAx>
        <c:axId val="873527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352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Rushere-Lyantonde'!$C$59:$N$59</c:f>
              <c:numCache>
                <c:formatCode>0.0%</c:formatCode>
                <c:ptCount val="12"/>
                <c:pt idx="0">
                  <c:v>0.28415300546448086</c:v>
                </c:pt>
                <c:pt idx="1">
                  <c:v>6.0109289617486336E-2</c:v>
                </c:pt>
                <c:pt idx="2">
                  <c:v>4.3715846994535519E-2</c:v>
                </c:pt>
                <c:pt idx="3">
                  <c:v>1.6393442622950821E-2</c:v>
                </c:pt>
                <c:pt idx="4">
                  <c:v>5.4644808743169399E-3</c:v>
                </c:pt>
                <c:pt idx="5">
                  <c:v>3.6429872495446266E-3</c:v>
                </c:pt>
                <c:pt idx="6">
                  <c:v>3.2786885245901641E-2</c:v>
                </c:pt>
                <c:pt idx="7">
                  <c:v>5.1001821493624776E-2</c:v>
                </c:pt>
                <c:pt idx="8">
                  <c:v>2.3679417122040074E-2</c:v>
                </c:pt>
                <c:pt idx="9">
                  <c:v>5.4644808743169399E-3</c:v>
                </c:pt>
                <c:pt idx="10">
                  <c:v>0.47358834244080145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'29.10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'29.10 Rushere-Lyantonde'!$C$60:$N$60</c:f>
              <c:numCache>
                <c:formatCode>0.00%</c:formatCode>
                <c:ptCount val="12"/>
                <c:pt idx="0">
                  <c:v>0.53979238754325265</c:v>
                </c:pt>
                <c:pt idx="1">
                  <c:v>0.11418685121107267</c:v>
                </c:pt>
                <c:pt idx="2">
                  <c:v>8.3044982698961933E-2</c:v>
                </c:pt>
                <c:pt idx="3">
                  <c:v>3.1141868512110725E-2</c:v>
                </c:pt>
                <c:pt idx="4">
                  <c:v>1.0380622837370242E-2</c:v>
                </c:pt>
                <c:pt idx="5">
                  <c:v>6.920415224913495E-3</c:v>
                </c:pt>
                <c:pt idx="6">
                  <c:v>6.228373702422145E-2</c:v>
                </c:pt>
                <c:pt idx="7">
                  <c:v>9.6885813148788927E-2</c:v>
                </c:pt>
                <c:pt idx="8">
                  <c:v>4.4982698961937718E-2</c:v>
                </c:pt>
                <c:pt idx="9">
                  <c:v>1.0380622837370242E-2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Lyantonde-Rushere'!$AE$9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Lyantonde-Rushere'!$AE$10:$AE$21</c:f>
              <c:numCache>
                <c:formatCode>0</c:formatCode>
                <c:ptCount val="12"/>
                <c:pt idx="0">
                  <c:v>32</c:v>
                </c:pt>
                <c:pt idx="1">
                  <c:v>17</c:v>
                </c:pt>
                <c:pt idx="2">
                  <c:v>20</c:v>
                </c:pt>
                <c:pt idx="3">
                  <c:v>25</c:v>
                </c:pt>
                <c:pt idx="4">
                  <c:v>29</c:v>
                </c:pt>
                <c:pt idx="5">
                  <c:v>27</c:v>
                </c:pt>
                <c:pt idx="6">
                  <c:v>28</c:v>
                </c:pt>
                <c:pt idx="7">
                  <c:v>27</c:v>
                </c:pt>
                <c:pt idx="8">
                  <c:v>28</c:v>
                </c:pt>
                <c:pt idx="9">
                  <c:v>44</c:v>
                </c:pt>
                <c:pt idx="10">
                  <c:v>59</c:v>
                </c:pt>
                <c:pt idx="11">
                  <c:v>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'30.10 Lyantonde-Rushere'!$AF$9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Lyantonde-Rushere'!$AF$10:$AF$21</c:f>
              <c:numCache>
                <c:formatCode>0</c:formatCode>
                <c:ptCount val="12"/>
                <c:pt idx="0">
                  <c:v>55</c:v>
                </c:pt>
                <c:pt idx="1">
                  <c:v>38</c:v>
                </c:pt>
                <c:pt idx="2">
                  <c:v>44</c:v>
                </c:pt>
                <c:pt idx="3">
                  <c:v>46</c:v>
                </c:pt>
                <c:pt idx="4">
                  <c:v>56</c:v>
                </c:pt>
                <c:pt idx="5">
                  <c:v>80</c:v>
                </c:pt>
                <c:pt idx="6">
                  <c:v>50</c:v>
                </c:pt>
                <c:pt idx="7">
                  <c:v>47</c:v>
                </c:pt>
                <c:pt idx="8">
                  <c:v>54</c:v>
                </c:pt>
                <c:pt idx="9">
                  <c:v>77</c:v>
                </c:pt>
                <c:pt idx="10">
                  <c:v>91</c:v>
                </c:pt>
                <c:pt idx="11">
                  <c:v>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517920"/>
        <c:axId val="873524448"/>
      </c:lineChart>
      <c:catAx>
        <c:axId val="8735179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3524448"/>
        <c:crosses val="autoZero"/>
        <c:auto val="1"/>
        <c:lblAlgn val="ctr"/>
        <c:lblOffset val="100"/>
        <c:noMultiLvlLbl val="0"/>
      </c:catAx>
      <c:valAx>
        <c:axId val="8735244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351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Lyantonde-Rushere'!$C$59:$N$59</c:f>
              <c:numCache>
                <c:formatCode>0.0%</c:formatCode>
                <c:ptCount val="12"/>
                <c:pt idx="0">
                  <c:v>0.24076607387140903</c:v>
                </c:pt>
                <c:pt idx="1">
                  <c:v>7.1135430916552667E-2</c:v>
                </c:pt>
                <c:pt idx="2">
                  <c:v>5.33515731874145E-2</c:v>
                </c:pt>
                <c:pt idx="3">
                  <c:v>1.3679890560875513E-2</c:v>
                </c:pt>
                <c:pt idx="4">
                  <c:v>0</c:v>
                </c:pt>
                <c:pt idx="5">
                  <c:v>1.3679890560875513E-3</c:v>
                </c:pt>
                <c:pt idx="6">
                  <c:v>5.33515731874145E-2</c:v>
                </c:pt>
                <c:pt idx="7">
                  <c:v>7.2503419972640218E-2</c:v>
                </c:pt>
                <c:pt idx="8">
                  <c:v>1.9151846785225718E-2</c:v>
                </c:pt>
                <c:pt idx="9">
                  <c:v>2.188782489740082E-2</c:v>
                </c:pt>
                <c:pt idx="10">
                  <c:v>0.45280437756497949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Lyantonde-Rushere'!$S$9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Lyantonde-Rushere'!$S$10:$S$21</c:f>
              <c:numCache>
                <c:formatCode>0</c:formatCode>
                <c:ptCount val="12"/>
                <c:pt idx="0">
                  <c:v>13</c:v>
                </c:pt>
                <c:pt idx="1">
                  <c:v>7</c:v>
                </c:pt>
                <c:pt idx="2">
                  <c:v>10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16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'30.10 Lyantonde-Rushere'!$T$9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Lyantonde-Rushere'!$T$10:$T$21</c:f>
              <c:numCache>
                <c:formatCode>0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6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'30.10 Lyantonde-Rushere'!$U$9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Lyantonde-Rushere'!$U$10:$U$21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'30.10 Lyantonde-Rushere'!$V$9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Lyantonde-Rushere'!$V$10:$V$21</c:f>
              <c:numCache>
                <c:formatCode>0</c:formatCode>
                <c:ptCount val="1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'30.10 Lyantonde-Rushere'!$W$9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Lyantonde-Rushere'!$W$10:$W$21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'30.10 Lyantonde-Rushere'!$X$9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Lyantonde-Rushere'!$X$10:$X$21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'30.10 Lyantonde-Rushere'!$Y$9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Lyantonde-Rushere'!$Y$10:$Y$21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6</c:v>
                </c:pt>
                <c:pt idx="9">
                  <c:v>5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'30.10 Lyantonde-Rushere'!$Z$9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Lyantonde-Rushere'!$Z$10:$Z$21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9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11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'30.10 Lyantonde-Rushere'!$AA$9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Lyantonde-Rushere'!$AA$10:$AA$21</c:f>
              <c:numCache>
                <c:formatCode>0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'30.10 Lyantonde-Rushere'!$AB$9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Lyantonde-Rushere'!$AB$10:$AB$21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'30.10 Lyantonde-Rushere'!$AC$9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Lyantonde-Rushere'!$AC$10:$AC$21</c:f>
              <c:numCache>
                <c:formatCode>0</c:formatCode>
                <c:ptCount val="12"/>
                <c:pt idx="0">
                  <c:v>23</c:v>
                </c:pt>
                <c:pt idx="1">
                  <c:v>21</c:v>
                </c:pt>
                <c:pt idx="2">
                  <c:v>24</c:v>
                </c:pt>
                <c:pt idx="3">
                  <c:v>21</c:v>
                </c:pt>
                <c:pt idx="4">
                  <c:v>27</c:v>
                </c:pt>
                <c:pt idx="5">
                  <c:v>53</c:v>
                </c:pt>
                <c:pt idx="6">
                  <c:v>22</c:v>
                </c:pt>
                <c:pt idx="7">
                  <c:v>20</c:v>
                </c:pt>
                <c:pt idx="8">
                  <c:v>26</c:v>
                </c:pt>
                <c:pt idx="9">
                  <c:v>33</c:v>
                </c:pt>
                <c:pt idx="10">
                  <c:v>32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'30.10 Lyantonde-Rushere'!$AD$9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Lyantonde-Rushere'!$AD$10:$AD$21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524992"/>
        <c:axId val="873527168"/>
      </c:lineChart>
      <c:catAx>
        <c:axId val="87352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3527168"/>
        <c:crosses val="autoZero"/>
        <c:auto val="1"/>
        <c:lblAlgn val="ctr"/>
        <c:lblOffset val="100"/>
        <c:noMultiLvlLbl val="0"/>
      </c:catAx>
      <c:valAx>
        <c:axId val="87352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352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Lyantonde-Rushere'!$C$60:$N$60</c:f>
              <c:numCache>
                <c:formatCode>0.00%</c:formatCode>
                <c:ptCount val="12"/>
                <c:pt idx="0">
                  <c:v>0.44</c:v>
                </c:pt>
                <c:pt idx="1">
                  <c:v>0.13</c:v>
                </c:pt>
                <c:pt idx="2">
                  <c:v>9.7500000000000003E-2</c:v>
                </c:pt>
                <c:pt idx="3">
                  <c:v>2.5000000000000001E-2</c:v>
                </c:pt>
                <c:pt idx="4">
                  <c:v>0</c:v>
                </c:pt>
                <c:pt idx="5">
                  <c:v>2.5000000000000001E-3</c:v>
                </c:pt>
                <c:pt idx="6">
                  <c:v>9.7500000000000003E-2</c:v>
                </c:pt>
                <c:pt idx="7">
                  <c:v>0.13250000000000001</c:v>
                </c:pt>
                <c:pt idx="8">
                  <c:v>3.5000000000000003E-2</c:v>
                </c:pt>
                <c:pt idx="9">
                  <c:v>0.04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Rushere-Lyantonde'!$AE$9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Rushere-Lyantonde'!$AE$10:$AE$21</c:f>
              <c:numCache>
                <c:formatCode>0</c:formatCode>
                <c:ptCount val="12"/>
                <c:pt idx="0">
                  <c:v>35</c:v>
                </c:pt>
                <c:pt idx="1">
                  <c:v>59</c:v>
                </c:pt>
                <c:pt idx="2">
                  <c:v>15</c:v>
                </c:pt>
                <c:pt idx="3">
                  <c:v>26</c:v>
                </c:pt>
                <c:pt idx="4">
                  <c:v>19</c:v>
                </c:pt>
                <c:pt idx="5">
                  <c:v>28</c:v>
                </c:pt>
                <c:pt idx="6">
                  <c:v>28</c:v>
                </c:pt>
                <c:pt idx="7">
                  <c:v>37</c:v>
                </c:pt>
                <c:pt idx="8">
                  <c:v>21</c:v>
                </c:pt>
                <c:pt idx="9">
                  <c:v>28</c:v>
                </c:pt>
                <c:pt idx="10">
                  <c:v>55</c:v>
                </c:pt>
                <c:pt idx="11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'30.10 Rushere-Lyantonde'!$AF$9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Rushere-Lyantonde'!$AF$10:$AF$21</c:f>
              <c:numCache>
                <c:formatCode>0</c:formatCode>
                <c:ptCount val="12"/>
                <c:pt idx="0">
                  <c:v>61</c:v>
                </c:pt>
                <c:pt idx="1">
                  <c:v>86</c:v>
                </c:pt>
                <c:pt idx="2">
                  <c:v>40</c:v>
                </c:pt>
                <c:pt idx="3">
                  <c:v>48</c:v>
                </c:pt>
                <c:pt idx="4">
                  <c:v>51</c:v>
                </c:pt>
                <c:pt idx="5">
                  <c:v>63</c:v>
                </c:pt>
                <c:pt idx="6">
                  <c:v>44</c:v>
                </c:pt>
                <c:pt idx="7">
                  <c:v>53</c:v>
                </c:pt>
                <c:pt idx="8">
                  <c:v>40</c:v>
                </c:pt>
                <c:pt idx="9">
                  <c:v>50</c:v>
                </c:pt>
                <c:pt idx="10">
                  <c:v>78</c:v>
                </c:pt>
                <c:pt idx="11">
                  <c:v>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52528"/>
        <c:axId val="875442736"/>
      </c:lineChart>
      <c:catAx>
        <c:axId val="8754525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5442736"/>
        <c:crosses val="autoZero"/>
        <c:auto val="1"/>
        <c:lblAlgn val="ctr"/>
        <c:lblOffset val="100"/>
        <c:noMultiLvlLbl val="0"/>
      </c:catAx>
      <c:valAx>
        <c:axId val="8754427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545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Rushere-Lyantonde'!$C$59:$N$59</c:f>
              <c:numCache>
                <c:formatCode>0.0%</c:formatCode>
                <c:ptCount val="12"/>
                <c:pt idx="0">
                  <c:v>0.27259259259259261</c:v>
                </c:pt>
                <c:pt idx="1">
                  <c:v>7.407407407407407E-2</c:v>
                </c:pt>
                <c:pt idx="2">
                  <c:v>4.296296296296296E-2</c:v>
                </c:pt>
                <c:pt idx="3">
                  <c:v>1.3333333333333334E-2</c:v>
                </c:pt>
                <c:pt idx="4">
                  <c:v>0</c:v>
                </c:pt>
                <c:pt idx="5">
                  <c:v>5.9259259259259256E-3</c:v>
                </c:pt>
                <c:pt idx="6">
                  <c:v>6.9629629629629625E-2</c:v>
                </c:pt>
                <c:pt idx="7">
                  <c:v>5.6296296296296296E-2</c:v>
                </c:pt>
                <c:pt idx="8">
                  <c:v>2.9629629629629631E-2</c:v>
                </c:pt>
                <c:pt idx="9">
                  <c:v>7.4074074074074077E-3</c:v>
                </c:pt>
                <c:pt idx="10">
                  <c:v>0.42814814814814817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'30.10 Rushere-Lyantonde'!$S$9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Rushere-Lyantonde'!$S$10:$S$21</c:f>
              <c:numCache>
                <c:formatCode>0</c:formatCode>
                <c:ptCount val="12"/>
                <c:pt idx="0">
                  <c:v>10</c:v>
                </c:pt>
                <c:pt idx="1">
                  <c:v>39</c:v>
                </c:pt>
                <c:pt idx="2">
                  <c:v>6</c:v>
                </c:pt>
                <c:pt idx="3">
                  <c:v>14</c:v>
                </c:pt>
                <c:pt idx="4">
                  <c:v>11</c:v>
                </c:pt>
                <c:pt idx="5">
                  <c:v>16</c:v>
                </c:pt>
                <c:pt idx="6">
                  <c:v>11</c:v>
                </c:pt>
                <c:pt idx="7">
                  <c:v>22</c:v>
                </c:pt>
                <c:pt idx="8">
                  <c:v>12</c:v>
                </c:pt>
                <c:pt idx="9">
                  <c:v>8</c:v>
                </c:pt>
                <c:pt idx="10">
                  <c:v>22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'30.10 Rushere-Lyantonde'!$T$9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'30.10 Rushere-Lyantonde'!$T$10:$T$21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'30.10 Rushere-Lyantonde'!$U$9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'30.10 Rushere-Lyantonde'!$U$10:$U$21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3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'30.10 Rushere-Lyantonde'!$V$9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'30.10 Rushere-Lyantonde'!$V$10:$V$21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'30.10 Rushere-Lyantonde'!$W$9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'30.10 Rushere-Lyantonde'!$W$10:$W$21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'30.10 Rushere-Lyantonde'!$X$9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'30.10 Rushere-Lyantonde'!$X$10:$X$21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'30.10 Rushere-Lyantonde'!$Y$9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Rushere-Lyantonde'!$Y$10:$Y$21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12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'30.10 Rushere-Lyantonde'!$Z$9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Rushere-Lyantonde'!$Z$10:$Z$21</c:f>
              <c:numCache>
                <c:formatCode>0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5</c:v>
                </c:pt>
                <c:pt idx="7">
                  <c:v>3</c:v>
                </c:pt>
                <c:pt idx="8">
                  <c:v>6</c:v>
                </c:pt>
                <c:pt idx="9">
                  <c:v>9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'30.10 Rushere-Lyantonde'!$AA$9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Rushere-Lyantonde'!$AA$10:$AA$21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'30.10 Rushere-Lyantonde'!$AB$9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Rushere-Lyantonde'!$AB$10:$AB$21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'30.10 Rushere-Lyantonde'!$AC$9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Rushere-Lyantonde'!$AC$10:$AC$21</c:f>
              <c:numCache>
                <c:formatCode>0</c:formatCode>
                <c:ptCount val="12"/>
                <c:pt idx="0">
                  <c:v>26</c:v>
                </c:pt>
                <c:pt idx="1">
                  <c:v>27</c:v>
                </c:pt>
                <c:pt idx="2">
                  <c:v>25</c:v>
                </c:pt>
                <c:pt idx="3">
                  <c:v>22</c:v>
                </c:pt>
                <c:pt idx="4">
                  <c:v>32</c:v>
                </c:pt>
                <c:pt idx="5">
                  <c:v>35</c:v>
                </c:pt>
                <c:pt idx="6">
                  <c:v>16</c:v>
                </c:pt>
                <c:pt idx="7">
                  <c:v>16</c:v>
                </c:pt>
                <c:pt idx="8">
                  <c:v>19</c:v>
                </c:pt>
                <c:pt idx="9">
                  <c:v>22</c:v>
                </c:pt>
                <c:pt idx="10">
                  <c:v>23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'30.10 Rushere-Lyantonde'!$AD$9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'30.10 Rushere-Lyantonde'!$AD$10:$AD$21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454704"/>
        <c:axId val="875448720"/>
      </c:lineChart>
      <c:catAx>
        <c:axId val="87545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5448720"/>
        <c:crosses val="autoZero"/>
        <c:auto val="1"/>
        <c:lblAlgn val="ctr"/>
        <c:lblOffset val="100"/>
        <c:noMultiLvlLbl val="0"/>
      </c:catAx>
      <c:valAx>
        <c:axId val="87544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545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'30.10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'30.10 Rushere-Lyantonde'!$C$60:$N$60</c:f>
              <c:numCache>
                <c:formatCode>0.00%</c:formatCode>
                <c:ptCount val="12"/>
                <c:pt idx="0">
                  <c:v>0.47668393782383417</c:v>
                </c:pt>
                <c:pt idx="1">
                  <c:v>0.12953367875647667</c:v>
                </c:pt>
                <c:pt idx="2">
                  <c:v>7.512953367875648E-2</c:v>
                </c:pt>
                <c:pt idx="3">
                  <c:v>2.3316062176165803E-2</c:v>
                </c:pt>
                <c:pt idx="4">
                  <c:v>0</c:v>
                </c:pt>
                <c:pt idx="5">
                  <c:v>1.0362694300518135E-2</c:v>
                </c:pt>
                <c:pt idx="6">
                  <c:v>0.12176165803108809</c:v>
                </c:pt>
                <c:pt idx="7">
                  <c:v>9.8445595854922283E-2</c:v>
                </c:pt>
                <c:pt idx="8">
                  <c:v>5.181347150259067E-2</c:v>
                </c:pt>
                <c:pt idx="9">
                  <c:v>1.2953367875647668E-2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Lyantonde-Rushere'!$AE$9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Lyantonde-Rushere'!$AE$10:$AE$21</c:f>
              <c:numCache>
                <c:formatCode>0</c:formatCode>
                <c:ptCount val="12"/>
                <c:pt idx="0">
                  <c:v>23</c:v>
                </c:pt>
                <c:pt idx="1">
                  <c:v>22</c:v>
                </c:pt>
                <c:pt idx="2">
                  <c:v>23</c:v>
                </c:pt>
                <c:pt idx="3">
                  <c:v>17</c:v>
                </c:pt>
                <c:pt idx="4">
                  <c:v>39</c:v>
                </c:pt>
                <c:pt idx="5">
                  <c:v>28</c:v>
                </c:pt>
                <c:pt idx="6">
                  <c:v>22</c:v>
                </c:pt>
                <c:pt idx="7">
                  <c:v>32</c:v>
                </c:pt>
                <c:pt idx="8">
                  <c:v>26</c:v>
                </c:pt>
                <c:pt idx="9">
                  <c:v>22</c:v>
                </c:pt>
                <c:pt idx="10">
                  <c:v>34</c:v>
                </c:pt>
                <c:pt idx="11">
                  <c:v>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'31.10 Lyantonde-Rushere'!$AF$9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Lyantonde-Rushere'!$AF$10:$AF$21</c:f>
              <c:numCache>
                <c:formatCode>0</c:formatCode>
                <c:ptCount val="12"/>
                <c:pt idx="0">
                  <c:v>41</c:v>
                </c:pt>
                <c:pt idx="1">
                  <c:v>39</c:v>
                </c:pt>
                <c:pt idx="2">
                  <c:v>48</c:v>
                </c:pt>
                <c:pt idx="3">
                  <c:v>30</c:v>
                </c:pt>
                <c:pt idx="4">
                  <c:v>102</c:v>
                </c:pt>
                <c:pt idx="5">
                  <c:v>44</c:v>
                </c:pt>
                <c:pt idx="6">
                  <c:v>52</c:v>
                </c:pt>
                <c:pt idx="7">
                  <c:v>50</c:v>
                </c:pt>
                <c:pt idx="8">
                  <c:v>55</c:v>
                </c:pt>
                <c:pt idx="9">
                  <c:v>38</c:v>
                </c:pt>
                <c:pt idx="10">
                  <c:v>57</c:v>
                </c:pt>
                <c:pt idx="11">
                  <c:v>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47088"/>
        <c:axId val="875447632"/>
      </c:lineChart>
      <c:catAx>
        <c:axId val="875447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5447632"/>
        <c:crosses val="autoZero"/>
        <c:auto val="1"/>
        <c:lblAlgn val="ctr"/>
        <c:lblOffset val="100"/>
        <c:noMultiLvlLbl val="0"/>
      </c:catAx>
      <c:valAx>
        <c:axId val="87544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544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Lyantonde-Rushere'!$C$59:$N$59</c:f>
              <c:numCache>
                <c:formatCode>0.0%</c:formatCode>
                <c:ptCount val="12"/>
                <c:pt idx="0">
                  <c:v>0.26582278481012656</c:v>
                </c:pt>
                <c:pt idx="1">
                  <c:v>5.3797468354430382E-2</c:v>
                </c:pt>
                <c:pt idx="2">
                  <c:v>4.746835443037975E-2</c:v>
                </c:pt>
                <c:pt idx="3">
                  <c:v>1.4240506329113924E-2</c:v>
                </c:pt>
                <c:pt idx="4">
                  <c:v>3.1645569620253164E-3</c:v>
                </c:pt>
                <c:pt idx="5">
                  <c:v>4.7468354430379748E-3</c:v>
                </c:pt>
                <c:pt idx="6">
                  <c:v>4.2721518987341771E-2</c:v>
                </c:pt>
                <c:pt idx="7">
                  <c:v>7.2784810126582278E-2</c:v>
                </c:pt>
                <c:pt idx="8">
                  <c:v>1.4240506329113924E-2</c:v>
                </c:pt>
                <c:pt idx="9">
                  <c:v>1.5822784810126582E-3</c:v>
                </c:pt>
                <c:pt idx="10">
                  <c:v>0.47943037974683544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Lyantonde-Rushere'!$S$9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Lyantonde-Rushere'!$S$10:$S$21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13</c:v>
                </c:pt>
                <c:pt idx="6">
                  <c:v>9</c:v>
                </c:pt>
                <c:pt idx="7">
                  <c:v>22</c:v>
                </c:pt>
                <c:pt idx="8">
                  <c:v>11</c:v>
                </c:pt>
                <c:pt idx="9">
                  <c:v>16</c:v>
                </c:pt>
                <c:pt idx="10">
                  <c:v>17</c:v>
                </c:pt>
                <c:pt idx="11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'31.10 Lyantonde-Rushere'!$T$9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'31.10 Lyantonde-Rushere'!$R$10:$R$21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Lyantonde-Rushere'!$T$10:$T$21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'31.10 Lyantonde-Rushere'!$U$9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'31.10 Lyantonde-Rushere'!$U$10:$U$21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'31.10 Lyantonde-Rushere'!$V$9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'31.10 Lyantonde-Rushere'!$V$10:$V$21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'31.10 Lyantonde-Rushere'!$W$9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'31.10 Lyantonde-Rushere'!$W$10:$W$21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'31.10 Lyantonde-Rushere'!$X$9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'31.10 Lyantonde-Rushere'!$X$10:$X$21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'31.10 Lyantonde-Rushere'!$Y$9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Lyantonde-Rushere'!$Y$10:$Y$21</c:f>
              <c:numCache>
                <c:formatCode>0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6</c:v>
                </c:pt>
                <c:pt idx="9">
                  <c:v>1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'31.10 Lyantonde-Rushere'!$Z$9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Lyantonde-Rushere'!$Z$10:$Z$21</c:f>
              <c:numCache>
                <c:formatCode>0</c:formatCode>
                <c:ptCount val="12"/>
                <c:pt idx="0">
                  <c:v>9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'31.10 Lyantonde-Rushere'!$AA$9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Lyantonde-Rushere'!$AA$10:$AA$21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'31.10 Lyantonde-Rushere'!$AB$9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Lyantonde-Rushere'!$AB$10:$AB$21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'31.10 Lyantonde-Rushere'!$AC$9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Lyantonde-Rushere'!$AC$10:$AC$21</c:f>
              <c:numCache>
                <c:formatCode>0</c:formatCode>
                <c:ptCount val="12"/>
                <c:pt idx="0">
                  <c:v>18</c:v>
                </c:pt>
                <c:pt idx="1">
                  <c:v>17</c:v>
                </c:pt>
                <c:pt idx="2">
                  <c:v>25</c:v>
                </c:pt>
                <c:pt idx="3">
                  <c:v>13</c:v>
                </c:pt>
                <c:pt idx="4">
                  <c:v>63</c:v>
                </c:pt>
                <c:pt idx="5">
                  <c:v>16</c:v>
                </c:pt>
                <c:pt idx="6">
                  <c:v>30</c:v>
                </c:pt>
                <c:pt idx="7">
                  <c:v>18</c:v>
                </c:pt>
                <c:pt idx="8">
                  <c:v>29</c:v>
                </c:pt>
                <c:pt idx="9">
                  <c:v>16</c:v>
                </c:pt>
                <c:pt idx="10">
                  <c:v>23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'31.10 Lyantonde-Rushere'!$AD$9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Lyantonde-Rushere'!$AD$10:$AD$21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455792"/>
        <c:axId val="875456880"/>
      </c:lineChart>
      <c:catAx>
        <c:axId val="87545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5456880"/>
        <c:crosses val="autoZero"/>
        <c:auto val="1"/>
        <c:lblAlgn val="ctr"/>
        <c:lblOffset val="100"/>
        <c:noMultiLvlLbl val="0"/>
      </c:catAx>
      <c:valAx>
        <c:axId val="8754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545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Lyantonde-Rushere'!$C$60:$N$60</c:f>
              <c:numCache>
                <c:formatCode>0.00%</c:formatCode>
                <c:ptCount val="12"/>
                <c:pt idx="0">
                  <c:v>0.51063829787234039</c:v>
                </c:pt>
                <c:pt idx="1">
                  <c:v>0.10334346504559271</c:v>
                </c:pt>
                <c:pt idx="2">
                  <c:v>9.1185410334346503E-2</c:v>
                </c:pt>
                <c:pt idx="3">
                  <c:v>2.7355623100303952E-2</c:v>
                </c:pt>
                <c:pt idx="4">
                  <c:v>6.0790273556231003E-3</c:v>
                </c:pt>
                <c:pt idx="5">
                  <c:v>9.11854103343465E-3</c:v>
                </c:pt>
                <c:pt idx="6">
                  <c:v>8.2066869300911852E-2</c:v>
                </c:pt>
                <c:pt idx="7">
                  <c:v>0.1398176291793313</c:v>
                </c:pt>
                <c:pt idx="8">
                  <c:v>2.7355623100303952E-2</c:v>
                </c:pt>
                <c:pt idx="9">
                  <c:v>3.0395136778115501E-3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Rushere-Lyantonde'!$AE$9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Rushere-Lyantonde'!$AE$10:$AE$21</c:f>
              <c:numCache>
                <c:formatCode>0</c:formatCode>
                <c:ptCount val="12"/>
                <c:pt idx="0">
                  <c:v>31</c:v>
                </c:pt>
                <c:pt idx="1">
                  <c:v>20</c:v>
                </c:pt>
                <c:pt idx="2">
                  <c:v>17</c:v>
                </c:pt>
                <c:pt idx="3">
                  <c:v>27</c:v>
                </c:pt>
                <c:pt idx="4">
                  <c:v>15</c:v>
                </c:pt>
                <c:pt idx="5">
                  <c:v>33</c:v>
                </c:pt>
                <c:pt idx="6">
                  <c:v>16</c:v>
                </c:pt>
                <c:pt idx="7">
                  <c:v>29</c:v>
                </c:pt>
                <c:pt idx="8">
                  <c:v>28</c:v>
                </c:pt>
                <c:pt idx="9">
                  <c:v>38</c:v>
                </c:pt>
                <c:pt idx="10">
                  <c:v>37</c:v>
                </c:pt>
                <c:pt idx="11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'31.10 Rushere-Lyantonde'!$AF$9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Rushere-Lyantonde'!$AF$10:$AF$21</c:f>
              <c:numCache>
                <c:formatCode>0</c:formatCode>
                <c:ptCount val="12"/>
                <c:pt idx="0">
                  <c:v>44</c:v>
                </c:pt>
                <c:pt idx="1">
                  <c:v>33</c:v>
                </c:pt>
                <c:pt idx="2">
                  <c:v>41</c:v>
                </c:pt>
                <c:pt idx="3">
                  <c:v>52</c:v>
                </c:pt>
                <c:pt idx="4">
                  <c:v>44</c:v>
                </c:pt>
                <c:pt idx="5">
                  <c:v>59</c:v>
                </c:pt>
                <c:pt idx="6">
                  <c:v>36</c:v>
                </c:pt>
                <c:pt idx="7">
                  <c:v>72</c:v>
                </c:pt>
                <c:pt idx="8">
                  <c:v>58</c:v>
                </c:pt>
                <c:pt idx="9">
                  <c:v>94</c:v>
                </c:pt>
                <c:pt idx="10">
                  <c:v>66</c:v>
                </c:pt>
                <c:pt idx="11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444368"/>
        <c:axId val="875445456"/>
      </c:lineChart>
      <c:catAx>
        <c:axId val="8754443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5445456"/>
        <c:crosses val="autoZero"/>
        <c:auto val="1"/>
        <c:lblAlgn val="ctr"/>
        <c:lblOffset val="100"/>
        <c:noMultiLvlLbl val="0"/>
      </c:catAx>
      <c:valAx>
        <c:axId val="875445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544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Rushere-Lyantonde'!$C$59:$N$59</c:f>
              <c:numCache>
                <c:formatCode>0.0%</c:formatCode>
                <c:ptCount val="12"/>
                <c:pt idx="0">
                  <c:v>0.26112759643916916</c:v>
                </c:pt>
                <c:pt idx="1">
                  <c:v>6.5281899109792291E-2</c:v>
                </c:pt>
                <c:pt idx="2">
                  <c:v>4.8961424332344211E-2</c:v>
                </c:pt>
                <c:pt idx="3">
                  <c:v>1.6320474777448073E-2</c:v>
                </c:pt>
                <c:pt idx="4">
                  <c:v>0</c:v>
                </c:pt>
                <c:pt idx="5">
                  <c:v>4.4510385756676559E-3</c:v>
                </c:pt>
                <c:pt idx="6">
                  <c:v>3.2640949554896145E-2</c:v>
                </c:pt>
                <c:pt idx="7">
                  <c:v>3.7091988130563795E-2</c:v>
                </c:pt>
                <c:pt idx="8">
                  <c:v>2.5222551928783383E-2</c:v>
                </c:pt>
                <c:pt idx="9">
                  <c:v>5.9347181008902079E-3</c:v>
                </c:pt>
                <c:pt idx="10">
                  <c:v>0.5029673590504451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'31.10 Rushere-Lyantonde'!$S$9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Rushere-Lyantonde'!$S$10:$S$21</c:f>
              <c:numCache>
                <c:formatCode>0</c:formatCode>
                <c:ptCount val="12"/>
                <c:pt idx="0">
                  <c:v>14</c:v>
                </c:pt>
                <c:pt idx="1">
                  <c:v>11</c:v>
                </c:pt>
                <c:pt idx="2">
                  <c:v>9</c:v>
                </c:pt>
                <c:pt idx="3">
                  <c:v>16</c:v>
                </c:pt>
                <c:pt idx="4">
                  <c:v>10</c:v>
                </c:pt>
                <c:pt idx="5">
                  <c:v>20</c:v>
                </c:pt>
                <c:pt idx="6">
                  <c:v>11</c:v>
                </c:pt>
                <c:pt idx="7">
                  <c:v>17</c:v>
                </c:pt>
                <c:pt idx="8">
                  <c:v>15</c:v>
                </c:pt>
                <c:pt idx="9">
                  <c:v>21</c:v>
                </c:pt>
                <c:pt idx="10">
                  <c:v>15</c:v>
                </c:pt>
                <c:pt idx="11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'31.10 Rushere-Lyantonde'!$T$9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'31.10 Rushere-Lyantonde'!$R$10:$R$21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'31.10 Rushere-Lyantonde'!$T$10:$T$21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'31.10 Rushere-Lyantonde'!$U$9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'31.10 Rushere-Lyantonde'!$U$10:$U$21</c:f>
              <c:numCache>
                <c:formatCode>0</c:formatCode>
                <c:ptCount val="12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'31.10 Rushere-Lyantonde'!$V$9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'31.10 Rushere-Lyantonde'!$V$10:$V$21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'31.10 Rushere-Lyantonde'!$W$9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'31.10 Rushere-Lyantonde'!$W$10:$W$21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'31.10 Rushere-Lyantonde'!$X$9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'31.10 Rushere-Lyantonde'!$X$10:$X$21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'31.10 Rushere-Lyantonde'!$Y$9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Rushere-Lyantonde'!$Y$10:$Y$21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6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'31.10 Rushere-Lyantonde'!$Z$9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Rushere-Lyantonde'!$Z$10:$Z$21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'31.10 Rushere-Lyantonde'!$AA$9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Rushere-Lyantonde'!$AA$10:$AA$21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3</c:v>
                </c:pt>
                <c:pt idx="10">
                  <c:v>6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'31.10 Rushere-Lyantonde'!$AB$9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Rushere-Lyantonde'!$AB$10:$AB$21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'31.10 Rushere-Lyantonde'!$AC$9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Rushere-Lyantonde'!$AC$10:$AC$21</c:f>
              <c:numCache>
                <c:formatCode>0</c:formatCode>
                <c:ptCount val="12"/>
                <c:pt idx="0">
                  <c:v>13</c:v>
                </c:pt>
                <c:pt idx="1">
                  <c:v>13</c:v>
                </c:pt>
                <c:pt idx="2">
                  <c:v>24</c:v>
                </c:pt>
                <c:pt idx="3">
                  <c:v>25</c:v>
                </c:pt>
                <c:pt idx="4">
                  <c:v>29</c:v>
                </c:pt>
                <c:pt idx="5">
                  <c:v>26</c:v>
                </c:pt>
                <c:pt idx="6">
                  <c:v>20</c:v>
                </c:pt>
                <c:pt idx="7">
                  <c:v>43</c:v>
                </c:pt>
                <c:pt idx="8">
                  <c:v>30</c:v>
                </c:pt>
                <c:pt idx="9">
                  <c:v>56</c:v>
                </c:pt>
                <c:pt idx="10">
                  <c:v>29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'31.10 Rushere-Lyantonde'!$AD$9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'31.10 Rushere-Lyantonde'!$AD$10:$AD$21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570080"/>
        <c:axId val="876557568"/>
      </c:lineChart>
      <c:catAx>
        <c:axId val="87657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6557568"/>
        <c:crosses val="autoZero"/>
        <c:auto val="1"/>
        <c:lblAlgn val="ctr"/>
        <c:lblOffset val="100"/>
        <c:noMultiLvlLbl val="0"/>
      </c:catAx>
      <c:valAx>
        <c:axId val="87655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657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'31.10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'31.10 Rushere-Lyantonde'!$C$60:$N$60</c:f>
              <c:numCache>
                <c:formatCode>0.00%</c:formatCode>
                <c:ptCount val="12"/>
                <c:pt idx="0">
                  <c:v>0.52537313432835819</c:v>
                </c:pt>
                <c:pt idx="1">
                  <c:v>0.13134328358208955</c:v>
                </c:pt>
                <c:pt idx="2">
                  <c:v>9.8507462686567168E-2</c:v>
                </c:pt>
                <c:pt idx="3">
                  <c:v>3.2835820895522387E-2</c:v>
                </c:pt>
                <c:pt idx="4">
                  <c:v>0</c:v>
                </c:pt>
                <c:pt idx="5">
                  <c:v>8.9552238805970154E-3</c:v>
                </c:pt>
                <c:pt idx="6">
                  <c:v>6.5671641791044774E-2</c:v>
                </c:pt>
                <c:pt idx="7">
                  <c:v>7.4626865671641784E-2</c:v>
                </c:pt>
                <c:pt idx="8">
                  <c:v>5.0746268656716415E-2</c:v>
                </c:pt>
                <c:pt idx="9">
                  <c:v>1.1940298507462687E-2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Lyantonde-Rushere'!$AE$9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Lyantonde-Rushere'!$R$10:$R$33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Lyantonde-Rushere'!$AE$10:$AE$33</c:f>
              <c:numCache>
                <c:formatCode>0</c:formatCode>
                <c:ptCount val="24"/>
                <c:pt idx="0">
                  <c:v>23.142857142857146</c:v>
                </c:pt>
                <c:pt idx="1">
                  <c:v>18.428571428571427</c:v>
                </c:pt>
                <c:pt idx="2">
                  <c:v>24.285714285714288</c:v>
                </c:pt>
                <c:pt idx="3">
                  <c:v>24.142857142857146</c:v>
                </c:pt>
                <c:pt idx="4">
                  <c:v>33.142857142857139</c:v>
                </c:pt>
                <c:pt idx="5">
                  <c:v>33</c:v>
                </c:pt>
                <c:pt idx="6">
                  <c:v>31.428571428571431</c:v>
                </c:pt>
                <c:pt idx="7">
                  <c:v>31.142857142857139</c:v>
                </c:pt>
                <c:pt idx="8">
                  <c:v>28.142857142857142</c:v>
                </c:pt>
                <c:pt idx="9">
                  <c:v>30.857142857142858</c:v>
                </c:pt>
                <c:pt idx="10">
                  <c:v>37.857142857142854</c:v>
                </c:pt>
                <c:pt idx="11">
                  <c:v>45.428571428571423</c:v>
                </c:pt>
                <c:pt idx="12">
                  <c:v>39.5</c:v>
                </c:pt>
                <c:pt idx="13">
                  <c:v>30</c:v>
                </c:pt>
                <c:pt idx="14">
                  <c:v>36</c:v>
                </c:pt>
                <c:pt idx="15">
                  <c:v>39</c:v>
                </c:pt>
                <c:pt idx="16">
                  <c:v>45.5</c:v>
                </c:pt>
                <c:pt idx="17">
                  <c:v>29.5</c:v>
                </c:pt>
                <c:pt idx="18">
                  <c:v>24.5</c:v>
                </c:pt>
                <c:pt idx="19">
                  <c:v>25</c:v>
                </c:pt>
                <c:pt idx="20">
                  <c:v>36</c:v>
                </c:pt>
                <c:pt idx="21">
                  <c:v>37.5</c:v>
                </c:pt>
                <c:pt idx="22">
                  <c:v>49</c:v>
                </c:pt>
                <c:pt idx="23">
                  <c:v>32.5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Lyantonde-Rushere'!$AF$9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Lyantonde-Rushere'!$R$10:$R$33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Lyantonde-Rushere'!$AF$10:$AF$33</c:f>
              <c:numCache>
                <c:formatCode>0</c:formatCode>
                <c:ptCount val="24"/>
                <c:pt idx="0">
                  <c:v>40.428571428571431</c:v>
                </c:pt>
                <c:pt idx="1">
                  <c:v>34.571428571428569</c:v>
                </c:pt>
                <c:pt idx="2">
                  <c:v>44.428571428571431</c:v>
                </c:pt>
                <c:pt idx="3">
                  <c:v>44.285714285714292</c:v>
                </c:pt>
                <c:pt idx="4">
                  <c:v>61.428571428571431</c:v>
                </c:pt>
                <c:pt idx="5">
                  <c:v>55.571428571428577</c:v>
                </c:pt>
                <c:pt idx="6">
                  <c:v>54</c:v>
                </c:pt>
                <c:pt idx="7">
                  <c:v>54</c:v>
                </c:pt>
                <c:pt idx="8">
                  <c:v>51.142857142857139</c:v>
                </c:pt>
                <c:pt idx="9">
                  <c:v>56.857142857142861</c:v>
                </c:pt>
                <c:pt idx="10">
                  <c:v>65.714285714285722</c:v>
                </c:pt>
                <c:pt idx="11">
                  <c:v>76.285714285714278</c:v>
                </c:pt>
                <c:pt idx="12">
                  <c:v>60</c:v>
                </c:pt>
                <c:pt idx="13">
                  <c:v>44.5</c:v>
                </c:pt>
                <c:pt idx="14">
                  <c:v>45.5</c:v>
                </c:pt>
                <c:pt idx="15">
                  <c:v>47.5</c:v>
                </c:pt>
                <c:pt idx="16">
                  <c:v>54</c:v>
                </c:pt>
                <c:pt idx="17">
                  <c:v>32</c:v>
                </c:pt>
                <c:pt idx="18">
                  <c:v>26.5</c:v>
                </c:pt>
                <c:pt idx="19">
                  <c:v>25</c:v>
                </c:pt>
                <c:pt idx="20">
                  <c:v>37</c:v>
                </c:pt>
                <c:pt idx="21">
                  <c:v>39</c:v>
                </c:pt>
                <c:pt idx="22">
                  <c:v>61.5</c:v>
                </c:pt>
                <c:pt idx="23">
                  <c:v>36.5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558112"/>
        <c:axId val="876564640"/>
      </c:lineChart>
      <c:catAx>
        <c:axId val="876558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6564640"/>
        <c:crosses val="autoZero"/>
        <c:auto val="1"/>
        <c:lblAlgn val="ctr"/>
        <c:lblOffset val="100"/>
        <c:noMultiLvlLbl val="0"/>
      </c:catAx>
      <c:valAx>
        <c:axId val="876564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655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Lyantonde-Rushere'!$C$107:$N$107</c:f>
              <c:numCache>
                <c:formatCode>0.0%</c:formatCode>
                <c:ptCount val="12"/>
                <c:pt idx="0">
                  <c:v>0.27564102564102555</c:v>
                </c:pt>
                <c:pt idx="1">
                  <c:v>0.1082275329848145</c:v>
                </c:pt>
                <c:pt idx="2">
                  <c:v>5.601194921583269E-2</c:v>
                </c:pt>
                <c:pt idx="3">
                  <c:v>1.935524022902663E-2</c:v>
                </c:pt>
                <c:pt idx="4">
                  <c:v>4.667662434652723E-3</c:v>
                </c:pt>
                <c:pt idx="5">
                  <c:v>8.0906148867313874E-3</c:v>
                </c:pt>
                <c:pt idx="6">
                  <c:v>4.7236743838685563E-2</c:v>
                </c:pt>
                <c:pt idx="7">
                  <c:v>4.8419218322130926E-2</c:v>
                </c:pt>
                <c:pt idx="8">
                  <c:v>5.2464525765496615E-2</c:v>
                </c:pt>
                <c:pt idx="9">
                  <c:v>5.9746079163554865E-2</c:v>
                </c:pt>
                <c:pt idx="10">
                  <c:v>0.31603186457555382</c:v>
                </c:pt>
                <c:pt idx="11">
                  <c:v>4.1075429424943972E-3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Lyantonde-Rushere'!$C$9:$N$9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Lyantonde-Rushere'!$C$108:$N$108</c:f>
              <c:numCache>
                <c:formatCode>0.00%</c:formatCode>
                <c:ptCount val="12"/>
                <c:pt idx="0">
                  <c:v>0.40300272975432216</c:v>
                </c:pt>
                <c:pt idx="1">
                  <c:v>0.15823475887170155</c:v>
                </c:pt>
                <c:pt idx="2">
                  <c:v>8.1892629663330302E-2</c:v>
                </c:pt>
                <c:pt idx="3">
                  <c:v>2.8298453139217472E-2</c:v>
                </c:pt>
                <c:pt idx="4">
                  <c:v>6.8243858052775249E-3</c:v>
                </c:pt>
                <c:pt idx="5">
                  <c:v>1.1828935395814375E-2</c:v>
                </c:pt>
                <c:pt idx="6">
                  <c:v>6.906278434940856E-2</c:v>
                </c:pt>
                <c:pt idx="7">
                  <c:v>7.0791628753412203E-2</c:v>
                </c:pt>
                <c:pt idx="8">
                  <c:v>7.6706096451319386E-2</c:v>
                </c:pt>
                <c:pt idx="9">
                  <c:v>8.7352138307552313E-2</c:v>
                </c:pt>
                <c:pt idx="11">
                  <c:v>6.0054595086442225E-3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Rushere-Lyantonde'!$AE$9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Rushere-Lyantonde'!$R$10:$R$33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Rushere-Lyantonde'!$AE$10:$AE$33</c:f>
              <c:numCache>
                <c:formatCode>0</c:formatCode>
                <c:ptCount val="24"/>
                <c:pt idx="0">
                  <c:v>24.571428571428577</c:v>
                </c:pt>
                <c:pt idx="1">
                  <c:v>18.142857142857146</c:v>
                </c:pt>
                <c:pt idx="2">
                  <c:v>21</c:v>
                </c:pt>
                <c:pt idx="3">
                  <c:v>26.000000000000004</c:v>
                </c:pt>
                <c:pt idx="4">
                  <c:v>23.571428571428577</c:v>
                </c:pt>
                <c:pt idx="5">
                  <c:v>30.285714285714285</c:v>
                </c:pt>
                <c:pt idx="6">
                  <c:v>33.857142857142861</c:v>
                </c:pt>
                <c:pt idx="7">
                  <c:v>35.714285714285715</c:v>
                </c:pt>
                <c:pt idx="8">
                  <c:v>34.142857142857139</c:v>
                </c:pt>
                <c:pt idx="9">
                  <c:v>42</c:v>
                </c:pt>
                <c:pt idx="10">
                  <c:v>50.571428571428569</c:v>
                </c:pt>
                <c:pt idx="11">
                  <c:v>40</c:v>
                </c:pt>
                <c:pt idx="12">
                  <c:v>33</c:v>
                </c:pt>
                <c:pt idx="13">
                  <c:v>34</c:v>
                </c:pt>
                <c:pt idx="14">
                  <c:v>33.5</c:v>
                </c:pt>
                <c:pt idx="15">
                  <c:v>21.5</c:v>
                </c:pt>
                <c:pt idx="16">
                  <c:v>19</c:v>
                </c:pt>
                <c:pt idx="17">
                  <c:v>24</c:v>
                </c:pt>
                <c:pt idx="18">
                  <c:v>13.5</c:v>
                </c:pt>
                <c:pt idx="19">
                  <c:v>16.5</c:v>
                </c:pt>
                <c:pt idx="20">
                  <c:v>15</c:v>
                </c:pt>
                <c:pt idx="21">
                  <c:v>17</c:v>
                </c:pt>
                <c:pt idx="22">
                  <c:v>29</c:v>
                </c:pt>
                <c:pt idx="23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Rushere-Lyantonde'!$AF$9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Rushere-Lyantonde'!$R$10:$R$33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Rushere-Lyantonde'!$AF$10:$AF$33</c:f>
              <c:numCache>
                <c:formatCode>0</c:formatCode>
                <c:ptCount val="24"/>
                <c:pt idx="0">
                  <c:v>38.857142857142854</c:v>
                </c:pt>
                <c:pt idx="1">
                  <c:v>35.285714285714292</c:v>
                </c:pt>
                <c:pt idx="2">
                  <c:v>42.142857142857146</c:v>
                </c:pt>
                <c:pt idx="3">
                  <c:v>49.142857142857146</c:v>
                </c:pt>
                <c:pt idx="4">
                  <c:v>50.857142857142861</c:v>
                </c:pt>
                <c:pt idx="5">
                  <c:v>56.428571428571431</c:v>
                </c:pt>
                <c:pt idx="6">
                  <c:v>53.714285714285715</c:v>
                </c:pt>
                <c:pt idx="7">
                  <c:v>63.428571428571431</c:v>
                </c:pt>
                <c:pt idx="8">
                  <c:v>60</c:v>
                </c:pt>
                <c:pt idx="9">
                  <c:v>77.857142857142861</c:v>
                </c:pt>
                <c:pt idx="10">
                  <c:v>83.857142857142847</c:v>
                </c:pt>
                <c:pt idx="11">
                  <c:v>64.714285714285708</c:v>
                </c:pt>
                <c:pt idx="12">
                  <c:v>41.5</c:v>
                </c:pt>
                <c:pt idx="13">
                  <c:v>42</c:v>
                </c:pt>
                <c:pt idx="14">
                  <c:v>33.5</c:v>
                </c:pt>
                <c:pt idx="15">
                  <c:v>21.5</c:v>
                </c:pt>
                <c:pt idx="16">
                  <c:v>19</c:v>
                </c:pt>
                <c:pt idx="17">
                  <c:v>24</c:v>
                </c:pt>
                <c:pt idx="18">
                  <c:v>13.5</c:v>
                </c:pt>
                <c:pt idx="19">
                  <c:v>16.5</c:v>
                </c:pt>
                <c:pt idx="20">
                  <c:v>15</c:v>
                </c:pt>
                <c:pt idx="21">
                  <c:v>17</c:v>
                </c:pt>
                <c:pt idx="22">
                  <c:v>32</c:v>
                </c:pt>
                <c:pt idx="23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571168"/>
        <c:axId val="876571712"/>
      </c:lineChart>
      <c:catAx>
        <c:axId val="876571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6571712"/>
        <c:crosses val="autoZero"/>
        <c:auto val="1"/>
        <c:lblAlgn val="ctr"/>
        <c:lblOffset val="100"/>
        <c:noMultiLvlLbl val="0"/>
      </c:catAx>
      <c:valAx>
        <c:axId val="876571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7657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Rushere-Lyantonde'!$C$107:$N$107</c:f>
              <c:numCache>
                <c:formatCode>0.0%</c:formatCode>
                <c:ptCount val="12"/>
                <c:pt idx="0">
                  <c:v>0.27178825048418331</c:v>
                </c:pt>
                <c:pt idx="1">
                  <c:v>0.10164263682662648</c:v>
                </c:pt>
                <c:pt idx="2">
                  <c:v>7.6249910336417773E-2</c:v>
                </c:pt>
                <c:pt idx="3">
                  <c:v>1.8291370776845277E-2</c:v>
                </c:pt>
                <c:pt idx="4">
                  <c:v>4.4473136790761057E-3</c:v>
                </c:pt>
                <c:pt idx="5">
                  <c:v>7.3165483107381097E-3</c:v>
                </c:pt>
                <c:pt idx="6">
                  <c:v>6.6135858259809194E-2</c:v>
                </c:pt>
                <c:pt idx="7">
                  <c:v>6.5346818736102152E-2</c:v>
                </c:pt>
                <c:pt idx="8">
                  <c:v>3.5148124237859547E-2</c:v>
                </c:pt>
                <c:pt idx="9">
                  <c:v>2.3742916577003087E-2</c:v>
                </c:pt>
                <c:pt idx="10">
                  <c:v>0.32931640484900648</c:v>
                </c:pt>
                <c:pt idx="11">
                  <c:v>5.7384692633240079E-4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layout>
        <c:manualLayout>
          <c:xMode val="edge"/>
          <c:yMode val="edge"/>
          <c:x val="0.110263680066408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Rushere-Lyantonde'!$C$9:$N$9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Rushere-Lyantonde'!$C$108:$N$108</c:f>
              <c:numCache>
                <c:formatCode>0.00%</c:formatCode>
                <c:ptCount val="12"/>
                <c:pt idx="0">
                  <c:v>0.40524064171122987</c:v>
                </c:pt>
                <c:pt idx="1">
                  <c:v>0.1515508021390374</c:v>
                </c:pt>
                <c:pt idx="2">
                  <c:v>0.11368983957219253</c:v>
                </c:pt>
                <c:pt idx="3">
                  <c:v>2.7272727272727271E-2</c:v>
                </c:pt>
                <c:pt idx="4">
                  <c:v>6.6310160427807477E-3</c:v>
                </c:pt>
                <c:pt idx="5">
                  <c:v>1.0909090909090908E-2</c:v>
                </c:pt>
                <c:pt idx="6">
                  <c:v>9.8609625668449205E-2</c:v>
                </c:pt>
                <c:pt idx="7">
                  <c:v>9.7433155080213912E-2</c:v>
                </c:pt>
                <c:pt idx="8">
                  <c:v>5.2406417112299465E-2</c:v>
                </c:pt>
                <c:pt idx="9">
                  <c:v>3.5401069518716577E-2</c:v>
                </c:pt>
                <c:pt idx="11">
                  <c:v>8.5561497326203204E-4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Lyantonde-Rushere-2Dir'!$C$9:$N$9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Lyantonde-Rushere-2Dir'!$C$107:$N$107</c:f>
              <c:numCache>
                <c:formatCode>0.0%</c:formatCode>
                <c:ptCount val="12"/>
                <c:pt idx="0">
                  <c:v>0.27385117797993935</c:v>
                </c:pt>
                <c:pt idx="1">
                  <c:v>0.10516844946516045</c:v>
                </c:pt>
                <c:pt idx="2">
                  <c:v>6.5413709220567162E-2</c:v>
                </c:pt>
                <c:pt idx="3">
                  <c:v>1.8861008364157422E-2</c:v>
                </c:pt>
                <c:pt idx="4">
                  <c:v>4.5652970775434034E-3</c:v>
                </c:pt>
                <c:pt idx="5">
                  <c:v>7.7310140291245947E-3</c:v>
                </c:pt>
                <c:pt idx="6">
                  <c:v>5.6016528374820886E-2</c:v>
                </c:pt>
                <c:pt idx="7">
                  <c:v>5.6283115065480352E-2</c:v>
                </c:pt>
                <c:pt idx="8">
                  <c:v>4.4420007331134E-2</c:v>
                </c:pt>
                <c:pt idx="9">
                  <c:v>4.3020427205171782E-2</c:v>
                </c:pt>
                <c:pt idx="10">
                  <c:v>0.32220333899830061</c:v>
                </c:pt>
                <c:pt idx="11">
                  <c:v>2.4659268886000865E-3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Lyantonde-Rushere-2Dir'!$C$9:$N$9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Lyantonde-Rushere-2Dir'!$C$108:$N$108</c:f>
              <c:numCache>
                <c:formatCode>0.00%</c:formatCode>
                <c:ptCount val="12"/>
                <c:pt idx="0">
                  <c:v>0.40403146509341198</c:v>
                </c:pt>
                <c:pt idx="1">
                  <c:v>0.15516224188790559</c:v>
                </c:pt>
                <c:pt idx="2">
                  <c:v>9.6509341199606691E-2</c:v>
                </c:pt>
                <c:pt idx="3">
                  <c:v>2.7826941986234022E-2</c:v>
                </c:pt>
                <c:pt idx="4">
                  <c:v>6.7354965585054074E-3</c:v>
                </c:pt>
                <c:pt idx="5">
                  <c:v>1.1406096361848573E-2</c:v>
                </c:pt>
                <c:pt idx="6">
                  <c:v>8.2645034414945917E-2</c:v>
                </c:pt>
                <c:pt idx="7">
                  <c:v>8.3038348082595859E-2</c:v>
                </c:pt>
                <c:pt idx="8">
                  <c:v>6.5535889872173056E-2</c:v>
                </c:pt>
                <c:pt idx="9">
                  <c:v>6.3470993117010807E-2</c:v>
                </c:pt>
                <c:pt idx="11">
                  <c:v>3.638151425762045E-3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Lyantonde-Rushere-2Dir'!$AE$9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Lyantonde-Rushere-2Dir'!$R$10:$R$33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Lyantonde-Rushere-2Dir'!$AE$10:$AE$33</c:f>
              <c:numCache>
                <c:formatCode>0</c:formatCode>
                <c:ptCount val="24"/>
                <c:pt idx="0">
                  <c:v>47.714285714285715</c:v>
                </c:pt>
                <c:pt idx="1">
                  <c:v>36.571428571428569</c:v>
                </c:pt>
                <c:pt idx="2">
                  <c:v>45.285714285714285</c:v>
                </c:pt>
                <c:pt idx="3">
                  <c:v>50.142857142857146</c:v>
                </c:pt>
                <c:pt idx="4">
                  <c:v>56.714285714285708</c:v>
                </c:pt>
                <c:pt idx="5">
                  <c:v>63.285714285714285</c:v>
                </c:pt>
                <c:pt idx="6">
                  <c:v>65.285714285714278</c:v>
                </c:pt>
                <c:pt idx="7">
                  <c:v>66.857142857142861</c:v>
                </c:pt>
                <c:pt idx="8">
                  <c:v>62.285714285714285</c:v>
                </c:pt>
                <c:pt idx="9">
                  <c:v>72.857142857142861</c:v>
                </c:pt>
                <c:pt idx="10">
                  <c:v>88.428571428571416</c:v>
                </c:pt>
                <c:pt idx="11">
                  <c:v>85.428571428571431</c:v>
                </c:pt>
                <c:pt idx="12">
                  <c:v>72.5</c:v>
                </c:pt>
                <c:pt idx="13">
                  <c:v>64</c:v>
                </c:pt>
                <c:pt idx="14">
                  <c:v>69.5</c:v>
                </c:pt>
                <c:pt idx="15">
                  <c:v>60.5</c:v>
                </c:pt>
                <c:pt idx="16">
                  <c:v>64.5</c:v>
                </c:pt>
                <c:pt idx="17">
                  <c:v>53.5</c:v>
                </c:pt>
                <c:pt idx="18">
                  <c:v>38</c:v>
                </c:pt>
                <c:pt idx="19">
                  <c:v>41.5</c:v>
                </c:pt>
                <c:pt idx="20">
                  <c:v>51</c:v>
                </c:pt>
                <c:pt idx="21">
                  <c:v>54.5</c:v>
                </c:pt>
                <c:pt idx="22">
                  <c:v>78</c:v>
                </c:pt>
                <c:pt idx="23">
                  <c:v>64.5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45-482D-BCD0-FBBFF6BFD8A1}"/>
            </c:ext>
          </c:extLst>
        </c:ser>
        <c:ser>
          <c:idx val="1"/>
          <c:order val="1"/>
          <c:tx>
            <c:strRef>
              <c:f>'Avg Week Lyantonde-Rushere-2Dir'!$AF$9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Lyantonde-Rushere-2Dir'!$R$10:$R$33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Lyantonde-Rushere-2Dir'!$AF$10:$AF$33</c:f>
              <c:numCache>
                <c:formatCode>0</c:formatCode>
                <c:ptCount val="24"/>
                <c:pt idx="0">
                  <c:v>79.285714285714278</c:v>
                </c:pt>
                <c:pt idx="1">
                  <c:v>69.857142857142861</c:v>
                </c:pt>
                <c:pt idx="2">
                  <c:v>86.571428571428584</c:v>
                </c:pt>
                <c:pt idx="3">
                  <c:v>93.428571428571431</c:v>
                </c:pt>
                <c:pt idx="4">
                  <c:v>112.28571428571428</c:v>
                </c:pt>
                <c:pt idx="5">
                  <c:v>112</c:v>
                </c:pt>
                <c:pt idx="6">
                  <c:v>107.71428571428572</c:v>
                </c:pt>
                <c:pt idx="7">
                  <c:v>117.42857142857143</c:v>
                </c:pt>
                <c:pt idx="8">
                  <c:v>111.14285714285714</c:v>
                </c:pt>
                <c:pt idx="9">
                  <c:v>134.71428571428572</c:v>
                </c:pt>
                <c:pt idx="10">
                  <c:v>149.57142857142858</c:v>
                </c:pt>
                <c:pt idx="11">
                  <c:v>141</c:v>
                </c:pt>
                <c:pt idx="12">
                  <c:v>101.5</c:v>
                </c:pt>
                <c:pt idx="13">
                  <c:v>86.5</c:v>
                </c:pt>
                <c:pt idx="14">
                  <c:v>79</c:v>
                </c:pt>
                <c:pt idx="15">
                  <c:v>69</c:v>
                </c:pt>
                <c:pt idx="16">
                  <c:v>73</c:v>
                </c:pt>
                <c:pt idx="17">
                  <c:v>56</c:v>
                </c:pt>
                <c:pt idx="18">
                  <c:v>40</c:v>
                </c:pt>
                <c:pt idx="19">
                  <c:v>41.5</c:v>
                </c:pt>
                <c:pt idx="20">
                  <c:v>52</c:v>
                </c:pt>
                <c:pt idx="21">
                  <c:v>56</c:v>
                </c:pt>
                <c:pt idx="22">
                  <c:v>93.5</c:v>
                </c:pt>
                <c:pt idx="23">
                  <c:v>80.5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C45-482D-BCD0-FBBFF6BFD8A1}"/>
            </c:ext>
          </c:extLst>
        </c:ser>
        <c:ser>
          <c:idx val="5"/>
          <c:order val="2"/>
          <c:tx>
            <c:strRef>
              <c:f>'Avg Week Lyantonde-Rushere-2Dir'!$AC$9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Lyantonde-Rushere-2Dir'!$R$10:$R$33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Lyantonde-Rushere-2Dir'!$AC$10:$AC$33</c:f>
              <c:numCache>
                <c:formatCode>0</c:formatCode>
                <c:ptCount val="24"/>
                <c:pt idx="0">
                  <c:v>31.571428571428569</c:v>
                </c:pt>
                <c:pt idx="1">
                  <c:v>33.285714285714285</c:v>
                </c:pt>
                <c:pt idx="2">
                  <c:v>41.285714285714285</c:v>
                </c:pt>
                <c:pt idx="3">
                  <c:v>43.285714285714292</c:v>
                </c:pt>
                <c:pt idx="4">
                  <c:v>55.571428571428569</c:v>
                </c:pt>
                <c:pt idx="5">
                  <c:v>48.714285714285722</c:v>
                </c:pt>
                <c:pt idx="6">
                  <c:v>42.428571428571431</c:v>
                </c:pt>
                <c:pt idx="7">
                  <c:v>50.571428571428577</c:v>
                </c:pt>
                <c:pt idx="8">
                  <c:v>48.857142857142854</c:v>
                </c:pt>
                <c:pt idx="9">
                  <c:v>61.857142857142861</c:v>
                </c:pt>
                <c:pt idx="10">
                  <c:v>61.142857142857139</c:v>
                </c:pt>
                <c:pt idx="11">
                  <c:v>55.571428571428569</c:v>
                </c:pt>
                <c:pt idx="12">
                  <c:v>29</c:v>
                </c:pt>
                <c:pt idx="13">
                  <c:v>22.5</c:v>
                </c:pt>
                <c:pt idx="14">
                  <c:v>9.5</c:v>
                </c:pt>
                <c:pt idx="15">
                  <c:v>8.5</c:v>
                </c:pt>
                <c:pt idx="16">
                  <c:v>8.5</c:v>
                </c:pt>
                <c:pt idx="17">
                  <c:v>2.5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1.5</c:v>
                </c:pt>
                <c:pt idx="22">
                  <c:v>15.5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5-482D-BCD0-FBBFF6BFD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Lyantonde-Rushere-2Dir'!$S$9:$AF$9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Lyantonde-Rushere-2Dir'!$S$41:$AF$41</c:f>
              <c:numCache>
                <c:formatCode>_(* #,##0_);_(* \(#,##0\);_(* "-"_);_(@_)</c:formatCode>
                <c:ptCount val="14"/>
                <c:pt idx="0">
                  <c:v>587</c:v>
                </c:pt>
                <c:pt idx="1">
                  <c:v>225.42857142857144</c:v>
                </c:pt>
                <c:pt idx="2">
                  <c:v>140.21428571428572</c:v>
                </c:pt>
                <c:pt idx="3">
                  <c:v>40.428571428571431</c:v>
                </c:pt>
                <c:pt idx="4">
                  <c:v>9.7857142857142847</c:v>
                </c:pt>
                <c:pt idx="5">
                  <c:v>16.571428571428569</c:v>
                </c:pt>
                <c:pt idx="6">
                  <c:v>120.07142857142857</c:v>
                </c:pt>
                <c:pt idx="7">
                  <c:v>120.64285714285714</c:v>
                </c:pt>
                <c:pt idx="8">
                  <c:v>95.214285714285722</c:v>
                </c:pt>
                <c:pt idx="9">
                  <c:v>92.214285714285708</c:v>
                </c:pt>
                <c:pt idx="10">
                  <c:v>690.64285714285711</c:v>
                </c:pt>
                <c:pt idx="11">
                  <c:v>5.2857142857142856</c:v>
                </c:pt>
                <c:pt idx="12">
                  <c:v>1452.8571428571427</c:v>
                </c:pt>
                <c:pt idx="13">
                  <c:v>2143.5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F-4573-9191-5F43B47E79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Lyantonde-Rushere-2Dir'!$S$9:$AF$9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Lyantonde-Rushere-2Dir'!$S$42:$AF$42</c:f>
              <c:numCache>
                <c:formatCode>0.000</c:formatCode>
                <c:ptCount val="14"/>
                <c:pt idx="0">
                  <c:v>1.648876404494382</c:v>
                </c:pt>
                <c:pt idx="1">
                  <c:v>1.841306884480747</c:v>
                </c:pt>
                <c:pt idx="2">
                  <c:v>2.0706751054852326</c:v>
                </c:pt>
                <c:pt idx="3">
                  <c:v>2.0808823529411766</c:v>
                </c:pt>
                <c:pt idx="4">
                  <c:v>4.2812500000000009</c:v>
                </c:pt>
                <c:pt idx="5">
                  <c:v>3.6249999999999996</c:v>
                </c:pt>
                <c:pt idx="6">
                  <c:v>1.8595132743362832</c:v>
                </c:pt>
                <c:pt idx="7">
                  <c:v>2.1112500000000001</c:v>
                </c:pt>
                <c:pt idx="8">
                  <c:v>3.4355670103092786</c:v>
                </c:pt>
                <c:pt idx="9">
                  <c:v>5.205645161290323</c:v>
                </c:pt>
                <c:pt idx="10">
                  <c:v>1.2029111719333168</c:v>
                </c:pt>
                <c:pt idx="11">
                  <c:v>4.1111111111111116</c:v>
                </c:pt>
                <c:pt idx="12">
                  <c:v>1.96104897801774</c:v>
                </c:pt>
                <c:pt idx="13">
                  <c:v>1.6300380228136881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B-4FEB-AF63-2EE3056AE5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11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7.xml"/><Relationship Id="rId1" Type="http://schemas.openxmlformats.org/officeDocument/2006/relationships/chart" Target="../charts/chart1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1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21.xml"/><Relationship Id="rId1" Type="http://schemas.openxmlformats.org/officeDocument/2006/relationships/chart" Target="../charts/chart18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25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31.xml"/><Relationship Id="rId1" Type="http://schemas.openxmlformats.org/officeDocument/2006/relationships/chart" Target="../charts/chart2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5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9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6349</xdr:rowOff>
    </xdr:from>
    <xdr:to>
      <xdr:col>27</xdr:col>
      <xdr:colOff>682625</xdr:colOff>
      <xdr:row>58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79376</xdr:colOff>
      <xdr:row>58</xdr:row>
      <xdr:rowOff>73026</xdr:rowOff>
    </xdr:from>
    <xdr:to>
      <xdr:col>30</xdr:col>
      <xdr:colOff>79375</xdr:colOff>
      <xdr:row>73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22224</xdr:colOff>
      <xdr:row>58</xdr:row>
      <xdr:rowOff>79375</xdr:rowOff>
    </xdr:from>
    <xdr:to>
      <xdr:col>24</xdr:col>
      <xdr:colOff>63499</xdr:colOff>
      <xdr:row>73</xdr:row>
      <xdr:rowOff>79374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4086</xdr:colOff>
      <xdr:row>42</xdr:row>
      <xdr:rowOff>276224</xdr:rowOff>
    </xdr:from>
    <xdr:to>
      <xdr:col>27</xdr:col>
      <xdr:colOff>698500</xdr:colOff>
      <xdr:row>58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31750</xdr:colOff>
      <xdr:row>58</xdr:row>
      <xdr:rowOff>9525</xdr:rowOff>
    </xdr:from>
    <xdr:to>
      <xdr:col>30</xdr:col>
      <xdr:colOff>111125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58</xdr:row>
      <xdr:rowOff>31752</xdr:rowOff>
    </xdr:from>
    <xdr:to>
      <xdr:col>24</xdr:col>
      <xdr:colOff>15875</xdr:colOff>
      <xdr:row>73</xdr:row>
      <xdr:rowOff>254000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16</xdr:col>
      <xdr:colOff>142875</xdr:colOff>
      <xdr:row>58</xdr:row>
      <xdr:rowOff>263525</xdr:rowOff>
    </xdr:from>
    <xdr:to>
      <xdr:col>23</xdr:col>
      <xdr:colOff>619124</xdr:colOff>
      <xdr:row>74</xdr:row>
      <xdr:rowOff>269875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142875</xdr:colOff>
      <xdr:row>74</xdr:row>
      <xdr:rowOff>254001</xdr:rowOff>
    </xdr:from>
    <xdr:to>
      <xdr:col>23</xdr:col>
      <xdr:colOff>619124</xdr:colOff>
      <xdr:row>90</xdr:row>
      <xdr:rowOff>269875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186414</xdr:colOff>
      <xdr:row>58</xdr:row>
      <xdr:rowOff>215903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635000</xdr:colOff>
      <xdr:row>59</xdr:row>
      <xdr:rowOff>0</xdr:rowOff>
    </xdr:from>
    <xdr:to>
      <xdr:col>30</xdr:col>
      <xdr:colOff>619125</xdr:colOff>
      <xdr:row>74</xdr:row>
      <xdr:rowOff>284163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635000</xdr:colOff>
      <xdr:row>74</xdr:row>
      <xdr:rowOff>254000</xdr:rowOff>
    </xdr:from>
    <xdr:to>
      <xdr:col>30</xdr:col>
      <xdr:colOff>619125</xdr:colOff>
      <xdr:row>90</xdr:row>
      <xdr:rowOff>268288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F15" sqref="F1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2.42578125" customWidth="1"/>
    <col min="4" max="4" width="14.42578125" customWidth="1"/>
    <col min="5" max="5" width="13.5703125" customWidth="1"/>
    <col min="6" max="6" width="12.5703125" customWidth="1"/>
    <col min="7" max="7" width="13.4257812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177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163</v>
      </c>
      <c r="E5" s="3"/>
      <c r="F5" s="41" t="s">
        <v>1</v>
      </c>
      <c r="G5" s="54" t="s">
        <v>166</v>
      </c>
      <c r="H5" s="55"/>
      <c r="I5" s="14"/>
      <c r="J5" s="2" t="s">
        <v>5</v>
      </c>
      <c r="K5" s="54" t="s">
        <v>167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164</v>
      </c>
      <c r="E6" s="55"/>
      <c r="F6" s="2" t="s">
        <v>2</v>
      </c>
      <c r="G6" s="54" t="s">
        <v>165</v>
      </c>
      <c r="H6" s="55"/>
      <c r="J6" s="2" t="s">
        <v>21</v>
      </c>
      <c r="K6" s="54" t="s">
        <v>168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2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8</v>
      </c>
      <c r="T10" s="17">
        <f t="shared" si="2"/>
        <v>2</v>
      </c>
      <c r="U10" s="17">
        <f t="shared" si="2"/>
        <v>0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11</v>
      </c>
      <c r="AD10" s="17">
        <f t="shared" si="2"/>
        <v>0</v>
      </c>
      <c r="AE10" s="31">
        <f t="shared" si="2"/>
        <v>11</v>
      </c>
      <c r="AF10" s="31">
        <f t="shared" si="2"/>
        <v>22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1</v>
      </c>
      <c r="P11" s="15">
        <f t="shared" si="1"/>
        <v>3</v>
      </c>
      <c r="R11" s="1" t="s">
        <v>7</v>
      </c>
      <c r="S11" s="17">
        <f t="shared" ref="S11:AF11" si="3">SUM(C14:C17)</f>
        <v>12</v>
      </c>
      <c r="T11" s="17">
        <f t="shared" si="3"/>
        <v>2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21</v>
      </c>
      <c r="AD11" s="17">
        <f t="shared" si="3"/>
        <v>0</v>
      </c>
      <c r="AE11" s="31">
        <f t="shared" si="3"/>
        <v>19</v>
      </c>
      <c r="AF11" s="31">
        <f t="shared" si="3"/>
        <v>40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2</v>
      </c>
      <c r="P12" s="15">
        <f t="shared" si="1"/>
        <v>5</v>
      </c>
      <c r="R12" s="1" t="s">
        <v>8</v>
      </c>
      <c r="S12" s="17">
        <f t="shared" ref="S12:AF12" si="4">SUM(C18:C21)</f>
        <v>16</v>
      </c>
      <c r="T12" s="17">
        <f t="shared" si="4"/>
        <v>2</v>
      </c>
      <c r="U12" s="17">
        <f t="shared" si="4"/>
        <v>7</v>
      </c>
      <c r="V12" s="17">
        <f t="shared" si="4"/>
        <v>1</v>
      </c>
      <c r="W12" s="17">
        <f t="shared" si="4"/>
        <v>0</v>
      </c>
      <c r="X12" s="17">
        <f t="shared" si="4"/>
        <v>1</v>
      </c>
      <c r="Y12" s="17">
        <f t="shared" si="4"/>
        <v>2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22</v>
      </c>
      <c r="AD12" s="17">
        <f t="shared" si="4"/>
        <v>0</v>
      </c>
      <c r="AE12" s="31">
        <f t="shared" si="4"/>
        <v>32</v>
      </c>
      <c r="AF12" s="31">
        <f t="shared" si="4"/>
        <v>54</v>
      </c>
    </row>
    <row r="13" spans="2:32" ht="23.1" customHeight="1" x14ac:dyDescent="0.25">
      <c r="B13" s="23" t="s">
        <v>40</v>
      </c>
      <c r="C13" s="50">
        <v>4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4</v>
      </c>
      <c r="P13" s="15">
        <f t="shared" si="1"/>
        <v>6</v>
      </c>
      <c r="R13" s="1" t="s">
        <v>9</v>
      </c>
      <c r="S13" s="17">
        <f t="shared" ref="S13:AF13" si="5">SUM(C22:C25)</f>
        <v>6</v>
      </c>
      <c r="T13" s="17">
        <f t="shared" si="5"/>
        <v>8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1</v>
      </c>
      <c r="AA13" s="17">
        <f t="shared" si="5"/>
        <v>1</v>
      </c>
      <c r="AB13" s="17">
        <f t="shared" si="5"/>
        <v>2</v>
      </c>
      <c r="AC13" s="17">
        <f t="shared" si="5"/>
        <v>31</v>
      </c>
      <c r="AD13" s="17">
        <f t="shared" si="5"/>
        <v>0</v>
      </c>
      <c r="AE13" s="31">
        <f t="shared" si="5"/>
        <v>23</v>
      </c>
      <c r="AF13" s="31">
        <f t="shared" si="5"/>
        <v>54</v>
      </c>
    </row>
    <row r="14" spans="2:32" ht="23.1" customHeight="1" x14ac:dyDescent="0.25">
      <c r="B14" s="23" t="s">
        <v>41</v>
      </c>
      <c r="C14" s="50">
        <v>6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6</v>
      </c>
      <c r="P14" s="15">
        <f t="shared" si="1"/>
        <v>10</v>
      </c>
      <c r="R14" s="1" t="s">
        <v>10</v>
      </c>
      <c r="S14" s="17">
        <f t="shared" ref="S14:AF14" si="6">SUM(C26:C29)</f>
        <v>16</v>
      </c>
      <c r="T14" s="17">
        <f t="shared" si="6"/>
        <v>6</v>
      </c>
      <c r="U14" s="17">
        <f t="shared" si="6"/>
        <v>3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28</v>
      </c>
      <c r="AD14" s="17">
        <f t="shared" si="6"/>
        <v>0</v>
      </c>
      <c r="AE14" s="31">
        <f t="shared" si="6"/>
        <v>33</v>
      </c>
      <c r="AF14" s="31">
        <f t="shared" si="6"/>
        <v>61</v>
      </c>
    </row>
    <row r="15" spans="2:32" ht="23.1" customHeight="1" x14ac:dyDescent="0.25">
      <c r="B15" s="23" t="s">
        <v>42</v>
      </c>
      <c r="C15" s="50">
        <v>4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6</v>
      </c>
      <c r="P15" s="15">
        <f t="shared" si="1"/>
        <v>10</v>
      </c>
      <c r="R15" s="1" t="s">
        <v>11</v>
      </c>
      <c r="S15" s="17">
        <f t="shared" ref="S15:AF15" si="7">SUM(C30:C33)</f>
        <v>13</v>
      </c>
      <c r="T15" s="17">
        <f t="shared" si="7"/>
        <v>8</v>
      </c>
      <c r="U15" s="17">
        <f t="shared" si="7"/>
        <v>2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1</v>
      </c>
      <c r="AA15" s="17">
        <f t="shared" si="7"/>
        <v>4</v>
      </c>
      <c r="AB15" s="17">
        <f t="shared" si="7"/>
        <v>2</v>
      </c>
      <c r="AC15" s="17">
        <f t="shared" si="7"/>
        <v>19</v>
      </c>
      <c r="AD15" s="17">
        <f t="shared" si="7"/>
        <v>0</v>
      </c>
      <c r="AE15" s="31">
        <f t="shared" si="7"/>
        <v>32</v>
      </c>
      <c r="AF15" s="31">
        <f t="shared" si="7"/>
        <v>51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6</v>
      </c>
      <c r="N16" s="50">
        <v>0</v>
      </c>
      <c r="O16" s="15">
        <f t="shared" si="0"/>
        <v>3</v>
      </c>
      <c r="P16" s="15">
        <f t="shared" si="1"/>
        <v>9</v>
      </c>
      <c r="R16" s="1" t="s">
        <v>12</v>
      </c>
      <c r="S16" s="17">
        <f t="shared" ref="S16:AF16" si="8">SUM(C34:C37)</f>
        <v>19</v>
      </c>
      <c r="T16" s="17">
        <f t="shared" si="8"/>
        <v>8</v>
      </c>
      <c r="U16" s="17">
        <f t="shared" si="8"/>
        <v>0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6</v>
      </c>
      <c r="AA16" s="17">
        <f t="shared" si="8"/>
        <v>1</v>
      </c>
      <c r="AB16" s="17">
        <f t="shared" si="8"/>
        <v>0</v>
      </c>
      <c r="AC16" s="17">
        <f t="shared" si="8"/>
        <v>28</v>
      </c>
      <c r="AD16" s="17">
        <f t="shared" si="8"/>
        <v>0</v>
      </c>
      <c r="AE16" s="31">
        <f t="shared" si="8"/>
        <v>36</v>
      </c>
      <c r="AF16" s="31">
        <f t="shared" si="8"/>
        <v>64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1</v>
      </c>
      <c r="L17" s="50">
        <v>0</v>
      </c>
      <c r="M17" s="50">
        <v>7</v>
      </c>
      <c r="N17" s="50">
        <v>0</v>
      </c>
      <c r="O17" s="15">
        <f t="shared" si="0"/>
        <v>4</v>
      </c>
      <c r="P17" s="15">
        <f t="shared" si="1"/>
        <v>11</v>
      </c>
      <c r="R17" s="1" t="s">
        <v>13</v>
      </c>
      <c r="S17" s="17">
        <f t="shared" ref="S17:AF17" si="9">SUM(C38:C41)</f>
        <v>9</v>
      </c>
      <c r="T17" s="17">
        <f t="shared" si="9"/>
        <v>3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5</v>
      </c>
      <c r="AA17" s="17">
        <f t="shared" si="9"/>
        <v>0</v>
      </c>
      <c r="AB17" s="17">
        <f t="shared" si="9"/>
        <v>3</v>
      </c>
      <c r="AC17" s="17">
        <f t="shared" si="9"/>
        <v>26</v>
      </c>
      <c r="AD17" s="17">
        <f t="shared" si="9"/>
        <v>0</v>
      </c>
      <c r="AE17" s="31">
        <f t="shared" si="9"/>
        <v>26</v>
      </c>
      <c r="AF17" s="31">
        <f t="shared" si="9"/>
        <v>52</v>
      </c>
    </row>
    <row r="18" spans="2:32" ht="23.1" customHeight="1" x14ac:dyDescent="0.25">
      <c r="B18" s="23" t="s">
        <v>45</v>
      </c>
      <c r="C18" s="50">
        <v>5</v>
      </c>
      <c r="D18" s="50">
        <v>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8</v>
      </c>
      <c r="P18" s="15">
        <f t="shared" si="1"/>
        <v>13</v>
      </c>
      <c r="R18" s="1" t="s">
        <v>14</v>
      </c>
      <c r="S18" s="17">
        <f t="shared" ref="S18:AF18" si="10">SUM(C42:C45)</f>
        <v>17</v>
      </c>
      <c r="T18" s="17">
        <f t="shared" si="10"/>
        <v>9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1</v>
      </c>
      <c r="Y18" s="17">
        <f t="shared" si="10"/>
        <v>2</v>
      </c>
      <c r="Z18" s="17">
        <f t="shared" si="10"/>
        <v>4</v>
      </c>
      <c r="AA18" s="17">
        <f t="shared" si="10"/>
        <v>1</v>
      </c>
      <c r="AB18" s="17">
        <f t="shared" si="10"/>
        <v>4</v>
      </c>
      <c r="AC18" s="17">
        <f t="shared" si="10"/>
        <v>18</v>
      </c>
      <c r="AD18" s="17">
        <f t="shared" si="10"/>
        <v>0</v>
      </c>
      <c r="AE18" s="31">
        <f t="shared" si="10"/>
        <v>40</v>
      </c>
      <c r="AF18" s="31">
        <f t="shared" si="10"/>
        <v>58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6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11</v>
      </c>
      <c r="P19" s="15">
        <f t="shared" si="1"/>
        <v>16</v>
      </c>
      <c r="R19" s="1" t="s">
        <v>15</v>
      </c>
      <c r="S19" s="17">
        <f t="shared" ref="S19:AF19" si="11">SUM(C46:C49)</f>
        <v>12</v>
      </c>
      <c r="T19" s="17">
        <f t="shared" si="11"/>
        <v>3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2</v>
      </c>
      <c r="AA19" s="17">
        <f t="shared" si="11"/>
        <v>3</v>
      </c>
      <c r="AB19" s="17">
        <f t="shared" si="11"/>
        <v>0</v>
      </c>
      <c r="AC19" s="17">
        <f t="shared" si="11"/>
        <v>27</v>
      </c>
      <c r="AD19" s="17">
        <f t="shared" si="11"/>
        <v>0</v>
      </c>
      <c r="AE19" s="31">
        <f t="shared" si="11"/>
        <v>21</v>
      </c>
      <c r="AF19" s="31">
        <f t="shared" si="11"/>
        <v>48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1</v>
      </c>
      <c r="J20" s="50">
        <v>2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8</v>
      </c>
      <c r="P20" s="15">
        <f t="shared" si="1"/>
        <v>16</v>
      </c>
      <c r="R20" s="1" t="s">
        <v>16</v>
      </c>
      <c r="S20" s="17">
        <f t="shared" ref="S20:AF20" si="12">SUM(C50:C53)</f>
        <v>15</v>
      </c>
      <c r="T20" s="17">
        <f t="shared" si="12"/>
        <v>8</v>
      </c>
      <c r="U20" s="17">
        <f t="shared" si="12"/>
        <v>0</v>
      </c>
      <c r="V20" s="17">
        <f t="shared" si="12"/>
        <v>2</v>
      </c>
      <c r="W20" s="17">
        <f t="shared" si="12"/>
        <v>0</v>
      </c>
      <c r="X20" s="17">
        <f t="shared" si="12"/>
        <v>1</v>
      </c>
      <c r="Y20" s="17">
        <f t="shared" si="12"/>
        <v>3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31</v>
      </c>
      <c r="AD20" s="17">
        <f t="shared" si="12"/>
        <v>0</v>
      </c>
      <c r="AE20" s="31">
        <f t="shared" si="12"/>
        <v>30</v>
      </c>
      <c r="AF20" s="31">
        <f t="shared" si="12"/>
        <v>61</v>
      </c>
    </row>
    <row r="21" spans="2:32" ht="23.1" customHeight="1" x14ac:dyDescent="0.25">
      <c r="B21" s="23" t="s">
        <v>48</v>
      </c>
      <c r="C21" s="50">
        <v>3</v>
      </c>
      <c r="D21" s="50">
        <v>0</v>
      </c>
      <c r="E21" s="50">
        <v>0</v>
      </c>
      <c r="F21" s="50">
        <v>0</v>
      </c>
      <c r="G21" s="50">
        <v>0</v>
      </c>
      <c r="H21" s="50">
        <v>1</v>
      </c>
      <c r="I21" s="50">
        <v>1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5</v>
      </c>
      <c r="P21" s="15">
        <f t="shared" si="1"/>
        <v>9</v>
      </c>
      <c r="R21" s="36" t="s">
        <v>20</v>
      </c>
      <c r="S21" s="34">
        <f t="shared" ref="S21:AF21" si="13">SUM(C54:C57)</f>
        <v>27</v>
      </c>
      <c r="T21" s="17">
        <f t="shared" si="13"/>
        <v>6</v>
      </c>
      <c r="U21" s="17">
        <f t="shared" si="13"/>
        <v>3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1</v>
      </c>
      <c r="AA21" s="17">
        <f t="shared" si="13"/>
        <v>2</v>
      </c>
      <c r="AB21" s="17">
        <f t="shared" si="13"/>
        <v>2</v>
      </c>
      <c r="AC21" s="17">
        <f t="shared" si="13"/>
        <v>38</v>
      </c>
      <c r="AD21" s="17">
        <f t="shared" si="13"/>
        <v>0</v>
      </c>
      <c r="AE21" s="31">
        <f t="shared" si="13"/>
        <v>49</v>
      </c>
      <c r="AF21" s="31">
        <f t="shared" si="13"/>
        <v>87</v>
      </c>
    </row>
    <row r="22" spans="2:32" ht="23.1" customHeight="1" x14ac:dyDescent="0.25">
      <c r="B22" s="23" t="s">
        <v>49</v>
      </c>
      <c r="C22" s="50">
        <v>1</v>
      </c>
      <c r="D22" s="50">
        <v>3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5</v>
      </c>
      <c r="P22" s="15">
        <f t="shared" si="1"/>
        <v>12</v>
      </c>
      <c r="R22" s="38" t="s">
        <v>90</v>
      </c>
      <c r="S22" s="39">
        <f>MAX(S10:S12)</f>
        <v>16</v>
      </c>
      <c r="T22" s="39">
        <f t="shared" ref="T22:AF22" si="14">MAX(T10:T12)</f>
        <v>2</v>
      </c>
      <c r="U22" s="39">
        <f t="shared" si="14"/>
        <v>7</v>
      </c>
      <c r="V22" s="39">
        <f t="shared" si="14"/>
        <v>1</v>
      </c>
      <c r="W22" s="39">
        <f t="shared" si="14"/>
        <v>0</v>
      </c>
      <c r="X22" s="39">
        <f t="shared" si="14"/>
        <v>1</v>
      </c>
      <c r="Y22" s="39">
        <f t="shared" si="14"/>
        <v>3</v>
      </c>
      <c r="Z22" s="39">
        <f t="shared" si="14"/>
        <v>3</v>
      </c>
      <c r="AA22" s="39">
        <f t="shared" si="14"/>
        <v>1</v>
      </c>
      <c r="AB22" s="39">
        <f t="shared" si="14"/>
        <v>0</v>
      </c>
      <c r="AC22" s="39">
        <f t="shared" si="14"/>
        <v>22</v>
      </c>
      <c r="AD22" s="39">
        <f t="shared" si="14"/>
        <v>0</v>
      </c>
      <c r="AE22" s="40">
        <f t="shared" si="14"/>
        <v>32</v>
      </c>
      <c r="AF22" s="40">
        <f t="shared" si="14"/>
        <v>54</v>
      </c>
    </row>
    <row r="23" spans="2:32" ht="23.1" customHeight="1" x14ac:dyDescent="0.25">
      <c r="B23" s="23" t="s">
        <v>50</v>
      </c>
      <c r="C23" s="50">
        <v>3</v>
      </c>
      <c r="D23" s="50">
        <v>3</v>
      </c>
      <c r="E23" s="50">
        <v>2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1</v>
      </c>
      <c r="L23" s="50">
        <v>2</v>
      </c>
      <c r="M23" s="50">
        <v>8</v>
      </c>
      <c r="N23" s="50">
        <v>0</v>
      </c>
      <c r="O23" s="15">
        <f t="shared" si="0"/>
        <v>11</v>
      </c>
      <c r="P23" s="15">
        <f t="shared" si="1"/>
        <v>19</v>
      </c>
      <c r="R23" s="38" t="s">
        <v>91</v>
      </c>
      <c r="S23" s="39">
        <f>MAX(S13:S18)</f>
        <v>19</v>
      </c>
      <c r="T23" s="39">
        <f t="shared" ref="T23:AF23" si="15">MAX(T13:T18)</f>
        <v>9</v>
      </c>
      <c r="U23" s="39">
        <f t="shared" si="15"/>
        <v>3</v>
      </c>
      <c r="V23" s="39">
        <f t="shared" si="15"/>
        <v>2</v>
      </c>
      <c r="W23" s="39">
        <f t="shared" si="15"/>
        <v>0</v>
      </c>
      <c r="X23" s="39">
        <f t="shared" si="15"/>
        <v>1</v>
      </c>
      <c r="Y23" s="39">
        <f t="shared" si="15"/>
        <v>5</v>
      </c>
      <c r="Z23" s="39">
        <f t="shared" si="15"/>
        <v>6</v>
      </c>
      <c r="AA23" s="39">
        <f t="shared" si="15"/>
        <v>4</v>
      </c>
      <c r="AB23" s="39">
        <f t="shared" si="15"/>
        <v>4</v>
      </c>
      <c r="AC23" s="39">
        <f t="shared" si="15"/>
        <v>31</v>
      </c>
      <c r="AD23" s="39">
        <f t="shared" si="15"/>
        <v>0</v>
      </c>
      <c r="AE23" s="40">
        <f t="shared" si="15"/>
        <v>40</v>
      </c>
      <c r="AF23" s="40">
        <f t="shared" si="15"/>
        <v>64</v>
      </c>
    </row>
    <row r="24" spans="2:32" ht="23.1" customHeight="1" x14ac:dyDescent="0.25">
      <c r="B24" s="23" t="s">
        <v>51</v>
      </c>
      <c r="C24" s="50">
        <v>2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5</v>
      </c>
      <c r="P24" s="15">
        <f t="shared" si="1"/>
        <v>12</v>
      </c>
      <c r="R24" s="38" t="s">
        <v>92</v>
      </c>
      <c r="S24" s="39">
        <f>MAX(S19:S21)</f>
        <v>27</v>
      </c>
      <c r="T24" s="39">
        <f t="shared" ref="T24:AF24" si="16">MAX(T19:T21)</f>
        <v>8</v>
      </c>
      <c r="U24" s="39">
        <f t="shared" si="16"/>
        <v>3</v>
      </c>
      <c r="V24" s="39">
        <f t="shared" si="16"/>
        <v>2</v>
      </c>
      <c r="W24" s="39">
        <f t="shared" si="16"/>
        <v>0</v>
      </c>
      <c r="X24" s="39">
        <f t="shared" si="16"/>
        <v>1</v>
      </c>
      <c r="Y24" s="39">
        <f t="shared" si="16"/>
        <v>7</v>
      </c>
      <c r="Z24" s="39">
        <f t="shared" si="16"/>
        <v>2</v>
      </c>
      <c r="AA24" s="39">
        <f t="shared" si="16"/>
        <v>3</v>
      </c>
      <c r="AB24" s="39">
        <f t="shared" si="16"/>
        <v>2</v>
      </c>
      <c r="AC24" s="39">
        <f t="shared" si="16"/>
        <v>38</v>
      </c>
      <c r="AD24" s="39">
        <f t="shared" si="16"/>
        <v>0</v>
      </c>
      <c r="AE24" s="40">
        <f t="shared" si="16"/>
        <v>49</v>
      </c>
      <c r="AF24" s="40">
        <f t="shared" si="16"/>
        <v>87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2</v>
      </c>
      <c r="P25" s="15">
        <f t="shared" si="1"/>
        <v>11</v>
      </c>
      <c r="R25" s="37" t="s">
        <v>85</v>
      </c>
      <c r="S25" s="35">
        <f t="shared" ref="S25:AF25" si="17">SUM(S10:S12)</f>
        <v>36</v>
      </c>
      <c r="T25" s="16">
        <f t="shared" si="17"/>
        <v>6</v>
      </c>
      <c r="U25" s="16">
        <f t="shared" si="17"/>
        <v>8</v>
      </c>
      <c r="V25" s="16">
        <f t="shared" si="17"/>
        <v>2</v>
      </c>
      <c r="W25" s="16">
        <f t="shared" si="17"/>
        <v>0</v>
      </c>
      <c r="X25" s="16">
        <f t="shared" si="17"/>
        <v>1</v>
      </c>
      <c r="Y25" s="16">
        <f t="shared" si="17"/>
        <v>5</v>
      </c>
      <c r="Z25" s="16">
        <f t="shared" si="17"/>
        <v>3</v>
      </c>
      <c r="AA25" s="16">
        <f t="shared" si="17"/>
        <v>1</v>
      </c>
      <c r="AB25" s="16">
        <f t="shared" si="17"/>
        <v>0</v>
      </c>
      <c r="AC25" s="16">
        <f t="shared" si="17"/>
        <v>54</v>
      </c>
      <c r="AD25" s="16">
        <f t="shared" si="17"/>
        <v>0</v>
      </c>
      <c r="AE25" s="32">
        <f t="shared" si="17"/>
        <v>62</v>
      </c>
      <c r="AF25" s="32">
        <f t="shared" si="17"/>
        <v>116</v>
      </c>
    </row>
    <row r="26" spans="2:32" ht="23.1" customHeight="1" x14ac:dyDescent="0.25">
      <c r="B26" s="23" t="s">
        <v>53</v>
      </c>
      <c r="C26" s="50">
        <v>2</v>
      </c>
      <c r="D26" s="50">
        <v>2</v>
      </c>
      <c r="E26" s="50">
        <v>0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6</v>
      </c>
      <c r="P26" s="15">
        <f t="shared" si="1"/>
        <v>12</v>
      </c>
      <c r="R26" s="28" t="s">
        <v>86</v>
      </c>
      <c r="S26" s="16">
        <f t="shared" ref="S26:AF26" si="18">SUM(S13:S18)</f>
        <v>80</v>
      </c>
      <c r="T26" s="16">
        <f t="shared" si="18"/>
        <v>42</v>
      </c>
      <c r="U26" s="16">
        <f t="shared" si="18"/>
        <v>13</v>
      </c>
      <c r="V26" s="16">
        <f t="shared" si="18"/>
        <v>5</v>
      </c>
      <c r="W26" s="16">
        <f t="shared" si="18"/>
        <v>0</v>
      </c>
      <c r="X26" s="16">
        <f t="shared" si="18"/>
        <v>1</v>
      </c>
      <c r="Y26" s="16">
        <f t="shared" si="18"/>
        <v>12</v>
      </c>
      <c r="Z26" s="16">
        <f t="shared" si="18"/>
        <v>19</v>
      </c>
      <c r="AA26" s="16">
        <f t="shared" si="18"/>
        <v>7</v>
      </c>
      <c r="AB26" s="16">
        <f t="shared" si="18"/>
        <v>11</v>
      </c>
      <c r="AC26" s="16">
        <f t="shared" si="18"/>
        <v>150</v>
      </c>
      <c r="AD26" s="16">
        <f t="shared" si="18"/>
        <v>0</v>
      </c>
      <c r="AE26" s="32">
        <f t="shared" si="18"/>
        <v>190</v>
      </c>
      <c r="AF26" s="32">
        <f t="shared" si="18"/>
        <v>340</v>
      </c>
    </row>
    <row r="27" spans="2:32" ht="23.1" customHeight="1" x14ac:dyDescent="0.25">
      <c r="B27" s="23" t="s">
        <v>54</v>
      </c>
      <c r="C27" s="50">
        <v>2</v>
      </c>
      <c r="D27" s="50">
        <v>2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5</v>
      </c>
      <c r="P27" s="15">
        <f t="shared" si="1"/>
        <v>11</v>
      </c>
      <c r="R27" s="29" t="s">
        <v>87</v>
      </c>
      <c r="S27" s="16">
        <f t="shared" ref="S27:AF27" si="19">SUM(S19:S21)</f>
        <v>54</v>
      </c>
      <c r="T27" s="16">
        <f t="shared" si="19"/>
        <v>17</v>
      </c>
      <c r="U27" s="16">
        <f t="shared" si="19"/>
        <v>4</v>
      </c>
      <c r="V27" s="16">
        <f t="shared" si="19"/>
        <v>3</v>
      </c>
      <c r="W27" s="16">
        <f t="shared" si="19"/>
        <v>0</v>
      </c>
      <c r="X27" s="16">
        <f t="shared" si="19"/>
        <v>1</v>
      </c>
      <c r="Y27" s="16">
        <f t="shared" si="19"/>
        <v>10</v>
      </c>
      <c r="Z27" s="16">
        <f t="shared" si="19"/>
        <v>4</v>
      </c>
      <c r="AA27" s="16">
        <f t="shared" si="19"/>
        <v>5</v>
      </c>
      <c r="AB27" s="16">
        <f t="shared" si="19"/>
        <v>2</v>
      </c>
      <c r="AC27" s="16">
        <f t="shared" si="19"/>
        <v>96</v>
      </c>
      <c r="AD27" s="16">
        <f t="shared" si="19"/>
        <v>0</v>
      </c>
      <c r="AE27" s="32">
        <f t="shared" si="19"/>
        <v>100</v>
      </c>
      <c r="AF27" s="32">
        <f t="shared" si="19"/>
        <v>196</v>
      </c>
    </row>
    <row r="28" spans="2:32" ht="23.1" customHeight="1" x14ac:dyDescent="0.25">
      <c r="B28" s="23" t="s">
        <v>55</v>
      </c>
      <c r="C28" s="50">
        <v>9</v>
      </c>
      <c r="D28" s="50">
        <v>2</v>
      </c>
      <c r="E28" s="50">
        <v>0</v>
      </c>
      <c r="F28" s="50">
        <v>0</v>
      </c>
      <c r="G28" s="50">
        <v>0</v>
      </c>
      <c r="H28" s="50">
        <v>0</v>
      </c>
      <c r="I28" s="50">
        <v>3</v>
      </c>
      <c r="J28" s="50">
        <v>1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15</v>
      </c>
      <c r="P28" s="15">
        <f t="shared" si="1"/>
        <v>22</v>
      </c>
      <c r="R28" s="5" t="s">
        <v>17</v>
      </c>
      <c r="S28" s="16">
        <f t="shared" ref="S28:AF28" si="20">SUM(S10:S21)</f>
        <v>170</v>
      </c>
      <c r="T28" s="16">
        <f t="shared" si="20"/>
        <v>65</v>
      </c>
      <c r="U28" s="16">
        <f t="shared" si="20"/>
        <v>25</v>
      </c>
      <c r="V28" s="16">
        <f t="shared" si="20"/>
        <v>10</v>
      </c>
      <c r="W28" s="16">
        <f t="shared" si="20"/>
        <v>0</v>
      </c>
      <c r="X28" s="16">
        <f t="shared" si="20"/>
        <v>3</v>
      </c>
      <c r="Y28" s="16">
        <f t="shared" si="20"/>
        <v>27</v>
      </c>
      <c r="Z28" s="16">
        <f t="shared" si="20"/>
        <v>26</v>
      </c>
      <c r="AA28" s="16">
        <f t="shared" si="20"/>
        <v>13</v>
      </c>
      <c r="AB28" s="16">
        <f t="shared" si="20"/>
        <v>13</v>
      </c>
      <c r="AC28" s="16">
        <f t="shared" si="20"/>
        <v>300</v>
      </c>
      <c r="AD28" s="16">
        <f t="shared" si="20"/>
        <v>0</v>
      </c>
      <c r="AE28" s="32">
        <f t="shared" si="20"/>
        <v>352</v>
      </c>
      <c r="AF28" s="32">
        <f t="shared" si="20"/>
        <v>652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3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7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2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1</v>
      </c>
      <c r="L30" s="50">
        <v>0</v>
      </c>
      <c r="M30" s="50">
        <v>6</v>
      </c>
      <c r="N30" s="50">
        <v>0</v>
      </c>
      <c r="O30" s="15">
        <f t="shared" si="0"/>
        <v>5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3</v>
      </c>
      <c r="D31" s="50">
        <v>4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9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4</v>
      </c>
      <c r="D32" s="50">
        <v>1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0">
        <v>2</v>
      </c>
      <c r="M32" s="50">
        <v>6</v>
      </c>
      <c r="N32" s="50">
        <v>0</v>
      </c>
      <c r="O32" s="15">
        <f t="shared" si="0"/>
        <v>10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4</v>
      </c>
      <c r="D33" s="50">
        <v>1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2</v>
      </c>
      <c r="L33" s="50">
        <v>0</v>
      </c>
      <c r="M33" s="50">
        <v>4</v>
      </c>
      <c r="N33" s="50">
        <v>0</v>
      </c>
      <c r="O33" s="15">
        <f t="shared" si="0"/>
        <v>8</v>
      </c>
      <c r="P33" s="15">
        <f t="shared" si="1"/>
        <v>12</v>
      </c>
    </row>
    <row r="34" spans="2:20" ht="23.1" customHeight="1" x14ac:dyDescent="0.25">
      <c r="B34" s="24" t="s">
        <v>61</v>
      </c>
      <c r="C34" s="50">
        <v>5</v>
      </c>
      <c r="D34" s="50">
        <v>4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9</v>
      </c>
      <c r="P34" s="15">
        <f t="shared" si="1"/>
        <v>18</v>
      </c>
    </row>
    <row r="35" spans="2:20" ht="23.1" customHeight="1" x14ac:dyDescent="0.25">
      <c r="B35" s="24" t="s">
        <v>62</v>
      </c>
      <c r="C35" s="50">
        <v>7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3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10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1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5</v>
      </c>
      <c r="P36" s="15">
        <f t="shared" si="1"/>
        <v>10</v>
      </c>
    </row>
    <row r="37" spans="2:20" ht="23.1" customHeight="1" x14ac:dyDescent="0.25">
      <c r="B37" s="23" t="s">
        <v>64</v>
      </c>
      <c r="C37" s="50">
        <v>4</v>
      </c>
      <c r="D37" s="50">
        <v>4</v>
      </c>
      <c r="E37" s="50">
        <v>0</v>
      </c>
      <c r="F37" s="50">
        <v>1</v>
      </c>
      <c r="G37" s="50">
        <v>0</v>
      </c>
      <c r="H37" s="50">
        <v>0</v>
      </c>
      <c r="I37" s="50">
        <v>0</v>
      </c>
      <c r="J37" s="50">
        <v>2</v>
      </c>
      <c r="K37" s="50">
        <v>1</v>
      </c>
      <c r="L37" s="50">
        <v>0</v>
      </c>
      <c r="M37" s="50">
        <v>8</v>
      </c>
      <c r="N37" s="50">
        <v>0</v>
      </c>
      <c r="O37" s="15">
        <f t="shared" si="0"/>
        <v>12</v>
      </c>
      <c r="P37" s="15">
        <f t="shared" si="1"/>
        <v>20</v>
      </c>
    </row>
    <row r="38" spans="2:20" ht="23.1" customHeight="1" x14ac:dyDescent="0.25">
      <c r="B38" s="24" t="s">
        <v>65</v>
      </c>
      <c r="C38" s="50">
        <v>2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2</v>
      </c>
      <c r="K38" s="50">
        <v>0</v>
      </c>
      <c r="L38" s="50">
        <v>2</v>
      </c>
      <c r="M38" s="50">
        <v>6</v>
      </c>
      <c r="N38" s="50">
        <v>0</v>
      </c>
      <c r="O38" s="15">
        <f t="shared" si="0"/>
        <v>8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8</v>
      </c>
      <c r="N39" s="50">
        <v>0</v>
      </c>
      <c r="O39" s="15">
        <f t="shared" si="0"/>
        <v>1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4</v>
      </c>
      <c r="D40" s="50">
        <v>2</v>
      </c>
      <c r="E40" s="50">
        <v>2</v>
      </c>
      <c r="F40" s="50">
        <v>1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1</v>
      </c>
      <c r="M40" s="50">
        <v>7</v>
      </c>
      <c r="N40" s="50">
        <v>0</v>
      </c>
      <c r="O40" s="15">
        <f t="shared" si="0"/>
        <v>11</v>
      </c>
      <c r="P40" s="15">
        <f t="shared" si="1"/>
        <v>18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2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6</v>
      </c>
      <c r="P41" s="15">
        <f t="shared" si="1"/>
        <v>11</v>
      </c>
    </row>
    <row r="42" spans="2:20" ht="23.1" customHeight="1" x14ac:dyDescent="0.25">
      <c r="B42" s="24" t="s">
        <v>69</v>
      </c>
      <c r="C42" s="50">
        <v>4</v>
      </c>
      <c r="D42" s="50">
        <v>3</v>
      </c>
      <c r="E42" s="50">
        <v>0</v>
      </c>
      <c r="F42" s="50">
        <v>0</v>
      </c>
      <c r="G42" s="50">
        <v>0</v>
      </c>
      <c r="H42" s="50">
        <v>1</v>
      </c>
      <c r="I42" s="50">
        <v>0</v>
      </c>
      <c r="J42" s="50">
        <v>0</v>
      </c>
      <c r="K42" s="50">
        <v>0</v>
      </c>
      <c r="L42" s="50">
        <v>1</v>
      </c>
      <c r="M42" s="50">
        <v>6</v>
      </c>
      <c r="N42" s="50">
        <v>0</v>
      </c>
      <c r="O42" s="15">
        <f t="shared" si="0"/>
        <v>9</v>
      </c>
      <c r="P42" s="15">
        <f t="shared" si="1"/>
        <v>15</v>
      </c>
    </row>
    <row r="43" spans="2:20" ht="23.1" customHeight="1" x14ac:dyDescent="0.25">
      <c r="B43" s="23" t="s">
        <v>70</v>
      </c>
      <c r="C43" s="50">
        <v>7</v>
      </c>
      <c r="D43" s="50">
        <v>4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3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15</v>
      </c>
      <c r="P43" s="15">
        <f t="shared" si="1"/>
        <v>20</v>
      </c>
    </row>
    <row r="44" spans="2:20" ht="23.1" customHeight="1" x14ac:dyDescent="0.25">
      <c r="B44" s="25" t="s">
        <v>71</v>
      </c>
      <c r="C44" s="50">
        <v>2</v>
      </c>
      <c r="D44" s="50">
        <v>1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1</v>
      </c>
      <c r="L44" s="50">
        <v>3</v>
      </c>
      <c r="M44" s="50">
        <v>3</v>
      </c>
      <c r="N44" s="50">
        <v>0</v>
      </c>
      <c r="O44" s="15">
        <f t="shared" si="0"/>
        <v>9</v>
      </c>
      <c r="P44" s="15">
        <f t="shared" si="1"/>
        <v>12</v>
      </c>
    </row>
    <row r="45" spans="2:20" ht="23.1" customHeight="1" x14ac:dyDescent="0.25">
      <c r="B45" s="23" t="s">
        <v>72</v>
      </c>
      <c r="C45" s="50">
        <v>4</v>
      </c>
      <c r="D45" s="50">
        <v>1</v>
      </c>
      <c r="E45" s="50">
        <v>0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7</v>
      </c>
      <c r="P45" s="15">
        <f t="shared" si="1"/>
        <v>11</v>
      </c>
    </row>
    <row r="46" spans="2:20" ht="23.1" customHeight="1" x14ac:dyDescent="0.25">
      <c r="B46" s="24" t="s">
        <v>73</v>
      </c>
      <c r="C46" s="50">
        <v>4</v>
      </c>
      <c r="D46" s="50">
        <v>2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3</v>
      </c>
      <c r="L46" s="50">
        <v>0</v>
      </c>
      <c r="M46" s="50">
        <v>5</v>
      </c>
      <c r="N46" s="50">
        <v>0</v>
      </c>
      <c r="O46" s="15">
        <f t="shared" si="0"/>
        <v>9</v>
      </c>
      <c r="P46" s="15">
        <f t="shared" si="1"/>
        <v>14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6</v>
      </c>
      <c r="N47" s="50">
        <v>0</v>
      </c>
      <c r="O47" s="15">
        <f t="shared" si="0"/>
        <v>3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6</v>
      </c>
      <c r="N48" s="50">
        <v>0</v>
      </c>
      <c r="O48" s="15">
        <f t="shared" si="0"/>
        <v>3</v>
      </c>
      <c r="P48" s="15">
        <f t="shared" si="1"/>
        <v>9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2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6</v>
      </c>
      <c r="P49" s="15">
        <f t="shared" si="1"/>
        <v>16</v>
      </c>
      <c r="R49" s="8"/>
      <c r="T49"/>
    </row>
    <row r="50" spans="2:20" ht="23.1" customHeight="1" x14ac:dyDescent="0.25">
      <c r="B50" s="24" t="s">
        <v>77</v>
      </c>
      <c r="C50" s="50">
        <v>6</v>
      </c>
      <c r="D50" s="50">
        <v>3</v>
      </c>
      <c r="E50" s="50">
        <v>0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11</v>
      </c>
      <c r="P50" s="15">
        <f t="shared" si="1"/>
        <v>18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3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8</v>
      </c>
      <c r="N51" s="50">
        <v>0</v>
      </c>
      <c r="O51" s="15">
        <f t="shared" si="0"/>
        <v>7</v>
      </c>
      <c r="P51" s="15">
        <f t="shared" si="1"/>
        <v>15</v>
      </c>
      <c r="R51" s="8"/>
      <c r="T51"/>
    </row>
    <row r="52" spans="2:20" ht="23.1" customHeight="1" x14ac:dyDescent="0.25">
      <c r="B52" s="24" t="s">
        <v>79</v>
      </c>
      <c r="C52" s="50">
        <v>6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10</v>
      </c>
      <c r="N52" s="50">
        <v>0</v>
      </c>
      <c r="O52" s="15">
        <f t="shared" si="0"/>
        <v>8</v>
      </c>
      <c r="P52" s="15">
        <f t="shared" si="1"/>
        <v>18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0</v>
      </c>
      <c r="F53" s="50">
        <v>1</v>
      </c>
      <c r="G53" s="50">
        <v>0</v>
      </c>
      <c r="H53" s="50">
        <v>1</v>
      </c>
      <c r="I53" s="50">
        <v>0</v>
      </c>
      <c r="J53" s="50">
        <v>0</v>
      </c>
      <c r="K53" s="50">
        <v>0</v>
      </c>
      <c r="L53" s="50">
        <v>0</v>
      </c>
      <c r="M53" s="50">
        <v>6</v>
      </c>
      <c r="N53" s="50">
        <v>0</v>
      </c>
      <c r="O53" s="15">
        <f t="shared" si="0"/>
        <v>4</v>
      </c>
      <c r="P53" s="15">
        <f t="shared" si="1"/>
        <v>10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1</v>
      </c>
      <c r="E54" s="50">
        <v>1</v>
      </c>
      <c r="F54" s="50">
        <v>0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12</v>
      </c>
      <c r="P54" s="15">
        <f t="shared" si="1"/>
        <v>20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1</v>
      </c>
      <c r="E55" s="50">
        <v>1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1</v>
      </c>
      <c r="M55" s="50">
        <v>8</v>
      </c>
      <c r="N55" s="50">
        <v>0</v>
      </c>
      <c r="O55" s="15">
        <f t="shared" si="0"/>
        <v>8</v>
      </c>
      <c r="P55" s="15">
        <f t="shared" si="1"/>
        <v>16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1</v>
      </c>
      <c r="E56" s="50">
        <v>0</v>
      </c>
      <c r="F56" s="50">
        <v>1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10</v>
      </c>
      <c r="N56" s="50">
        <v>0</v>
      </c>
      <c r="O56" s="15">
        <f t="shared" si="0"/>
        <v>12</v>
      </c>
      <c r="P56" s="15">
        <f t="shared" si="1"/>
        <v>22</v>
      </c>
      <c r="R56" s="8"/>
      <c r="T56"/>
    </row>
    <row r="57" spans="2:20" ht="23.1" customHeight="1" x14ac:dyDescent="0.25">
      <c r="B57" s="23" t="s">
        <v>84</v>
      </c>
      <c r="C57" s="50">
        <v>8</v>
      </c>
      <c r="D57" s="50">
        <v>3</v>
      </c>
      <c r="E57" s="50">
        <v>1</v>
      </c>
      <c r="F57" s="50">
        <v>0</v>
      </c>
      <c r="G57" s="50">
        <v>0</v>
      </c>
      <c r="H57" s="50">
        <v>0</v>
      </c>
      <c r="I57" s="50">
        <v>2</v>
      </c>
      <c r="J57" s="50">
        <v>0</v>
      </c>
      <c r="K57" s="50">
        <v>2</v>
      </c>
      <c r="L57" s="50">
        <v>1</v>
      </c>
      <c r="M57" s="50">
        <v>12</v>
      </c>
      <c r="N57" s="50">
        <v>0</v>
      </c>
      <c r="O57" s="15">
        <f t="shared" si="0"/>
        <v>17</v>
      </c>
      <c r="P57" s="15">
        <f t="shared" si="1"/>
        <v>29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170</v>
      </c>
      <c r="D58" s="16">
        <f t="shared" si="21"/>
        <v>65</v>
      </c>
      <c r="E58" s="16">
        <f t="shared" si="21"/>
        <v>25</v>
      </c>
      <c r="F58" s="16">
        <f t="shared" si="21"/>
        <v>10</v>
      </c>
      <c r="G58" s="16">
        <f t="shared" si="21"/>
        <v>0</v>
      </c>
      <c r="H58" s="16">
        <f t="shared" si="21"/>
        <v>3</v>
      </c>
      <c r="I58" s="16">
        <f t="shared" si="21"/>
        <v>27</v>
      </c>
      <c r="J58" s="16">
        <f t="shared" si="21"/>
        <v>26</v>
      </c>
      <c r="K58" s="16">
        <f t="shared" si="21"/>
        <v>13</v>
      </c>
      <c r="L58" s="16">
        <f t="shared" si="21"/>
        <v>13</v>
      </c>
      <c r="M58" s="16">
        <f t="shared" si="21"/>
        <v>300</v>
      </c>
      <c r="N58" s="16">
        <f t="shared" si="21"/>
        <v>0</v>
      </c>
      <c r="O58" s="16">
        <f t="shared" si="21"/>
        <v>352</v>
      </c>
      <c r="P58" s="16">
        <f t="shared" si="21"/>
        <v>652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0.2607361963190184</v>
      </c>
      <c r="D59" s="43">
        <f t="shared" si="22"/>
        <v>9.9693251533742325E-2</v>
      </c>
      <c r="E59" s="43">
        <f t="shared" si="22"/>
        <v>3.834355828220859E-2</v>
      </c>
      <c r="F59" s="43">
        <f t="shared" si="22"/>
        <v>1.5337423312883436E-2</v>
      </c>
      <c r="G59" s="43">
        <f t="shared" si="22"/>
        <v>0</v>
      </c>
      <c r="H59" s="43">
        <f t="shared" si="22"/>
        <v>4.601226993865031E-3</v>
      </c>
      <c r="I59" s="43">
        <f t="shared" si="22"/>
        <v>4.1411042944785273E-2</v>
      </c>
      <c r="J59" s="43">
        <f t="shared" si="22"/>
        <v>3.9877300613496931E-2</v>
      </c>
      <c r="K59" s="43">
        <f t="shared" si="22"/>
        <v>1.9938650306748466E-2</v>
      </c>
      <c r="L59" s="43">
        <f t="shared" si="22"/>
        <v>1.9938650306748466E-2</v>
      </c>
      <c r="M59" s="43">
        <f t="shared" si="22"/>
        <v>0.46012269938650308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0.48295454545454547</v>
      </c>
      <c r="D60" s="44">
        <f t="shared" ref="D60:N60" si="23">D58/$O$58</f>
        <v>0.18465909090909091</v>
      </c>
      <c r="E60" s="44">
        <f t="shared" si="23"/>
        <v>7.1022727272727279E-2</v>
      </c>
      <c r="F60" s="44">
        <f t="shared" si="23"/>
        <v>2.8409090909090908E-2</v>
      </c>
      <c r="G60" s="44">
        <f t="shared" si="23"/>
        <v>0</v>
      </c>
      <c r="H60" s="44">
        <f t="shared" si="23"/>
        <v>8.5227272727272721E-3</v>
      </c>
      <c r="I60" s="44">
        <f t="shared" si="23"/>
        <v>7.6704545454545456E-2</v>
      </c>
      <c r="J60" s="44">
        <f t="shared" si="23"/>
        <v>7.3863636363636367E-2</v>
      </c>
      <c r="K60" s="44">
        <f t="shared" si="23"/>
        <v>3.6931818181818184E-2</v>
      </c>
      <c r="L60" s="44">
        <f t="shared" si="23"/>
        <v>3.6931818181818184E-2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topLeftCell="A4" zoomScale="60" workbookViewId="0">
      <selection activeCell="G19" sqref="G1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2.42578125" customWidth="1"/>
    <col min="4" max="4" width="17" customWidth="1"/>
    <col min="5" max="5" width="13.5703125" customWidth="1"/>
    <col min="6" max="6" width="12.5703125" customWidth="1"/>
    <col min="7" max="7" width="12.85546875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Lyantonde-Rushere'!C3:G3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'25.10 Lyantonde-Rushere'!D5</f>
        <v>25.10.19</v>
      </c>
      <c r="E5" s="3"/>
      <c r="F5" s="41" t="s">
        <v>1</v>
      </c>
      <c r="G5" s="60" t="str">
        <f>'25.10 Lyantonde-Rushere'!G5:H5</f>
        <v>Kaguta road JTC</v>
      </c>
      <c r="H5" s="61"/>
      <c r="I5" s="14"/>
      <c r="J5" s="2" t="s">
        <v>5</v>
      </c>
      <c r="K5" s="60" t="s">
        <v>168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165</v>
      </c>
      <c r="E6" s="55"/>
      <c r="F6" s="2" t="s">
        <v>2</v>
      </c>
      <c r="G6" s="54" t="s">
        <v>164</v>
      </c>
      <c r="H6" s="55"/>
      <c r="J6" s="2" t="s">
        <v>21</v>
      </c>
      <c r="K6" s="60" t="str">
        <f>'25.10 Lyantonde-Rushere'!K6:L6</f>
        <v>Nusulah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1</v>
      </c>
      <c r="E10" s="50">
        <v>1</v>
      </c>
      <c r="F10" s="50">
        <v>2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8</v>
      </c>
      <c r="T10" s="17">
        <f t="shared" si="2"/>
        <v>6</v>
      </c>
      <c r="U10" s="17">
        <f t="shared" si="2"/>
        <v>2</v>
      </c>
      <c r="V10" s="17">
        <f t="shared" si="2"/>
        <v>5</v>
      </c>
      <c r="W10" s="17">
        <f t="shared" si="2"/>
        <v>1</v>
      </c>
      <c r="X10" s="17">
        <f t="shared" si="2"/>
        <v>1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11</v>
      </c>
      <c r="AD10" s="17">
        <f t="shared" si="2"/>
        <v>0</v>
      </c>
      <c r="AE10" s="31">
        <f t="shared" si="2"/>
        <v>23</v>
      </c>
      <c r="AF10" s="31">
        <f t="shared" si="2"/>
        <v>34</v>
      </c>
    </row>
    <row r="11" spans="2:32" s="6" customFormat="1" ht="23.1" customHeight="1" x14ac:dyDescent="0.25">
      <c r="B11" s="23" t="s">
        <v>38</v>
      </c>
      <c r="C11" s="50">
        <v>1</v>
      </c>
      <c r="D11" s="50">
        <v>2</v>
      </c>
      <c r="E11" s="50">
        <v>1</v>
      </c>
      <c r="F11" s="50">
        <v>2</v>
      </c>
      <c r="G11" s="50">
        <v>0</v>
      </c>
      <c r="H11" s="50">
        <v>1</v>
      </c>
      <c r="I11" s="50">
        <v>0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7</v>
      </c>
      <c r="P11" s="15">
        <f t="shared" si="1"/>
        <v>10</v>
      </c>
      <c r="R11" s="1" t="s">
        <v>7</v>
      </c>
      <c r="S11" s="17">
        <f t="shared" ref="S11:AF11" si="3">SUM(C14:C17)</f>
        <v>7</v>
      </c>
      <c r="T11" s="17">
        <f t="shared" si="3"/>
        <v>1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15</v>
      </c>
      <c r="AD11" s="17">
        <f t="shared" si="3"/>
        <v>0</v>
      </c>
      <c r="AE11" s="31">
        <f t="shared" si="3"/>
        <v>9</v>
      </c>
      <c r="AF11" s="31">
        <f t="shared" si="3"/>
        <v>24</v>
      </c>
    </row>
    <row r="12" spans="2:32" ht="23.1" customHeight="1" x14ac:dyDescent="0.25">
      <c r="B12" s="23" t="s">
        <v>39</v>
      </c>
      <c r="C12" s="50">
        <v>2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4</v>
      </c>
      <c r="N12" s="50">
        <v>0</v>
      </c>
      <c r="O12" s="15">
        <f t="shared" si="0"/>
        <v>3</v>
      </c>
      <c r="P12" s="15">
        <f t="shared" si="1"/>
        <v>7</v>
      </c>
      <c r="R12" s="1" t="s">
        <v>8</v>
      </c>
      <c r="S12" s="17">
        <f t="shared" ref="S12:AF12" si="4">SUM(C18:C21)</f>
        <v>24</v>
      </c>
      <c r="T12" s="17">
        <f t="shared" si="4"/>
        <v>6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1</v>
      </c>
      <c r="Y12" s="17">
        <f t="shared" si="4"/>
        <v>5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21</v>
      </c>
      <c r="AD12" s="17">
        <f t="shared" si="4"/>
        <v>0</v>
      </c>
      <c r="AE12" s="31">
        <f t="shared" si="4"/>
        <v>39</v>
      </c>
      <c r="AF12" s="31">
        <f t="shared" si="4"/>
        <v>60</v>
      </c>
    </row>
    <row r="13" spans="2:32" ht="23.1" customHeight="1" x14ac:dyDescent="0.25">
      <c r="B13" s="23" t="s">
        <v>40</v>
      </c>
      <c r="C13" s="50">
        <v>3</v>
      </c>
      <c r="D13" s="50">
        <v>3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6</v>
      </c>
      <c r="P13" s="15">
        <f t="shared" si="1"/>
        <v>8</v>
      </c>
      <c r="R13" s="1" t="s">
        <v>9</v>
      </c>
      <c r="S13" s="17">
        <f t="shared" ref="S13:AF13" si="5">SUM(C22:C25)</f>
        <v>11</v>
      </c>
      <c r="T13" s="17">
        <f t="shared" si="5"/>
        <v>4</v>
      </c>
      <c r="U13" s="17">
        <f t="shared" si="5"/>
        <v>0</v>
      </c>
      <c r="V13" s="17">
        <f t="shared" si="5"/>
        <v>0</v>
      </c>
      <c r="W13" s="17">
        <f t="shared" si="5"/>
        <v>1</v>
      </c>
      <c r="X13" s="17">
        <f t="shared" si="5"/>
        <v>1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21</v>
      </c>
      <c r="AD13" s="17">
        <f t="shared" si="5"/>
        <v>0</v>
      </c>
      <c r="AE13" s="31">
        <f t="shared" si="5"/>
        <v>17</v>
      </c>
      <c r="AF13" s="31">
        <f t="shared" si="5"/>
        <v>38</v>
      </c>
    </row>
    <row r="14" spans="2:32" ht="23.1" customHeight="1" x14ac:dyDescent="0.25">
      <c r="B14" s="23" t="s">
        <v>41</v>
      </c>
      <c r="C14" s="50">
        <v>3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4</v>
      </c>
      <c r="P14" s="15">
        <f t="shared" si="1"/>
        <v>4</v>
      </c>
      <c r="R14" s="1" t="s">
        <v>10</v>
      </c>
      <c r="S14" s="17">
        <f t="shared" ref="S14:AF14" si="6">SUM(C26:C29)</f>
        <v>9</v>
      </c>
      <c r="T14" s="17">
        <f t="shared" si="6"/>
        <v>1</v>
      </c>
      <c r="U14" s="17">
        <f t="shared" si="6"/>
        <v>3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1</v>
      </c>
      <c r="AC14" s="17">
        <f t="shared" si="6"/>
        <v>27</v>
      </c>
      <c r="AD14" s="17">
        <f t="shared" si="6"/>
        <v>0</v>
      </c>
      <c r="AE14" s="31">
        <f t="shared" si="6"/>
        <v>15</v>
      </c>
      <c r="AF14" s="31">
        <f t="shared" si="6"/>
        <v>42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1</v>
      </c>
      <c r="P15" s="15">
        <f t="shared" si="1"/>
        <v>4</v>
      </c>
      <c r="R15" s="1" t="s">
        <v>11</v>
      </c>
      <c r="S15" s="17">
        <f t="shared" ref="S15:AF15" si="7">SUM(C30:C33)</f>
        <v>10</v>
      </c>
      <c r="T15" s="17">
        <f t="shared" si="7"/>
        <v>8</v>
      </c>
      <c r="U15" s="17">
        <f t="shared" si="7"/>
        <v>5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30</v>
      </c>
      <c r="AD15" s="17">
        <f t="shared" si="7"/>
        <v>0</v>
      </c>
      <c r="AE15" s="31">
        <f t="shared" si="7"/>
        <v>26</v>
      </c>
      <c r="AF15" s="31">
        <f t="shared" si="7"/>
        <v>56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2</v>
      </c>
      <c r="P16" s="15">
        <f t="shared" si="1"/>
        <v>10</v>
      </c>
      <c r="R16" s="1" t="s">
        <v>12</v>
      </c>
      <c r="S16" s="17">
        <f t="shared" ref="S16:AF16" si="8">SUM(C34:C37)</f>
        <v>11</v>
      </c>
      <c r="T16" s="17">
        <f t="shared" si="8"/>
        <v>6</v>
      </c>
      <c r="U16" s="17">
        <f t="shared" si="8"/>
        <v>4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6</v>
      </c>
      <c r="Z16" s="17">
        <f t="shared" si="8"/>
        <v>0</v>
      </c>
      <c r="AA16" s="17">
        <f t="shared" si="8"/>
        <v>0</v>
      </c>
      <c r="AB16" s="17">
        <f t="shared" si="8"/>
        <v>1</v>
      </c>
      <c r="AC16" s="17">
        <f t="shared" si="8"/>
        <v>24</v>
      </c>
      <c r="AD16" s="17">
        <f t="shared" si="8"/>
        <v>0</v>
      </c>
      <c r="AE16" s="31">
        <f t="shared" si="8"/>
        <v>29</v>
      </c>
      <c r="AF16" s="31">
        <f t="shared" si="8"/>
        <v>53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2</v>
      </c>
      <c r="P17" s="15">
        <f t="shared" si="1"/>
        <v>6</v>
      </c>
      <c r="R17" s="1" t="s">
        <v>13</v>
      </c>
      <c r="S17" s="17">
        <f t="shared" ref="S17:AF17" si="9">SUM(C38:C41)</f>
        <v>10</v>
      </c>
      <c r="T17" s="17">
        <f t="shared" si="9"/>
        <v>7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3</v>
      </c>
      <c r="AA17" s="17">
        <f t="shared" si="9"/>
        <v>0</v>
      </c>
      <c r="AB17" s="17">
        <f t="shared" si="9"/>
        <v>1</v>
      </c>
      <c r="AC17" s="17">
        <f t="shared" si="9"/>
        <v>18</v>
      </c>
      <c r="AD17" s="17">
        <f t="shared" si="9"/>
        <v>0</v>
      </c>
      <c r="AE17" s="31">
        <f t="shared" si="9"/>
        <v>26</v>
      </c>
      <c r="AF17" s="31">
        <f t="shared" si="9"/>
        <v>44</v>
      </c>
    </row>
    <row r="18" spans="2:32" ht="23.1" customHeight="1" x14ac:dyDescent="0.25">
      <c r="B18" s="23" t="s">
        <v>45</v>
      </c>
      <c r="C18" s="50">
        <v>6</v>
      </c>
      <c r="D18" s="50">
        <v>3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9</v>
      </c>
      <c r="P18" s="15">
        <f t="shared" si="1"/>
        <v>14</v>
      </c>
      <c r="R18" s="1" t="s">
        <v>14</v>
      </c>
      <c r="S18" s="17">
        <f t="shared" ref="S18:AF18" si="10">SUM(C42:C45)</f>
        <v>11</v>
      </c>
      <c r="T18" s="17">
        <f t="shared" si="10"/>
        <v>6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4</v>
      </c>
      <c r="AA18" s="17">
        <f t="shared" si="10"/>
        <v>1</v>
      </c>
      <c r="AB18" s="17">
        <f t="shared" si="10"/>
        <v>0</v>
      </c>
      <c r="AC18" s="17">
        <f t="shared" si="10"/>
        <v>25</v>
      </c>
      <c r="AD18" s="17">
        <f t="shared" si="10"/>
        <v>0</v>
      </c>
      <c r="AE18" s="31">
        <f t="shared" si="10"/>
        <v>29</v>
      </c>
      <c r="AF18" s="31">
        <f t="shared" si="10"/>
        <v>54</v>
      </c>
    </row>
    <row r="19" spans="2:32" ht="23.1" customHeight="1" x14ac:dyDescent="0.25">
      <c r="B19" s="23" t="s">
        <v>46</v>
      </c>
      <c r="C19" s="50">
        <v>5</v>
      </c>
      <c r="D19" s="50">
        <v>1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8</v>
      </c>
      <c r="P19" s="15">
        <f t="shared" si="1"/>
        <v>12</v>
      </c>
      <c r="R19" s="1" t="s">
        <v>15</v>
      </c>
      <c r="S19" s="17">
        <f t="shared" ref="S19:AF19" si="11">SUM(C46:C49)</f>
        <v>11</v>
      </c>
      <c r="T19" s="17">
        <f t="shared" si="11"/>
        <v>11</v>
      </c>
      <c r="U19" s="17">
        <f t="shared" si="11"/>
        <v>4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6</v>
      </c>
      <c r="AA19" s="17">
        <f t="shared" si="11"/>
        <v>1</v>
      </c>
      <c r="AB19" s="17">
        <f t="shared" si="11"/>
        <v>0</v>
      </c>
      <c r="AC19" s="17">
        <f t="shared" si="11"/>
        <v>37</v>
      </c>
      <c r="AD19" s="17">
        <f t="shared" si="11"/>
        <v>0</v>
      </c>
      <c r="AE19" s="31">
        <f t="shared" si="11"/>
        <v>38</v>
      </c>
      <c r="AF19" s="31">
        <f t="shared" si="11"/>
        <v>75</v>
      </c>
    </row>
    <row r="20" spans="2:32" ht="23.1" customHeight="1" x14ac:dyDescent="0.25">
      <c r="B20" s="23" t="s">
        <v>47</v>
      </c>
      <c r="C20" s="50">
        <v>7</v>
      </c>
      <c r="D20" s="50">
        <v>0</v>
      </c>
      <c r="E20" s="50">
        <v>0</v>
      </c>
      <c r="F20" s="50">
        <v>0</v>
      </c>
      <c r="G20" s="50">
        <v>0</v>
      </c>
      <c r="H20" s="50">
        <v>1</v>
      </c>
      <c r="I20" s="50">
        <v>3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11</v>
      </c>
      <c r="P20" s="15">
        <f t="shared" si="1"/>
        <v>14</v>
      </c>
      <c r="R20" s="1" t="s">
        <v>16</v>
      </c>
      <c r="S20" s="17">
        <f t="shared" ref="S20:AF20" si="12">SUM(C50:C53)</f>
        <v>20</v>
      </c>
      <c r="T20" s="17">
        <f t="shared" si="12"/>
        <v>6</v>
      </c>
      <c r="U20" s="17">
        <f t="shared" si="12"/>
        <v>3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7</v>
      </c>
      <c r="AA20" s="17">
        <f t="shared" si="12"/>
        <v>4</v>
      </c>
      <c r="AB20" s="17">
        <f t="shared" si="12"/>
        <v>0</v>
      </c>
      <c r="AC20" s="17">
        <f t="shared" si="12"/>
        <v>47</v>
      </c>
      <c r="AD20" s="17">
        <f t="shared" si="12"/>
        <v>0</v>
      </c>
      <c r="AE20" s="31">
        <f t="shared" si="12"/>
        <v>46</v>
      </c>
      <c r="AF20" s="31">
        <f t="shared" si="12"/>
        <v>93</v>
      </c>
    </row>
    <row r="21" spans="2:32" ht="23.1" customHeight="1" x14ac:dyDescent="0.25">
      <c r="B21" s="23" t="s">
        <v>48</v>
      </c>
      <c r="C21" s="50">
        <v>6</v>
      </c>
      <c r="D21" s="50">
        <v>2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1</v>
      </c>
      <c r="K21" s="50">
        <v>0</v>
      </c>
      <c r="L21" s="50">
        <v>0</v>
      </c>
      <c r="M21" s="50">
        <v>9</v>
      </c>
      <c r="N21" s="50">
        <v>0</v>
      </c>
      <c r="O21" s="15">
        <f t="shared" si="0"/>
        <v>11</v>
      </c>
      <c r="P21" s="15">
        <f t="shared" si="1"/>
        <v>20</v>
      </c>
      <c r="R21" s="36" t="s">
        <v>20</v>
      </c>
      <c r="S21" s="34">
        <f t="shared" ref="S21:AF21" si="13">SUM(C54:C57)</f>
        <v>12</v>
      </c>
      <c r="T21" s="17">
        <f t="shared" si="13"/>
        <v>8</v>
      </c>
      <c r="U21" s="17">
        <f t="shared" si="13"/>
        <v>6</v>
      </c>
      <c r="V21" s="17">
        <f t="shared" si="13"/>
        <v>3</v>
      </c>
      <c r="W21" s="17">
        <f t="shared" si="13"/>
        <v>2</v>
      </c>
      <c r="X21" s="17">
        <f t="shared" si="13"/>
        <v>0</v>
      </c>
      <c r="Y21" s="17">
        <f t="shared" si="13"/>
        <v>10</v>
      </c>
      <c r="Z21" s="17">
        <f t="shared" si="13"/>
        <v>8</v>
      </c>
      <c r="AA21" s="17">
        <f t="shared" si="13"/>
        <v>3</v>
      </c>
      <c r="AB21" s="17">
        <f t="shared" si="13"/>
        <v>2</v>
      </c>
      <c r="AC21" s="17">
        <f t="shared" si="13"/>
        <v>14</v>
      </c>
      <c r="AD21" s="17">
        <f t="shared" si="13"/>
        <v>0</v>
      </c>
      <c r="AE21" s="31">
        <f t="shared" si="13"/>
        <v>54</v>
      </c>
      <c r="AF21" s="31">
        <f t="shared" si="13"/>
        <v>68</v>
      </c>
    </row>
    <row r="22" spans="2:32" ht="23.1" customHeight="1" x14ac:dyDescent="0.25">
      <c r="B22" s="23" t="s">
        <v>49</v>
      </c>
      <c r="C22" s="50">
        <v>5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4</v>
      </c>
      <c r="N22" s="50">
        <v>0</v>
      </c>
      <c r="O22" s="15">
        <f t="shared" si="0"/>
        <v>6</v>
      </c>
      <c r="P22" s="15">
        <f t="shared" si="1"/>
        <v>10</v>
      </c>
      <c r="R22" s="38" t="s">
        <v>90</v>
      </c>
      <c r="S22" s="39">
        <f>MAX(S10:S12)</f>
        <v>24</v>
      </c>
      <c r="T22" s="39">
        <f t="shared" ref="T22:AF22" si="14">MAX(T10:T12)</f>
        <v>6</v>
      </c>
      <c r="U22" s="39">
        <f t="shared" si="14"/>
        <v>2</v>
      </c>
      <c r="V22" s="39">
        <f t="shared" si="14"/>
        <v>5</v>
      </c>
      <c r="W22" s="39">
        <f t="shared" si="14"/>
        <v>1</v>
      </c>
      <c r="X22" s="39">
        <f t="shared" si="14"/>
        <v>1</v>
      </c>
      <c r="Y22" s="39">
        <f t="shared" si="14"/>
        <v>5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21</v>
      </c>
      <c r="AD22" s="39">
        <f t="shared" si="14"/>
        <v>0</v>
      </c>
      <c r="AE22" s="40">
        <f t="shared" si="14"/>
        <v>39</v>
      </c>
      <c r="AF22" s="40">
        <f t="shared" si="14"/>
        <v>60</v>
      </c>
    </row>
    <row r="23" spans="2:32" ht="23.1" customHeight="1" x14ac:dyDescent="0.25">
      <c r="B23" s="23" t="s">
        <v>50</v>
      </c>
      <c r="C23" s="50">
        <v>3</v>
      </c>
      <c r="D23" s="50">
        <v>2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15">
        <f t="shared" si="0"/>
        <v>5</v>
      </c>
      <c r="P23" s="15">
        <f t="shared" si="1"/>
        <v>5</v>
      </c>
      <c r="R23" s="38" t="s">
        <v>91</v>
      </c>
      <c r="S23" s="39">
        <f>MAX(S13:S18)</f>
        <v>11</v>
      </c>
      <c r="T23" s="39">
        <f t="shared" ref="T23:AF23" si="15">MAX(T13:T18)</f>
        <v>8</v>
      </c>
      <c r="U23" s="39">
        <f t="shared" si="15"/>
        <v>5</v>
      </c>
      <c r="V23" s="39">
        <f t="shared" si="15"/>
        <v>1</v>
      </c>
      <c r="W23" s="39">
        <f t="shared" si="15"/>
        <v>1</v>
      </c>
      <c r="X23" s="39">
        <f t="shared" si="15"/>
        <v>1</v>
      </c>
      <c r="Y23" s="39">
        <f t="shared" si="15"/>
        <v>6</v>
      </c>
      <c r="Z23" s="39">
        <f t="shared" si="15"/>
        <v>4</v>
      </c>
      <c r="AA23" s="39">
        <f t="shared" si="15"/>
        <v>1</v>
      </c>
      <c r="AB23" s="39">
        <f t="shared" si="15"/>
        <v>1</v>
      </c>
      <c r="AC23" s="39">
        <f t="shared" si="15"/>
        <v>30</v>
      </c>
      <c r="AD23" s="39">
        <f t="shared" si="15"/>
        <v>0</v>
      </c>
      <c r="AE23" s="40">
        <f t="shared" si="15"/>
        <v>29</v>
      </c>
      <c r="AF23" s="40">
        <f t="shared" si="15"/>
        <v>56</v>
      </c>
    </row>
    <row r="24" spans="2:32" ht="23.1" customHeight="1" x14ac:dyDescent="0.25">
      <c r="B24" s="23" t="s">
        <v>51</v>
      </c>
      <c r="C24" s="50">
        <v>2</v>
      </c>
      <c r="D24" s="50">
        <v>1</v>
      </c>
      <c r="E24" s="50">
        <v>0</v>
      </c>
      <c r="F24" s="50">
        <v>0</v>
      </c>
      <c r="G24" s="50">
        <v>1</v>
      </c>
      <c r="H24" s="50">
        <v>1</v>
      </c>
      <c r="I24" s="50">
        <v>0</v>
      </c>
      <c r="J24" s="50">
        <v>0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5</v>
      </c>
      <c r="P24" s="15">
        <f t="shared" si="1"/>
        <v>12</v>
      </c>
      <c r="R24" s="38" t="s">
        <v>92</v>
      </c>
      <c r="S24" s="39">
        <f>MAX(S19:S21)</f>
        <v>20</v>
      </c>
      <c r="T24" s="39">
        <f t="shared" ref="T24:AF24" si="16">MAX(T19:T21)</f>
        <v>11</v>
      </c>
      <c r="U24" s="39">
        <f t="shared" si="16"/>
        <v>6</v>
      </c>
      <c r="V24" s="39">
        <f t="shared" si="16"/>
        <v>3</v>
      </c>
      <c r="W24" s="39">
        <f t="shared" si="16"/>
        <v>2</v>
      </c>
      <c r="X24" s="39">
        <f t="shared" si="16"/>
        <v>0</v>
      </c>
      <c r="Y24" s="39">
        <f t="shared" si="16"/>
        <v>10</v>
      </c>
      <c r="Z24" s="39">
        <f t="shared" si="16"/>
        <v>8</v>
      </c>
      <c r="AA24" s="39">
        <f t="shared" si="16"/>
        <v>4</v>
      </c>
      <c r="AB24" s="39">
        <f t="shared" si="16"/>
        <v>2</v>
      </c>
      <c r="AC24" s="39">
        <f t="shared" si="16"/>
        <v>47</v>
      </c>
      <c r="AD24" s="39">
        <f t="shared" si="16"/>
        <v>0</v>
      </c>
      <c r="AE24" s="40">
        <f t="shared" si="16"/>
        <v>54</v>
      </c>
      <c r="AF24" s="40">
        <f t="shared" si="16"/>
        <v>93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10</v>
      </c>
      <c r="N25" s="50">
        <v>0</v>
      </c>
      <c r="O25" s="15">
        <f t="shared" si="0"/>
        <v>1</v>
      </c>
      <c r="P25" s="15">
        <f t="shared" si="1"/>
        <v>11</v>
      </c>
      <c r="R25" s="37" t="s">
        <v>85</v>
      </c>
      <c r="S25" s="35">
        <f t="shared" ref="S25:AF25" si="17">SUM(S10:S12)</f>
        <v>39</v>
      </c>
      <c r="T25" s="16">
        <f t="shared" si="17"/>
        <v>13</v>
      </c>
      <c r="U25" s="16">
        <f t="shared" si="17"/>
        <v>4</v>
      </c>
      <c r="V25" s="16">
        <f t="shared" si="17"/>
        <v>5</v>
      </c>
      <c r="W25" s="16">
        <f t="shared" si="17"/>
        <v>1</v>
      </c>
      <c r="X25" s="16">
        <f t="shared" si="17"/>
        <v>2</v>
      </c>
      <c r="Y25" s="16">
        <f t="shared" si="17"/>
        <v>5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47</v>
      </c>
      <c r="AD25" s="16">
        <f t="shared" si="17"/>
        <v>0</v>
      </c>
      <c r="AE25" s="32">
        <f t="shared" si="17"/>
        <v>71</v>
      </c>
      <c r="AF25" s="32">
        <f t="shared" si="17"/>
        <v>118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6</v>
      </c>
      <c r="N26" s="50">
        <v>0</v>
      </c>
      <c r="O26" s="15">
        <f t="shared" si="0"/>
        <v>4</v>
      </c>
      <c r="P26" s="15">
        <f t="shared" si="1"/>
        <v>10</v>
      </c>
      <c r="R26" s="28" t="s">
        <v>86</v>
      </c>
      <c r="S26" s="16">
        <f t="shared" ref="S26:AF26" si="18">SUM(S13:S18)</f>
        <v>62</v>
      </c>
      <c r="T26" s="16">
        <f t="shared" si="18"/>
        <v>32</v>
      </c>
      <c r="U26" s="16">
        <f t="shared" si="18"/>
        <v>18</v>
      </c>
      <c r="V26" s="16">
        <f t="shared" si="18"/>
        <v>1</v>
      </c>
      <c r="W26" s="16">
        <f t="shared" si="18"/>
        <v>1</v>
      </c>
      <c r="X26" s="16">
        <f t="shared" si="18"/>
        <v>1</v>
      </c>
      <c r="Y26" s="16">
        <f t="shared" si="18"/>
        <v>14</v>
      </c>
      <c r="Z26" s="16">
        <f t="shared" si="18"/>
        <v>9</v>
      </c>
      <c r="AA26" s="16">
        <f t="shared" si="18"/>
        <v>1</v>
      </c>
      <c r="AB26" s="16">
        <f t="shared" si="18"/>
        <v>3</v>
      </c>
      <c r="AC26" s="16">
        <f t="shared" si="18"/>
        <v>145</v>
      </c>
      <c r="AD26" s="16">
        <f t="shared" si="18"/>
        <v>0</v>
      </c>
      <c r="AE26" s="32">
        <f t="shared" si="18"/>
        <v>142</v>
      </c>
      <c r="AF26" s="32">
        <f t="shared" si="18"/>
        <v>287</v>
      </c>
    </row>
    <row r="27" spans="2:32" ht="23.1" customHeight="1" x14ac:dyDescent="0.25">
      <c r="B27" s="23" t="s">
        <v>54</v>
      </c>
      <c r="C27" s="50">
        <v>6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1</v>
      </c>
      <c r="M27" s="50">
        <v>5</v>
      </c>
      <c r="N27" s="50">
        <v>0</v>
      </c>
      <c r="O27" s="15">
        <f t="shared" si="0"/>
        <v>7</v>
      </c>
      <c r="P27" s="15">
        <f t="shared" si="1"/>
        <v>12</v>
      </c>
      <c r="R27" s="29" t="s">
        <v>87</v>
      </c>
      <c r="S27" s="16">
        <f t="shared" ref="S27:AF27" si="19">SUM(S19:S21)</f>
        <v>43</v>
      </c>
      <c r="T27" s="16">
        <f t="shared" si="19"/>
        <v>25</v>
      </c>
      <c r="U27" s="16">
        <f t="shared" si="19"/>
        <v>13</v>
      </c>
      <c r="V27" s="16">
        <f t="shared" si="19"/>
        <v>7</v>
      </c>
      <c r="W27" s="16">
        <f t="shared" si="19"/>
        <v>2</v>
      </c>
      <c r="X27" s="16">
        <f t="shared" si="19"/>
        <v>0</v>
      </c>
      <c r="Y27" s="16">
        <f t="shared" si="19"/>
        <v>17</v>
      </c>
      <c r="Z27" s="16">
        <f t="shared" si="19"/>
        <v>21</v>
      </c>
      <c r="AA27" s="16">
        <f t="shared" si="19"/>
        <v>8</v>
      </c>
      <c r="AB27" s="16">
        <f t="shared" si="19"/>
        <v>2</v>
      </c>
      <c r="AC27" s="16">
        <f t="shared" si="19"/>
        <v>98</v>
      </c>
      <c r="AD27" s="16">
        <f t="shared" si="19"/>
        <v>0</v>
      </c>
      <c r="AE27" s="32">
        <f t="shared" si="19"/>
        <v>138</v>
      </c>
      <c r="AF27" s="32">
        <f t="shared" si="19"/>
        <v>236</v>
      </c>
    </row>
    <row r="28" spans="2:32" ht="23.1" customHeight="1" x14ac:dyDescent="0.25">
      <c r="B28" s="23" t="s">
        <v>55</v>
      </c>
      <c r="C28" s="50">
        <v>0</v>
      </c>
      <c r="D28" s="50">
        <v>1</v>
      </c>
      <c r="E28" s="50">
        <v>2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3</v>
      </c>
      <c r="P28" s="15">
        <f t="shared" si="1"/>
        <v>11</v>
      </c>
      <c r="R28" s="5" t="s">
        <v>17</v>
      </c>
      <c r="S28" s="16">
        <f t="shared" ref="S28:AF28" si="20">SUM(S10:S21)</f>
        <v>144</v>
      </c>
      <c r="T28" s="16">
        <f t="shared" si="20"/>
        <v>70</v>
      </c>
      <c r="U28" s="16">
        <f t="shared" si="20"/>
        <v>35</v>
      </c>
      <c r="V28" s="16">
        <f t="shared" si="20"/>
        <v>13</v>
      </c>
      <c r="W28" s="16">
        <f t="shared" si="20"/>
        <v>4</v>
      </c>
      <c r="X28" s="16">
        <f t="shared" si="20"/>
        <v>3</v>
      </c>
      <c r="Y28" s="16">
        <f t="shared" si="20"/>
        <v>36</v>
      </c>
      <c r="Z28" s="16">
        <f t="shared" si="20"/>
        <v>32</v>
      </c>
      <c r="AA28" s="16">
        <f t="shared" si="20"/>
        <v>9</v>
      </c>
      <c r="AB28" s="16">
        <f t="shared" si="20"/>
        <v>5</v>
      </c>
      <c r="AC28" s="16">
        <f t="shared" si="20"/>
        <v>290</v>
      </c>
      <c r="AD28" s="16">
        <f t="shared" si="20"/>
        <v>0</v>
      </c>
      <c r="AE28" s="32">
        <f t="shared" si="20"/>
        <v>351</v>
      </c>
      <c r="AF28" s="32">
        <f t="shared" si="20"/>
        <v>641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1</v>
      </c>
      <c r="P29" s="15">
        <f t="shared" si="1"/>
        <v>9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0</v>
      </c>
      <c r="P30" s="15">
        <f t="shared" si="1"/>
        <v>10</v>
      </c>
    </row>
    <row r="31" spans="2:32" ht="23.1" customHeight="1" x14ac:dyDescent="0.25">
      <c r="B31" s="24" t="s">
        <v>58</v>
      </c>
      <c r="C31" s="50">
        <v>5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7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2</v>
      </c>
      <c r="D32" s="50">
        <v>2</v>
      </c>
      <c r="E32" s="50">
        <v>2</v>
      </c>
      <c r="F32" s="50">
        <v>0</v>
      </c>
      <c r="G32" s="50">
        <v>0</v>
      </c>
      <c r="H32" s="50">
        <v>0</v>
      </c>
      <c r="I32" s="50">
        <v>1</v>
      </c>
      <c r="J32" s="50">
        <v>2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9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3</v>
      </c>
      <c r="D33" s="50">
        <v>4</v>
      </c>
      <c r="E33" s="50">
        <v>3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10</v>
      </c>
      <c r="P33" s="15">
        <f t="shared" si="1"/>
        <v>17</v>
      </c>
    </row>
    <row r="34" spans="2:20" ht="23.1" customHeight="1" x14ac:dyDescent="0.25">
      <c r="B34" s="24" t="s">
        <v>61</v>
      </c>
      <c r="C34" s="50">
        <v>3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7</v>
      </c>
      <c r="N34" s="50">
        <v>0</v>
      </c>
      <c r="O34" s="15">
        <f t="shared" si="0"/>
        <v>6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5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1</v>
      </c>
      <c r="D36" s="50">
        <v>2</v>
      </c>
      <c r="E36" s="50">
        <v>4</v>
      </c>
      <c r="F36" s="50">
        <v>1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1</v>
      </c>
      <c r="M36" s="50">
        <v>4</v>
      </c>
      <c r="N36" s="50">
        <v>0</v>
      </c>
      <c r="O36" s="15">
        <f t="shared" si="0"/>
        <v>12</v>
      </c>
      <c r="P36" s="15">
        <f t="shared" si="1"/>
        <v>16</v>
      </c>
    </row>
    <row r="37" spans="2:20" ht="23.1" customHeight="1" x14ac:dyDescent="0.25">
      <c r="B37" s="23" t="s">
        <v>64</v>
      </c>
      <c r="C37" s="50">
        <v>3</v>
      </c>
      <c r="D37" s="50">
        <v>2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6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3</v>
      </c>
      <c r="D38" s="50">
        <v>2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1</v>
      </c>
      <c r="K38" s="50">
        <v>0</v>
      </c>
      <c r="L38" s="50">
        <v>1</v>
      </c>
      <c r="M38" s="50">
        <v>5</v>
      </c>
      <c r="N38" s="50">
        <v>0</v>
      </c>
      <c r="O38" s="15">
        <f t="shared" si="0"/>
        <v>7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3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4</v>
      </c>
      <c r="P39" s="15">
        <f t="shared" si="1"/>
        <v>7</v>
      </c>
    </row>
    <row r="40" spans="2:20" ht="23.1" customHeight="1" x14ac:dyDescent="0.25">
      <c r="B40" s="24" t="s">
        <v>67</v>
      </c>
      <c r="C40" s="50">
        <v>2</v>
      </c>
      <c r="D40" s="50">
        <v>4</v>
      </c>
      <c r="E40" s="50">
        <v>1</v>
      </c>
      <c r="F40" s="50">
        <v>0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10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2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4</v>
      </c>
      <c r="N41" s="50">
        <v>0</v>
      </c>
      <c r="O41" s="15">
        <f t="shared" si="0"/>
        <v>5</v>
      </c>
      <c r="P41" s="15">
        <f t="shared" si="1"/>
        <v>9</v>
      </c>
    </row>
    <row r="42" spans="2:20" ht="23.1" customHeight="1" x14ac:dyDescent="0.25">
      <c r="B42" s="24" t="s">
        <v>69</v>
      </c>
      <c r="C42" s="50">
        <v>4</v>
      </c>
      <c r="D42" s="50">
        <v>2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4</v>
      </c>
      <c r="N42" s="50">
        <v>0</v>
      </c>
      <c r="O42" s="15">
        <f t="shared" si="0"/>
        <v>7</v>
      </c>
      <c r="P42" s="15">
        <f t="shared" si="1"/>
        <v>11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10</v>
      </c>
      <c r="N43" s="50">
        <v>0</v>
      </c>
      <c r="O43" s="15">
        <f t="shared" si="0"/>
        <v>5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1</v>
      </c>
      <c r="J44" s="50">
        <v>3</v>
      </c>
      <c r="K44" s="50">
        <v>1</v>
      </c>
      <c r="L44" s="50">
        <v>0</v>
      </c>
      <c r="M44" s="50">
        <v>4</v>
      </c>
      <c r="N44" s="50">
        <v>0</v>
      </c>
      <c r="O44" s="15">
        <f t="shared" si="0"/>
        <v>9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2</v>
      </c>
      <c r="D45" s="50">
        <v>4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7</v>
      </c>
      <c r="N45" s="50">
        <v>0</v>
      </c>
      <c r="O45" s="15">
        <f t="shared" si="0"/>
        <v>8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3</v>
      </c>
      <c r="D46" s="50">
        <v>2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7</v>
      </c>
      <c r="N46" s="50">
        <v>0</v>
      </c>
      <c r="O46" s="15">
        <f t="shared" si="0"/>
        <v>6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3</v>
      </c>
      <c r="E47" s="50">
        <v>1</v>
      </c>
      <c r="F47" s="50">
        <v>0</v>
      </c>
      <c r="G47" s="50">
        <v>0</v>
      </c>
      <c r="H47" s="50">
        <v>0</v>
      </c>
      <c r="I47" s="50">
        <v>2</v>
      </c>
      <c r="J47" s="50">
        <v>1</v>
      </c>
      <c r="K47" s="50">
        <v>1</v>
      </c>
      <c r="L47" s="50">
        <v>0</v>
      </c>
      <c r="M47" s="50">
        <v>6</v>
      </c>
      <c r="N47" s="50">
        <v>0</v>
      </c>
      <c r="O47" s="15">
        <f t="shared" si="0"/>
        <v>8</v>
      </c>
      <c r="P47" s="15">
        <f t="shared" si="1"/>
        <v>14</v>
      </c>
      <c r="R47" s="8"/>
      <c r="T47"/>
    </row>
    <row r="48" spans="2:20" ht="23.1" customHeight="1" x14ac:dyDescent="0.25">
      <c r="B48" s="24" t="s">
        <v>75</v>
      </c>
      <c r="C48" s="50">
        <v>2</v>
      </c>
      <c r="D48" s="50">
        <v>3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2</v>
      </c>
      <c r="K48" s="50">
        <v>0</v>
      </c>
      <c r="L48" s="50">
        <v>0</v>
      </c>
      <c r="M48" s="50">
        <v>11</v>
      </c>
      <c r="N48" s="50">
        <v>0</v>
      </c>
      <c r="O48" s="15">
        <f t="shared" si="0"/>
        <v>9</v>
      </c>
      <c r="P48" s="15">
        <f t="shared" si="1"/>
        <v>20</v>
      </c>
      <c r="R48" s="8"/>
      <c r="T48"/>
    </row>
    <row r="49" spans="2:20" ht="23.1" customHeight="1" x14ac:dyDescent="0.25">
      <c r="B49" s="23" t="s">
        <v>76</v>
      </c>
      <c r="C49" s="50">
        <v>6</v>
      </c>
      <c r="D49" s="50">
        <v>3</v>
      </c>
      <c r="E49" s="50">
        <v>1</v>
      </c>
      <c r="F49" s="50">
        <v>1</v>
      </c>
      <c r="G49" s="50">
        <v>0</v>
      </c>
      <c r="H49" s="50">
        <v>0</v>
      </c>
      <c r="I49" s="50">
        <v>1</v>
      </c>
      <c r="J49" s="50">
        <v>3</v>
      </c>
      <c r="K49" s="50">
        <v>0</v>
      </c>
      <c r="L49" s="50">
        <v>0</v>
      </c>
      <c r="M49" s="50">
        <v>13</v>
      </c>
      <c r="N49" s="50">
        <v>0</v>
      </c>
      <c r="O49" s="15">
        <f t="shared" si="0"/>
        <v>15</v>
      </c>
      <c r="P49" s="15">
        <f t="shared" si="1"/>
        <v>28</v>
      </c>
      <c r="R49" s="8"/>
      <c r="T49"/>
    </row>
    <row r="50" spans="2:20" ht="23.1" customHeight="1" x14ac:dyDescent="0.25">
      <c r="B50" s="24" t="s">
        <v>77</v>
      </c>
      <c r="C50" s="50">
        <v>9</v>
      </c>
      <c r="D50" s="50">
        <v>3</v>
      </c>
      <c r="E50" s="50">
        <v>2</v>
      </c>
      <c r="F50" s="50">
        <v>1</v>
      </c>
      <c r="G50" s="50">
        <v>0</v>
      </c>
      <c r="H50" s="50">
        <v>0</v>
      </c>
      <c r="I50" s="50">
        <v>1</v>
      </c>
      <c r="J50" s="50">
        <v>1</v>
      </c>
      <c r="K50" s="50">
        <v>2</v>
      </c>
      <c r="L50" s="50">
        <v>0</v>
      </c>
      <c r="M50" s="50">
        <v>11</v>
      </c>
      <c r="N50" s="50">
        <v>0</v>
      </c>
      <c r="O50" s="15">
        <f t="shared" si="0"/>
        <v>19</v>
      </c>
      <c r="P50" s="15">
        <f t="shared" si="1"/>
        <v>30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2</v>
      </c>
      <c r="E51" s="50">
        <v>1</v>
      </c>
      <c r="F51" s="50">
        <v>1</v>
      </c>
      <c r="G51" s="50">
        <v>0</v>
      </c>
      <c r="H51" s="50">
        <v>0</v>
      </c>
      <c r="I51" s="50">
        <v>0</v>
      </c>
      <c r="J51" s="50">
        <v>3</v>
      </c>
      <c r="K51" s="50">
        <v>1</v>
      </c>
      <c r="L51" s="50">
        <v>0</v>
      </c>
      <c r="M51" s="50">
        <v>12</v>
      </c>
      <c r="N51" s="50">
        <v>0</v>
      </c>
      <c r="O51" s="15">
        <f t="shared" si="0"/>
        <v>11</v>
      </c>
      <c r="P51" s="15">
        <f t="shared" si="1"/>
        <v>23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1</v>
      </c>
      <c r="J52" s="50">
        <v>2</v>
      </c>
      <c r="K52" s="50">
        <v>1</v>
      </c>
      <c r="L52" s="50">
        <v>0</v>
      </c>
      <c r="M52" s="50">
        <v>14</v>
      </c>
      <c r="N52" s="50">
        <v>0</v>
      </c>
      <c r="O52" s="15">
        <f t="shared" si="0"/>
        <v>7</v>
      </c>
      <c r="P52" s="15">
        <f t="shared" si="1"/>
        <v>21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1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1</v>
      </c>
      <c r="K53" s="50">
        <v>0</v>
      </c>
      <c r="L53" s="50">
        <v>0</v>
      </c>
      <c r="M53" s="50">
        <v>10</v>
      </c>
      <c r="N53" s="50">
        <v>0</v>
      </c>
      <c r="O53" s="15">
        <f t="shared" si="0"/>
        <v>9</v>
      </c>
      <c r="P53" s="15">
        <f t="shared" si="1"/>
        <v>19</v>
      </c>
      <c r="R53" s="8"/>
      <c r="T53"/>
    </row>
    <row r="54" spans="2:20" ht="23.1" customHeight="1" x14ac:dyDescent="0.25">
      <c r="B54" s="23" t="s">
        <v>81</v>
      </c>
      <c r="C54" s="50">
        <v>4</v>
      </c>
      <c r="D54" s="50">
        <v>1</v>
      </c>
      <c r="E54" s="50">
        <v>2</v>
      </c>
      <c r="F54" s="50">
        <v>0</v>
      </c>
      <c r="G54" s="50">
        <v>1</v>
      </c>
      <c r="H54" s="50">
        <v>0</v>
      </c>
      <c r="I54" s="50">
        <v>3</v>
      </c>
      <c r="J54" s="50">
        <v>0</v>
      </c>
      <c r="K54" s="50">
        <v>0</v>
      </c>
      <c r="L54" s="50">
        <v>1</v>
      </c>
      <c r="M54" s="50">
        <v>2</v>
      </c>
      <c r="N54" s="50">
        <v>0</v>
      </c>
      <c r="O54" s="15">
        <f t="shared" si="0"/>
        <v>12</v>
      </c>
      <c r="P54" s="15">
        <f t="shared" si="1"/>
        <v>14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2</v>
      </c>
      <c r="E55" s="50">
        <v>1</v>
      </c>
      <c r="F55" s="50">
        <v>2</v>
      </c>
      <c r="G55" s="50">
        <v>0</v>
      </c>
      <c r="H55" s="50">
        <v>0</v>
      </c>
      <c r="I55" s="50">
        <v>4</v>
      </c>
      <c r="J55" s="50">
        <v>2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12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1</v>
      </c>
      <c r="F56" s="50">
        <v>1</v>
      </c>
      <c r="G56" s="50">
        <v>1</v>
      </c>
      <c r="H56" s="50">
        <v>0</v>
      </c>
      <c r="I56" s="50">
        <v>0</v>
      </c>
      <c r="J56" s="50">
        <v>4</v>
      </c>
      <c r="K56" s="50">
        <v>1</v>
      </c>
      <c r="L56" s="50">
        <v>0</v>
      </c>
      <c r="M56" s="50">
        <v>3</v>
      </c>
      <c r="N56" s="50">
        <v>0</v>
      </c>
      <c r="O56" s="15">
        <f t="shared" si="0"/>
        <v>10</v>
      </c>
      <c r="P56" s="15">
        <f t="shared" si="1"/>
        <v>13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5</v>
      </c>
      <c r="E57" s="50">
        <v>2</v>
      </c>
      <c r="F57" s="50">
        <v>0</v>
      </c>
      <c r="G57" s="50">
        <v>0</v>
      </c>
      <c r="H57" s="50">
        <v>0</v>
      </c>
      <c r="I57" s="50">
        <v>3</v>
      </c>
      <c r="J57" s="50">
        <v>2</v>
      </c>
      <c r="K57" s="50">
        <v>2</v>
      </c>
      <c r="L57" s="50">
        <v>1</v>
      </c>
      <c r="M57" s="50">
        <v>4</v>
      </c>
      <c r="N57" s="50">
        <v>0</v>
      </c>
      <c r="O57" s="15">
        <f t="shared" si="0"/>
        <v>20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144</v>
      </c>
      <c r="D58" s="16">
        <f t="shared" si="21"/>
        <v>70</v>
      </c>
      <c r="E58" s="16">
        <f t="shared" si="21"/>
        <v>35</v>
      </c>
      <c r="F58" s="16">
        <f t="shared" si="21"/>
        <v>13</v>
      </c>
      <c r="G58" s="16">
        <f t="shared" si="21"/>
        <v>4</v>
      </c>
      <c r="H58" s="16">
        <f t="shared" si="21"/>
        <v>3</v>
      </c>
      <c r="I58" s="16">
        <f t="shared" si="21"/>
        <v>36</v>
      </c>
      <c r="J58" s="16">
        <f t="shared" si="21"/>
        <v>32</v>
      </c>
      <c r="K58" s="16">
        <f t="shared" si="21"/>
        <v>9</v>
      </c>
      <c r="L58" s="16">
        <f t="shared" si="21"/>
        <v>5</v>
      </c>
      <c r="M58" s="16">
        <f t="shared" si="21"/>
        <v>290</v>
      </c>
      <c r="N58" s="16">
        <f t="shared" si="21"/>
        <v>0</v>
      </c>
      <c r="O58" s="16">
        <f t="shared" si="21"/>
        <v>351</v>
      </c>
      <c r="P58" s="16">
        <f t="shared" si="21"/>
        <v>641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0.22464898595943839</v>
      </c>
      <c r="D59" s="43">
        <f t="shared" si="22"/>
        <v>0.10920436817472699</v>
      </c>
      <c r="E59" s="43">
        <f t="shared" si="22"/>
        <v>5.4602184087363496E-2</v>
      </c>
      <c r="F59" s="43">
        <f t="shared" si="22"/>
        <v>2.0280811232449299E-2</v>
      </c>
      <c r="G59" s="43">
        <f t="shared" si="22"/>
        <v>6.2402496099843996E-3</v>
      </c>
      <c r="H59" s="43">
        <f t="shared" si="22"/>
        <v>4.6801872074882997E-3</v>
      </c>
      <c r="I59" s="43">
        <f t="shared" si="22"/>
        <v>5.6162246489859596E-2</v>
      </c>
      <c r="J59" s="43">
        <f t="shared" si="22"/>
        <v>4.9921996879875197E-2</v>
      </c>
      <c r="K59" s="43">
        <f t="shared" si="22"/>
        <v>1.4040561622464899E-2</v>
      </c>
      <c r="L59" s="43">
        <f t="shared" si="22"/>
        <v>7.8003120124804995E-3</v>
      </c>
      <c r="M59" s="43">
        <f t="shared" si="22"/>
        <v>0.45241809672386896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0.41025641025641024</v>
      </c>
      <c r="D60" s="44">
        <f t="shared" ref="D60:N60" si="23">D58/$O$58</f>
        <v>0.19943019943019943</v>
      </c>
      <c r="E60" s="44">
        <f t="shared" si="23"/>
        <v>9.9715099715099717E-2</v>
      </c>
      <c r="F60" s="44">
        <f t="shared" si="23"/>
        <v>3.7037037037037035E-2</v>
      </c>
      <c r="G60" s="44">
        <f t="shared" si="23"/>
        <v>1.1396011396011397E-2</v>
      </c>
      <c r="H60" s="44">
        <f t="shared" si="23"/>
        <v>8.5470085470085479E-3</v>
      </c>
      <c r="I60" s="44">
        <f t="shared" si="23"/>
        <v>0.10256410256410256</v>
      </c>
      <c r="J60" s="44">
        <f t="shared" si="23"/>
        <v>9.1168091168091173E-2</v>
      </c>
      <c r="K60" s="44">
        <f t="shared" si="23"/>
        <v>2.564102564102564E-2</v>
      </c>
      <c r="L60" s="44">
        <f t="shared" si="23"/>
        <v>1.4245014245014245E-2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</sheetPr>
  <dimension ref="B1:AF174"/>
  <sheetViews>
    <sheetView view="pageBreakPreview" topLeftCell="A46" zoomScale="60" workbookViewId="0">
      <selection activeCell="E92" sqref="E9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7.5703125" customWidth="1"/>
    <col min="5" max="5" width="13.5703125" customWidth="1"/>
    <col min="6" max="6" width="12.5703125" customWidth="1"/>
    <col min="7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Lyantonde-Rushere'!C3:G3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5.5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'30.10 Rushere-Lyantonde'!G5:H5</f>
        <v>Kaguta road JTC</v>
      </c>
      <c r="H5" s="64"/>
      <c r="I5" s="14"/>
      <c r="J5" s="2" t="s">
        <v>5</v>
      </c>
      <c r="K5" s="63" t="s">
        <v>173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Lyantonde-Rushere'!D6:E6</f>
        <v>Lyantonde</v>
      </c>
      <c r="E6" s="64"/>
      <c r="F6" s="2" t="s">
        <v>2</v>
      </c>
      <c r="G6" s="63" t="str">
        <f>'25.10 Lyantonde-Rushere'!G6:H6</f>
        <v>Rushere</v>
      </c>
      <c r="H6" s="64"/>
      <c r="J6" s="2" t="s">
        <v>21</v>
      </c>
      <c r="K6" s="63" t="str">
        <f>'30.10 Rushere-Lyantonde'!K6:L6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</v>
      </c>
      <c r="D10" s="50">
        <v>1</v>
      </c>
      <c r="E10" s="50">
        <v>0</v>
      </c>
      <c r="F10" s="50">
        <v>1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1</v>
      </c>
      <c r="M10" s="50">
        <v>3</v>
      </c>
      <c r="N10" s="50">
        <v>0</v>
      </c>
      <c r="O10" s="15">
        <f t="shared" ref="O10:O57" si="0">SUM(C10:L10,N10)</f>
        <v>8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16</v>
      </c>
      <c r="T10" s="17">
        <f t="shared" si="2"/>
        <v>7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2</v>
      </c>
      <c r="AB10" s="17">
        <f t="shared" si="2"/>
        <v>2</v>
      </c>
      <c r="AC10" s="17">
        <f t="shared" si="2"/>
        <v>16</v>
      </c>
      <c r="AD10" s="17">
        <f t="shared" si="2"/>
        <v>0</v>
      </c>
      <c r="AE10" s="31">
        <f t="shared" si="2"/>
        <v>32</v>
      </c>
      <c r="AF10" s="31">
        <f t="shared" si="2"/>
        <v>48</v>
      </c>
    </row>
    <row r="11" spans="2:32" s="6" customFormat="1" ht="23.1" customHeight="1" x14ac:dyDescent="0.25">
      <c r="B11" s="45" t="s">
        <v>38</v>
      </c>
      <c r="C11" s="50">
        <v>4</v>
      </c>
      <c r="D11" s="50">
        <v>2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2</v>
      </c>
      <c r="L11" s="50">
        <v>0</v>
      </c>
      <c r="M11" s="50">
        <v>4</v>
      </c>
      <c r="N11" s="50">
        <v>0</v>
      </c>
      <c r="O11" s="15">
        <f t="shared" si="0"/>
        <v>8</v>
      </c>
      <c r="P11" s="15">
        <f t="shared" si="1"/>
        <v>12</v>
      </c>
      <c r="R11" s="1" t="s">
        <v>7</v>
      </c>
      <c r="S11" s="17">
        <f t="shared" ref="S11:AF11" si="3">SUM(C14:C17)</f>
        <v>9</v>
      </c>
      <c r="T11" s="17">
        <f t="shared" si="3"/>
        <v>7</v>
      </c>
      <c r="U11" s="17">
        <f t="shared" si="3"/>
        <v>1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5</v>
      </c>
      <c r="AC11" s="17">
        <f t="shared" si="3"/>
        <v>4</v>
      </c>
      <c r="AD11" s="17">
        <f t="shared" si="3"/>
        <v>0</v>
      </c>
      <c r="AE11" s="31">
        <f t="shared" si="3"/>
        <v>24</v>
      </c>
      <c r="AF11" s="31">
        <f t="shared" si="3"/>
        <v>28</v>
      </c>
    </row>
    <row r="12" spans="2:32" ht="23.1" customHeight="1" x14ac:dyDescent="0.25">
      <c r="B12" s="45" t="s">
        <v>39</v>
      </c>
      <c r="C12" s="50">
        <v>4</v>
      </c>
      <c r="D12" s="50">
        <v>1</v>
      </c>
      <c r="E12" s="50">
        <v>2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7</v>
      </c>
      <c r="P12" s="15">
        <f t="shared" si="1"/>
        <v>13</v>
      </c>
      <c r="R12" s="1" t="s">
        <v>8</v>
      </c>
      <c r="S12" s="17">
        <f t="shared" ref="S12:AF12" si="4">SUM(C18:C21)</f>
        <v>14</v>
      </c>
      <c r="T12" s="17">
        <f t="shared" si="4"/>
        <v>18</v>
      </c>
      <c r="U12" s="17">
        <f t="shared" si="4"/>
        <v>1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10</v>
      </c>
      <c r="AD12" s="17">
        <f t="shared" si="4"/>
        <v>0</v>
      </c>
      <c r="AE12" s="31">
        <f t="shared" si="4"/>
        <v>35</v>
      </c>
      <c r="AF12" s="31">
        <f t="shared" si="4"/>
        <v>45</v>
      </c>
    </row>
    <row r="13" spans="2:32" ht="23.1" customHeight="1" x14ac:dyDescent="0.25">
      <c r="B13" s="45" t="s">
        <v>40</v>
      </c>
      <c r="C13" s="50">
        <v>5</v>
      </c>
      <c r="D13" s="50">
        <v>3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1</v>
      </c>
      <c r="M13" s="50">
        <v>3</v>
      </c>
      <c r="N13" s="50">
        <v>0</v>
      </c>
      <c r="O13" s="15">
        <f t="shared" si="0"/>
        <v>9</v>
      </c>
      <c r="P13" s="15">
        <f t="shared" si="1"/>
        <v>12</v>
      </c>
      <c r="R13" s="1" t="s">
        <v>9</v>
      </c>
      <c r="S13" s="17">
        <f t="shared" ref="S13:AF13" si="5">SUM(C22:C25)</f>
        <v>12</v>
      </c>
      <c r="T13" s="17">
        <f t="shared" si="5"/>
        <v>12</v>
      </c>
      <c r="U13" s="17">
        <f t="shared" si="5"/>
        <v>4</v>
      </c>
      <c r="V13" s="17">
        <f t="shared" si="5"/>
        <v>2</v>
      </c>
      <c r="W13" s="17">
        <f t="shared" si="5"/>
        <v>1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1</v>
      </c>
      <c r="AB13" s="17">
        <f t="shared" si="5"/>
        <v>2</v>
      </c>
      <c r="AC13" s="17">
        <f t="shared" si="5"/>
        <v>13</v>
      </c>
      <c r="AD13" s="17">
        <f t="shared" si="5"/>
        <v>0</v>
      </c>
      <c r="AE13" s="31">
        <f t="shared" si="5"/>
        <v>35</v>
      </c>
      <c r="AF13" s="31">
        <f t="shared" si="5"/>
        <v>48</v>
      </c>
    </row>
    <row r="14" spans="2:32" ht="23.1" customHeight="1" x14ac:dyDescent="0.25">
      <c r="B14" s="45" t="s">
        <v>41</v>
      </c>
      <c r="C14" s="50">
        <v>2</v>
      </c>
      <c r="D14" s="50">
        <v>2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2</v>
      </c>
      <c r="M14" s="50">
        <v>0</v>
      </c>
      <c r="N14" s="50">
        <v>0</v>
      </c>
      <c r="O14" s="15">
        <f t="shared" si="0"/>
        <v>6</v>
      </c>
      <c r="P14" s="15">
        <f t="shared" si="1"/>
        <v>6</v>
      </c>
      <c r="R14" s="1" t="s">
        <v>10</v>
      </c>
      <c r="S14" s="17">
        <f t="shared" ref="S14:AF14" si="6">SUM(C26:C29)</f>
        <v>20</v>
      </c>
      <c r="T14" s="17">
        <f t="shared" si="6"/>
        <v>15</v>
      </c>
      <c r="U14" s="17">
        <f t="shared" si="6"/>
        <v>8</v>
      </c>
      <c r="V14" s="17">
        <f t="shared" si="6"/>
        <v>4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2</v>
      </c>
      <c r="AA14" s="17">
        <f t="shared" si="6"/>
        <v>0</v>
      </c>
      <c r="AB14" s="17">
        <f t="shared" si="6"/>
        <v>4</v>
      </c>
      <c r="AC14" s="17">
        <f t="shared" si="6"/>
        <v>15</v>
      </c>
      <c r="AD14" s="17">
        <f t="shared" si="6"/>
        <v>0</v>
      </c>
      <c r="AE14" s="31">
        <f t="shared" si="6"/>
        <v>53</v>
      </c>
      <c r="AF14" s="31">
        <f t="shared" si="6"/>
        <v>68</v>
      </c>
    </row>
    <row r="15" spans="2:32" ht="23.1" customHeight="1" x14ac:dyDescent="0.25">
      <c r="B15" s="45" t="s">
        <v>42</v>
      </c>
      <c r="C15" s="50">
        <v>3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1</v>
      </c>
      <c r="M15" s="50">
        <v>2</v>
      </c>
      <c r="N15" s="50">
        <v>0</v>
      </c>
      <c r="O15" s="15">
        <f t="shared" si="0"/>
        <v>5</v>
      </c>
      <c r="P15" s="15">
        <f t="shared" si="1"/>
        <v>7</v>
      </c>
      <c r="R15" s="1" t="s">
        <v>11</v>
      </c>
      <c r="S15" s="17">
        <f t="shared" ref="S15:AF15" si="7">SUM(C30:C33)</f>
        <v>28</v>
      </c>
      <c r="T15" s="17">
        <f t="shared" si="7"/>
        <v>8</v>
      </c>
      <c r="U15" s="17">
        <f t="shared" si="7"/>
        <v>3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2</v>
      </c>
      <c r="AA15" s="17">
        <f t="shared" si="7"/>
        <v>1</v>
      </c>
      <c r="AB15" s="17">
        <f t="shared" si="7"/>
        <v>8</v>
      </c>
      <c r="AC15" s="17">
        <f t="shared" si="7"/>
        <v>16</v>
      </c>
      <c r="AD15" s="17">
        <f t="shared" si="7"/>
        <v>0</v>
      </c>
      <c r="AE15" s="31">
        <f t="shared" si="7"/>
        <v>54</v>
      </c>
      <c r="AF15" s="31">
        <f t="shared" si="7"/>
        <v>70</v>
      </c>
    </row>
    <row r="16" spans="2:32" ht="23.1" customHeight="1" x14ac:dyDescent="0.25">
      <c r="B16" s="45" t="s">
        <v>43</v>
      </c>
      <c r="C16" s="50">
        <v>3</v>
      </c>
      <c r="D16" s="50">
        <v>3</v>
      </c>
      <c r="E16" s="50">
        <v>1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1</v>
      </c>
      <c r="M16" s="50">
        <v>0</v>
      </c>
      <c r="N16" s="50">
        <v>0</v>
      </c>
      <c r="O16" s="15">
        <f t="shared" si="0"/>
        <v>9</v>
      </c>
      <c r="P16" s="15">
        <f t="shared" si="1"/>
        <v>9</v>
      </c>
      <c r="R16" s="1" t="s">
        <v>12</v>
      </c>
      <c r="S16" s="17">
        <f t="shared" ref="S16:AF16" si="8">SUM(C34:C37)</f>
        <v>21</v>
      </c>
      <c r="T16" s="17">
        <f t="shared" si="8"/>
        <v>4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2</v>
      </c>
      <c r="AA16" s="17">
        <f t="shared" si="8"/>
        <v>0</v>
      </c>
      <c r="AB16" s="17">
        <f t="shared" si="8"/>
        <v>1</v>
      </c>
      <c r="AC16" s="17">
        <f t="shared" si="8"/>
        <v>21</v>
      </c>
      <c r="AD16" s="17">
        <f t="shared" si="8"/>
        <v>0</v>
      </c>
      <c r="AE16" s="31">
        <f t="shared" si="8"/>
        <v>33</v>
      </c>
      <c r="AF16" s="31">
        <f t="shared" si="8"/>
        <v>54</v>
      </c>
    </row>
    <row r="17" spans="2:32" ht="23.1" customHeight="1" x14ac:dyDescent="0.25">
      <c r="B17" s="45" t="s">
        <v>44</v>
      </c>
      <c r="C17" s="50">
        <v>1</v>
      </c>
      <c r="D17" s="50">
        <v>1</v>
      </c>
      <c r="E17" s="50">
        <v>0</v>
      </c>
      <c r="F17" s="50">
        <v>1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1</v>
      </c>
      <c r="M17" s="50">
        <v>2</v>
      </c>
      <c r="N17" s="50">
        <v>0</v>
      </c>
      <c r="O17" s="15">
        <f t="shared" si="0"/>
        <v>4</v>
      </c>
      <c r="P17" s="15">
        <f t="shared" si="1"/>
        <v>6</v>
      </c>
      <c r="R17" s="1" t="s">
        <v>13</v>
      </c>
      <c r="S17" s="17">
        <f t="shared" ref="S17:AF17" si="9">SUM(C38:C41)</f>
        <v>28</v>
      </c>
      <c r="T17" s="17">
        <f t="shared" si="9"/>
        <v>3</v>
      </c>
      <c r="U17" s="17">
        <f t="shared" si="9"/>
        <v>4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3</v>
      </c>
      <c r="AA17" s="17">
        <f t="shared" si="9"/>
        <v>3</v>
      </c>
      <c r="AB17" s="17">
        <f t="shared" si="9"/>
        <v>1</v>
      </c>
      <c r="AC17" s="17">
        <f t="shared" si="9"/>
        <v>20</v>
      </c>
      <c r="AD17" s="17">
        <f t="shared" si="9"/>
        <v>0</v>
      </c>
      <c r="AE17" s="31">
        <f t="shared" si="9"/>
        <v>44</v>
      </c>
      <c r="AF17" s="31">
        <f t="shared" si="9"/>
        <v>64</v>
      </c>
    </row>
    <row r="18" spans="2:32" ht="23.1" customHeight="1" x14ac:dyDescent="0.25">
      <c r="B18" s="45" t="s">
        <v>45</v>
      </c>
      <c r="C18" s="50">
        <v>4</v>
      </c>
      <c r="D18" s="50">
        <v>4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10</v>
      </c>
      <c r="P18" s="15">
        <f t="shared" si="1"/>
        <v>12</v>
      </c>
      <c r="R18" s="1" t="s">
        <v>14</v>
      </c>
      <c r="S18" s="17">
        <f t="shared" ref="S18:AF18" si="10">SUM(C42:C45)</f>
        <v>18</v>
      </c>
      <c r="T18" s="17">
        <f t="shared" si="10"/>
        <v>5</v>
      </c>
      <c r="U18" s="17">
        <f t="shared" si="10"/>
        <v>3</v>
      </c>
      <c r="V18" s="17">
        <f t="shared" si="10"/>
        <v>0</v>
      </c>
      <c r="W18" s="17">
        <f t="shared" si="10"/>
        <v>0</v>
      </c>
      <c r="X18" s="17">
        <f t="shared" si="10"/>
        <v>1</v>
      </c>
      <c r="Y18" s="17">
        <f t="shared" si="10"/>
        <v>1</v>
      </c>
      <c r="Z18" s="17">
        <f t="shared" si="10"/>
        <v>4</v>
      </c>
      <c r="AA18" s="17">
        <f t="shared" si="10"/>
        <v>1</v>
      </c>
      <c r="AB18" s="17">
        <f t="shared" si="10"/>
        <v>1</v>
      </c>
      <c r="AC18" s="17">
        <f t="shared" si="10"/>
        <v>19</v>
      </c>
      <c r="AD18" s="17">
        <f t="shared" si="10"/>
        <v>0</v>
      </c>
      <c r="AE18" s="31">
        <f t="shared" si="10"/>
        <v>34</v>
      </c>
      <c r="AF18" s="31">
        <f t="shared" si="10"/>
        <v>53</v>
      </c>
    </row>
    <row r="19" spans="2:32" ht="23.1" customHeight="1" x14ac:dyDescent="0.25">
      <c r="B19" s="45" t="s">
        <v>46</v>
      </c>
      <c r="C19" s="50">
        <v>5</v>
      </c>
      <c r="D19" s="50">
        <v>9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</v>
      </c>
      <c r="N19" s="50">
        <v>0</v>
      </c>
      <c r="O19" s="15">
        <f t="shared" si="0"/>
        <v>14</v>
      </c>
      <c r="P19" s="15">
        <f t="shared" si="1"/>
        <v>17</v>
      </c>
      <c r="R19" s="1" t="s">
        <v>15</v>
      </c>
      <c r="S19" s="17">
        <f t="shared" ref="S19:AF19" si="11">SUM(C46:C49)</f>
        <v>11</v>
      </c>
      <c r="T19" s="17">
        <f t="shared" si="11"/>
        <v>4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2</v>
      </c>
      <c r="AC19" s="17">
        <f t="shared" si="11"/>
        <v>22</v>
      </c>
      <c r="AD19" s="17">
        <f t="shared" si="11"/>
        <v>0</v>
      </c>
      <c r="AE19" s="31">
        <f t="shared" si="11"/>
        <v>20</v>
      </c>
      <c r="AF19" s="31">
        <f t="shared" si="11"/>
        <v>42</v>
      </c>
    </row>
    <row r="20" spans="2:32" ht="23.1" customHeight="1" x14ac:dyDescent="0.25">
      <c r="B20" s="45" t="s">
        <v>47</v>
      </c>
      <c r="C20" s="50">
        <v>3</v>
      </c>
      <c r="D20" s="50">
        <v>3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3</v>
      </c>
      <c r="N20" s="50">
        <v>0</v>
      </c>
      <c r="O20" s="15">
        <f t="shared" si="0"/>
        <v>7</v>
      </c>
      <c r="P20" s="15">
        <f t="shared" si="1"/>
        <v>10</v>
      </c>
      <c r="R20" s="1" t="s">
        <v>16</v>
      </c>
      <c r="S20" s="17">
        <f t="shared" ref="S20:AF20" si="12">SUM(C50:C53)</f>
        <v>26</v>
      </c>
      <c r="T20" s="17">
        <f t="shared" si="12"/>
        <v>7</v>
      </c>
      <c r="U20" s="17">
        <f t="shared" si="12"/>
        <v>3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1</v>
      </c>
      <c r="Z20" s="17">
        <f t="shared" si="12"/>
        <v>0</v>
      </c>
      <c r="AA20" s="17">
        <f t="shared" si="12"/>
        <v>1</v>
      </c>
      <c r="AB20" s="17">
        <f t="shared" si="12"/>
        <v>0</v>
      </c>
      <c r="AC20" s="17">
        <f t="shared" si="12"/>
        <v>33</v>
      </c>
      <c r="AD20" s="17">
        <f t="shared" si="12"/>
        <v>0</v>
      </c>
      <c r="AE20" s="31">
        <f t="shared" si="12"/>
        <v>41</v>
      </c>
      <c r="AF20" s="31">
        <f t="shared" si="12"/>
        <v>74</v>
      </c>
    </row>
    <row r="21" spans="2:32" ht="23.1" customHeight="1" x14ac:dyDescent="0.25">
      <c r="B21" s="45" t="s">
        <v>48</v>
      </c>
      <c r="C21" s="50">
        <v>2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</v>
      </c>
      <c r="N21" s="50">
        <v>0</v>
      </c>
      <c r="O21" s="15">
        <f t="shared" si="0"/>
        <v>4</v>
      </c>
      <c r="P21" s="15">
        <f t="shared" si="1"/>
        <v>6</v>
      </c>
      <c r="R21" s="36" t="s">
        <v>20</v>
      </c>
      <c r="S21" s="34">
        <f t="shared" ref="S21:AF21" si="13">SUM(C54:C57)</f>
        <v>22</v>
      </c>
      <c r="T21" s="17">
        <f t="shared" si="13"/>
        <v>9</v>
      </c>
      <c r="U21" s="17">
        <f t="shared" si="13"/>
        <v>8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38</v>
      </c>
      <c r="AD21" s="17">
        <f t="shared" si="13"/>
        <v>0</v>
      </c>
      <c r="AE21" s="31">
        <f t="shared" si="13"/>
        <v>40</v>
      </c>
      <c r="AF21" s="31">
        <f t="shared" si="13"/>
        <v>78</v>
      </c>
    </row>
    <row r="22" spans="2:32" ht="23.1" customHeight="1" x14ac:dyDescent="0.25">
      <c r="B22" s="45" t="s">
        <v>49</v>
      </c>
      <c r="C22" s="50">
        <v>1</v>
      </c>
      <c r="D22" s="50">
        <v>3</v>
      </c>
      <c r="E22" s="50">
        <v>1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5</v>
      </c>
      <c r="N22" s="50">
        <v>0</v>
      </c>
      <c r="O22" s="15">
        <f t="shared" si="0"/>
        <v>7</v>
      </c>
      <c r="P22" s="15">
        <f t="shared" si="1"/>
        <v>12</v>
      </c>
      <c r="R22" s="36" t="s">
        <v>146</v>
      </c>
      <c r="S22" s="34">
        <f>SUM(C58:C61)</f>
        <v>31</v>
      </c>
      <c r="T22" s="34">
        <f t="shared" ref="T22:AF22" si="14">SUM(D58:D61)</f>
        <v>6</v>
      </c>
      <c r="U22" s="34">
        <f t="shared" si="14"/>
        <v>1</v>
      </c>
      <c r="V22" s="34">
        <f t="shared" si="14"/>
        <v>0</v>
      </c>
      <c r="W22" s="34">
        <f t="shared" si="14"/>
        <v>2</v>
      </c>
      <c r="X22" s="34">
        <f t="shared" si="14"/>
        <v>0</v>
      </c>
      <c r="Y22" s="34">
        <f t="shared" si="14"/>
        <v>1</v>
      </c>
      <c r="Z22" s="34">
        <f t="shared" si="14"/>
        <v>3</v>
      </c>
      <c r="AA22" s="34">
        <f t="shared" si="14"/>
        <v>0</v>
      </c>
      <c r="AB22" s="34">
        <f t="shared" si="14"/>
        <v>0</v>
      </c>
      <c r="AC22" s="34">
        <f t="shared" si="14"/>
        <v>24</v>
      </c>
      <c r="AD22" s="34">
        <f t="shared" si="14"/>
        <v>0</v>
      </c>
      <c r="AE22" s="31">
        <f t="shared" si="14"/>
        <v>44</v>
      </c>
      <c r="AF22" s="31">
        <f t="shared" si="14"/>
        <v>68</v>
      </c>
    </row>
    <row r="23" spans="2:32" ht="23.1" customHeight="1" x14ac:dyDescent="0.25">
      <c r="B23" s="45" t="s">
        <v>50</v>
      </c>
      <c r="C23" s="50">
        <v>4</v>
      </c>
      <c r="D23" s="50">
        <v>3</v>
      </c>
      <c r="E23" s="50">
        <v>2</v>
      </c>
      <c r="F23" s="50">
        <v>1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2</v>
      </c>
      <c r="N23" s="50">
        <v>0</v>
      </c>
      <c r="O23" s="15">
        <f t="shared" si="0"/>
        <v>10</v>
      </c>
      <c r="P23" s="15">
        <f t="shared" si="1"/>
        <v>12</v>
      </c>
      <c r="R23" s="36" t="s">
        <v>147</v>
      </c>
      <c r="S23" s="34">
        <f>SUM(C62:C65)</f>
        <v>26</v>
      </c>
      <c r="T23" s="34">
        <f t="shared" ref="T23:AF23" si="15">SUM(D62:D65)</f>
        <v>5</v>
      </c>
      <c r="U23" s="34">
        <f t="shared" si="15"/>
        <v>5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13</v>
      </c>
      <c r="AD23" s="34">
        <f t="shared" si="15"/>
        <v>0</v>
      </c>
      <c r="AE23" s="31">
        <f t="shared" si="15"/>
        <v>37</v>
      </c>
      <c r="AF23" s="31">
        <f t="shared" si="15"/>
        <v>50</v>
      </c>
    </row>
    <row r="24" spans="2:32" ht="23.1" customHeight="1" x14ac:dyDescent="0.25">
      <c r="B24" s="45" t="s">
        <v>51</v>
      </c>
      <c r="C24" s="50">
        <v>1</v>
      </c>
      <c r="D24" s="50">
        <v>4</v>
      </c>
      <c r="E24" s="50">
        <v>0</v>
      </c>
      <c r="F24" s="50">
        <v>0</v>
      </c>
      <c r="G24" s="50">
        <v>1</v>
      </c>
      <c r="H24" s="50">
        <v>0</v>
      </c>
      <c r="I24" s="50">
        <v>0</v>
      </c>
      <c r="J24" s="50">
        <v>1</v>
      </c>
      <c r="K24" s="50">
        <v>1</v>
      </c>
      <c r="L24" s="50">
        <v>1</v>
      </c>
      <c r="M24" s="50">
        <v>5</v>
      </c>
      <c r="N24" s="50">
        <v>0</v>
      </c>
      <c r="O24" s="15">
        <f t="shared" si="0"/>
        <v>9</v>
      </c>
      <c r="P24" s="15">
        <f t="shared" si="1"/>
        <v>14</v>
      </c>
      <c r="R24" s="36" t="s">
        <v>148</v>
      </c>
      <c r="S24" s="34">
        <f>SUM(C66:C69)</f>
        <v>18</v>
      </c>
      <c r="T24" s="34">
        <f t="shared" ref="T24:AF24" si="16">SUM(D66:D69)</f>
        <v>7</v>
      </c>
      <c r="U24" s="34">
        <f t="shared" si="16"/>
        <v>4</v>
      </c>
      <c r="V24" s="34">
        <f t="shared" si="16"/>
        <v>2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2</v>
      </c>
      <c r="AA24" s="34">
        <f t="shared" si="16"/>
        <v>0</v>
      </c>
      <c r="AB24" s="34">
        <f t="shared" si="16"/>
        <v>1</v>
      </c>
      <c r="AC24" s="34">
        <f t="shared" si="16"/>
        <v>12</v>
      </c>
      <c r="AD24" s="34">
        <f t="shared" si="16"/>
        <v>3</v>
      </c>
      <c r="AE24" s="31">
        <f t="shared" si="16"/>
        <v>40</v>
      </c>
      <c r="AF24" s="31">
        <f t="shared" si="16"/>
        <v>52</v>
      </c>
    </row>
    <row r="25" spans="2:32" ht="23.1" customHeight="1" x14ac:dyDescent="0.25">
      <c r="B25" s="45" t="s">
        <v>52</v>
      </c>
      <c r="C25" s="50">
        <v>6</v>
      </c>
      <c r="D25" s="50">
        <v>2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</v>
      </c>
      <c r="N25" s="50">
        <v>0</v>
      </c>
      <c r="O25" s="15">
        <f t="shared" si="0"/>
        <v>9</v>
      </c>
      <c r="P25" s="15">
        <f t="shared" si="1"/>
        <v>10</v>
      </c>
      <c r="R25" s="36" t="s">
        <v>149</v>
      </c>
      <c r="S25" s="34">
        <f>SUM(C70:C73)</f>
        <v>14</v>
      </c>
      <c r="T25" s="34">
        <f t="shared" ref="T25:AF25" si="17">SUM(D70:D73)</f>
        <v>4</v>
      </c>
      <c r="U25" s="34">
        <f t="shared" si="17"/>
        <v>4</v>
      </c>
      <c r="V25" s="34">
        <f t="shared" si="17"/>
        <v>2</v>
      </c>
      <c r="W25" s="34">
        <f t="shared" si="17"/>
        <v>0</v>
      </c>
      <c r="X25" s="34">
        <f t="shared" si="17"/>
        <v>1</v>
      </c>
      <c r="Y25" s="34">
        <f t="shared" si="17"/>
        <v>6</v>
      </c>
      <c r="Z25" s="34">
        <f t="shared" si="17"/>
        <v>0</v>
      </c>
      <c r="AA25" s="34">
        <f t="shared" si="17"/>
        <v>4</v>
      </c>
      <c r="AB25" s="34">
        <f t="shared" si="17"/>
        <v>3</v>
      </c>
      <c r="AC25" s="34">
        <f t="shared" si="17"/>
        <v>12</v>
      </c>
      <c r="AD25" s="34">
        <f t="shared" si="17"/>
        <v>0</v>
      </c>
      <c r="AE25" s="31">
        <f t="shared" si="17"/>
        <v>38</v>
      </c>
      <c r="AF25" s="31">
        <f t="shared" si="17"/>
        <v>50</v>
      </c>
    </row>
    <row r="26" spans="2:32" ht="23.1" customHeight="1" x14ac:dyDescent="0.25">
      <c r="B26" s="45" t="s">
        <v>53</v>
      </c>
      <c r="C26" s="50">
        <v>3</v>
      </c>
      <c r="D26" s="50">
        <v>1</v>
      </c>
      <c r="E26" s="50">
        <v>2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3</v>
      </c>
      <c r="N26" s="50">
        <v>0</v>
      </c>
      <c r="O26" s="15">
        <f t="shared" si="0"/>
        <v>7</v>
      </c>
      <c r="P26" s="15">
        <f t="shared" si="1"/>
        <v>10</v>
      </c>
      <c r="R26" s="36" t="s">
        <v>150</v>
      </c>
      <c r="S26" s="34">
        <f>SUM(C74:C77)</f>
        <v>28</v>
      </c>
      <c r="T26" s="34">
        <f t="shared" ref="T26:AF26" si="18">SUM(D74:D77)</f>
        <v>12</v>
      </c>
      <c r="U26" s="34">
        <f t="shared" si="18"/>
        <v>5</v>
      </c>
      <c r="V26" s="34">
        <f t="shared" si="18"/>
        <v>1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5</v>
      </c>
      <c r="AB26" s="34">
        <f t="shared" si="18"/>
        <v>1</v>
      </c>
      <c r="AC26" s="34">
        <f t="shared" si="18"/>
        <v>14</v>
      </c>
      <c r="AD26" s="34">
        <f t="shared" si="18"/>
        <v>0</v>
      </c>
      <c r="AE26" s="31">
        <f t="shared" si="18"/>
        <v>54</v>
      </c>
      <c r="AF26" s="31">
        <f t="shared" si="18"/>
        <v>68</v>
      </c>
    </row>
    <row r="27" spans="2:32" ht="23.1" customHeight="1" x14ac:dyDescent="0.25">
      <c r="B27" s="45" t="s">
        <v>54</v>
      </c>
      <c r="C27" s="50">
        <v>3</v>
      </c>
      <c r="D27" s="50">
        <v>2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1</v>
      </c>
      <c r="M27" s="50">
        <v>3</v>
      </c>
      <c r="N27" s="50">
        <v>0</v>
      </c>
      <c r="O27" s="15">
        <f t="shared" si="0"/>
        <v>8</v>
      </c>
      <c r="P27" s="15">
        <f t="shared" si="1"/>
        <v>11</v>
      </c>
      <c r="R27" s="36" t="s">
        <v>151</v>
      </c>
      <c r="S27" s="34">
        <f>SUM(C78:C81)</f>
        <v>9</v>
      </c>
      <c r="T27" s="34">
        <f t="shared" ref="T27:AF27" si="19">SUM(D78:D81)</f>
        <v>4</v>
      </c>
      <c r="U27" s="34">
        <f t="shared" si="19"/>
        <v>2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3</v>
      </c>
      <c r="Z27" s="34">
        <f t="shared" si="19"/>
        <v>2</v>
      </c>
      <c r="AA27" s="34">
        <f t="shared" si="19"/>
        <v>3</v>
      </c>
      <c r="AB27" s="34">
        <f t="shared" si="19"/>
        <v>2</v>
      </c>
      <c r="AC27" s="34">
        <f t="shared" si="19"/>
        <v>5</v>
      </c>
      <c r="AD27" s="34">
        <f t="shared" si="19"/>
        <v>0</v>
      </c>
      <c r="AE27" s="31">
        <f t="shared" si="19"/>
        <v>25</v>
      </c>
      <c r="AF27" s="31">
        <f t="shared" si="19"/>
        <v>30</v>
      </c>
    </row>
    <row r="28" spans="2:32" ht="23.1" customHeight="1" x14ac:dyDescent="0.25">
      <c r="B28" s="45" t="s">
        <v>55</v>
      </c>
      <c r="C28" s="50">
        <v>7</v>
      </c>
      <c r="D28" s="50">
        <v>4</v>
      </c>
      <c r="E28" s="50">
        <v>4</v>
      </c>
      <c r="F28" s="50">
        <v>0</v>
      </c>
      <c r="G28" s="50">
        <v>0</v>
      </c>
      <c r="H28" s="50">
        <v>0</v>
      </c>
      <c r="I28" s="50">
        <v>0</v>
      </c>
      <c r="J28" s="50">
        <v>1</v>
      </c>
      <c r="K28" s="50">
        <v>0</v>
      </c>
      <c r="L28" s="50">
        <v>1</v>
      </c>
      <c r="M28" s="50">
        <v>2</v>
      </c>
      <c r="N28" s="50">
        <v>0</v>
      </c>
      <c r="O28" s="15">
        <f t="shared" si="0"/>
        <v>17</v>
      </c>
      <c r="P28" s="15">
        <f t="shared" si="1"/>
        <v>19</v>
      </c>
      <c r="R28" s="36" t="s">
        <v>152</v>
      </c>
      <c r="S28" s="34">
        <f>SUM(C82:C85)</f>
        <v>7</v>
      </c>
      <c r="T28" s="34">
        <f t="shared" ref="T28:AF28" si="20">SUM(D82:D85)</f>
        <v>2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2</v>
      </c>
      <c r="AA28" s="34">
        <f t="shared" si="20"/>
        <v>5</v>
      </c>
      <c r="AB28" s="34">
        <f t="shared" si="20"/>
        <v>4</v>
      </c>
      <c r="AC28" s="34">
        <f t="shared" si="20"/>
        <v>1</v>
      </c>
      <c r="AD28" s="34">
        <f t="shared" si="20"/>
        <v>0</v>
      </c>
      <c r="AE28" s="31">
        <f t="shared" si="20"/>
        <v>24</v>
      </c>
      <c r="AF28" s="31">
        <f t="shared" si="20"/>
        <v>25</v>
      </c>
    </row>
    <row r="29" spans="2:32" ht="23.1" customHeight="1" x14ac:dyDescent="0.25">
      <c r="B29" s="45" t="s">
        <v>56</v>
      </c>
      <c r="C29" s="50">
        <v>7</v>
      </c>
      <c r="D29" s="50">
        <v>8</v>
      </c>
      <c r="E29" s="50">
        <v>0</v>
      </c>
      <c r="F29" s="50">
        <v>4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2</v>
      </c>
      <c r="M29" s="50">
        <v>7</v>
      </c>
      <c r="N29" s="50">
        <v>0</v>
      </c>
      <c r="O29" s="15">
        <f t="shared" si="0"/>
        <v>21</v>
      </c>
      <c r="P29" s="15">
        <f t="shared" si="1"/>
        <v>28</v>
      </c>
      <c r="R29" s="36" t="s">
        <v>153</v>
      </c>
      <c r="S29" s="34">
        <f>SUM(C86:C89)</f>
        <v>7</v>
      </c>
      <c r="T29" s="34">
        <f t="shared" ref="T29:AF29" si="21">SUM(D86:D89)</f>
        <v>5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2</v>
      </c>
      <c r="AA29" s="34">
        <f t="shared" si="21"/>
        <v>4</v>
      </c>
      <c r="AB29" s="34">
        <f t="shared" si="21"/>
        <v>4</v>
      </c>
      <c r="AC29" s="34">
        <f t="shared" si="21"/>
        <v>0</v>
      </c>
      <c r="AD29" s="34">
        <f t="shared" si="21"/>
        <v>0</v>
      </c>
      <c r="AE29" s="31">
        <f t="shared" si="21"/>
        <v>27</v>
      </c>
      <c r="AF29" s="31">
        <f t="shared" si="21"/>
        <v>27</v>
      </c>
    </row>
    <row r="30" spans="2:32" ht="23.1" customHeight="1" x14ac:dyDescent="0.25">
      <c r="B30" s="45" t="s">
        <v>57</v>
      </c>
      <c r="C30" s="50">
        <v>5</v>
      </c>
      <c r="D30" s="50">
        <v>4</v>
      </c>
      <c r="E30" s="50">
        <v>0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11</v>
      </c>
      <c r="P30" s="15">
        <f t="shared" si="1"/>
        <v>15</v>
      </c>
      <c r="R30" s="36" t="s">
        <v>154</v>
      </c>
      <c r="S30" s="34">
        <f>SUM(C90:C93)</f>
        <v>13</v>
      </c>
      <c r="T30" s="34">
        <f t="shared" ref="T30:AF30" si="22">SUM(D90:D93)</f>
        <v>3</v>
      </c>
      <c r="U30" s="34">
        <f t="shared" si="22"/>
        <v>1</v>
      </c>
      <c r="V30" s="34">
        <f t="shared" si="22"/>
        <v>1</v>
      </c>
      <c r="W30" s="34">
        <f t="shared" si="22"/>
        <v>2</v>
      </c>
      <c r="X30" s="34">
        <f t="shared" si="22"/>
        <v>1</v>
      </c>
      <c r="Y30" s="34">
        <f t="shared" si="22"/>
        <v>0</v>
      </c>
      <c r="Z30" s="34">
        <f t="shared" si="22"/>
        <v>2</v>
      </c>
      <c r="AA30" s="34">
        <f t="shared" si="22"/>
        <v>5</v>
      </c>
      <c r="AB30" s="34">
        <f t="shared" si="22"/>
        <v>10</v>
      </c>
      <c r="AC30" s="34">
        <f t="shared" si="22"/>
        <v>2</v>
      </c>
      <c r="AD30" s="34">
        <f t="shared" si="22"/>
        <v>0</v>
      </c>
      <c r="AE30" s="31">
        <f t="shared" si="22"/>
        <v>38</v>
      </c>
      <c r="AF30" s="31">
        <f t="shared" si="22"/>
        <v>40</v>
      </c>
    </row>
    <row r="31" spans="2:32" ht="23.1" customHeight="1" x14ac:dyDescent="0.25">
      <c r="B31" s="46" t="s">
        <v>58</v>
      </c>
      <c r="C31" s="50">
        <v>9</v>
      </c>
      <c r="D31" s="50">
        <v>1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1</v>
      </c>
      <c r="K31" s="50">
        <v>0</v>
      </c>
      <c r="L31" s="50">
        <v>4</v>
      </c>
      <c r="M31" s="50">
        <v>3</v>
      </c>
      <c r="N31" s="50">
        <v>0</v>
      </c>
      <c r="O31" s="15">
        <f t="shared" si="0"/>
        <v>17</v>
      </c>
      <c r="P31" s="15">
        <f t="shared" si="1"/>
        <v>20</v>
      </c>
      <c r="R31" s="36" t="s">
        <v>155</v>
      </c>
      <c r="S31" s="34">
        <f>SUM(C94:C97)</f>
        <v>15</v>
      </c>
      <c r="T31" s="34">
        <f t="shared" ref="T31:AF31" si="23">SUM(D94:D97)</f>
        <v>2</v>
      </c>
      <c r="U31" s="34">
        <f t="shared" si="23"/>
        <v>2</v>
      </c>
      <c r="V31" s="34">
        <f t="shared" si="23"/>
        <v>3</v>
      </c>
      <c r="W31" s="34">
        <f t="shared" si="23"/>
        <v>2</v>
      </c>
      <c r="X31" s="34">
        <f t="shared" si="23"/>
        <v>3</v>
      </c>
      <c r="Y31" s="34">
        <f t="shared" si="23"/>
        <v>4</v>
      </c>
      <c r="Z31" s="34">
        <f t="shared" si="23"/>
        <v>1</v>
      </c>
      <c r="AA31" s="34">
        <f t="shared" si="23"/>
        <v>6</v>
      </c>
      <c r="AB31" s="34">
        <f t="shared" si="23"/>
        <v>12</v>
      </c>
      <c r="AC31" s="34">
        <f t="shared" si="23"/>
        <v>3</v>
      </c>
      <c r="AD31" s="34">
        <f t="shared" si="23"/>
        <v>0</v>
      </c>
      <c r="AE31" s="31">
        <f t="shared" si="23"/>
        <v>50</v>
      </c>
      <c r="AF31" s="31">
        <f t="shared" si="23"/>
        <v>53</v>
      </c>
    </row>
    <row r="32" spans="2:32" ht="23.1" customHeight="1" x14ac:dyDescent="0.25">
      <c r="B32" s="46" t="s">
        <v>59</v>
      </c>
      <c r="C32" s="50">
        <v>7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3</v>
      </c>
      <c r="M32" s="50">
        <v>4</v>
      </c>
      <c r="N32" s="50">
        <v>0</v>
      </c>
      <c r="O32" s="15">
        <f t="shared" si="0"/>
        <v>11</v>
      </c>
      <c r="P32" s="15">
        <f t="shared" si="1"/>
        <v>15</v>
      </c>
      <c r="R32" s="33" t="s">
        <v>156</v>
      </c>
      <c r="S32" s="34">
        <f>SUM(C98:C101)</f>
        <v>12</v>
      </c>
      <c r="T32" s="34">
        <f t="shared" ref="T32:AF32" si="24">SUM(D98:D101)</f>
        <v>9</v>
      </c>
      <c r="U32" s="34">
        <f t="shared" si="24"/>
        <v>1</v>
      </c>
      <c r="V32" s="34">
        <f t="shared" si="24"/>
        <v>4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1</v>
      </c>
      <c r="AA32" s="34">
        <f t="shared" si="24"/>
        <v>15</v>
      </c>
      <c r="AB32" s="34">
        <f t="shared" si="24"/>
        <v>11</v>
      </c>
      <c r="AC32" s="34">
        <f t="shared" si="24"/>
        <v>12</v>
      </c>
      <c r="AD32" s="34">
        <f t="shared" si="24"/>
        <v>0</v>
      </c>
      <c r="AE32" s="31">
        <f t="shared" si="24"/>
        <v>57</v>
      </c>
      <c r="AF32" s="31">
        <f t="shared" si="24"/>
        <v>69</v>
      </c>
    </row>
    <row r="33" spans="2:32" ht="23.1" customHeight="1" x14ac:dyDescent="0.25">
      <c r="B33" s="45" t="s">
        <v>60</v>
      </c>
      <c r="C33" s="50">
        <v>7</v>
      </c>
      <c r="D33" s="50">
        <v>3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1</v>
      </c>
      <c r="K33" s="50">
        <v>1</v>
      </c>
      <c r="L33" s="50">
        <v>1</v>
      </c>
      <c r="M33" s="50">
        <v>5</v>
      </c>
      <c r="N33" s="50">
        <v>0</v>
      </c>
      <c r="O33" s="15">
        <f t="shared" si="0"/>
        <v>15</v>
      </c>
      <c r="P33" s="15">
        <f t="shared" si="1"/>
        <v>20</v>
      </c>
      <c r="R33" s="33" t="s">
        <v>157</v>
      </c>
      <c r="S33" s="34">
        <f>SUM(C102:C105)</f>
        <v>10</v>
      </c>
      <c r="T33" s="34">
        <f t="shared" ref="T33:AF33" si="25">SUM(D102:D105)</f>
        <v>7</v>
      </c>
      <c r="U33" s="34">
        <f t="shared" si="25"/>
        <v>2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2</v>
      </c>
      <c r="AA33" s="34">
        <f t="shared" si="25"/>
        <v>11</v>
      </c>
      <c r="AB33" s="34">
        <f t="shared" si="25"/>
        <v>5</v>
      </c>
      <c r="AC33" s="34">
        <f t="shared" si="25"/>
        <v>5</v>
      </c>
      <c r="AD33" s="34">
        <f t="shared" si="25"/>
        <v>3</v>
      </c>
      <c r="AE33" s="31">
        <f t="shared" si="25"/>
        <v>45</v>
      </c>
      <c r="AF33" s="31">
        <f t="shared" si="25"/>
        <v>50</v>
      </c>
    </row>
    <row r="34" spans="2:32" ht="23.1" customHeight="1" x14ac:dyDescent="0.25">
      <c r="B34" s="46" t="s">
        <v>61</v>
      </c>
      <c r="C34" s="50">
        <v>9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2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12</v>
      </c>
      <c r="P34" s="15">
        <f t="shared" si="1"/>
        <v>14</v>
      </c>
      <c r="R34" s="38" t="s">
        <v>90</v>
      </c>
      <c r="S34" s="39">
        <f t="shared" ref="S34:AF34" si="26">MAX(S10:S12)</f>
        <v>16</v>
      </c>
      <c r="T34" s="39">
        <f t="shared" si="26"/>
        <v>18</v>
      </c>
      <c r="U34" s="39">
        <f t="shared" si="26"/>
        <v>2</v>
      </c>
      <c r="V34" s="39">
        <f t="shared" si="26"/>
        <v>2</v>
      </c>
      <c r="W34" s="39">
        <f t="shared" si="26"/>
        <v>0</v>
      </c>
      <c r="X34" s="39">
        <f t="shared" si="26"/>
        <v>0</v>
      </c>
      <c r="Y34" s="39">
        <f t="shared" si="26"/>
        <v>2</v>
      </c>
      <c r="Z34" s="39">
        <f t="shared" si="26"/>
        <v>0</v>
      </c>
      <c r="AA34" s="39">
        <f t="shared" si="26"/>
        <v>2</v>
      </c>
      <c r="AB34" s="39">
        <f t="shared" si="26"/>
        <v>5</v>
      </c>
      <c r="AC34" s="39">
        <f t="shared" si="26"/>
        <v>16</v>
      </c>
      <c r="AD34" s="39">
        <f t="shared" si="26"/>
        <v>0</v>
      </c>
      <c r="AE34" s="40">
        <f t="shared" si="26"/>
        <v>35</v>
      </c>
      <c r="AF34" s="40">
        <f t="shared" si="26"/>
        <v>48</v>
      </c>
    </row>
    <row r="35" spans="2:32" ht="23.1" customHeight="1" x14ac:dyDescent="0.25">
      <c r="B35" s="46" t="s">
        <v>62</v>
      </c>
      <c r="C35" s="50">
        <v>8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7</v>
      </c>
      <c r="N35" s="50">
        <v>0</v>
      </c>
      <c r="O35" s="15">
        <f t="shared" si="0"/>
        <v>9</v>
      </c>
      <c r="P35" s="15">
        <f t="shared" si="1"/>
        <v>16</v>
      </c>
      <c r="R35" s="38" t="s">
        <v>91</v>
      </c>
      <c r="S35" s="39">
        <f t="shared" ref="S35:AF35" si="27">MAX(S13:S18)</f>
        <v>28</v>
      </c>
      <c r="T35" s="39">
        <f t="shared" si="27"/>
        <v>15</v>
      </c>
      <c r="U35" s="39">
        <f t="shared" si="27"/>
        <v>8</v>
      </c>
      <c r="V35" s="39">
        <f t="shared" si="27"/>
        <v>4</v>
      </c>
      <c r="W35" s="39">
        <f t="shared" si="27"/>
        <v>1</v>
      </c>
      <c r="X35" s="39">
        <f t="shared" si="27"/>
        <v>1</v>
      </c>
      <c r="Y35" s="39">
        <f t="shared" si="27"/>
        <v>3</v>
      </c>
      <c r="Z35" s="39">
        <f t="shared" si="27"/>
        <v>4</v>
      </c>
      <c r="AA35" s="39">
        <f t="shared" si="27"/>
        <v>3</v>
      </c>
      <c r="AB35" s="39">
        <f t="shared" si="27"/>
        <v>8</v>
      </c>
      <c r="AC35" s="39">
        <f t="shared" si="27"/>
        <v>21</v>
      </c>
      <c r="AD35" s="39">
        <f t="shared" si="27"/>
        <v>0</v>
      </c>
      <c r="AE35" s="40">
        <f t="shared" si="27"/>
        <v>54</v>
      </c>
      <c r="AF35" s="40">
        <f t="shared" si="27"/>
        <v>70</v>
      </c>
    </row>
    <row r="36" spans="2:32" ht="23.1" customHeight="1" x14ac:dyDescent="0.25">
      <c r="B36" s="46" t="s">
        <v>63</v>
      </c>
      <c r="C36" s="50">
        <v>4</v>
      </c>
      <c r="D36" s="50">
        <v>2</v>
      </c>
      <c r="E36" s="50">
        <v>1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4</v>
      </c>
      <c r="N36" s="50">
        <v>0</v>
      </c>
      <c r="O36" s="15">
        <f t="shared" si="0"/>
        <v>9</v>
      </c>
      <c r="P36" s="15">
        <f t="shared" si="1"/>
        <v>13</v>
      </c>
      <c r="R36" s="38" t="s">
        <v>92</v>
      </c>
      <c r="S36" s="39">
        <f t="shared" ref="S36:AF36" si="28">MAX(S19:S21)</f>
        <v>26</v>
      </c>
      <c r="T36" s="39">
        <f t="shared" si="28"/>
        <v>9</v>
      </c>
      <c r="U36" s="39">
        <f t="shared" si="28"/>
        <v>8</v>
      </c>
      <c r="V36" s="39">
        <f t="shared" si="28"/>
        <v>3</v>
      </c>
      <c r="W36" s="39">
        <f t="shared" si="28"/>
        <v>0</v>
      </c>
      <c r="X36" s="39">
        <f t="shared" si="28"/>
        <v>0</v>
      </c>
      <c r="Y36" s="39">
        <f t="shared" si="28"/>
        <v>3</v>
      </c>
      <c r="Z36" s="39">
        <f t="shared" si="28"/>
        <v>0</v>
      </c>
      <c r="AA36" s="39">
        <f t="shared" si="28"/>
        <v>1</v>
      </c>
      <c r="AB36" s="39">
        <f t="shared" si="28"/>
        <v>2</v>
      </c>
      <c r="AC36" s="39">
        <f t="shared" si="28"/>
        <v>38</v>
      </c>
      <c r="AD36" s="39">
        <f t="shared" si="28"/>
        <v>0</v>
      </c>
      <c r="AE36" s="40">
        <f t="shared" si="28"/>
        <v>41</v>
      </c>
      <c r="AF36" s="40">
        <f t="shared" si="28"/>
        <v>78</v>
      </c>
    </row>
    <row r="37" spans="2:32" ht="23.1" customHeight="1" x14ac:dyDescent="0.25">
      <c r="B37" s="45" t="s">
        <v>64</v>
      </c>
      <c r="C37" s="50">
        <v>0</v>
      </c>
      <c r="D37" s="50">
        <v>2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1</v>
      </c>
      <c r="M37" s="50">
        <v>8</v>
      </c>
      <c r="N37" s="50">
        <v>0</v>
      </c>
      <c r="O37" s="15">
        <f t="shared" si="0"/>
        <v>3</v>
      </c>
      <c r="P37" s="15">
        <f t="shared" si="1"/>
        <v>11</v>
      </c>
      <c r="R37" s="37" t="s">
        <v>85</v>
      </c>
      <c r="S37" s="35">
        <f t="shared" ref="S37:AF37" si="29">SUM(S10:S12)</f>
        <v>39</v>
      </c>
      <c r="T37" s="16">
        <f t="shared" si="29"/>
        <v>32</v>
      </c>
      <c r="U37" s="16">
        <f t="shared" si="29"/>
        <v>4</v>
      </c>
      <c r="V37" s="16">
        <f t="shared" si="29"/>
        <v>5</v>
      </c>
      <c r="W37" s="16">
        <f t="shared" si="29"/>
        <v>0</v>
      </c>
      <c r="X37" s="16">
        <f t="shared" si="29"/>
        <v>0</v>
      </c>
      <c r="Y37" s="16">
        <f t="shared" si="29"/>
        <v>2</v>
      </c>
      <c r="Z37" s="16">
        <f t="shared" si="29"/>
        <v>0</v>
      </c>
      <c r="AA37" s="16">
        <f t="shared" si="29"/>
        <v>2</v>
      </c>
      <c r="AB37" s="16">
        <f t="shared" si="29"/>
        <v>7</v>
      </c>
      <c r="AC37" s="16">
        <f t="shared" si="29"/>
        <v>30</v>
      </c>
      <c r="AD37" s="16">
        <f t="shared" si="29"/>
        <v>0</v>
      </c>
      <c r="AE37" s="32">
        <f t="shared" si="29"/>
        <v>91</v>
      </c>
      <c r="AF37" s="32">
        <f t="shared" si="29"/>
        <v>121</v>
      </c>
    </row>
    <row r="38" spans="2:32" ht="23.1" customHeight="1" x14ac:dyDescent="0.25">
      <c r="B38" s="46" t="s">
        <v>65</v>
      </c>
      <c r="C38" s="50">
        <v>10</v>
      </c>
      <c r="D38" s="50">
        <v>0</v>
      </c>
      <c r="E38" s="50">
        <v>3</v>
      </c>
      <c r="F38" s="50">
        <v>0</v>
      </c>
      <c r="G38" s="50">
        <v>0</v>
      </c>
      <c r="H38" s="50">
        <v>0</v>
      </c>
      <c r="I38" s="50">
        <v>1</v>
      </c>
      <c r="J38" s="50">
        <v>1</v>
      </c>
      <c r="K38" s="50">
        <v>2</v>
      </c>
      <c r="L38" s="50">
        <v>0</v>
      </c>
      <c r="M38" s="50">
        <v>5</v>
      </c>
      <c r="N38" s="50">
        <v>0</v>
      </c>
      <c r="O38" s="15">
        <f t="shared" si="0"/>
        <v>17</v>
      </c>
      <c r="P38" s="15">
        <f t="shared" si="1"/>
        <v>22</v>
      </c>
      <c r="R38" s="28" t="s">
        <v>86</v>
      </c>
      <c r="S38" s="16">
        <f t="shared" ref="S38:AF38" si="30">SUM(S13:S18)</f>
        <v>127</v>
      </c>
      <c r="T38" s="16">
        <f t="shared" si="30"/>
        <v>47</v>
      </c>
      <c r="U38" s="16">
        <f t="shared" si="30"/>
        <v>24</v>
      </c>
      <c r="V38" s="16">
        <f t="shared" si="30"/>
        <v>10</v>
      </c>
      <c r="W38" s="16">
        <f t="shared" si="30"/>
        <v>1</v>
      </c>
      <c r="X38" s="16">
        <f t="shared" si="30"/>
        <v>1</v>
      </c>
      <c r="Y38" s="16">
        <f t="shared" si="30"/>
        <v>6</v>
      </c>
      <c r="Z38" s="16">
        <f t="shared" si="30"/>
        <v>14</v>
      </c>
      <c r="AA38" s="16">
        <f t="shared" si="30"/>
        <v>6</v>
      </c>
      <c r="AB38" s="16">
        <f t="shared" si="30"/>
        <v>17</v>
      </c>
      <c r="AC38" s="16">
        <f t="shared" si="30"/>
        <v>104</v>
      </c>
      <c r="AD38" s="16">
        <f t="shared" si="30"/>
        <v>0</v>
      </c>
      <c r="AE38" s="32">
        <f t="shared" si="30"/>
        <v>253</v>
      </c>
      <c r="AF38" s="32">
        <f t="shared" si="30"/>
        <v>357</v>
      </c>
    </row>
    <row r="39" spans="2:32" ht="23.1" customHeight="1" x14ac:dyDescent="0.25">
      <c r="B39" s="46" t="s">
        <v>66</v>
      </c>
      <c r="C39" s="50">
        <v>6</v>
      </c>
      <c r="D39" s="50">
        <v>3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1</v>
      </c>
      <c r="L39" s="50">
        <v>0</v>
      </c>
      <c r="M39" s="50">
        <v>4</v>
      </c>
      <c r="N39" s="50">
        <v>0</v>
      </c>
      <c r="O39" s="15">
        <f t="shared" si="0"/>
        <v>11</v>
      </c>
      <c r="P39" s="15">
        <f t="shared" si="1"/>
        <v>15</v>
      </c>
      <c r="R39" s="29" t="s">
        <v>87</v>
      </c>
      <c r="S39" s="16">
        <f t="shared" ref="S39:AF39" si="31">SUM(S19:S21)</f>
        <v>59</v>
      </c>
      <c r="T39" s="16">
        <f t="shared" si="31"/>
        <v>20</v>
      </c>
      <c r="U39" s="16">
        <f t="shared" si="31"/>
        <v>11</v>
      </c>
      <c r="V39" s="16">
        <f t="shared" si="31"/>
        <v>4</v>
      </c>
      <c r="W39" s="16">
        <f t="shared" si="31"/>
        <v>0</v>
      </c>
      <c r="X39" s="16">
        <f t="shared" si="31"/>
        <v>0</v>
      </c>
      <c r="Y39" s="16">
        <f t="shared" si="31"/>
        <v>4</v>
      </c>
      <c r="Z39" s="16">
        <f t="shared" si="31"/>
        <v>0</v>
      </c>
      <c r="AA39" s="16">
        <f t="shared" si="31"/>
        <v>1</v>
      </c>
      <c r="AB39" s="16">
        <f t="shared" si="31"/>
        <v>2</v>
      </c>
      <c r="AC39" s="16">
        <f t="shared" si="31"/>
        <v>93</v>
      </c>
      <c r="AD39" s="16">
        <f t="shared" si="31"/>
        <v>0</v>
      </c>
      <c r="AE39" s="32">
        <f t="shared" si="31"/>
        <v>101</v>
      </c>
      <c r="AF39" s="32">
        <f t="shared" si="31"/>
        <v>194</v>
      </c>
    </row>
    <row r="40" spans="2:32" ht="23.1" customHeight="1" x14ac:dyDescent="0.25">
      <c r="B40" s="46" t="s">
        <v>67</v>
      </c>
      <c r="C40" s="50">
        <v>4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2</v>
      </c>
      <c r="K40" s="50">
        <v>0</v>
      </c>
      <c r="L40" s="50">
        <v>0</v>
      </c>
      <c r="M40" s="50">
        <v>5</v>
      </c>
      <c r="N40" s="50">
        <v>0</v>
      </c>
      <c r="O40" s="15">
        <f t="shared" si="0"/>
        <v>6</v>
      </c>
      <c r="P40" s="15">
        <f t="shared" si="1"/>
        <v>11</v>
      </c>
      <c r="R40" s="5" t="s">
        <v>17</v>
      </c>
      <c r="S40" s="16">
        <f t="shared" ref="S40:AF40" si="32">SUM(S10:S21)</f>
        <v>225</v>
      </c>
      <c r="T40" s="16">
        <f t="shared" si="32"/>
        <v>99</v>
      </c>
      <c r="U40" s="16">
        <f t="shared" si="32"/>
        <v>39</v>
      </c>
      <c r="V40" s="16">
        <f t="shared" si="32"/>
        <v>19</v>
      </c>
      <c r="W40" s="16">
        <f t="shared" si="32"/>
        <v>1</v>
      </c>
      <c r="X40" s="16">
        <f t="shared" si="32"/>
        <v>1</v>
      </c>
      <c r="Y40" s="16">
        <f t="shared" si="32"/>
        <v>12</v>
      </c>
      <c r="Z40" s="16">
        <f t="shared" si="32"/>
        <v>14</v>
      </c>
      <c r="AA40" s="16">
        <f t="shared" si="32"/>
        <v>9</v>
      </c>
      <c r="AB40" s="16">
        <f t="shared" si="32"/>
        <v>26</v>
      </c>
      <c r="AC40" s="16">
        <f t="shared" si="32"/>
        <v>227</v>
      </c>
      <c r="AD40" s="16">
        <f t="shared" si="32"/>
        <v>0</v>
      </c>
      <c r="AE40" s="32">
        <f t="shared" si="32"/>
        <v>445</v>
      </c>
      <c r="AF40" s="32">
        <f t="shared" si="32"/>
        <v>672</v>
      </c>
    </row>
    <row r="41" spans="2:32" ht="23.1" customHeight="1" x14ac:dyDescent="0.25">
      <c r="B41" s="45" t="s">
        <v>68</v>
      </c>
      <c r="C41" s="50">
        <v>8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1</v>
      </c>
      <c r="M41" s="50">
        <v>6</v>
      </c>
      <c r="N41" s="50">
        <v>0</v>
      </c>
      <c r="O41" s="15">
        <f t="shared" si="0"/>
        <v>10</v>
      </c>
      <c r="P41" s="15">
        <f t="shared" si="1"/>
        <v>16</v>
      </c>
      <c r="R41" s="5" t="s">
        <v>159</v>
      </c>
      <c r="S41" s="16">
        <f>SUM(S10:S33)</f>
        <v>415</v>
      </c>
      <c r="T41" s="16">
        <f t="shared" ref="T41:AF41" si="33">SUM(T10:T33)</f>
        <v>165</v>
      </c>
      <c r="U41" s="16">
        <f t="shared" si="33"/>
        <v>70</v>
      </c>
      <c r="V41" s="16">
        <f t="shared" si="33"/>
        <v>35</v>
      </c>
      <c r="W41" s="16">
        <f t="shared" si="33"/>
        <v>7</v>
      </c>
      <c r="X41" s="16">
        <f t="shared" si="33"/>
        <v>6</v>
      </c>
      <c r="Y41" s="16">
        <f t="shared" si="33"/>
        <v>43</v>
      </c>
      <c r="Z41" s="16">
        <f t="shared" si="33"/>
        <v>31</v>
      </c>
      <c r="AA41" s="16">
        <f t="shared" si="33"/>
        <v>67</v>
      </c>
      <c r="AB41" s="16">
        <f t="shared" si="33"/>
        <v>79</v>
      </c>
      <c r="AC41" s="16">
        <f t="shared" si="33"/>
        <v>330</v>
      </c>
      <c r="AD41" s="16">
        <f t="shared" si="33"/>
        <v>6</v>
      </c>
      <c r="AE41" s="32">
        <f t="shared" si="33"/>
        <v>924</v>
      </c>
      <c r="AF41" s="32">
        <f t="shared" si="33"/>
        <v>1254</v>
      </c>
    </row>
    <row r="42" spans="2:32" ht="23.1" customHeight="1" x14ac:dyDescent="0.25">
      <c r="B42" s="46" t="s">
        <v>69</v>
      </c>
      <c r="C42" s="50">
        <v>5</v>
      </c>
      <c r="D42" s="50">
        <v>1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3</v>
      </c>
      <c r="K42" s="50">
        <v>1</v>
      </c>
      <c r="L42" s="50">
        <v>0</v>
      </c>
      <c r="M42" s="50">
        <v>3</v>
      </c>
      <c r="N42" s="50">
        <v>0</v>
      </c>
      <c r="O42" s="15">
        <f t="shared" si="0"/>
        <v>10</v>
      </c>
      <c r="P42" s="15">
        <f t="shared" si="1"/>
        <v>13</v>
      </c>
      <c r="R42" s="5" t="s">
        <v>160</v>
      </c>
      <c r="S42" s="48">
        <f>S41/S40</f>
        <v>1.8444444444444446</v>
      </c>
      <c r="T42" s="48">
        <f t="shared" ref="T42:AF42" si="34">T41/T40</f>
        <v>1.6666666666666667</v>
      </c>
      <c r="U42" s="48">
        <f t="shared" si="34"/>
        <v>1.7948717948717949</v>
      </c>
      <c r="V42" s="48">
        <f t="shared" si="34"/>
        <v>1.8421052631578947</v>
      </c>
      <c r="W42" s="48">
        <f t="shared" si="34"/>
        <v>7</v>
      </c>
      <c r="X42" s="48">
        <f t="shared" si="34"/>
        <v>6</v>
      </c>
      <c r="Y42" s="48">
        <f t="shared" si="34"/>
        <v>3.5833333333333335</v>
      </c>
      <c r="Z42" s="48">
        <f t="shared" si="34"/>
        <v>2.2142857142857144</v>
      </c>
      <c r="AA42" s="48">
        <f t="shared" si="34"/>
        <v>7.4444444444444446</v>
      </c>
      <c r="AB42" s="48">
        <f t="shared" si="34"/>
        <v>3.0384615384615383</v>
      </c>
      <c r="AC42" s="48">
        <f t="shared" si="34"/>
        <v>1.4537444933920705</v>
      </c>
      <c r="AD42" s="48" t="e">
        <f t="shared" si="34"/>
        <v>#DIV/0!</v>
      </c>
      <c r="AE42" s="48">
        <f t="shared" si="34"/>
        <v>2.0764044943820226</v>
      </c>
      <c r="AF42" s="48">
        <f t="shared" si="34"/>
        <v>1.8660714285714286</v>
      </c>
    </row>
    <row r="43" spans="2:32" ht="23.1" customHeight="1" x14ac:dyDescent="0.25">
      <c r="B43" s="45" t="s">
        <v>70</v>
      </c>
      <c r="C43" s="50">
        <v>2</v>
      </c>
      <c r="D43" s="50">
        <v>1</v>
      </c>
      <c r="E43" s="50">
        <v>2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</v>
      </c>
      <c r="N43" s="50">
        <v>0</v>
      </c>
      <c r="O43" s="15">
        <f t="shared" si="0"/>
        <v>5</v>
      </c>
      <c r="P43" s="15">
        <f t="shared" si="1"/>
        <v>7</v>
      </c>
    </row>
    <row r="44" spans="2:32" ht="23.1" customHeight="1" x14ac:dyDescent="0.25">
      <c r="B44" s="47" t="s">
        <v>71</v>
      </c>
      <c r="C44" s="50">
        <v>6</v>
      </c>
      <c r="D44" s="50">
        <v>1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1</v>
      </c>
      <c r="M44" s="50">
        <v>10</v>
      </c>
      <c r="N44" s="50">
        <v>0</v>
      </c>
      <c r="O44" s="15">
        <f t="shared" si="0"/>
        <v>8</v>
      </c>
      <c r="P44" s="15">
        <f t="shared" si="1"/>
        <v>18</v>
      </c>
    </row>
    <row r="45" spans="2:32" ht="23.1" customHeight="1" x14ac:dyDescent="0.25">
      <c r="B45" s="45" t="s">
        <v>72</v>
      </c>
      <c r="C45" s="50">
        <v>5</v>
      </c>
      <c r="D45" s="50">
        <v>2</v>
      </c>
      <c r="E45" s="50">
        <v>1</v>
      </c>
      <c r="F45" s="50">
        <v>0</v>
      </c>
      <c r="G45" s="50">
        <v>0</v>
      </c>
      <c r="H45" s="50">
        <v>1</v>
      </c>
      <c r="I45" s="50">
        <v>1</v>
      </c>
      <c r="J45" s="50">
        <v>1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11</v>
      </c>
      <c r="P45" s="15">
        <f t="shared" si="1"/>
        <v>15</v>
      </c>
    </row>
    <row r="46" spans="2:32" ht="23.1" customHeight="1" x14ac:dyDescent="0.25">
      <c r="B46" s="46" t="s">
        <v>73</v>
      </c>
      <c r="C46" s="50">
        <v>3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4</v>
      </c>
      <c r="P46" s="15">
        <f t="shared" si="1"/>
        <v>13</v>
      </c>
      <c r="R46" s="8"/>
      <c r="T46"/>
    </row>
    <row r="47" spans="2:32" ht="23.1" customHeight="1" x14ac:dyDescent="0.25">
      <c r="B47" s="46" t="s">
        <v>74</v>
      </c>
      <c r="C47" s="50">
        <v>3</v>
      </c>
      <c r="D47" s="50">
        <v>3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1</v>
      </c>
      <c r="M47" s="50">
        <v>4</v>
      </c>
      <c r="N47" s="50">
        <v>0</v>
      </c>
      <c r="O47" s="15">
        <f t="shared" si="0"/>
        <v>8</v>
      </c>
      <c r="P47" s="15">
        <f t="shared" si="1"/>
        <v>12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2</v>
      </c>
      <c r="P48" s="15">
        <f t="shared" si="1"/>
        <v>6</v>
      </c>
      <c r="R48" s="8"/>
      <c r="T48"/>
    </row>
    <row r="49" spans="2:20" ht="23.1" customHeight="1" x14ac:dyDescent="0.25">
      <c r="B49" s="45" t="s">
        <v>76</v>
      </c>
      <c r="C49" s="50">
        <v>4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1</v>
      </c>
      <c r="M49" s="50">
        <v>5</v>
      </c>
      <c r="N49" s="50">
        <v>0</v>
      </c>
      <c r="O49" s="15">
        <f t="shared" si="0"/>
        <v>6</v>
      </c>
      <c r="P49" s="15">
        <f t="shared" si="1"/>
        <v>11</v>
      </c>
      <c r="R49" s="8"/>
      <c r="T49"/>
    </row>
    <row r="50" spans="2:20" ht="23.1" customHeight="1" x14ac:dyDescent="0.25">
      <c r="B50" s="46" t="s">
        <v>77</v>
      </c>
      <c r="C50" s="50">
        <v>4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0</v>
      </c>
      <c r="K50" s="50">
        <v>1</v>
      </c>
      <c r="L50" s="50">
        <v>0</v>
      </c>
      <c r="M50" s="50">
        <v>5</v>
      </c>
      <c r="N50" s="50">
        <v>0</v>
      </c>
      <c r="O50" s="15">
        <f t="shared" si="0"/>
        <v>7</v>
      </c>
      <c r="P50" s="15">
        <f t="shared" si="1"/>
        <v>12</v>
      </c>
      <c r="R50" s="8"/>
      <c r="T50"/>
    </row>
    <row r="51" spans="2:20" ht="23.1" customHeight="1" x14ac:dyDescent="0.25">
      <c r="B51" s="46" t="s">
        <v>78</v>
      </c>
      <c r="C51" s="50">
        <v>5</v>
      </c>
      <c r="D51" s="50">
        <v>6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13</v>
      </c>
      <c r="N51" s="50">
        <v>0</v>
      </c>
      <c r="O51" s="15">
        <f t="shared" si="0"/>
        <v>11</v>
      </c>
      <c r="P51" s="15">
        <f t="shared" si="1"/>
        <v>24</v>
      </c>
      <c r="R51" s="8"/>
      <c r="T51"/>
    </row>
    <row r="52" spans="2:20" ht="23.1" customHeight="1" x14ac:dyDescent="0.25">
      <c r="B52" s="46" t="s">
        <v>79</v>
      </c>
      <c r="C52" s="50">
        <v>5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6</v>
      </c>
      <c r="P52" s="15">
        <f t="shared" si="1"/>
        <v>13</v>
      </c>
      <c r="R52" s="8"/>
      <c r="T52"/>
    </row>
    <row r="53" spans="2:20" ht="23.1" customHeight="1" x14ac:dyDescent="0.25">
      <c r="B53" s="45" t="s">
        <v>80</v>
      </c>
      <c r="C53" s="50">
        <v>12</v>
      </c>
      <c r="D53" s="50">
        <v>1</v>
      </c>
      <c r="E53" s="50">
        <v>2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17</v>
      </c>
      <c r="P53" s="15">
        <f t="shared" si="1"/>
        <v>25</v>
      </c>
      <c r="R53" s="8"/>
      <c r="T53"/>
    </row>
    <row r="54" spans="2:20" ht="23.1" customHeight="1" x14ac:dyDescent="0.25">
      <c r="B54" s="45" t="s">
        <v>81</v>
      </c>
      <c r="C54" s="50">
        <v>5</v>
      </c>
      <c r="D54" s="50">
        <v>2</v>
      </c>
      <c r="E54" s="50">
        <v>3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10</v>
      </c>
      <c r="P54" s="15">
        <f t="shared" si="1"/>
        <v>18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3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13</v>
      </c>
      <c r="N55" s="50">
        <v>0</v>
      </c>
      <c r="O55" s="15">
        <f t="shared" si="0"/>
        <v>9</v>
      </c>
      <c r="P55" s="15">
        <f t="shared" si="1"/>
        <v>22</v>
      </c>
      <c r="R55" s="8"/>
      <c r="T55"/>
    </row>
    <row r="56" spans="2:20" ht="23.1" customHeight="1" x14ac:dyDescent="0.25">
      <c r="B56" s="45" t="s">
        <v>83</v>
      </c>
      <c r="C56" s="50">
        <v>4</v>
      </c>
      <c r="D56" s="50">
        <v>1</v>
      </c>
      <c r="E56" s="50">
        <v>4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8</v>
      </c>
      <c r="N56" s="50">
        <v>0</v>
      </c>
      <c r="O56" s="15">
        <f t="shared" si="0"/>
        <v>9</v>
      </c>
      <c r="P56" s="15">
        <f t="shared" si="1"/>
        <v>17</v>
      </c>
      <c r="R56" s="8"/>
      <c r="T56"/>
    </row>
    <row r="57" spans="2:20" ht="23.1" customHeight="1" x14ac:dyDescent="0.25">
      <c r="B57" s="45" t="s">
        <v>84</v>
      </c>
      <c r="C57" s="50">
        <v>8</v>
      </c>
      <c r="D57" s="50">
        <v>3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9</v>
      </c>
      <c r="N57" s="50">
        <v>0</v>
      </c>
      <c r="O57" s="15">
        <f t="shared" si="0"/>
        <v>12</v>
      </c>
      <c r="P57" s="15">
        <f t="shared" si="1"/>
        <v>21</v>
      </c>
      <c r="R57" s="8"/>
      <c r="T57"/>
    </row>
    <row r="58" spans="2:20" ht="23.1" customHeight="1" x14ac:dyDescent="0.25">
      <c r="B58" s="45" t="s">
        <v>99</v>
      </c>
      <c r="C58" s="50">
        <v>6</v>
      </c>
      <c r="D58" s="50">
        <v>5</v>
      </c>
      <c r="E58" s="50">
        <v>0</v>
      </c>
      <c r="F58" s="50">
        <v>0</v>
      </c>
      <c r="G58" s="50">
        <v>1</v>
      </c>
      <c r="H58" s="50">
        <v>0</v>
      </c>
      <c r="I58" s="50">
        <v>0</v>
      </c>
      <c r="J58" s="50">
        <v>1</v>
      </c>
      <c r="K58" s="50">
        <v>0</v>
      </c>
      <c r="L58" s="50">
        <v>0</v>
      </c>
      <c r="M58" s="50">
        <v>4</v>
      </c>
      <c r="N58" s="50">
        <v>0</v>
      </c>
      <c r="O58" s="15">
        <f t="shared" ref="O58:O105" si="35">SUM(C58:L58,N58)</f>
        <v>13</v>
      </c>
      <c r="P58" s="15">
        <f t="shared" ref="P58:P105" si="36">SUM(C58:N58)</f>
        <v>17</v>
      </c>
      <c r="R58" s="8"/>
      <c r="T58"/>
    </row>
    <row r="59" spans="2:20" ht="23.1" customHeight="1" x14ac:dyDescent="0.25">
      <c r="B59" s="45" t="s">
        <v>100</v>
      </c>
      <c r="C59" s="50">
        <v>10</v>
      </c>
      <c r="D59" s="50">
        <v>1</v>
      </c>
      <c r="E59" s="50">
        <v>1</v>
      </c>
      <c r="F59" s="50">
        <v>0</v>
      </c>
      <c r="G59" s="50">
        <v>0</v>
      </c>
      <c r="H59" s="50">
        <v>0</v>
      </c>
      <c r="I59" s="50">
        <v>0</v>
      </c>
      <c r="J59" s="50">
        <v>1</v>
      </c>
      <c r="K59" s="50">
        <v>0</v>
      </c>
      <c r="L59" s="50">
        <v>0</v>
      </c>
      <c r="M59" s="50">
        <v>6</v>
      </c>
      <c r="N59" s="50">
        <v>0</v>
      </c>
      <c r="O59" s="15">
        <f t="shared" si="35"/>
        <v>13</v>
      </c>
      <c r="P59" s="15">
        <f t="shared" si="36"/>
        <v>19</v>
      </c>
      <c r="R59" s="8"/>
      <c r="T59"/>
    </row>
    <row r="60" spans="2:20" ht="23.1" customHeight="1" x14ac:dyDescent="0.25">
      <c r="B60" s="45" t="s">
        <v>101</v>
      </c>
      <c r="C60" s="50">
        <v>6</v>
      </c>
      <c r="D60" s="50">
        <v>0</v>
      </c>
      <c r="E60" s="50">
        <v>0</v>
      </c>
      <c r="F60" s="50">
        <v>0</v>
      </c>
      <c r="G60" s="50">
        <v>0</v>
      </c>
      <c r="H60" s="50">
        <v>0</v>
      </c>
      <c r="I60" s="50">
        <v>1</v>
      </c>
      <c r="J60" s="50">
        <v>1</v>
      </c>
      <c r="K60" s="50">
        <v>0</v>
      </c>
      <c r="L60" s="50">
        <v>0</v>
      </c>
      <c r="M60" s="50">
        <v>6</v>
      </c>
      <c r="N60" s="50">
        <v>0</v>
      </c>
      <c r="O60" s="15">
        <f t="shared" si="35"/>
        <v>8</v>
      </c>
      <c r="P60" s="15">
        <f t="shared" si="36"/>
        <v>14</v>
      </c>
      <c r="R60" s="8"/>
      <c r="T60"/>
    </row>
    <row r="61" spans="2:20" ht="23.1" customHeight="1" x14ac:dyDescent="0.25">
      <c r="B61" s="45" t="s">
        <v>102</v>
      </c>
      <c r="C61" s="50">
        <v>9</v>
      </c>
      <c r="D61" s="50">
        <v>0</v>
      </c>
      <c r="E61" s="50">
        <v>0</v>
      </c>
      <c r="F61" s="50">
        <v>0</v>
      </c>
      <c r="G61" s="50">
        <v>1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8</v>
      </c>
      <c r="N61" s="50">
        <v>0</v>
      </c>
      <c r="O61" s="15">
        <f t="shared" si="35"/>
        <v>10</v>
      </c>
      <c r="P61" s="15">
        <f t="shared" si="36"/>
        <v>18</v>
      </c>
      <c r="R61" s="8"/>
      <c r="T61"/>
    </row>
    <row r="62" spans="2:20" ht="23.1" customHeight="1" x14ac:dyDescent="0.25">
      <c r="B62" s="45" t="s">
        <v>107</v>
      </c>
      <c r="C62" s="50">
        <v>10</v>
      </c>
      <c r="D62" s="50">
        <v>3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3</v>
      </c>
      <c r="N62" s="50">
        <v>0</v>
      </c>
      <c r="O62" s="15">
        <f t="shared" si="35"/>
        <v>14</v>
      </c>
      <c r="P62" s="15">
        <f t="shared" si="36"/>
        <v>17</v>
      </c>
      <c r="R62" s="8"/>
      <c r="T62"/>
    </row>
    <row r="63" spans="2:20" ht="23.1" customHeight="1" x14ac:dyDescent="0.25">
      <c r="B63" s="45" t="s">
        <v>108</v>
      </c>
      <c r="C63" s="50">
        <v>6</v>
      </c>
      <c r="D63" s="50">
        <v>0</v>
      </c>
      <c r="E63" s="50">
        <v>1</v>
      </c>
      <c r="F63" s="50">
        <v>0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7</v>
      </c>
      <c r="N63" s="50">
        <v>0</v>
      </c>
      <c r="O63" s="15">
        <f t="shared" si="35"/>
        <v>8</v>
      </c>
      <c r="P63" s="15">
        <f t="shared" si="36"/>
        <v>15</v>
      </c>
      <c r="R63" s="8"/>
      <c r="T63"/>
    </row>
    <row r="64" spans="2:20" ht="23.1" customHeight="1" x14ac:dyDescent="0.25">
      <c r="B64" s="45" t="s">
        <v>109</v>
      </c>
      <c r="C64" s="50">
        <v>4</v>
      </c>
      <c r="D64" s="50">
        <v>2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35"/>
        <v>7</v>
      </c>
      <c r="P64" s="15">
        <f t="shared" si="36"/>
        <v>7</v>
      </c>
      <c r="R64" s="8"/>
      <c r="T64"/>
    </row>
    <row r="65" spans="2:20" ht="23.1" customHeight="1" x14ac:dyDescent="0.25">
      <c r="B65" s="45" t="s">
        <v>158</v>
      </c>
      <c r="C65" s="50">
        <v>6</v>
      </c>
      <c r="D65" s="50">
        <v>0</v>
      </c>
      <c r="E65" s="50">
        <v>2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3</v>
      </c>
      <c r="N65" s="50">
        <v>0</v>
      </c>
      <c r="O65" s="15">
        <f t="shared" si="35"/>
        <v>8</v>
      </c>
      <c r="P65" s="15">
        <f t="shared" si="36"/>
        <v>11</v>
      </c>
      <c r="R65" s="8"/>
      <c r="T65"/>
    </row>
    <row r="66" spans="2:20" ht="23.1" customHeight="1" x14ac:dyDescent="0.25">
      <c r="B66" s="45" t="s">
        <v>103</v>
      </c>
      <c r="C66" s="50">
        <v>6</v>
      </c>
      <c r="D66" s="50">
        <v>2</v>
      </c>
      <c r="E66" s="50">
        <v>0</v>
      </c>
      <c r="F66" s="50">
        <v>0</v>
      </c>
      <c r="G66" s="50">
        <v>0</v>
      </c>
      <c r="H66" s="50">
        <v>0</v>
      </c>
      <c r="I66" s="50">
        <v>1</v>
      </c>
      <c r="J66" s="50">
        <v>1</v>
      </c>
      <c r="K66" s="50">
        <v>0</v>
      </c>
      <c r="L66" s="50">
        <v>1</v>
      </c>
      <c r="M66" s="50">
        <v>3</v>
      </c>
      <c r="N66" s="50">
        <v>0</v>
      </c>
      <c r="O66" s="15">
        <f t="shared" si="35"/>
        <v>11</v>
      </c>
      <c r="P66" s="15">
        <f t="shared" si="36"/>
        <v>14</v>
      </c>
      <c r="R66" s="8"/>
      <c r="T66"/>
    </row>
    <row r="67" spans="2:20" ht="23.1" customHeight="1" x14ac:dyDescent="0.25">
      <c r="B67" s="45" t="s">
        <v>104</v>
      </c>
      <c r="C67" s="50">
        <v>5</v>
      </c>
      <c r="D67" s="50">
        <v>1</v>
      </c>
      <c r="E67" s="50">
        <v>3</v>
      </c>
      <c r="F67" s="50">
        <v>2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50">
        <v>4</v>
      </c>
      <c r="N67" s="50">
        <v>0</v>
      </c>
      <c r="O67" s="15">
        <f t="shared" si="35"/>
        <v>11</v>
      </c>
      <c r="P67" s="15">
        <f t="shared" si="36"/>
        <v>15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2</v>
      </c>
      <c r="E68" s="50">
        <v>1</v>
      </c>
      <c r="F68" s="50">
        <v>0</v>
      </c>
      <c r="G68" s="50">
        <v>0</v>
      </c>
      <c r="H68" s="50">
        <v>0</v>
      </c>
      <c r="I68" s="50">
        <v>2</v>
      </c>
      <c r="J68" s="50">
        <v>1</v>
      </c>
      <c r="K68" s="50">
        <v>0</v>
      </c>
      <c r="L68" s="50">
        <v>0</v>
      </c>
      <c r="M68" s="50">
        <v>5</v>
      </c>
      <c r="N68" s="50">
        <v>0</v>
      </c>
      <c r="O68" s="15">
        <f t="shared" si="35"/>
        <v>9</v>
      </c>
      <c r="P68" s="15">
        <f t="shared" si="36"/>
        <v>14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2</v>
      </c>
      <c r="E69" s="50">
        <v>0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3</v>
      </c>
      <c r="O69" s="15">
        <f t="shared" si="35"/>
        <v>9</v>
      </c>
      <c r="P69" s="15">
        <f t="shared" si="36"/>
        <v>9</v>
      </c>
      <c r="R69" s="8"/>
      <c r="T69"/>
    </row>
    <row r="70" spans="2:20" ht="23.1" customHeight="1" x14ac:dyDescent="0.25">
      <c r="B70" s="45" t="s">
        <v>110</v>
      </c>
      <c r="C70" s="50">
        <v>3</v>
      </c>
      <c r="D70" s="50">
        <v>2</v>
      </c>
      <c r="E70" s="50">
        <v>0</v>
      </c>
      <c r="F70" s="50">
        <v>0</v>
      </c>
      <c r="G70" s="50">
        <v>0</v>
      </c>
      <c r="H70" s="50">
        <v>0</v>
      </c>
      <c r="I70" s="50">
        <v>2</v>
      </c>
      <c r="J70" s="50">
        <v>0</v>
      </c>
      <c r="K70" s="50">
        <v>0</v>
      </c>
      <c r="L70" s="50">
        <v>0</v>
      </c>
      <c r="M70" s="50">
        <v>3</v>
      </c>
      <c r="N70" s="50">
        <v>0</v>
      </c>
      <c r="O70" s="15">
        <f t="shared" si="35"/>
        <v>7</v>
      </c>
      <c r="P70" s="15">
        <f t="shared" si="36"/>
        <v>10</v>
      </c>
      <c r="R70" s="8"/>
      <c r="T70"/>
    </row>
    <row r="71" spans="2:20" ht="23.1" customHeight="1" x14ac:dyDescent="0.25">
      <c r="B71" s="45" t="s">
        <v>111</v>
      </c>
      <c r="C71" s="50">
        <v>5</v>
      </c>
      <c r="D71" s="50">
        <v>2</v>
      </c>
      <c r="E71" s="50">
        <v>1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2</v>
      </c>
      <c r="M71" s="50">
        <v>3</v>
      </c>
      <c r="N71" s="50">
        <v>0</v>
      </c>
      <c r="O71" s="15">
        <f t="shared" si="35"/>
        <v>10</v>
      </c>
      <c r="P71" s="15">
        <f t="shared" si="36"/>
        <v>13</v>
      </c>
      <c r="R71" s="8"/>
      <c r="T71"/>
    </row>
    <row r="72" spans="2:20" ht="23.1" customHeight="1" x14ac:dyDescent="0.25">
      <c r="B72" s="45" t="s">
        <v>112</v>
      </c>
      <c r="C72" s="50">
        <v>4</v>
      </c>
      <c r="D72" s="50">
        <v>0</v>
      </c>
      <c r="E72" s="50">
        <v>1</v>
      </c>
      <c r="F72" s="50">
        <v>1</v>
      </c>
      <c r="G72" s="50">
        <v>0</v>
      </c>
      <c r="H72" s="50">
        <v>0</v>
      </c>
      <c r="I72" s="50">
        <v>2</v>
      </c>
      <c r="J72" s="50">
        <v>0</v>
      </c>
      <c r="K72" s="50">
        <v>3</v>
      </c>
      <c r="L72" s="50">
        <v>1</v>
      </c>
      <c r="M72" s="50">
        <v>4</v>
      </c>
      <c r="N72" s="50">
        <v>0</v>
      </c>
      <c r="O72" s="15">
        <f t="shared" si="35"/>
        <v>12</v>
      </c>
      <c r="P72" s="15">
        <f t="shared" si="36"/>
        <v>16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0</v>
      </c>
      <c r="E73" s="50">
        <v>2</v>
      </c>
      <c r="F73" s="50">
        <v>1</v>
      </c>
      <c r="G73" s="50">
        <v>0</v>
      </c>
      <c r="H73" s="50">
        <v>1</v>
      </c>
      <c r="I73" s="50">
        <v>2</v>
      </c>
      <c r="J73" s="50">
        <v>0</v>
      </c>
      <c r="K73" s="50">
        <v>1</v>
      </c>
      <c r="L73" s="50">
        <v>0</v>
      </c>
      <c r="M73" s="50">
        <v>2</v>
      </c>
      <c r="N73" s="50">
        <v>0</v>
      </c>
      <c r="O73" s="15">
        <f t="shared" si="35"/>
        <v>9</v>
      </c>
      <c r="P73" s="15">
        <f t="shared" si="36"/>
        <v>11</v>
      </c>
      <c r="R73" s="8"/>
      <c r="T73"/>
    </row>
    <row r="74" spans="2:20" ht="23.1" customHeight="1" x14ac:dyDescent="0.25">
      <c r="B74" s="45" t="s">
        <v>114</v>
      </c>
      <c r="C74" s="50">
        <v>6</v>
      </c>
      <c r="D74" s="50">
        <v>5</v>
      </c>
      <c r="E74" s="50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2</v>
      </c>
      <c r="L74" s="50">
        <v>0</v>
      </c>
      <c r="M74" s="50">
        <v>1</v>
      </c>
      <c r="N74" s="50">
        <v>0</v>
      </c>
      <c r="O74" s="15">
        <f t="shared" si="35"/>
        <v>13</v>
      </c>
      <c r="P74" s="15">
        <f t="shared" si="36"/>
        <v>14</v>
      </c>
      <c r="R74" s="8"/>
      <c r="T74"/>
    </row>
    <row r="75" spans="2:20" ht="23.1" customHeight="1" x14ac:dyDescent="0.25">
      <c r="B75" s="45" t="s">
        <v>115</v>
      </c>
      <c r="C75" s="50">
        <v>7</v>
      </c>
      <c r="D75" s="50">
        <v>3</v>
      </c>
      <c r="E75" s="50">
        <v>2</v>
      </c>
      <c r="F75" s="50">
        <v>0</v>
      </c>
      <c r="G75" s="50">
        <v>0</v>
      </c>
      <c r="H75" s="50">
        <v>0</v>
      </c>
      <c r="I75" s="50">
        <v>2</v>
      </c>
      <c r="J75" s="50">
        <v>0</v>
      </c>
      <c r="K75" s="50">
        <v>2</v>
      </c>
      <c r="L75" s="50">
        <v>1</v>
      </c>
      <c r="M75" s="50">
        <v>6</v>
      </c>
      <c r="N75" s="50">
        <v>0</v>
      </c>
      <c r="O75" s="15">
        <f t="shared" si="35"/>
        <v>17</v>
      </c>
      <c r="P75" s="15">
        <f t="shared" si="36"/>
        <v>23</v>
      </c>
      <c r="R75" s="8"/>
      <c r="T75"/>
    </row>
    <row r="76" spans="2:20" ht="23.1" customHeight="1" x14ac:dyDescent="0.25">
      <c r="B76" s="45" t="s">
        <v>116</v>
      </c>
      <c r="C76" s="50">
        <v>10</v>
      </c>
      <c r="D76" s="50">
        <v>3</v>
      </c>
      <c r="E76" s="50">
        <v>0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1</v>
      </c>
      <c r="L76" s="50">
        <v>0</v>
      </c>
      <c r="M76" s="50">
        <v>3</v>
      </c>
      <c r="N76" s="50">
        <v>0</v>
      </c>
      <c r="O76" s="15">
        <f t="shared" si="35"/>
        <v>15</v>
      </c>
      <c r="P76" s="15">
        <f t="shared" si="36"/>
        <v>18</v>
      </c>
      <c r="R76" s="8"/>
      <c r="T76"/>
    </row>
    <row r="77" spans="2:20" ht="23.1" customHeight="1" x14ac:dyDescent="0.25">
      <c r="B77" s="45" t="s">
        <v>117</v>
      </c>
      <c r="C77" s="50">
        <v>5</v>
      </c>
      <c r="D77" s="50">
        <v>1</v>
      </c>
      <c r="E77" s="50">
        <v>3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4</v>
      </c>
      <c r="N77" s="50">
        <v>0</v>
      </c>
      <c r="O77" s="15">
        <f t="shared" si="35"/>
        <v>9</v>
      </c>
      <c r="P77" s="15">
        <f t="shared" si="36"/>
        <v>13</v>
      </c>
      <c r="R77" s="8"/>
      <c r="T77"/>
    </row>
    <row r="78" spans="2:20" ht="23.1" customHeight="1" x14ac:dyDescent="0.25">
      <c r="B78" s="46" t="s">
        <v>118</v>
      </c>
      <c r="C78" s="50">
        <v>3</v>
      </c>
      <c r="D78" s="50">
        <v>1</v>
      </c>
      <c r="E78" s="50">
        <v>2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1</v>
      </c>
      <c r="L78" s="50">
        <v>2</v>
      </c>
      <c r="M78" s="50">
        <v>3</v>
      </c>
      <c r="N78" s="50">
        <v>0</v>
      </c>
      <c r="O78" s="15">
        <f t="shared" si="35"/>
        <v>9</v>
      </c>
      <c r="P78" s="15">
        <f t="shared" si="36"/>
        <v>12</v>
      </c>
      <c r="R78" s="8"/>
      <c r="T78"/>
    </row>
    <row r="79" spans="2:20" ht="23.1" customHeight="1" x14ac:dyDescent="0.25">
      <c r="B79" s="45" t="s">
        <v>119</v>
      </c>
      <c r="C79" s="50">
        <v>2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2</v>
      </c>
      <c r="J79" s="50">
        <v>0</v>
      </c>
      <c r="K79" s="50">
        <v>0</v>
      </c>
      <c r="L79" s="50">
        <v>0</v>
      </c>
      <c r="M79" s="50">
        <v>2</v>
      </c>
      <c r="N79" s="50">
        <v>0</v>
      </c>
      <c r="O79" s="15">
        <f t="shared" si="35"/>
        <v>4</v>
      </c>
      <c r="P79" s="15">
        <f t="shared" si="36"/>
        <v>6</v>
      </c>
      <c r="R79" s="8"/>
      <c r="T79"/>
    </row>
    <row r="80" spans="2:20" ht="23.1" customHeight="1" x14ac:dyDescent="0.25">
      <c r="B80" s="47" t="s">
        <v>120</v>
      </c>
      <c r="C80" s="50">
        <v>2</v>
      </c>
      <c r="D80" s="50">
        <v>0</v>
      </c>
      <c r="E80" s="50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2</v>
      </c>
      <c r="L80" s="50">
        <v>0</v>
      </c>
      <c r="M80" s="50">
        <v>0</v>
      </c>
      <c r="N80" s="50">
        <v>0</v>
      </c>
      <c r="O80" s="15">
        <f t="shared" si="35"/>
        <v>4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v>2</v>
      </c>
      <c r="D81" s="50">
        <v>3</v>
      </c>
      <c r="E81" s="50">
        <v>0</v>
      </c>
      <c r="F81" s="50">
        <v>0</v>
      </c>
      <c r="G81" s="50">
        <v>0</v>
      </c>
      <c r="H81" s="50">
        <v>0</v>
      </c>
      <c r="I81" s="50">
        <v>1</v>
      </c>
      <c r="J81" s="50">
        <v>2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8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v>3</v>
      </c>
      <c r="D82" s="50">
        <v>1</v>
      </c>
      <c r="E82" s="50">
        <v>0</v>
      </c>
      <c r="F82" s="50">
        <v>0</v>
      </c>
      <c r="G82" s="50">
        <v>0</v>
      </c>
      <c r="H82" s="50">
        <v>0</v>
      </c>
      <c r="I82" s="50">
        <v>2</v>
      </c>
      <c r="J82" s="50">
        <v>0</v>
      </c>
      <c r="K82" s="50">
        <v>3</v>
      </c>
      <c r="L82" s="50">
        <v>2</v>
      </c>
      <c r="M82" s="50">
        <v>0</v>
      </c>
      <c r="N82" s="50">
        <v>0</v>
      </c>
      <c r="O82" s="15">
        <f t="shared" si="35"/>
        <v>11</v>
      </c>
      <c r="P82" s="15">
        <f t="shared" si="36"/>
        <v>11</v>
      </c>
      <c r="R82" s="8"/>
      <c r="T82"/>
    </row>
    <row r="83" spans="2:20" ht="23.1" customHeight="1" x14ac:dyDescent="0.25">
      <c r="B83" s="45" t="s">
        <v>123</v>
      </c>
      <c r="C83" s="50">
        <v>2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2</v>
      </c>
      <c r="M83" s="50">
        <v>0</v>
      </c>
      <c r="N83" s="50">
        <v>0</v>
      </c>
      <c r="O83" s="15">
        <f t="shared" si="35"/>
        <v>4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v>1</v>
      </c>
      <c r="D84" s="50">
        <v>1</v>
      </c>
      <c r="E84" s="50">
        <v>2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1</v>
      </c>
      <c r="L84" s="50">
        <v>0</v>
      </c>
      <c r="M84" s="50">
        <v>1</v>
      </c>
      <c r="N84" s="50">
        <v>0</v>
      </c>
      <c r="O84" s="15">
        <f t="shared" si="35"/>
        <v>6</v>
      </c>
      <c r="P84" s="15">
        <f t="shared" si="36"/>
        <v>7</v>
      </c>
      <c r="R84" s="8"/>
      <c r="T84"/>
    </row>
    <row r="85" spans="2:20" ht="23.1" customHeight="1" x14ac:dyDescent="0.25">
      <c r="B85" s="45" t="s">
        <v>125</v>
      </c>
      <c r="C85" s="50">
        <v>1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1</v>
      </c>
      <c r="K85" s="50">
        <v>1</v>
      </c>
      <c r="L85" s="50">
        <v>0</v>
      </c>
      <c r="M85" s="50">
        <v>0</v>
      </c>
      <c r="N85" s="50">
        <v>0</v>
      </c>
      <c r="O85" s="15">
        <f t="shared" si="35"/>
        <v>3</v>
      </c>
      <c r="P85" s="15">
        <f t="shared" si="36"/>
        <v>3</v>
      </c>
      <c r="R85" s="8"/>
      <c r="T85"/>
    </row>
    <row r="86" spans="2:20" ht="23.1" customHeight="1" x14ac:dyDescent="0.25">
      <c r="B86" s="46" t="s">
        <v>126</v>
      </c>
      <c r="C86" s="50">
        <v>1</v>
      </c>
      <c r="D86" s="50">
        <v>2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2</v>
      </c>
      <c r="L86" s="50">
        <v>1</v>
      </c>
      <c r="M86" s="50">
        <v>0</v>
      </c>
      <c r="N86" s="50"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3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1</v>
      </c>
      <c r="J87" s="50">
        <v>0</v>
      </c>
      <c r="K87" s="50">
        <v>0</v>
      </c>
      <c r="L87" s="50">
        <v>2</v>
      </c>
      <c r="M87" s="50">
        <v>0</v>
      </c>
      <c r="N87" s="50">
        <v>0</v>
      </c>
      <c r="O87" s="15">
        <f t="shared" si="35"/>
        <v>6</v>
      </c>
      <c r="P87" s="15">
        <f t="shared" si="36"/>
        <v>6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2</v>
      </c>
      <c r="K88" s="50">
        <v>0</v>
      </c>
      <c r="L88" s="50">
        <v>1</v>
      </c>
      <c r="M88" s="50">
        <v>0</v>
      </c>
      <c r="N88" s="50"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45" t="s">
        <v>129</v>
      </c>
      <c r="C89" s="50">
        <v>3</v>
      </c>
      <c r="D89" s="50">
        <v>3</v>
      </c>
      <c r="E89" s="50">
        <v>2</v>
      </c>
      <c r="F89" s="50">
        <v>0</v>
      </c>
      <c r="G89" s="50">
        <v>0</v>
      </c>
      <c r="H89" s="50">
        <v>0</v>
      </c>
      <c r="I89" s="50">
        <v>2</v>
      </c>
      <c r="J89" s="50">
        <v>0</v>
      </c>
      <c r="K89" s="50">
        <v>2</v>
      </c>
      <c r="L89" s="50">
        <v>0</v>
      </c>
      <c r="M89" s="50">
        <v>0</v>
      </c>
      <c r="N89" s="50">
        <v>0</v>
      </c>
      <c r="O89" s="15">
        <f t="shared" si="35"/>
        <v>12</v>
      </c>
      <c r="P89" s="15">
        <f t="shared" si="36"/>
        <v>12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2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3</v>
      </c>
      <c r="M90" s="50">
        <v>0</v>
      </c>
      <c r="N90" s="50">
        <v>0</v>
      </c>
      <c r="O90" s="15">
        <f t="shared" si="35"/>
        <v>8</v>
      </c>
      <c r="P90" s="15">
        <f t="shared" si="36"/>
        <v>8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1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4</v>
      </c>
      <c r="M91" s="50">
        <v>0</v>
      </c>
      <c r="N91" s="50">
        <v>0</v>
      </c>
      <c r="O91" s="15">
        <f t="shared" si="35"/>
        <v>9</v>
      </c>
      <c r="P91" s="15">
        <f t="shared" si="36"/>
        <v>9</v>
      </c>
      <c r="R91" s="8"/>
      <c r="T91"/>
    </row>
    <row r="92" spans="2:20" ht="23.1" customHeight="1" x14ac:dyDescent="0.25">
      <c r="B92" s="47" t="s">
        <v>132</v>
      </c>
      <c r="C92" s="50">
        <v>3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2</v>
      </c>
      <c r="L92" s="50">
        <v>2</v>
      </c>
      <c r="M92" s="50">
        <v>0</v>
      </c>
      <c r="N92" s="50">
        <v>0</v>
      </c>
      <c r="O92" s="15">
        <f t="shared" si="35"/>
        <v>7</v>
      </c>
      <c r="P92" s="15">
        <f t="shared" si="36"/>
        <v>7</v>
      </c>
      <c r="R92" s="8"/>
      <c r="T92"/>
    </row>
    <row r="93" spans="2:20" ht="23.1" customHeight="1" x14ac:dyDescent="0.25">
      <c r="B93" s="45" t="s">
        <v>133</v>
      </c>
      <c r="C93" s="50">
        <v>5</v>
      </c>
      <c r="D93" s="50">
        <v>0</v>
      </c>
      <c r="E93" s="50">
        <v>0</v>
      </c>
      <c r="F93" s="50">
        <v>0</v>
      </c>
      <c r="G93" s="50">
        <v>2</v>
      </c>
      <c r="H93" s="50">
        <v>1</v>
      </c>
      <c r="I93" s="50">
        <v>0</v>
      </c>
      <c r="J93" s="50">
        <v>2</v>
      </c>
      <c r="K93" s="50">
        <v>3</v>
      </c>
      <c r="L93" s="50">
        <v>1</v>
      </c>
      <c r="M93" s="50">
        <v>2</v>
      </c>
      <c r="N93" s="50">
        <v>0</v>
      </c>
      <c r="O93" s="15">
        <f t="shared" si="35"/>
        <v>14</v>
      </c>
      <c r="P93" s="15">
        <f t="shared" si="36"/>
        <v>16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2</v>
      </c>
      <c r="L94" s="50">
        <v>4</v>
      </c>
      <c r="M94" s="50">
        <v>0</v>
      </c>
      <c r="N94" s="50">
        <v>0</v>
      </c>
      <c r="O94" s="15">
        <f t="shared" si="35"/>
        <v>8</v>
      </c>
      <c r="P94" s="15">
        <f t="shared" si="36"/>
        <v>8</v>
      </c>
      <c r="R94" s="8"/>
      <c r="T94"/>
    </row>
    <row r="95" spans="2:20" ht="23.1" customHeight="1" x14ac:dyDescent="0.25">
      <c r="B95" s="45" t="s">
        <v>135</v>
      </c>
      <c r="C95" s="50">
        <v>3</v>
      </c>
      <c r="D95" s="50">
        <v>0</v>
      </c>
      <c r="E95" s="50">
        <v>0</v>
      </c>
      <c r="F95" s="50">
        <v>0</v>
      </c>
      <c r="G95" s="50">
        <v>0</v>
      </c>
      <c r="H95" s="50">
        <v>1</v>
      </c>
      <c r="I95" s="50">
        <v>0</v>
      </c>
      <c r="J95" s="50">
        <v>0</v>
      </c>
      <c r="K95" s="50">
        <v>0</v>
      </c>
      <c r="L95" s="50">
        <v>2</v>
      </c>
      <c r="M95" s="50">
        <v>0</v>
      </c>
      <c r="N95" s="50">
        <v>0</v>
      </c>
      <c r="O95" s="15">
        <f t="shared" si="35"/>
        <v>6</v>
      </c>
      <c r="P95" s="15">
        <f t="shared" si="36"/>
        <v>6</v>
      </c>
      <c r="R95" s="8"/>
      <c r="T95"/>
    </row>
    <row r="96" spans="2:20" ht="23.1" customHeight="1" x14ac:dyDescent="0.25">
      <c r="B96" s="47" t="s">
        <v>136</v>
      </c>
      <c r="C96" s="50">
        <v>5</v>
      </c>
      <c r="D96" s="50">
        <v>2</v>
      </c>
      <c r="E96" s="50">
        <v>0</v>
      </c>
      <c r="F96" s="50">
        <v>2</v>
      </c>
      <c r="G96" s="50">
        <v>0</v>
      </c>
      <c r="H96" s="50">
        <v>2</v>
      </c>
      <c r="I96" s="50">
        <v>2</v>
      </c>
      <c r="J96" s="50">
        <v>0</v>
      </c>
      <c r="K96" s="50">
        <v>3</v>
      </c>
      <c r="L96" s="50">
        <v>4</v>
      </c>
      <c r="M96" s="50">
        <v>0</v>
      </c>
      <c r="N96" s="50">
        <v>0</v>
      </c>
      <c r="O96" s="15">
        <f t="shared" si="35"/>
        <v>20</v>
      </c>
      <c r="P96" s="15">
        <f t="shared" si="36"/>
        <v>20</v>
      </c>
      <c r="R96" s="8"/>
      <c r="T96"/>
    </row>
    <row r="97" spans="2:20" ht="23.1" customHeight="1" x14ac:dyDescent="0.25">
      <c r="B97" s="45" t="s">
        <v>137</v>
      </c>
      <c r="C97" s="50">
        <v>5</v>
      </c>
      <c r="D97" s="50">
        <v>0</v>
      </c>
      <c r="E97" s="50">
        <v>2</v>
      </c>
      <c r="F97" s="50">
        <v>1</v>
      </c>
      <c r="G97" s="50">
        <v>2</v>
      </c>
      <c r="H97" s="50">
        <v>0</v>
      </c>
      <c r="I97" s="50">
        <v>2</v>
      </c>
      <c r="J97" s="50">
        <v>1</v>
      </c>
      <c r="K97" s="50">
        <v>1</v>
      </c>
      <c r="L97" s="50">
        <v>2</v>
      </c>
      <c r="M97" s="50">
        <v>3</v>
      </c>
      <c r="N97" s="50">
        <v>0</v>
      </c>
      <c r="O97" s="15">
        <f t="shared" si="35"/>
        <v>16</v>
      </c>
      <c r="P97" s="15">
        <f t="shared" si="36"/>
        <v>19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3</v>
      </c>
      <c r="E98" s="50">
        <v>0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3</v>
      </c>
      <c r="L98" s="50">
        <v>2</v>
      </c>
      <c r="M98" s="50">
        <v>2</v>
      </c>
      <c r="N98" s="50">
        <v>0</v>
      </c>
      <c r="O98" s="15">
        <f t="shared" si="35"/>
        <v>12</v>
      </c>
      <c r="P98" s="15">
        <f t="shared" si="36"/>
        <v>14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2</v>
      </c>
      <c r="E99" s="50">
        <v>1</v>
      </c>
      <c r="F99" s="50">
        <v>0</v>
      </c>
      <c r="G99" s="50">
        <v>0</v>
      </c>
      <c r="H99" s="50">
        <v>0</v>
      </c>
      <c r="I99" s="50">
        <v>2</v>
      </c>
      <c r="J99" s="50">
        <v>0</v>
      </c>
      <c r="K99" s="50">
        <v>4</v>
      </c>
      <c r="L99" s="50">
        <v>3</v>
      </c>
      <c r="M99" s="50">
        <v>3</v>
      </c>
      <c r="N99" s="50">
        <v>0</v>
      </c>
      <c r="O99" s="15">
        <f t="shared" si="35"/>
        <v>15</v>
      </c>
      <c r="P99" s="15">
        <f t="shared" si="36"/>
        <v>18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2</v>
      </c>
      <c r="E100" s="50">
        <v>0</v>
      </c>
      <c r="F100" s="50">
        <v>0</v>
      </c>
      <c r="G100" s="50">
        <v>0</v>
      </c>
      <c r="H100" s="50">
        <v>0</v>
      </c>
      <c r="I100" s="50">
        <v>2</v>
      </c>
      <c r="J100" s="50">
        <v>0</v>
      </c>
      <c r="K100" s="50">
        <v>4</v>
      </c>
      <c r="L100" s="50">
        <v>1</v>
      </c>
      <c r="M100" s="50">
        <v>3</v>
      </c>
      <c r="N100" s="50">
        <v>0</v>
      </c>
      <c r="O100" s="15">
        <f t="shared" si="35"/>
        <v>14</v>
      </c>
      <c r="P100" s="15">
        <f t="shared" si="36"/>
        <v>17</v>
      </c>
      <c r="R100" s="8"/>
      <c r="T100"/>
    </row>
    <row r="101" spans="2:20" ht="23.1" customHeight="1" x14ac:dyDescent="0.25">
      <c r="B101" s="45" t="s">
        <v>141</v>
      </c>
      <c r="C101" s="50">
        <v>2</v>
      </c>
      <c r="D101" s="50">
        <v>2</v>
      </c>
      <c r="E101" s="50">
        <v>0</v>
      </c>
      <c r="F101" s="50">
        <v>2</v>
      </c>
      <c r="G101" s="50">
        <v>0</v>
      </c>
      <c r="H101" s="50">
        <v>0</v>
      </c>
      <c r="I101" s="50">
        <v>0</v>
      </c>
      <c r="J101" s="50">
        <v>1</v>
      </c>
      <c r="K101" s="50">
        <v>4</v>
      </c>
      <c r="L101" s="50">
        <v>5</v>
      </c>
      <c r="M101" s="50">
        <v>4</v>
      </c>
      <c r="N101" s="50">
        <v>0</v>
      </c>
      <c r="O101" s="15">
        <f t="shared" si="35"/>
        <v>16</v>
      </c>
      <c r="P101" s="15">
        <f t="shared" si="36"/>
        <v>20</v>
      </c>
      <c r="R101" s="8"/>
      <c r="T101"/>
    </row>
    <row r="102" spans="2:20" ht="23.1" customHeight="1" x14ac:dyDescent="0.25">
      <c r="B102" s="46" t="s">
        <v>142</v>
      </c>
      <c r="C102" s="50">
        <v>2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3</v>
      </c>
      <c r="L102" s="50">
        <v>0</v>
      </c>
      <c r="M102" s="50">
        <v>0</v>
      </c>
      <c r="N102" s="50">
        <v>0</v>
      </c>
      <c r="O102" s="15">
        <f t="shared" si="35"/>
        <v>5</v>
      </c>
      <c r="P102" s="15">
        <f t="shared" si="36"/>
        <v>5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2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2</v>
      </c>
      <c r="M103" s="50">
        <v>0</v>
      </c>
      <c r="N103" s="50">
        <v>0</v>
      </c>
      <c r="O103" s="15">
        <f t="shared" si="35"/>
        <v>5</v>
      </c>
      <c r="P103" s="15">
        <f t="shared" si="36"/>
        <v>5</v>
      </c>
      <c r="R103" s="8"/>
      <c r="T103"/>
    </row>
    <row r="104" spans="2:20" ht="23.1" customHeight="1" x14ac:dyDescent="0.25">
      <c r="B104" s="47" t="s">
        <v>144</v>
      </c>
      <c r="C104" s="50">
        <v>3</v>
      </c>
      <c r="D104" s="50">
        <v>3</v>
      </c>
      <c r="E104" s="50">
        <v>0</v>
      </c>
      <c r="F104" s="50">
        <v>2</v>
      </c>
      <c r="G104" s="50">
        <v>0</v>
      </c>
      <c r="H104" s="50">
        <v>0</v>
      </c>
      <c r="I104" s="50">
        <v>0</v>
      </c>
      <c r="J104" s="50">
        <v>2</v>
      </c>
      <c r="K104" s="50">
        <v>4</v>
      </c>
      <c r="L104" s="50">
        <v>0</v>
      </c>
      <c r="M104" s="50">
        <v>3</v>
      </c>
      <c r="N104" s="50">
        <v>2</v>
      </c>
      <c r="O104" s="15">
        <f t="shared" si="35"/>
        <v>16</v>
      </c>
      <c r="P104" s="15">
        <f t="shared" si="36"/>
        <v>19</v>
      </c>
      <c r="R104" s="8"/>
      <c r="T104"/>
    </row>
    <row r="105" spans="2:20" ht="23.1" customHeight="1" x14ac:dyDescent="0.25">
      <c r="B105" s="45" t="s">
        <v>145</v>
      </c>
      <c r="C105" s="50">
        <v>5</v>
      </c>
      <c r="D105" s="50">
        <v>4</v>
      </c>
      <c r="E105" s="50">
        <v>0</v>
      </c>
      <c r="F105" s="50">
        <v>1</v>
      </c>
      <c r="G105" s="50">
        <v>0</v>
      </c>
      <c r="H105" s="50">
        <v>0</v>
      </c>
      <c r="I105" s="50">
        <v>2</v>
      </c>
      <c r="J105" s="50">
        <v>0</v>
      </c>
      <c r="K105" s="50">
        <v>3</v>
      </c>
      <c r="L105" s="50">
        <v>3</v>
      </c>
      <c r="M105" s="50">
        <v>2</v>
      </c>
      <c r="N105" s="50">
        <v>1</v>
      </c>
      <c r="O105" s="15">
        <f t="shared" si="35"/>
        <v>19</v>
      </c>
      <c r="P105" s="15">
        <f t="shared" si="36"/>
        <v>21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415</v>
      </c>
      <c r="D106" s="16">
        <f t="shared" ref="D106:P106" si="37">SUM(D10:D105)</f>
        <v>165</v>
      </c>
      <c r="E106" s="16">
        <f t="shared" si="37"/>
        <v>70</v>
      </c>
      <c r="F106" s="16">
        <f t="shared" si="37"/>
        <v>35</v>
      </c>
      <c r="G106" s="16">
        <f t="shared" si="37"/>
        <v>7</v>
      </c>
      <c r="H106" s="16">
        <f t="shared" si="37"/>
        <v>6</v>
      </c>
      <c r="I106" s="16">
        <f t="shared" si="37"/>
        <v>43</v>
      </c>
      <c r="J106" s="16">
        <f t="shared" si="37"/>
        <v>31</v>
      </c>
      <c r="K106" s="16">
        <f t="shared" si="37"/>
        <v>67</v>
      </c>
      <c r="L106" s="16">
        <f t="shared" si="37"/>
        <v>79</v>
      </c>
      <c r="M106" s="16">
        <f t="shared" si="37"/>
        <v>330</v>
      </c>
      <c r="N106" s="16">
        <f t="shared" si="37"/>
        <v>6</v>
      </c>
      <c r="O106" s="16">
        <f t="shared" si="37"/>
        <v>924</v>
      </c>
      <c r="P106" s="16">
        <f t="shared" si="37"/>
        <v>1254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0.3309409888357257</v>
      </c>
      <c r="D107" s="43">
        <f t="shared" si="38"/>
        <v>0.13157894736842105</v>
      </c>
      <c r="E107" s="43">
        <f t="shared" si="38"/>
        <v>5.5821371610845293E-2</v>
      </c>
      <c r="F107" s="43">
        <f t="shared" si="38"/>
        <v>2.7910685805422646E-2</v>
      </c>
      <c r="G107" s="43">
        <f t="shared" si="38"/>
        <v>5.5821371610845294E-3</v>
      </c>
      <c r="H107" s="43">
        <f t="shared" si="38"/>
        <v>4.7846889952153108E-3</v>
      </c>
      <c r="I107" s="43">
        <f t="shared" si="38"/>
        <v>3.4290271132376399E-2</v>
      </c>
      <c r="J107" s="43">
        <f t="shared" si="38"/>
        <v>2.4720893141945772E-2</v>
      </c>
      <c r="K107" s="43">
        <f t="shared" si="38"/>
        <v>5.3429027113237638E-2</v>
      </c>
      <c r="L107" s="43">
        <f t="shared" si="38"/>
        <v>6.2998405103668262E-2</v>
      </c>
      <c r="M107" s="43">
        <f t="shared" si="38"/>
        <v>0.26315789473684209</v>
      </c>
      <c r="N107" s="43">
        <f t="shared" si="38"/>
        <v>4.7846889952153108E-3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0.44913419913419911</v>
      </c>
      <c r="D108" s="44">
        <f t="shared" ref="D108:N108" si="39">D106/$O$106</f>
        <v>0.17857142857142858</v>
      </c>
      <c r="E108" s="44">
        <f t="shared" si="39"/>
        <v>7.575757575757576E-2</v>
      </c>
      <c r="F108" s="44">
        <f t="shared" si="39"/>
        <v>3.787878787878788E-2</v>
      </c>
      <c r="G108" s="44">
        <f t="shared" si="39"/>
        <v>7.575757575757576E-3</v>
      </c>
      <c r="H108" s="44">
        <f t="shared" si="39"/>
        <v>6.4935064935064939E-3</v>
      </c>
      <c r="I108" s="44">
        <f t="shared" si="39"/>
        <v>4.6536796536796536E-2</v>
      </c>
      <c r="J108" s="44">
        <f t="shared" si="39"/>
        <v>3.3549783549783552E-2</v>
      </c>
      <c r="K108" s="44">
        <f t="shared" si="39"/>
        <v>7.2510822510822512E-2</v>
      </c>
      <c r="L108" s="44">
        <f t="shared" si="39"/>
        <v>8.5497835497835503E-2</v>
      </c>
      <c r="M108" s="44"/>
      <c r="N108" s="44">
        <f t="shared" si="39"/>
        <v>6.4935064935064939E-3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249977111117893"/>
  </sheetPr>
  <dimension ref="B1:AF174"/>
  <sheetViews>
    <sheetView view="pageBreakPreview" topLeftCell="A37" zoomScale="60" workbookViewId="0">
      <selection activeCell="S102" sqref="S10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3.85546875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Lyantonde-Rushere'!C3:G3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'26.10 Lyantonde-Rushere-24hr'!D5</f>
        <v>26.10.19</v>
      </c>
      <c r="E5" s="3"/>
      <c r="F5" s="41" t="s">
        <v>1</v>
      </c>
      <c r="G5" s="63" t="str">
        <f>'26.10 Lyantonde-Rushere-24hr'!G5:H5</f>
        <v>Kaguta road JTC</v>
      </c>
      <c r="H5" s="64"/>
      <c r="I5" s="14"/>
      <c r="J5" s="2" t="s">
        <v>5</v>
      </c>
      <c r="K5" s="63" t="s">
        <v>174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Rushere-Lyantonde'!D6:E6</f>
        <v>Rushere</v>
      </c>
      <c r="E6" s="64"/>
      <c r="F6" s="2" t="s">
        <v>2</v>
      </c>
      <c r="G6" s="63" t="str">
        <f>'27.10 Rushere-Lyantonde'!G6:H6</f>
        <v>Lyantonde</v>
      </c>
      <c r="H6" s="64"/>
      <c r="J6" s="2" t="s">
        <v>21</v>
      </c>
      <c r="K6" s="63" t="str">
        <f>'26.10 Lyantonde-Rushere-24hr'!K6:L6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1</v>
      </c>
      <c r="E10" s="50">
        <v>2</v>
      </c>
      <c r="F10" s="50">
        <v>1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2</v>
      </c>
      <c r="N10" s="50">
        <v>0</v>
      </c>
      <c r="O10" s="15">
        <f t="shared" ref="O10:O73" si="0">SUM(C10:L10,N10)</f>
        <v>8</v>
      </c>
      <c r="P10" s="15">
        <f t="shared" ref="P10:P73" si="1">SUM(C10:N10)</f>
        <v>10</v>
      </c>
      <c r="R10" s="1" t="s">
        <v>6</v>
      </c>
      <c r="S10" s="17">
        <f t="shared" ref="S10:AF10" si="2">SUM(C10:C13)</f>
        <v>11</v>
      </c>
      <c r="T10" s="17">
        <f t="shared" si="2"/>
        <v>4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5</v>
      </c>
      <c r="AD10" s="17">
        <f t="shared" si="2"/>
        <v>0</v>
      </c>
      <c r="AE10" s="31">
        <f t="shared" si="2"/>
        <v>22</v>
      </c>
      <c r="AF10" s="31">
        <f t="shared" si="2"/>
        <v>27</v>
      </c>
    </row>
    <row r="11" spans="2:32" s="6" customFormat="1" ht="23.1" customHeight="1" x14ac:dyDescent="0.25">
      <c r="B11" s="45" t="s">
        <v>38</v>
      </c>
      <c r="C11" s="50">
        <v>3</v>
      </c>
      <c r="D11" s="50">
        <v>2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6</v>
      </c>
      <c r="P11" s="15">
        <f t="shared" si="1"/>
        <v>6</v>
      </c>
      <c r="R11" s="1" t="s">
        <v>7</v>
      </c>
      <c r="S11" s="17">
        <f t="shared" ref="S11:AF11" si="3">SUM(C14:C17)</f>
        <v>4</v>
      </c>
      <c r="T11" s="17">
        <f t="shared" si="3"/>
        <v>3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0</v>
      </c>
      <c r="AB11" s="17">
        <f t="shared" si="3"/>
        <v>0</v>
      </c>
      <c r="AC11" s="17">
        <f t="shared" si="3"/>
        <v>15</v>
      </c>
      <c r="AD11" s="17">
        <f t="shared" si="3"/>
        <v>0</v>
      </c>
      <c r="AE11" s="31">
        <f t="shared" si="3"/>
        <v>8</v>
      </c>
      <c r="AF11" s="31">
        <f t="shared" si="3"/>
        <v>23</v>
      </c>
    </row>
    <row r="12" spans="2:32" ht="23.1" customHeight="1" x14ac:dyDescent="0.25">
      <c r="B12" s="45" t="s">
        <v>39</v>
      </c>
      <c r="C12" s="50">
        <v>4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6</v>
      </c>
      <c r="P12" s="15">
        <f t="shared" si="1"/>
        <v>9</v>
      </c>
      <c r="R12" s="1" t="s">
        <v>8</v>
      </c>
      <c r="S12" s="17">
        <f t="shared" ref="S12:AF12" si="4">SUM(C18:C21)</f>
        <v>9</v>
      </c>
      <c r="T12" s="17">
        <f t="shared" si="4"/>
        <v>5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1</v>
      </c>
      <c r="AA12" s="17">
        <f t="shared" si="4"/>
        <v>1</v>
      </c>
      <c r="AB12" s="17">
        <f t="shared" si="4"/>
        <v>1</v>
      </c>
      <c r="AC12" s="17">
        <f t="shared" si="4"/>
        <v>17</v>
      </c>
      <c r="AD12" s="17">
        <f t="shared" si="4"/>
        <v>0</v>
      </c>
      <c r="AE12" s="31">
        <f t="shared" si="4"/>
        <v>19</v>
      </c>
      <c r="AF12" s="31">
        <f t="shared" si="4"/>
        <v>36</v>
      </c>
    </row>
    <row r="13" spans="2:32" ht="23.1" customHeight="1" x14ac:dyDescent="0.25">
      <c r="B13" s="45" t="s">
        <v>40</v>
      </c>
      <c r="C13" s="50">
        <v>2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2</v>
      </c>
      <c r="P13" s="15">
        <f t="shared" si="1"/>
        <v>2</v>
      </c>
      <c r="R13" s="1" t="s">
        <v>9</v>
      </c>
      <c r="S13" s="17">
        <f t="shared" ref="S13:AF13" si="5">SUM(C22:C25)</f>
        <v>14</v>
      </c>
      <c r="T13" s="17">
        <f t="shared" si="5"/>
        <v>5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1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13</v>
      </c>
      <c r="AD13" s="17">
        <f t="shared" si="5"/>
        <v>1</v>
      </c>
      <c r="AE13" s="31">
        <f t="shared" si="5"/>
        <v>26</v>
      </c>
      <c r="AF13" s="31">
        <f t="shared" si="5"/>
        <v>39</v>
      </c>
    </row>
    <row r="14" spans="2:32" ht="23.1" customHeight="1" x14ac:dyDescent="0.25">
      <c r="B14" s="45" t="s">
        <v>41</v>
      </c>
      <c r="C14" s="50">
        <v>0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2</v>
      </c>
      <c r="P14" s="15">
        <f t="shared" si="1"/>
        <v>3</v>
      </c>
      <c r="R14" s="1" t="s">
        <v>10</v>
      </c>
      <c r="S14" s="17">
        <f t="shared" ref="S14:AF14" si="6">SUM(C26:C29)</f>
        <v>18</v>
      </c>
      <c r="T14" s="17">
        <f t="shared" si="6"/>
        <v>1</v>
      </c>
      <c r="U14" s="17">
        <f t="shared" si="6"/>
        <v>1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0</v>
      </c>
      <c r="AA14" s="17">
        <f t="shared" si="6"/>
        <v>0</v>
      </c>
      <c r="AB14" s="17">
        <f t="shared" si="6"/>
        <v>3</v>
      </c>
      <c r="AC14" s="17">
        <f t="shared" si="6"/>
        <v>18</v>
      </c>
      <c r="AD14" s="17">
        <f t="shared" si="6"/>
        <v>0</v>
      </c>
      <c r="AE14" s="31">
        <f t="shared" si="6"/>
        <v>23</v>
      </c>
      <c r="AF14" s="31">
        <f t="shared" si="6"/>
        <v>41</v>
      </c>
    </row>
    <row r="15" spans="2:32" ht="23.1" customHeight="1" x14ac:dyDescent="0.25">
      <c r="B15" s="45" t="s">
        <v>42</v>
      </c>
      <c r="C15" s="50">
        <v>2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4</v>
      </c>
      <c r="N15" s="50">
        <v>0</v>
      </c>
      <c r="O15" s="15">
        <f t="shared" si="0"/>
        <v>3</v>
      </c>
      <c r="P15" s="15">
        <f t="shared" si="1"/>
        <v>7</v>
      </c>
      <c r="R15" s="1" t="s">
        <v>11</v>
      </c>
      <c r="S15" s="17">
        <f t="shared" ref="S15:AF15" si="7">SUM(C30:C33)</f>
        <v>16</v>
      </c>
      <c r="T15" s="17">
        <f t="shared" si="7"/>
        <v>4</v>
      </c>
      <c r="U15" s="17">
        <f t="shared" si="7"/>
        <v>3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2</v>
      </c>
      <c r="AA15" s="17">
        <f t="shared" si="7"/>
        <v>0</v>
      </c>
      <c r="AB15" s="17">
        <f t="shared" si="7"/>
        <v>1</v>
      </c>
      <c r="AC15" s="17">
        <f t="shared" si="7"/>
        <v>29</v>
      </c>
      <c r="AD15" s="17">
        <f t="shared" si="7"/>
        <v>0</v>
      </c>
      <c r="AE15" s="31">
        <f t="shared" si="7"/>
        <v>28</v>
      </c>
      <c r="AF15" s="31">
        <f t="shared" si="7"/>
        <v>57</v>
      </c>
    </row>
    <row r="16" spans="2:32" ht="23.1" customHeight="1" x14ac:dyDescent="0.25">
      <c r="B16" s="45" t="s">
        <v>43</v>
      </c>
      <c r="C16" s="50">
        <v>1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2</v>
      </c>
      <c r="P16" s="15">
        <f t="shared" si="1"/>
        <v>5</v>
      </c>
      <c r="R16" s="1" t="s">
        <v>12</v>
      </c>
      <c r="S16" s="17">
        <f t="shared" ref="S16:AF16" si="8">SUM(C34:C37)</f>
        <v>17</v>
      </c>
      <c r="T16" s="17">
        <f t="shared" si="8"/>
        <v>4</v>
      </c>
      <c r="U16" s="17">
        <f t="shared" si="8"/>
        <v>2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1</v>
      </c>
      <c r="AB16" s="17">
        <f t="shared" si="8"/>
        <v>0</v>
      </c>
      <c r="AC16" s="17">
        <f t="shared" si="8"/>
        <v>19</v>
      </c>
      <c r="AD16" s="17">
        <f t="shared" si="8"/>
        <v>0</v>
      </c>
      <c r="AE16" s="31">
        <f t="shared" si="8"/>
        <v>28</v>
      </c>
      <c r="AF16" s="31">
        <f t="shared" si="8"/>
        <v>47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7</v>
      </c>
      <c r="N17" s="50">
        <v>0</v>
      </c>
      <c r="O17" s="15">
        <f t="shared" si="0"/>
        <v>1</v>
      </c>
      <c r="P17" s="15">
        <f t="shared" si="1"/>
        <v>8</v>
      </c>
      <c r="R17" s="1" t="s">
        <v>13</v>
      </c>
      <c r="S17" s="17">
        <f t="shared" ref="S17:AF17" si="9">SUM(C38:C41)</f>
        <v>26</v>
      </c>
      <c r="T17" s="17">
        <f t="shared" si="9"/>
        <v>4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0</v>
      </c>
      <c r="AA17" s="17">
        <f t="shared" si="9"/>
        <v>2</v>
      </c>
      <c r="AB17" s="17">
        <f t="shared" si="9"/>
        <v>0</v>
      </c>
      <c r="AC17" s="17">
        <f t="shared" si="9"/>
        <v>26</v>
      </c>
      <c r="AD17" s="17">
        <f t="shared" si="9"/>
        <v>0</v>
      </c>
      <c r="AE17" s="31">
        <f t="shared" si="9"/>
        <v>36</v>
      </c>
      <c r="AF17" s="31">
        <f t="shared" si="9"/>
        <v>62</v>
      </c>
    </row>
    <row r="18" spans="2:32" ht="23.1" customHeight="1" x14ac:dyDescent="0.25">
      <c r="B18" s="45" t="s">
        <v>45</v>
      </c>
      <c r="C18" s="50">
        <v>2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4</v>
      </c>
      <c r="N18" s="50">
        <v>0</v>
      </c>
      <c r="O18" s="15">
        <f t="shared" si="0"/>
        <v>3</v>
      </c>
      <c r="P18" s="15">
        <f t="shared" si="1"/>
        <v>7</v>
      </c>
      <c r="R18" s="1" t="s">
        <v>14</v>
      </c>
      <c r="S18" s="17">
        <f t="shared" ref="S18:AF18" si="10">SUM(C42:C45)</f>
        <v>18</v>
      </c>
      <c r="T18" s="17">
        <f t="shared" si="10"/>
        <v>0</v>
      </c>
      <c r="U18" s="17">
        <f t="shared" si="10"/>
        <v>8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27</v>
      </c>
      <c r="AD18" s="17">
        <f t="shared" si="10"/>
        <v>0</v>
      </c>
      <c r="AE18" s="31">
        <f t="shared" si="10"/>
        <v>34</v>
      </c>
      <c r="AF18" s="31">
        <f t="shared" si="10"/>
        <v>61</v>
      </c>
    </row>
    <row r="19" spans="2:32" ht="23.1" customHeight="1" x14ac:dyDescent="0.25">
      <c r="B19" s="45" t="s">
        <v>46</v>
      </c>
      <c r="C19" s="50">
        <v>1</v>
      </c>
      <c r="D19" s="50">
        <v>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4</v>
      </c>
      <c r="P19" s="15">
        <f t="shared" si="1"/>
        <v>9</v>
      </c>
      <c r="R19" s="1" t="s">
        <v>15</v>
      </c>
      <c r="S19" s="17">
        <f t="shared" ref="S19:AF19" si="11">SUM(C46:C49)</f>
        <v>26</v>
      </c>
      <c r="T19" s="17">
        <f t="shared" si="11"/>
        <v>2</v>
      </c>
      <c r="U19" s="17">
        <f t="shared" si="11"/>
        <v>6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28</v>
      </c>
      <c r="AD19" s="17">
        <f t="shared" si="11"/>
        <v>0</v>
      </c>
      <c r="AE19" s="31">
        <f t="shared" si="11"/>
        <v>38</v>
      </c>
      <c r="AF19" s="31">
        <f t="shared" si="11"/>
        <v>66</v>
      </c>
    </row>
    <row r="20" spans="2:32" ht="23.1" customHeight="1" x14ac:dyDescent="0.25">
      <c r="B20" s="45" t="s">
        <v>47</v>
      </c>
      <c r="C20" s="50">
        <v>3</v>
      </c>
      <c r="D20" s="50">
        <v>0</v>
      </c>
      <c r="E20" s="50">
        <v>1</v>
      </c>
      <c r="F20" s="50">
        <v>0</v>
      </c>
      <c r="G20" s="50">
        <v>0</v>
      </c>
      <c r="H20" s="50">
        <v>1</v>
      </c>
      <c r="I20" s="50">
        <v>0</v>
      </c>
      <c r="J20" s="50">
        <v>0</v>
      </c>
      <c r="K20" s="50">
        <v>1</v>
      </c>
      <c r="L20" s="50">
        <v>1</v>
      </c>
      <c r="M20" s="50">
        <v>3</v>
      </c>
      <c r="N20" s="50">
        <v>0</v>
      </c>
      <c r="O20" s="15">
        <f t="shared" si="0"/>
        <v>7</v>
      </c>
      <c r="P20" s="15">
        <f t="shared" si="1"/>
        <v>10</v>
      </c>
      <c r="R20" s="1" t="s">
        <v>16</v>
      </c>
      <c r="S20" s="17">
        <f t="shared" ref="S20:AF20" si="12">SUM(C50:C53)</f>
        <v>19</v>
      </c>
      <c r="T20" s="17">
        <f t="shared" si="12"/>
        <v>7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3</v>
      </c>
      <c r="AA20" s="17">
        <f t="shared" si="12"/>
        <v>2</v>
      </c>
      <c r="AB20" s="17">
        <f t="shared" si="12"/>
        <v>0</v>
      </c>
      <c r="AC20" s="17">
        <f t="shared" si="12"/>
        <v>26</v>
      </c>
      <c r="AD20" s="17">
        <f t="shared" si="12"/>
        <v>0</v>
      </c>
      <c r="AE20" s="31">
        <f t="shared" si="12"/>
        <v>37</v>
      </c>
      <c r="AF20" s="31">
        <f t="shared" si="12"/>
        <v>63</v>
      </c>
    </row>
    <row r="21" spans="2:32" ht="23.1" customHeight="1" x14ac:dyDescent="0.25">
      <c r="B21" s="45" t="s">
        <v>48</v>
      </c>
      <c r="C21" s="50">
        <v>3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5</v>
      </c>
      <c r="P21" s="15">
        <f t="shared" si="1"/>
        <v>10</v>
      </c>
      <c r="R21" s="36" t="s">
        <v>20</v>
      </c>
      <c r="S21" s="34">
        <f t="shared" ref="S21:AF21" si="13">SUM(C54:C57)</f>
        <v>19</v>
      </c>
      <c r="T21" s="17">
        <f t="shared" si="13"/>
        <v>4</v>
      </c>
      <c r="U21" s="17">
        <f t="shared" si="13"/>
        <v>4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2</v>
      </c>
      <c r="AA21" s="17">
        <f t="shared" si="13"/>
        <v>6</v>
      </c>
      <c r="AB21" s="17">
        <f t="shared" si="13"/>
        <v>2</v>
      </c>
      <c r="AC21" s="17">
        <f t="shared" si="13"/>
        <v>26</v>
      </c>
      <c r="AD21" s="17">
        <f t="shared" si="13"/>
        <v>0</v>
      </c>
      <c r="AE21" s="31">
        <f t="shared" si="13"/>
        <v>40</v>
      </c>
      <c r="AF21" s="31">
        <f t="shared" si="13"/>
        <v>66</v>
      </c>
    </row>
    <row r="22" spans="2:32" ht="23.1" customHeight="1" x14ac:dyDescent="0.25">
      <c r="B22" s="45" t="s">
        <v>49</v>
      </c>
      <c r="C22" s="50">
        <v>3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</v>
      </c>
      <c r="N22" s="50">
        <v>0</v>
      </c>
      <c r="O22" s="15">
        <f t="shared" si="0"/>
        <v>5</v>
      </c>
      <c r="P22" s="15">
        <f t="shared" si="1"/>
        <v>7</v>
      </c>
      <c r="R22" s="36" t="s">
        <v>146</v>
      </c>
      <c r="S22" s="34">
        <f>SUM(C58:C61)</f>
        <v>17</v>
      </c>
      <c r="T22" s="34">
        <f t="shared" ref="T22:AF22" si="14">SUM(D58:D61)</f>
        <v>6</v>
      </c>
      <c r="U22" s="34">
        <f t="shared" si="14"/>
        <v>3</v>
      </c>
      <c r="V22" s="34">
        <f t="shared" si="14"/>
        <v>3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2</v>
      </c>
      <c r="AA22" s="34">
        <f t="shared" si="14"/>
        <v>2</v>
      </c>
      <c r="AB22" s="34">
        <f t="shared" si="14"/>
        <v>0</v>
      </c>
      <c r="AC22" s="34">
        <f t="shared" si="14"/>
        <v>14</v>
      </c>
      <c r="AD22" s="34">
        <f t="shared" si="14"/>
        <v>0</v>
      </c>
      <c r="AE22" s="31">
        <f t="shared" si="14"/>
        <v>33</v>
      </c>
      <c r="AF22" s="31">
        <f t="shared" si="14"/>
        <v>47</v>
      </c>
    </row>
    <row r="23" spans="2:32" ht="23.1" customHeight="1" x14ac:dyDescent="0.25">
      <c r="B23" s="45" t="s">
        <v>50</v>
      </c>
      <c r="C23" s="50">
        <v>3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6</v>
      </c>
      <c r="P23" s="15">
        <f t="shared" si="1"/>
        <v>9</v>
      </c>
      <c r="R23" s="36" t="s">
        <v>147</v>
      </c>
      <c r="S23" s="34">
        <f>SUM(C62:C65)</f>
        <v>18</v>
      </c>
      <c r="T23" s="34">
        <f t="shared" ref="T23:AF23" si="15">SUM(D62:D65)</f>
        <v>1</v>
      </c>
      <c r="U23" s="34">
        <f t="shared" si="15"/>
        <v>5</v>
      </c>
      <c r="V23" s="34">
        <f t="shared" si="15"/>
        <v>1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1</v>
      </c>
      <c r="AA23" s="34">
        <f t="shared" si="15"/>
        <v>1</v>
      </c>
      <c r="AB23" s="34">
        <f t="shared" si="15"/>
        <v>0</v>
      </c>
      <c r="AC23" s="34">
        <f t="shared" si="15"/>
        <v>5</v>
      </c>
      <c r="AD23" s="34">
        <f t="shared" si="15"/>
        <v>0</v>
      </c>
      <c r="AE23" s="31">
        <f t="shared" si="15"/>
        <v>30</v>
      </c>
      <c r="AF23" s="31">
        <f t="shared" si="15"/>
        <v>35</v>
      </c>
    </row>
    <row r="24" spans="2:32" ht="23.1" customHeight="1" x14ac:dyDescent="0.25">
      <c r="B24" s="45" t="s">
        <v>51</v>
      </c>
      <c r="C24" s="50">
        <v>3</v>
      </c>
      <c r="D24" s="50">
        <v>3</v>
      </c>
      <c r="E24" s="50">
        <v>0</v>
      </c>
      <c r="F24" s="50">
        <v>0</v>
      </c>
      <c r="G24" s="50">
        <v>0</v>
      </c>
      <c r="H24" s="50">
        <v>1</v>
      </c>
      <c r="I24" s="50">
        <v>0</v>
      </c>
      <c r="J24" s="50">
        <v>0</v>
      </c>
      <c r="K24" s="50">
        <v>0</v>
      </c>
      <c r="L24" s="50">
        <v>0</v>
      </c>
      <c r="M24" s="50">
        <v>3</v>
      </c>
      <c r="N24" s="50">
        <v>1</v>
      </c>
      <c r="O24" s="15">
        <f t="shared" si="0"/>
        <v>8</v>
      </c>
      <c r="P24" s="15">
        <f t="shared" si="1"/>
        <v>11</v>
      </c>
      <c r="R24" s="36" t="s">
        <v>148</v>
      </c>
      <c r="S24" s="34">
        <f>SUM(C66:C69)</f>
        <v>13</v>
      </c>
      <c r="T24" s="34">
        <f t="shared" ref="T24:AF24" si="16">SUM(D66:D69)</f>
        <v>5</v>
      </c>
      <c r="U24" s="34">
        <f t="shared" si="16"/>
        <v>4</v>
      </c>
      <c r="V24" s="34">
        <f t="shared" si="16"/>
        <v>1</v>
      </c>
      <c r="W24" s="34">
        <f t="shared" si="16"/>
        <v>2</v>
      </c>
      <c r="X24" s="34">
        <f t="shared" si="16"/>
        <v>1</v>
      </c>
      <c r="Y24" s="34">
        <f t="shared" si="16"/>
        <v>6</v>
      </c>
      <c r="Z24" s="34">
        <f t="shared" si="16"/>
        <v>6</v>
      </c>
      <c r="AA24" s="34">
        <f t="shared" si="16"/>
        <v>0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38</v>
      </c>
      <c r="AF24" s="31">
        <f t="shared" si="16"/>
        <v>38</v>
      </c>
    </row>
    <row r="25" spans="2:32" ht="23.1" customHeight="1" x14ac:dyDescent="0.25">
      <c r="B25" s="45" t="s">
        <v>52</v>
      </c>
      <c r="C25" s="50">
        <v>5</v>
      </c>
      <c r="D25" s="50">
        <v>1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7</v>
      </c>
      <c r="P25" s="15">
        <f t="shared" si="1"/>
        <v>12</v>
      </c>
      <c r="R25" s="36" t="s">
        <v>149</v>
      </c>
      <c r="S25" s="34">
        <f>SUM(C70:C73)</f>
        <v>6</v>
      </c>
      <c r="T25" s="34">
        <f t="shared" ref="T25:AF25" si="17">SUM(D70:D73)</f>
        <v>4</v>
      </c>
      <c r="U25" s="34">
        <f t="shared" si="17"/>
        <v>4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6</v>
      </c>
      <c r="AA25" s="34">
        <f t="shared" si="17"/>
        <v>0</v>
      </c>
      <c r="AB25" s="34">
        <f t="shared" si="17"/>
        <v>1</v>
      </c>
      <c r="AC25" s="34">
        <f t="shared" si="17"/>
        <v>0</v>
      </c>
      <c r="AD25" s="34">
        <f t="shared" si="17"/>
        <v>0</v>
      </c>
      <c r="AE25" s="31">
        <f t="shared" si="17"/>
        <v>24</v>
      </c>
      <c r="AF25" s="31">
        <f t="shared" si="17"/>
        <v>24</v>
      </c>
    </row>
    <row r="26" spans="2:32" ht="23.1" customHeight="1" x14ac:dyDescent="0.25">
      <c r="B26" s="45" t="s">
        <v>53</v>
      </c>
      <c r="C26" s="50">
        <v>6</v>
      </c>
      <c r="D26" s="50">
        <v>1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3</v>
      </c>
      <c r="N26" s="50">
        <v>0</v>
      </c>
      <c r="O26" s="15">
        <f t="shared" si="0"/>
        <v>8</v>
      </c>
      <c r="P26" s="15">
        <f t="shared" si="1"/>
        <v>11</v>
      </c>
      <c r="R26" s="36" t="s">
        <v>150</v>
      </c>
      <c r="S26" s="34">
        <f>SUM(C74:C77)</f>
        <v>6</v>
      </c>
      <c r="T26" s="34">
        <f t="shared" ref="T26:AF26" si="18">SUM(D74:D77)</f>
        <v>3</v>
      </c>
      <c r="U26" s="34">
        <f t="shared" si="18"/>
        <v>2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4</v>
      </c>
      <c r="AA26" s="34">
        <f t="shared" si="18"/>
        <v>1</v>
      </c>
      <c r="AB26" s="34">
        <f t="shared" si="18"/>
        <v>1</v>
      </c>
      <c r="AC26" s="34">
        <f t="shared" si="18"/>
        <v>0</v>
      </c>
      <c r="AD26" s="34">
        <f t="shared" si="18"/>
        <v>0</v>
      </c>
      <c r="AE26" s="31">
        <f t="shared" si="18"/>
        <v>20</v>
      </c>
      <c r="AF26" s="31">
        <f t="shared" si="18"/>
        <v>20</v>
      </c>
    </row>
    <row r="27" spans="2:32" ht="23.1" customHeight="1" x14ac:dyDescent="0.25">
      <c r="B27" s="45" t="s">
        <v>54</v>
      </c>
      <c r="C27" s="50">
        <v>6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4</v>
      </c>
      <c r="N27" s="50">
        <v>0</v>
      </c>
      <c r="O27" s="15">
        <f t="shared" si="0"/>
        <v>6</v>
      </c>
      <c r="P27" s="15">
        <f t="shared" si="1"/>
        <v>10</v>
      </c>
      <c r="R27" s="36" t="s">
        <v>151</v>
      </c>
      <c r="S27" s="34">
        <f>SUM(C78:C81)</f>
        <v>4</v>
      </c>
      <c r="T27" s="34">
        <f t="shared" ref="T27:AF27" si="19">SUM(D78:D81)</f>
        <v>1</v>
      </c>
      <c r="U27" s="34">
        <f t="shared" si="19"/>
        <v>4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4</v>
      </c>
      <c r="Z27" s="34">
        <f t="shared" si="19"/>
        <v>7</v>
      </c>
      <c r="AA27" s="34">
        <f t="shared" si="19"/>
        <v>3</v>
      </c>
      <c r="AB27" s="34">
        <f t="shared" si="19"/>
        <v>4</v>
      </c>
      <c r="AC27" s="34">
        <f t="shared" si="19"/>
        <v>0</v>
      </c>
      <c r="AD27" s="34">
        <f t="shared" si="19"/>
        <v>0</v>
      </c>
      <c r="AE27" s="31">
        <f t="shared" si="19"/>
        <v>27</v>
      </c>
      <c r="AF27" s="31">
        <f t="shared" si="19"/>
        <v>27</v>
      </c>
    </row>
    <row r="28" spans="2:32" ht="23.1" customHeight="1" x14ac:dyDescent="0.25">
      <c r="B28" s="45" t="s">
        <v>55</v>
      </c>
      <c r="C28" s="50">
        <v>5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3</v>
      </c>
      <c r="M28" s="50">
        <v>4</v>
      </c>
      <c r="N28" s="50">
        <v>0</v>
      </c>
      <c r="O28" s="15">
        <f t="shared" si="0"/>
        <v>8</v>
      </c>
      <c r="P28" s="15">
        <f t="shared" si="1"/>
        <v>12</v>
      </c>
      <c r="R28" s="36" t="s">
        <v>152</v>
      </c>
      <c r="S28" s="34">
        <f>SUM(C82:C85)</f>
        <v>1</v>
      </c>
      <c r="T28" s="34">
        <f t="shared" ref="T28:AF28" si="20">SUM(D82:D85)</f>
        <v>0</v>
      </c>
      <c r="U28" s="34">
        <f t="shared" si="20"/>
        <v>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5</v>
      </c>
      <c r="AC28" s="34">
        <f t="shared" si="20"/>
        <v>0</v>
      </c>
      <c r="AD28" s="34">
        <f t="shared" si="20"/>
        <v>0</v>
      </c>
      <c r="AE28" s="31">
        <f t="shared" si="20"/>
        <v>12</v>
      </c>
      <c r="AF28" s="31">
        <f t="shared" si="20"/>
        <v>12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1</v>
      </c>
      <c r="P29" s="15">
        <f t="shared" si="1"/>
        <v>8</v>
      </c>
      <c r="R29" s="36" t="s">
        <v>153</v>
      </c>
      <c r="S29" s="34">
        <f>SUM(C86:C89)</f>
        <v>3</v>
      </c>
      <c r="T29" s="34">
        <f t="shared" ref="T29:AF29" si="21">SUM(D86:D89)</f>
        <v>3</v>
      </c>
      <c r="U29" s="34">
        <f t="shared" si="21"/>
        <v>4</v>
      </c>
      <c r="V29" s="34">
        <f t="shared" si="21"/>
        <v>0</v>
      </c>
      <c r="W29" s="34">
        <f t="shared" si="21"/>
        <v>0</v>
      </c>
      <c r="X29" s="34">
        <f t="shared" si="21"/>
        <v>1</v>
      </c>
      <c r="Y29" s="34">
        <f t="shared" si="21"/>
        <v>3</v>
      </c>
      <c r="Z29" s="34">
        <f t="shared" si="21"/>
        <v>0</v>
      </c>
      <c r="AA29" s="34">
        <f t="shared" si="21"/>
        <v>5</v>
      </c>
      <c r="AB29" s="34">
        <f t="shared" si="21"/>
        <v>1</v>
      </c>
      <c r="AC29" s="34">
        <f t="shared" si="21"/>
        <v>0</v>
      </c>
      <c r="AD29" s="34">
        <f t="shared" si="21"/>
        <v>0</v>
      </c>
      <c r="AE29" s="31">
        <f t="shared" si="21"/>
        <v>20</v>
      </c>
      <c r="AF29" s="31">
        <f t="shared" si="21"/>
        <v>20</v>
      </c>
    </row>
    <row r="30" spans="2:32" ht="23.1" customHeight="1" x14ac:dyDescent="0.25">
      <c r="B30" s="45" t="s">
        <v>57</v>
      </c>
      <c r="C30" s="50">
        <v>1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6</v>
      </c>
      <c r="N30" s="50">
        <v>0</v>
      </c>
      <c r="O30" s="15">
        <f t="shared" si="0"/>
        <v>3</v>
      </c>
      <c r="P30" s="15">
        <f t="shared" si="1"/>
        <v>9</v>
      </c>
      <c r="R30" s="36" t="s">
        <v>154</v>
      </c>
      <c r="S30" s="34">
        <f>SUM(C90:C93)</f>
        <v>2</v>
      </c>
      <c r="T30" s="34">
        <f t="shared" ref="T30:AF30" si="22">SUM(D90:D93)</f>
        <v>2</v>
      </c>
      <c r="U30" s="34">
        <f t="shared" si="22"/>
        <v>1</v>
      </c>
      <c r="V30" s="34">
        <f t="shared" si="22"/>
        <v>1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5</v>
      </c>
      <c r="AA30" s="34">
        <f t="shared" si="22"/>
        <v>1</v>
      </c>
      <c r="AB30" s="34">
        <f t="shared" si="22"/>
        <v>1</v>
      </c>
      <c r="AC30" s="34">
        <f t="shared" si="22"/>
        <v>0</v>
      </c>
      <c r="AD30" s="34">
        <f t="shared" si="22"/>
        <v>0</v>
      </c>
      <c r="AE30" s="31">
        <f t="shared" si="22"/>
        <v>14</v>
      </c>
      <c r="AF30" s="31">
        <f t="shared" si="22"/>
        <v>14</v>
      </c>
    </row>
    <row r="31" spans="2:32" ht="23.1" customHeight="1" x14ac:dyDescent="0.25">
      <c r="B31" s="46" t="s">
        <v>58</v>
      </c>
      <c r="C31" s="50">
        <v>5</v>
      </c>
      <c r="D31" s="50">
        <v>2</v>
      </c>
      <c r="E31" s="50">
        <v>1</v>
      </c>
      <c r="F31" s="50">
        <v>0</v>
      </c>
      <c r="G31" s="50">
        <v>0</v>
      </c>
      <c r="H31" s="50">
        <v>0</v>
      </c>
      <c r="I31" s="50">
        <v>1</v>
      </c>
      <c r="J31" s="50">
        <v>2</v>
      </c>
      <c r="K31" s="50">
        <v>0</v>
      </c>
      <c r="L31" s="50">
        <v>1</v>
      </c>
      <c r="M31" s="50">
        <v>6</v>
      </c>
      <c r="N31" s="50">
        <v>0</v>
      </c>
      <c r="O31" s="15">
        <f t="shared" si="0"/>
        <v>12</v>
      </c>
      <c r="P31" s="15">
        <f t="shared" si="1"/>
        <v>18</v>
      </c>
      <c r="R31" s="36" t="s">
        <v>155</v>
      </c>
      <c r="S31" s="34">
        <f>SUM(C94:C97)</f>
        <v>2</v>
      </c>
      <c r="T31" s="34">
        <f t="shared" ref="T31:AF31" si="23">SUM(D94:D97)</f>
        <v>1</v>
      </c>
      <c r="U31" s="34">
        <f t="shared" si="23"/>
        <v>3</v>
      </c>
      <c r="V31" s="34">
        <f t="shared" si="23"/>
        <v>1</v>
      </c>
      <c r="W31" s="34">
        <f t="shared" si="23"/>
        <v>1</v>
      </c>
      <c r="X31" s="34">
        <f t="shared" si="23"/>
        <v>1</v>
      </c>
      <c r="Y31" s="34">
        <f t="shared" si="23"/>
        <v>1</v>
      </c>
      <c r="Z31" s="34">
        <f t="shared" si="23"/>
        <v>3</v>
      </c>
      <c r="AA31" s="34">
        <f t="shared" si="23"/>
        <v>0</v>
      </c>
      <c r="AB31" s="34">
        <f t="shared" si="23"/>
        <v>2</v>
      </c>
      <c r="AC31" s="34">
        <f t="shared" si="23"/>
        <v>0</v>
      </c>
      <c r="AD31" s="34">
        <f t="shared" si="23"/>
        <v>0</v>
      </c>
      <c r="AE31" s="31">
        <f t="shared" si="23"/>
        <v>15</v>
      </c>
      <c r="AF31" s="31">
        <f t="shared" si="23"/>
        <v>15</v>
      </c>
    </row>
    <row r="32" spans="2:32" ht="23.1" customHeight="1" x14ac:dyDescent="0.25">
      <c r="B32" s="46" t="s">
        <v>59</v>
      </c>
      <c r="C32" s="50">
        <v>8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7</v>
      </c>
      <c r="N32" s="50">
        <v>0</v>
      </c>
      <c r="O32" s="15">
        <f t="shared" si="0"/>
        <v>9</v>
      </c>
      <c r="P32" s="15">
        <f t="shared" si="1"/>
        <v>16</v>
      </c>
      <c r="R32" s="33" t="s">
        <v>156</v>
      </c>
      <c r="S32" s="34">
        <f>SUM(C98:C101)</f>
        <v>8</v>
      </c>
      <c r="T32" s="34">
        <f t="shared" ref="T32:AF32" si="24">SUM(D98:D101)</f>
        <v>5</v>
      </c>
      <c r="U32" s="34">
        <f t="shared" si="24"/>
        <v>2</v>
      </c>
      <c r="V32" s="34">
        <f t="shared" si="24"/>
        <v>1</v>
      </c>
      <c r="W32" s="34">
        <f t="shared" si="24"/>
        <v>0</v>
      </c>
      <c r="X32" s="34">
        <f t="shared" si="24"/>
        <v>1</v>
      </c>
      <c r="Y32" s="34">
        <f t="shared" si="24"/>
        <v>1</v>
      </c>
      <c r="Z32" s="34">
        <f t="shared" si="24"/>
        <v>7</v>
      </c>
      <c r="AA32" s="34">
        <f t="shared" si="24"/>
        <v>2</v>
      </c>
      <c r="AB32" s="34">
        <f t="shared" si="24"/>
        <v>0</v>
      </c>
      <c r="AC32" s="34">
        <f t="shared" si="24"/>
        <v>6</v>
      </c>
      <c r="AD32" s="34">
        <f t="shared" si="24"/>
        <v>0</v>
      </c>
      <c r="AE32" s="31">
        <f t="shared" si="24"/>
        <v>27</v>
      </c>
      <c r="AF32" s="31">
        <f t="shared" si="24"/>
        <v>33</v>
      </c>
    </row>
    <row r="33" spans="2:32" ht="23.1" customHeight="1" x14ac:dyDescent="0.25">
      <c r="B33" s="45" t="s">
        <v>60</v>
      </c>
      <c r="C33" s="50">
        <v>2</v>
      </c>
      <c r="D33" s="50">
        <v>2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4</v>
      </c>
      <c r="P33" s="15">
        <f t="shared" si="1"/>
        <v>14</v>
      </c>
      <c r="R33" s="33" t="s">
        <v>157</v>
      </c>
      <c r="S33" s="34">
        <f>SUM(C102:C105)</f>
        <v>11</v>
      </c>
      <c r="T33" s="34">
        <f t="shared" ref="T33:AF33" si="25">SUM(D102:D105)</f>
        <v>10</v>
      </c>
      <c r="U33" s="34">
        <f t="shared" si="25"/>
        <v>10</v>
      </c>
      <c r="V33" s="34">
        <f t="shared" si="25"/>
        <v>4</v>
      </c>
      <c r="W33" s="34">
        <f t="shared" si="25"/>
        <v>1</v>
      </c>
      <c r="X33" s="34">
        <f t="shared" si="25"/>
        <v>2</v>
      </c>
      <c r="Y33" s="34">
        <f t="shared" si="25"/>
        <v>6</v>
      </c>
      <c r="Z33" s="34">
        <f t="shared" si="25"/>
        <v>8</v>
      </c>
      <c r="AA33" s="34">
        <f t="shared" si="25"/>
        <v>2</v>
      </c>
      <c r="AB33" s="34">
        <f t="shared" si="25"/>
        <v>0</v>
      </c>
      <c r="AC33" s="34">
        <f t="shared" si="25"/>
        <v>14</v>
      </c>
      <c r="AD33" s="34">
        <f t="shared" si="25"/>
        <v>0</v>
      </c>
      <c r="AE33" s="31">
        <f t="shared" si="25"/>
        <v>54</v>
      </c>
      <c r="AF33" s="31">
        <f t="shared" si="25"/>
        <v>68</v>
      </c>
    </row>
    <row r="34" spans="2:32" ht="23.1" customHeight="1" x14ac:dyDescent="0.25">
      <c r="B34" s="46" t="s">
        <v>61</v>
      </c>
      <c r="C34" s="50">
        <v>4</v>
      </c>
      <c r="D34" s="50">
        <v>2</v>
      </c>
      <c r="E34" s="50">
        <v>0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8</v>
      </c>
      <c r="P34" s="15">
        <f t="shared" si="1"/>
        <v>19</v>
      </c>
      <c r="R34" s="38" t="s">
        <v>90</v>
      </c>
      <c r="S34" s="39">
        <f t="shared" ref="S34:AF34" si="26">MAX(S10:S12)</f>
        <v>11</v>
      </c>
      <c r="T34" s="39">
        <f t="shared" si="26"/>
        <v>5</v>
      </c>
      <c r="U34" s="39">
        <f t="shared" si="26"/>
        <v>2</v>
      </c>
      <c r="V34" s="39">
        <f t="shared" si="26"/>
        <v>1</v>
      </c>
      <c r="W34" s="39">
        <f t="shared" si="26"/>
        <v>0</v>
      </c>
      <c r="X34" s="39">
        <f t="shared" si="26"/>
        <v>1</v>
      </c>
      <c r="Y34" s="39">
        <f t="shared" si="26"/>
        <v>4</v>
      </c>
      <c r="Z34" s="39">
        <f t="shared" si="26"/>
        <v>1</v>
      </c>
      <c r="AA34" s="39">
        <f t="shared" si="26"/>
        <v>1</v>
      </c>
      <c r="AB34" s="39">
        <f t="shared" si="26"/>
        <v>1</v>
      </c>
      <c r="AC34" s="39">
        <f t="shared" si="26"/>
        <v>17</v>
      </c>
      <c r="AD34" s="39">
        <f t="shared" si="26"/>
        <v>0</v>
      </c>
      <c r="AE34" s="40">
        <f t="shared" si="26"/>
        <v>22</v>
      </c>
      <c r="AF34" s="40">
        <f t="shared" si="26"/>
        <v>36</v>
      </c>
    </row>
    <row r="35" spans="2:32" ht="23.1" customHeight="1" x14ac:dyDescent="0.25">
      <c r="B35" s="46" t="s">
        <v>62</v>
      </c>
      <c r="C35" s="50">
        <v>6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2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9</v>
      </c>
      <c r="P35" s="15">
        <f t="shared" si="1"/>
        <v>13</v>
      </c>
      <c r="R35" s="38" t="s">
        <v>91</v>
      </c>
      <c r="S35" s="39">
        <f t="shared" ref="S35:AF35" si="27">MAX(S13:S18)</f>
        <v>26</v>
      </c>
      <c r="T35" s="39">
        <f t="shared" si="27"/>
        <v>5</v>
      </c>
      <c r="U35" s="39">
        <f t="shared" si="27"/>
        <v>8</v>
      </c>
      <c r="V35" s="39">
        <f t="shared" si="27"/>
        <v>1</v>
      </c>
      <c r="W35" s="39">
        <f t="shared" si="27"/>
        <v>0</v>
      </c>
      <c r="X35" s="39">
        <f t="shared" si="27"/>
        <v>1</v>
      </c>
      <c r="Y35" s="39">
        <f t="shared" si="27"/>
        <v>4</v>
      </c>
      <c r="Z35" s="39">
        <f t="shared" si="27"/>
        <v>4</v>
      </c>
      <c r="AA35" s="39">
        <f t="shared" si="27"/>
        <v>2</v>
      </c>
      <c r="AB35" s="39">
        <f t="shared" si="27"/>
        <v>3</v>
      </c>
      <c r="AC35" s="39">
        <f t="shared" si="27"/>
        <v>29</v>
      </c>
      <c r="AD35" s="39">
        <f t="shared" si="27"/>
        <v>1</v>
      </c>
      <c r="AE35" s="40">
        <f t="shared" si="27"/>
        <v>36</v>
      </c>
      <c r="AF35" s="40">
        <f t="shared" si="27"/>
        <v>62</v>
      </c>
    </row>
    <row r="36" spans="2:32" ht="23.1" customHeight="1" x14ac:dyDescent="0.25">
      <c r="B36" s="46" t="s">
        <v>63</v>
      </c>
      <c r="C36" s="50">
        <v>4</v>
      </c>
      <c r="D36" s="50">
        <v>1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6</v>
      </c>
      <c r="P36" s="15">
        <f t="shared" si="1"/>
        <v>7</v>
      </c>
      <c r="R36" s="38" t="s">
        <v>92</v>
      </c>
      <c r="S36" s="39">
        <f t="shared" ref="S36:AF36" si="28">MAX(S19:S21)</f>
        <v>26</v>
      </c>
      <c r="T36" s="39">
        <f t="shared" si="28"/>
        <v>7</v>
      </c>
      <c r="U36" s="39">
        <f t="shared" si="28"/>
        <v>6</v>
      </c>
      <c r="V36" s="39">
        <f t="shared" si="28"/>
        <v>0</v>
      </c>
      <c r="W36" s="39">
        <f t="shared" si="28"/>
        <v>0</v>
      </c>
      <c r="X36" s="39">
        <f t="shared" si="28"/>
        <v>0</v>
      </c>
      <c r="Y36" s="39">
        <f t="shared" si="28"/>
        <v>4</v>
      </c>
      <c r="Z36" s="39">
        <f t="shared" si="28"/>
        <v>3</v>
      </c>
      <c r="AA36" s="39">
        <f t="shared" si="28"/>
        <v>6</v>
      </c>
      <c r="AB36" s="39">
        <f t="shared" si="28"/>
        <v>2</v>
      </c>
      <c r="AC36" s="39">
        <f t="shared" si="28"/>
        <v>28</v>
      </c>
      <c r="AD36" s="39">
        <f t="shared" si="28"/>
        <v>0</v>
      </c>
      <c r="AE36" s="40">
        <f t="shared" si="28"/>
        <v>40</v>
      </c>
      <c r="AF36" s="40">
        <f t="shared" si="28"/>
        <v>66</v>
      </c>
    </row>
    <row r="37" spans="2:32" ht="23.1" customHeight="1" x14ac:dyDescent="0.25">
      <c r="B37" s="45" t="s">
        <v>64</v>
      </c>
      <c r="C37" s="50">
        <v>3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1</v>
      </c>
      <c r="L37" s="50">
        <v>0</v>
      </c>
      <c r="M37" s="50">
        <v>3</v>
      </c>
      <c r="N37" s="50">
        <v>0</v>
      </c>
      <c r="O37" s="15">
        <f t="shared" si="0"/>
        <v>5</v>
      </c>
      <c r="P37" s="15">
        <f t="shared" si="1"/>
        <v>8</v>
      </c>
      <c r="R37" s="37" t="s">
        <v>85</v>
      </c>
      <c r="S37" s="35">
        <f t="shared" ref="S37:AF37" si="29">SUM(S10:S12)</f>
        <v>24</v>
      </c>
      <c r="T37" s="16">
        <f t="shared" si="29"/>
        <v>12</v>
      </c>
      <c r="U37" s="16">
        <f t="shared" si="29"/>
        <v>3</v>
      </c>
      <c r="V37" s="16">
        <f t="shared" si="29"/>
        <v>1</v>
      </c>
      <c r="W37" s="16">
        <f t="shared" si="29"/>
        <v>0</v>
      </c>
      <c r="X37" s="16">
        <f t="shared" si="29"/>
        <v>1</v>
      </c>
      <c r="Y37" s="16">
        <f t="shared" si="29"/>
        <v>4</v>
      </c>
      <c r="Z37" s="16">
        <f t="shared" si="29"/>
        <v>2</v>
      </c>
      <c r="AA37" s="16">
        <f t="shared" si="29"/>
        <v>1</v>
      </c>
      <c r="AB37" s="16">
        <f t="shared" si="29"/>
        <v>1</v>
      </c>
      <c r="AC37" s="16">
        <f t="shared" si="29"/>
        <v>37</v>
      </c>
      <c r="AD37" s="16">
        <f t="shared" si="29"/>
        <v>0</v>
      </c>
      <c r="AE37" s="32">
        <f t="shared" si="29"/>
        <v>49</v>
      </c>
      <c r="AF37" s="32">
        <f t="shared" si="29"/>
        <v>86</v>
      </c>
    </row>
    <row r="38" spans="2:32" ht="23.1" customHeight="1" x14ac:dyDescent="0.25">
      <c r="B38" s="46" t="s">
        <v>65</v>
      </c>
      <c r="C38" s="50">
        <v>10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0</v>
      </c>
      <c r="M38" s="50">
        <v>8</v>
      </c>
      <c r="N38" s="50">
        <v>0</v>
      </c>
      <c r="O38" s="15">
        <f t="shared" si="0"/>
        <v>12</v>
      </c>
      <c r="P38" s="15">
        <f t="shared" si="1"/>
        <v>20</v>
      </c>
      <c r="R38" s="28" t="s">
        <v>86</v>
      </c>
      <c r="S38" s="16">
        <f t="shared" ref="S38:AF38" si="30">SUM(S13:S18)</f>
        <v>109</v>
      </c>
      <c r="T38" s="16">
        <f t="shared" si="30"/>
        <v>18</v>
      </c>
      <c r="U38" s="16">
        <f t="shared" si="30"/>
        <v>19</v>
      </c>
      <c r="V38" s="16">
        <f t="shared" si="30"/>
        <v>2</v>
      </c>
      <c r="W38" s="16">
        <f t="shared" si="30"/>
        <v>0</v>
      </c>
      <c r="X38" s="16">
        <f t="shared" si="30"/>
        <v>1</v>
      </c>
      <c r="Y38" s="16">
        <f t="shared" si="30"/>
        <v>12</v>
      </c>
      <c r="Z38" s="16">
        <f t="shared" si="30"/>
        <v>6</v>
      </c>
      <c r="AA38" s="16">
        <f t="shared" si="30"/>
        <v>3</v>
      </c>
      <c r="AB38" s="16">
        <f t="shared" si="30"/>
        <v>4</v>
      </c>
      <c r="AC38" s="16">
        <f t="shared" si="30"/>
        <v>132</v>
      </c>
      <c r="AD38" s="16">
        <f t="shared" si="30"/>
        <v>1</v>
      </c>
      <c r="AE38" s="32">
        <f t="shared" si="30"/>
        <v>175</v>
      </c>
      <c r="AF38" s="32">
        <f t="shared" si="30"/>
        <v>307</v>
      </c>
    </row>
    <row r="39" spans="2:32" ht="23.1" customHeight="1" x14ac:dyDescent="0.25">
      <c r="B39" s="46" t="s">
        <v>66</v>
      </c>
      <c r="C39" s="50">
        <v>7</v>
      </c>
      <c r="D39" s="50">
        <v>2</v>
      </c>
      <c r="E39" s="50">
        <v>1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12</v>
      </c>
      <c r="P39" s="15">
        <f t="shared" si="1"/>
        <v>19</v>
      </c>
      <c r="R39" s="29" t="s">
        <v>87</v>
      </c>
      <c r="S39" s="16">
        <f t="shared" ref="S39:AF39" si="31">SUM(S19:S21)</f>
        <v>64</v>
      </c>
      <c r="T39" s="16">
        <f t="shared" si="31"/>
        <v>13</v>
      </c>
      <c r="U39" s="16">
        <f t="shared" si="31"/>
        <v>12</v>
      </c>
      <c r="V39" s="16">
        <f t="shared" si="31"/>
        <v>0</v>
      </c>
      <c r="W39" s="16">
        <f t="shared" si="31"/>
        <v>0</v>
      </c>
      <c r="X39" s="16">
        <f t="shared" si="31"/>
        <v>0</v>
      </c>
      <c r="Y39" s="16">
        <f t="shared" si="31"/>
        <v>10</v>
      </c>
      <c r="Z39" s="16">
        <f t="shared" si="31"/>
        <v>6</v>
      </c>
      <c r="AA39" s="16">
        <f t="shared" si="31"/>
        <v>8</v>
      </c>
      <c r="AB39" s="16">
        <f t="shared" si="31"/>
        <v>2</v>
      </c>
      <c r="AC39" s="16">
        <f t="shared" si="31"/>
        <v>80</v>
      </c>
      <c r="AD39" s="16">
        <f t="shared" si="31"/>
        <v>0</v>
      </c>
      <c r="AE39" s="32">
        <f t="shared" si="31"/>
        <v>115</v>
      </c>
      <c r="AF39" s="32">
        <f t="shared" si="31"/>
        <v>195</v>
      </c>
    </row>
    <row r="40" spans="2:32" ht="23.1" customHeight="1" x14ac:dyDescent="0.25">
      <c r="B40" s="46" t="s">
        <v>67</v>
      </c>
      <c r="C40" s="50">
        <v>3</v>
      </c>
      <c r="D40" s="50">
        <v>1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6</v>
      </c>
      <c r="N40" s="50">
        <v>0</v>
      </c>
      <c r="O40" s="15">
        <f t="shared" si="0"/>
        <v>5</v>
      </c>
      <c r="P40" s="15">
        <f t="shared" si="1"/>
        <v>11</v>
      </c>
      <c r="R40" s="5" t="s">
        <v>17</v>
      </c>
      <c r="S40" s="16">
        <f t="shared" ref="S40:AF40" si="32">SUM(S10:S21)</f>
        <v>197</v>
      </c>
      <c r="T40" s="16">
        <f t="shared" si="32"/>
        <v>43</v>
      </c>
      <c r="U40" s="16">
        <f t="shared" si="32"/>
        <v>34</v>
      </c>
      <c r="V40" s="16">
        <f t="shared" si="32"/>
        <v>3</v>
      </c>
      <c r="W40" s="16">
        <f t="shared" si="32"/>
        <v>0</v>
      </c>
      <c r="X40" s="16">
        <f t="shared" si="32"/>
        <v>2</v>
      </c>
      <c r="Y40" s="16">
        <f t="shared" si="32"/>
        <v>26</v>
      </c>
      <c r="Z40" s="16">
        <f t="shared" si="32"/>
        <v>14</v>
      </c>
      <c r="AA40" s="16">
        <f t="shared" si="32"/>
        <v>12</v>
      </c>
      <c r="AB40" s="16">
        <f t="shared" si="32"/>
        <v>7</v>
      </c>
      <c r="AC40" s="16">
        <f t="shared" si="32"/>
        <v>249</v>
      </c>
      <c r="AD40" s="16">
        <f t="shared" si="32"/>
        <v>1</v>
      </c>
      <c r="AE40" s="32">
        <f t="shared" si="32"/>
        <v>339</v>
      </c>
      <c r="AF40" s="32">
        <f t="shared" si="32"/>
        <v>588</v>
      </c>
    </row>
    <row r="41" spans="2:32" ht="23.1" customHeight="1" x14ac:dyDescent="0.25">
      <c r="B41" s="45" t="s">
        <v>68</v>
      </c>
      <c r="C41" s="50">
        <v>6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5</v>
      </c>
      <c r="N41" s="50">
        <v>0</v>
      </c>
      <c r="O41" s="15">
        <f t="shared" si="0"/>
        <v>7</v>
      </c>
      <c r="P41" s="15">
        <f t="shared" si="1"/>
        <v>12</v>
      </c>
      <c r="R41" s="5" t="s">
        <v>159</v>
      </c>
      <c r="S41" s="16">
        <f>SUM(S10:S33)</f>
        <v>288</v>
      </c>
      <c r="T41" s="16">
        <f t="shared" ref="T41:AF41" si="33">SUM(T10:T33)</f>
        <v>84</v>
      </c>
      <c r="U41" s="16">
        <f t="shared" si="33"/>
        <v>81</v>
      </c>
      <c r="V41" s="16">
        <f t="shared" si="33"/>
        <v>15</v>
      </c>
      <c r="W41" s="16">
        <f t="shared" si="33"/>
        <v>4</v>
      </c>
      <c r="X41" s="16">
        <f t="shared" si="33"/>
        <v>8</v>
      </c>
      <c r="Y41" s="16">
        <f t="shared" si="33"/>
        <v>58</v>
      </c>
      <c r="Z41" s="16">
        <f t="shared" si="33"/>
        <v>63</v>
      </c>
      <c r="AA41" s="16">
        <f t="shared" si="33"/>
        <v>29</v>
      </c>
      <c r="AB41" s="16">
        <f t="shared" si="33"/>
        <v>22</v>
      </c>
      <c r="AC41" s="16">
        <f t="shared" si="33"/>
        <v>288</v>
      </c>
      <c r="AD41" s="16">
        <f t="shared" si="33"/>
        <v>1</v>
      </c>
      <c r="AE41" s="32">
        <f t="shared" si="33"/>
        <v>653</v>
      </c>
      <c r="AF41" s="32">
        <f t="shared" si="33"/>
        <v>941</v>
      </c>
    </row>
    <row r="42" spans="2:32" ht="23.1" customHeight="1" x14ac:dyDescent="0.25">
      <c r="B42" s="46" t="s">
        <v>69</v>
      </c>
      <c r="C42" s="50">
        <v>3</v>
      </c>
      <c r="D42" s="50">
        <v>0</v>
      </c>
      <c r="E42" s="50">
        <v>5</v>
      </c>
      <c r="F42" s="50">
        <v>0</v>
      </c>
      <c r="G42" s="50">
        <v>0</v>
      </c>
      <c r="H42" s="50">
        <v>0</v>
      </c>
      <c r="I42" s="50">
        <v>2</v>
      </c>
      <c r="J42" s="50">
        <v>2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12</v>
      </c>
      <c r="P42" s="15">
        <f t="shared" si="1"/>
        <v>19</v>
      </c>
      <c r="R42" s="5" t="s">
        <v>160</v>
      </c>
      <c r="S42" s="48">
        <f>S41/S40</f>
        <v>1.4619289340101522</v>
      </c>
      <c r="T42" s="48">
        <f t="shared" ref="T42:AF42" si="34">T41/T40</f>
        <v>1.9534883720930232</v>
      </c>
      <c r="U42" s="48">
        <f t="shared" si="34"/>
        <v>2.3823529411764706</v>
      </c>
      <c r="V42" s="48">
        <f t="shared" si="34"/>
        <v>5</v>
      </c>
      <c r="W42" s="48" t="e">
        <f t="shared" si="34"/>
        <v>#DIV/0!</v>
      </c>
      <c r="X42" s="48">
        <f t="shared" si="34"/>
        <v>4</v>
      </c>
      <c r="Y42" s="48">
        <f t="shared" si="34"/>
        <v>2.2307692307692308</v>
      </c>
      <c r="Z42" s="48">
        <f t="shared" si="34"/>
        <v>4.5</v>
      </c>
      <c r="AA42" s="48">
        <f t="shared" si="34"/>
        <v>2.4166666666666665</v>
      </c>
      <c r="AB42" s="48">
        <f t="shared" si="34"/>
        <v>3.1428571428571428</v>
      </c>
      <c r="AC42" s="48">
        <f t="shared" si="34"/>
        <v>1.1566265060240963</v>
      </c>
      <c r="AD42" s="48">
        <f t="shared" si="34"/>
        <v>1</v>
      </c>
      <c r="AE42" s="48">
        <f t="shared" si="34"/>
        <v>1.9262536873156342</v>
      </c>
      <c r="AF42" s="48">
        <f t="shared" si="34"/>
        <v>1.6003401360544218</v>
      </c>
    </row>
    <row r="43" spans="2:32" ht="23.1" customHeight="1" x14ac:dyDescent="0.25">
      <c r="B43" s="45" t="s">
        <v>70</v>
      </c>
      <c r="C43" s="50">
        <v>3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4</v>
      </c>
      <c r="P43" s="15">
        <f t="shared" si="1"/>
        <v>9</v>
      </c>
    </row>
    <row r="44" spans="2:32" ht="23.1" customHeight="1" x14ac:dyDescent="0.25">
      <c r="B44" s="47" t="s">
        <v>71</v>
      </c>
      <c r="C44" s="50">
        <v>7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7</v>
      </c>
      <c r="P44" s="15">
        <f t="shared" si="1"/>
        <v>17</v>
      </c>
    </row>
    <row r="45" spans="2:32" ht="23.1" customHeight="1" x14ac:dyDescent="0.25">
      <c r="B45" s="45" t="s">
        <v>72</v>
      </c>
      <c r="C45" s="50">
        <v>5</v>
      </c>
      <c r="D45" s="50">
        <v>0</v>
      </c>
      <c r="E45" s="50">
        <v>2</v>
      </c>
      <c r="F45" s="50">
        <v>0</v>
      </c>
      <c r="G45" s="50">
        <v>0</v>
      </c>
      <c r="H45" s="50">
        <v>0</v>
      </c>
      <c r="I45" s="50">
        <v>2</v>
      </c>
      <c r="J45" s="50">
        <v>2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11</v>
      </c>
      <c r="P45" s="15">
        <f t="shared" si="1"/>
        <v>16</v>
      </c>
    </row>
    <row r="46" spans="2:32" ht="23.1" customHeight="1" x14ac:dyDescent="0.25">
      <c r="B46" s="46" t="s">
        <v>73</v>
      </c>
      <c r="C46" s="50">
        <v>7</v>
      </c>
      <c r="D46" s="50">
        <v>1</v>
      </c>
      <c r="E46" s="50">
        <v>2</v>
      </c>
      <c r="F46" s="50">
        <v>0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13</v>
      </c>
      <c r="P46" s="15">
        <f t="shared" si="1"/>
        <v>18</v>
      </c>
      <c r="R46" s="8"/>
      <c r="T46"/>
    </row>
    <row r="47" spans="2:32" ht="23.1" customHeight="1" x14ac:dyDescent="0.25">
      <c r="B47" s="46" t="s">
        <v>74</v>
      </c>
      <c r="C47" s="50">
        <v>8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10</v>
      </c>
      <c r="N47" s="50">
        <v>0</v>
      </c>
      <c r="O47" s="15">
        <f t="shared" si="0"/>
        <v>9</v>
      </c>
      <c r="P47" s="15">
        <f t="shared" si="1"/>
        <v>19</v>
      </c>
      <c r="R47" s="8"/>
      <c r="T47"/>
    </row>
    <row r="48" spans="2:32" ht="23.1" customHeight="1" x14ac:dyDescent="0.25">
      <c r="B48" s="46" t="s">
        <v>75</v>
      </c>
      <c r="C48" s="50">
        <v>6</v>
      </c>
      <c r="D48" s="50">
        <v>1</v>
      </c>
      <c r="E48" s="50">
        <v>3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10</v>
      </c>
      <c r="N48" s="50">
        <v>0</v>
      </c>
      <c r="O48" s="15">
        <f t="shared" si="0"/>
        <v>11</v>
      </c>
      <c r="P48" s="15">
        <f t="shared" si="1"/>
        <v>21</v>
      </c>
      <c r="R48" s="8"/>
      <c r="T48"/>
    </row>
    <row r="49" spans="2:20" ht="23.1" customHeight="1" x14ac:dyDescent="0.25">
      <c r="B49" s="45" t="s">
        <v>76</v>
      </c>
      <c r="C49" s="50">
        <v>5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3</v>
      </c>
      <c r="N49" s="50">
        <v>0</v>
      </c>
      <c r="O49" s="15">
        <f t="shared" si="0"/>
        <v>5</v>
      </c>
      <c r="P49" s="15">
        <f t="shared" si="1"/>
        <v>8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2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5</v>
      </c>
      <c r="P50" s="15">
        <f t="shared" si="1"/>
        <v>12</v>
      </c>
      <c r="R50" s="8"/>
      <c r="T50"/>
    </row>
    <row r="51" spans="2:20" ht="23.1" customHeight="1" x14ac:dyDescent="0.25">
      <c r="B51" s="46" t="s">
        <v>78</v>
      </c>
      <c r="C51" s="50">
        <v>8</v>
      </c>
      <c r="D51" s="50">
        <v>1</v>
      </c>
      <c r="E51" s="50">
        <v>2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2</v>
      </c>
      <c r="L51" s="50">
        <v>0</v>
      </c>
      <c r="M51" s="50">
        <v>11</v>
      </c>
      <c r="N51" s="50">
        <v>0</v>
      </c>
      <c r="O51" s="15">
        <f t="shared" si="0"/>
        <v>15</v>
      </c>
      <c r="P51" s="15">
        <f t="shared" si="1"/>
        <v>26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5</v>
      </c>
      <c r="P52" s="15">
        <f t="shared" si="1"/>
        <v>10</v>
      </c>
      <c r="R52" s="8"/>
      <c r="T52"/>
    </row>
    <row r="53" spans="2:20" ht="23.1" customHeight="1" x14ac:dyDescent="0.25">
      <c r="B53" s="45" t="s">
        <v>80</v>
      </c>
      <c r="C53" s="50">
        <v>7</v>
      </c>
      <c r="D53" s="50">
        <v>3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2</v>
      </c>
      <c r="K53" s="50">
        <v>0</v>
      </c>
      <c r="L53" s="50">
        <v>0</v>
      </c>
      <c r="M53" s="50">
        <v>3</v>
      </c>
      <c r="N53" s="50">
        <v>0</v>
      </c>
      <c r="O53" s="15">
        <f t="shared" si="0"/>
        <v>12</v>
      </c>
      <c r="P53" s="15">
        <f t="shared" si="1"/>
        <v>15</v>
      </c>
      <c r="R53" s="8"/>
      <c r="T53"/>
    </row>
    <row r="54" spans="2:20" ht="23.1" customHeight="1" x14ac:dyDescent="0.25">
      <c r="B54" s="45" t="s">
        <v>81</v>
      </c>
      <c r="C54" s="50">
        <v>7</v>
      </c>
      <c r="D54" s="50">
        <v>0</v>
      </c>
      <c r="E54" s="50">
        <v>3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5</v>
      </c>
      <c r="L54" s="50">
        <v>0</v>
      </c>
      <c r="M54" s="50">
        <v>7</v>
      </c>
      <c r="N54" s="50">
        <v>0</v>
      </c>
      <c r="O54" s="15">
        <f t="shared" si="0"/>
        <v>15</v>
      </c>
      <c r="P54" s="15">
        <f t="shared" si="1"/>
        <v>22</v>
      </c>
      <c r="R54" s="8"/>
      <c r="T54"/>
    </row>
    <row r="55" spans="2:20" ht="23.1" customHeight="1" x14ac:dyDescent="0.25">
      <c r="B55" s="45" t="s">
        <v>82</v>
      </c>
      <c r="C55" s="50">
        <v>5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1</v>
      </c>
      <c r="L55" s="50">
        <v>1</v>
      </c>
      <c r="M55" s="50">
        <v>8</v>
      </c>
      <c r="N55" s="50">
        <v>0</v>
      </c>
      <c r="O55" s="15">
        <f t="shared" si="0"/>
        <v>7</v>
      </c>
      <c r="P55" s="15">
        <f t="shared" si="1"/>
        <v>15</v>
      </c>
      <c r="R55" s="8"/>
      <c r="T55"/>
    </row>
    <row r="56" spans="2:20" ht="23.1" customHeight="1" x14ac:dyDescent="0.25">
      <c r="B56" s="45" t="s">
        <v>83</v>
      </c>
      <c r="C56" s="50">
        <v>4</v>
      </c>
      <c r="D56" s="50">
        <v>1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1</v>
      </c>
      <c r="M56" s="50">
        <v>8</v>
      </c>
      <c r="N56" s="50">
        <v>0</v>
      </c>
      <c r="O56" s="15">
        <f t="shared" si="0"/>
        <v>7</v>
      </c>
      <c r="P56" s="15">
        <f t="shared" si="1"/>
        <v>15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3</v>
      </c>
      <c r="E57" s="50">
        <v>1</v>
      </c>
      <c r="F57" s="50">
        <v>0</v>
      </c>
      <c r="G57" s="50">
        <v>0</v>
      </c>
      <c r="H57" s="50">
        <v>0</v>
      </c>
      <c r="I57" s="50">
        <v>3</v>
      </c>
      <c r="J57" s="50">
        <v>1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11</v>
      </c>
      <c r="P57" s="15">
        <f t="shared" si="1"/>
        <v>14</v>
      </c>
      <c r="R57" s="8"/>
      <c r="T57"/>
    </row>
    <row r="58" spans="2:20" ht="23.1" customHeight="1" x14ac:dyDescent="0.25">
      <c r="B58" s="45" t="s">
        <v>99</v>
      </c>
      <c r="C58" s="50">
        <v>8</v>
      </c>
      <c r="D58" s="50">
        <v>2</v>
      </c>
      <c r="E58" s="50">
        <v>1</v>
      </c>
      <c r="F58" s="50">
        <v>1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6</v>
      </c>
      <c r="N58" s="50">
        <v>0</v>
      </c>
      <c r="O58" s="15">
        <f t="shared" si="0"/>
        <v>12</v>
      </c>
      <c r="P58" s="15">
        <f t="shared" si="1"/>
        <v>18</v>
      </c>
      <c r="R58" s="8"/>
      <c r="T58"/>
    </row>
    <row r="59" spans="2:20" ht="23.1" customHeight="1" x14ac:dyDescent="0.25">
      <c r="B59" s="45" t="s">
        <v>100</v>
      </c>
      <c r="C59" s="50">
        <v>1</v>
      </c>
      <c r="D59" s="50">
        <v>0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2</v>
      </c>
      <c r="L59" s="50">
        <v>0</v>
      </c>
      <c r="M59" s="50">
        <v>1</v>
      </c>
      <c r="N59" s="50">
        <v>0</v>
      </c>
      <c r="O59" s="15">
        <f t="shared" si="0"/>
        <v>3</v>
      </c>
      <c r="P59" s="15">
        <f t="shared" si="1"/>
        <v>4</v>
      </c>
      <c r="R59" s="8"/>
      <c r="T59"/>
    </row>
    <row r="60" spans="2:20" ht="23.1" customHeight="1" x14ac:dyDescent="0.25">
      <c r="B60" s="45" t="s">
        <v>101</v>
      </c>
      <c r="C60" s="50">
        <v>5</v>
      </c>
      <c r="D60" s="50">
        <v>0</v>
      </c>
      <c r="E60" s="50">
        <v>2</v>
      </c>
      <c r="F60" s="50">
        <v>1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3</v>
      </c>
      <c r="N60" s="50">
        <v>0</v>
      </c>
      <c r="O60" s="15">
        <f t="shared" si="0"/>
        <v>9</v>
      </c>
      <c r="P60" s="15">
        <f t="shared" si="1"/>
        <v>12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4</v>
      </c>
      <c r="E61" s="50">
        <v>0</v>
      </c>
      <c r="F61" s="50">
        <v>1</v>
      </c>
      <c r="G61" s="50">
        <v>0</v>
      </c>
      <c r="H61" s="50">
        <v>0</v>
      </c>
      <c r="I61" s="50">
        <v>0</v>
      </c>
      <c r="J61" s="50">
        <v>1</v>
      </c>
      <c r="K61" s="50">
        <v>0</v>
      </c>
      <c r="L61" s="50">
        <v>0</v>
      </c>
      <c r="M61" s="50">
        <v>4</v>
      </c>
      <c r="N61" s="50">
        <v>0</v>
      </c>
      <c r="O61" s="15">
        <f t="shared" si="0"/>
        <v>9</v>
      </c>
      <c r="P61" s="15">
        <f t="shared" si="1"/>
        <v>13</v>
      </c>
      <c r="R61" s="8"/>
      <c r="T61"/>
    </row>
    <row r="62" spans="2:20" ht="23.1" customHeight="1" x14ac:dyDescent="0.25">
      <c r="B62" s="45" t="s">
        <v>107</v>
      </c>
      <c r="C62" s="50">
        <v>5</v>
      </c>
      <c r="D62" s="50">
        <v>0</v>
      </c>
      <c r="E62" s="50">
        <v>0</v>
      </c>
      <c r="F62" s="50">
        <v>0</v>
      </c>
      <c r="G62" s="50">
        <v>0</v>
      </c>
      <c r="H62" s="50">
        <v>0</v>
      </c>
      <c r="I62" s="50">
        <v>1</v>
      </c>
      <c r="J62" s="50">
        <v>0</v>
      </c>
      <c r="K62" s="50">
        <v>0</v>
      </c>
      <c r="L62" s="50">
        <v>0</v>
      </c>
      <c r="M62" s="50">
        <v>2</v>
      </c>
      <c r="N62" s="50">
        <v>0</v>
      </c>
      <c r="O62" s="15">
        <f t="shared" si="0"/>
        <v>6</v>
      </c>
      <c r="P62" s="15">
        <f t="shared" si="1"/>
        <v>8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0</v>
      </c>
      <c r="E63" s="50">
        <v>2</v>
      </c>
      <c r="F63" s="50">
        <v>0</v>
      </c>
      <c r="G63" s="50">
        <v>0</v>
      </c>
      <c r="H63" s="50">
        <v>0</v>
      </c>
      <c r="I63" s="50">
        <v>1</v>
      </c>
      <c r="J63" s="50">
        <v>0</v>
      </c>
      <c r="K63" s="50">
        <v>1</v>
      </c>
      <c r="L63" s="50">
        <v>0</v>
      </c>
      <c r="M63" s="50">
        <v>3</v>
      </c>
      <c r="N63" s="50">
        <v>0</v>
      </c>
      <c r="O63" s="15">
        <f t="shared" si="0"/>
        <v>6</v>
      </c>
      <c r="P63" s="15">
        <f t="shared" si="1"/>
        <v>9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0</v>
      </c>
      <c r="E64" s="50">
        <v>0</v>
      </c>
      <c r="F64" s="50">
        <v>1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0</v>
      </c>
      <c r="N64" s="50">
        <v>0</v>
      </c>
      <c r="O64" s="15">
        <f t="shared" si="0"/>
        <v>4</v>
      </c>
      <c r="P64" s="15">
        <f t="shared" si="1"/>
        <v>4</v>
      </c>
      <c r="R64" s="8"/>
      <c r="T64"/>
    </row>
    <row r="65" spans="2:20" ht="23.1" customHeight="1" x14ac:dyDescent="0.25">
      <c r="B65" s="45" t="s">
        <v>158</v>
      </c>
      <c r="C65" s="50">
        <v>8</v>
      </c>
      <c r="D65" s="50">
        <v>1</v>
      </c>
      <c r="E65" s="50">
        <v>3</v>
      </c>
      <c r="F65" s="50">
        <v>0</v>
      </c>
      <c r="G65" s="50">
        <v>0</v>
      </c>
      <c r="H65" s="50">
        <v>0</v>
      </c>
      <c r="I65" s="50">
        <v>1</v>
      </c>
      <c r="J65" s="50">
        <v>1</v>
      </c>
      <c r="K65" s="50">
        <v>0</v>
      </c>
      <c r="L65" s="50">
        <v>0</v>
      </c>
      <c r="M65" s="50">
        <v>0</v>
      </c>
      <c r="N65" s="50">
        <v>0</v>
      </c>
      <c r="O65" s="15">
        <f t="shared" si="0"/>
        <v>14</v>
      </c>
      <c r="P65" s="15">
        <f t="shared" si="1"/>
        <v>14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1</v>
      </c>
      <c r="E66" s="50">
        <v>1</v>
      </c>
      <c r="F66" s="50">
        <v>1</v>
      </c>
      <c r="G66" s="50">
        <v>1</v>
      </c>
      <c r="H66" s="50">
        <v>0</v>
      </c>
      <c r="I66" s="50">
        <v>1</v>
      </c>
      <c r="J66" s="50">
        <v>2</v>
      </c>
      <c r="K66" s="50">
        <v>0</v>
      </c>
      <c r="L66" s="50">
        <v>0</v>
      </c>
      <c r="M66" s="50">
        <v>0</v>
      </c>
      <c r="N66" s="50">
        <v>0</v>
      </c>
      <c r="O66" s="15">
        <f t="shared" si="0"/>
        <v>11</v>
      </c>
      <c r="P66" s="15">
        <f t="shared" si="1"/>
        <v>11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2</v>
      </c>
      <c r="E67" s="50">
        <v>2</v>
      </c>
      <c r="F67" s="50">
        <v>0</v>
      </c>
      <c r="G67" s="50">
        <v>0</v>
      </c>
      <c r="H67" s="50">
        <v>1</v>
      </c>
      <c r="I67" s="50">
        <v>2</v>
      </c>
      <c r="J67" s="50">
        <v>3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13</v>
      </c>
      <c r="P67" s="15">
        <f t="shared" si="1"/>
        <v>13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0</v>
      </c>
      <c r="F68" s="50">
        <v>0</v>
      </c>
      <c r="G68" s="50">
        <v>1</v>
      </c>
      <c r="H68" s="50">
        <v>0</v>
      </c>
      <c r="I68" s="50">
        <v>2</v>
      </c>
      <c r="J68" s="50">
        <v>1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6</v>
      </c>
      <c r="P68" s="15">
        <f t="shared" si="1"/>
        <v>6</v>
      </c>
      <c r="R68" s="8"/>
      <c r="T68"/>
    </row>
    <row r="69" spans="2:20" ht="23.1" customHeight="1" x14ac:dyDescent="0.25">
      <c r="B69" s="45" t="s">
        <v>106</v>
      </c>
      <c r="C69" s="50">
        <v>4</v>
      </c>
      <c r="D69" s="50">
        <v>2</v>
      </c>
      <c r="E69" s="50">
        <v>1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8</v>
      </c>
      <c r="P69" s="15">
        <f t="shared" si="1"/>
        <v>8</v>
      </c>
      <c r="R69" s="8"/>
      <c r="T69"/>
    </row>
    <row r="70" spans="2:20" ht="23.1" customHeight="1" x14ac:dyDescent="0.25">
      <c r="B70" s="45" t="s">
        <v>110</v>
      </c>
      <c r="C70" s="50">
        <v>2</v>
      </c>
      <c r="D70" s="50">
        <v>1</v>
      </c>
      <c r="E70" s="50">
        <v>1</v>
      </c>
      <c r="F70" s="50">
        <v>0</v>
      </c>
      <c r="G70" s="50">
        <v>0</v>
      </c>
      <c r="H70" s="50">
        <v>0</v>
      </c>
      <c r="I70" s="50">
        <v>2</v>
      </c>
      <c r="J70" s="50">
        <v>2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8</v>
      </c>
      <c r="P70" s="15">
        <f t="shared" si="1"/>
        <v>8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0</v>
      </c>
      <c r="E71" s="50">
        <v>2</v>
      </c>
      <c r="F71" s="50">
        <v>0</v>
      </c>
      <c r="G71" s="50">
        <v>0</v>
      </c>
      <c r="H71" s="50">
        <v>0</v>
      </c>
      <c r="I71" s="50">
        <v>0</v>
      </c>
      <c r="J71" s="50">
        <v>2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5</v>
      </c>
      <c r="P71" s="15">
        <f t="shared" si="1"/>
        <v>5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2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2</v>
      </c>
      <c r="K72" s="50">
        <v>0</v>
      </c>
      <c r="L72" s="50">
        <v>1</v>
      </c>
      <c r="M72" s="50">
        <v>0</v>
      </c>
      <c r="N72" s="50">
        <v>0</v>
      </c>
      <c r="O72" s="15">
        <f t="shared" si="0"/>
        <v>7</v>
      </c>
      <c r="P72" s="15">
        <f t="shared" si="1"/>
        <v>7</v>
      </c>
      <c r="R72" s="8"/>
      <c r="T72"/>
    </row>
    <row r="73" spans="2:20" ht="23.1" customHeight="1" x14ac:dyDescent="0.25">
      <c r="B73" s="45" t="s">
        <v>113</v>
      </c>
      <c r="C73" s="50">
        <v>2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1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15">
        <f t="shared" si="0"/>
        <v>4</v>
      </c>
      <c r="P73" s="15">
        <f t="shared" si="1"/>
        <v>4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1</v>
      </c>
      <c r="E74" s="50">
        <v>0</v>
      </c>
      <c r="F74" s="50">
        <v>0</v>
      </c>
      <c r="G74" s="50">
        <v>0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4</v>
      </c>
      <c r="P74" s="15">
        <f t="shared" ref="P74:P105" si="36">SUM(C74:N74)</f>
        <v>4</v>
      </c>
      <c r="R74" s="8"/>
      <c r="T74"/>
    </row>
    <row r="75" spans="2:20" ht="23.1" customHeight="1" x14ac:dyDescent="0.25">
      <c r="B75" s="45" t="s">
        <v>115</v>
      </c>
      <c r="C75" s="50">
        <v>2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3</v>
      </c>
      <c r="P75" s="15">
        <f t="shared" si="36"/>
        <v>3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2</v>
      </c>
      <c r="E76" s="50">
        <v>2</v>
      </c>
      <c r="F76" s="50">
        <v>0</v>
      </c>
      <c r="G76" s="50">
        <v>0</v>
      </c>
      <c r="H76" s="50">
        <v>0</v>
      </c>
      <c r="I76" s="50">
        <v>2</v>
      </c>
      <c r="J76" s="50">
        <v>0</v>
      </c>
      <c r="K76" s="50">
        <v>0</v>
      </c>
      <c r="L76" s="50">
        <v>1</v>
      </c>
      <c r="M76" s="50">
        <v>0</v>
      </c>
      <c r="N76" s="50">
        <v>0</v>
      </c>
      <c r="O76" s="15">
        <f t="shared" si="35"/>
        <v>7</v>
      </c>
      <c r="P76" s="15">
        <f t="shared" si="36"/>
        <v>7</v>
      </c>
      <c r="R76" s="8"/>
      <c r="T76"/>
    </row>
    <row r="77" spans="2:20" ht="23.1" customHeight="1" x14ac:dyDescent="0.25">
      <c r="B77" s="45" t="s">
        <v>117</v>
      </c>
      <c r="C77" s="50">
        <v>3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2</v>
      </c>
      <c r="K77" s="50">
        <v>1</v>
      </c>
      <c r="L77" s="50">
        <v>0</v>
      </c>
      <c r="M77" s="50">
        <v>0</v>
      </c>
      <c r="N77" s="50">
        <v>0</v>
      </c>
      <c r="O77" s="15">
        <f t="shared" si="35"/>
        <v>6</v>
      </c>
      <c r="P77" s="15">
        <f t="shared" si="36"/>
        <v>6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0</v>
      </c>
      <c r="E78" s="50">
        <v>1</v>
      </c>
      <c r="F78" s="50">
        <v>0</v>
      </c>
      <c r="G78" s="50">
        <v>0</v>
      </c>
      <c r="H78" s="50">
        <v>0</v>
      </c>
      <c r="I78" s="50">
        <v>1</v>
      </c>
      <c r="J78" s="50">
        <v>2</v>
      </c>
      <c r="K78" s="50">
        <v>1</v>
      </c>
      <c r="L78" s="50">
        <v>2</v>
      </c>
      <c r="M78" s="50">
        <v>0</v>
      </c>
      <c r="N78" s="50">
        <v>0</v>
      </c>
      <c r="O78" s="15">
        <f t="shared" si="35"/>
        <v>9</v>
      </c>
      <c r="P78" s="15">
        <f t="shared" si="36"/>
        <v>9</v>
      </c>
      <c r="R78" s="8"/>
      <c r="T78"/>
    </row>
    <row r="79" spans="2:20" ht="23.1" customHeight="1" x14ac:dyDescent="0.25">
      <c r="B79" s="45" t="s">
        <v>119</v>
      </c>
      <c r="C79" s="50">
        <v>1</v>
      </c>
      <c r="D79" s="50">
        <v>0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2</v>
      </c>
      <c r="K79" s="50">
        <v>1</v>
      </c>
      <c r="L79" s="50">
        <v>0</v>
      </c>
      <c r="M79" s="50">
        <v>0</v>
      </c>
      <c r="N79" s="50">
        <v>0</v>
      </c>
      <c r="O79" s="15">
        <f t="shared" si="35"/>
        <v>5</v>
      </c>
      <c r="P79" s="15">
        <f t="shared" si="36"/>
        <v>5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1</v>
      </c>
      <c r="F80" s="50">
        <v>0</v>
      </c>
      <c r="G80" s="50">
        <v>0</v>
      </c>
      <c r="H80" s="50">
        <v>0</v>
      </c>
      <c r="I80" s="50">
        <v>2</v>
      </c>
      <c r="J80" s="50">
        <v>1</v>
      </c>
      <c r="K80" s="50">
        <v>1</v>
      </c>
      <c r="L80" s="50">
        <v>1</v>
      </c>
      <c r="M80" s="50">
        <v>0</v>
      </c>
      <c r="N80" s="50">
        <v>0</v>
      </c>
      <c r="O80" s="15">
        <f t="shared" si="35"/>
        <v>6</v>
      </c>
      <c r="P80" s="15">
        <f t="shared" si="36"/>
        <v>6</v>
      </c>
      <c r="R80" s="8"/>
      <c r="T80"/>
    </row>
    <row r="81" spans="2:20" ht="23.1" customHeight="1" x14ac:dyDescent="0.25">
      <c r="B81" s="45" t="s">
        <v>121</v>
      </c>
      <c r="C81" s="50">
        <v>1</v>
      </c>
      <c r="D81" s="50">
        <v>1</v>
      </c>
      <c r="E81" s="50">
        <v>1</v>
      </c>
      <c r="F81" s="50">
        <v>0</v>
      </c>
      <c r="G81" s="50">
        <v>0</v>
      </c>
      <c r="H81" s="50">
        <v>0</v>
      </c>
      <c r="I81" s="50">
        <v>1</v>
      </c>
      <c r="J81" s="50">
        <v>2</v>
      </c>
      <c r="K81" s="50">
        <v>0</v>
      </c>
      <c r="L81" s="50">
        <v>1</v>
      </c>
      <c r="M81" s="50">
        <v>0</v>
      </c>
      <c r="N81" s="50">
        <v>0</v>
      </c>
      <c r="O81" s="15">
        <f t="shared" si="35"/>
        <v>7</v>
      </c>
      <c r="P81" s="15">
        <f t="shared" si="36"/>
        <v>7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1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0</v>
      </c>
      <c r="N82" s="50">
        <v>0</v>
      </c>
      <c r="O82" s="15">
        <f t="shared" si="35"/>
        <v>3</v>
      </c>
      <c r="P82" s="15">
        <f t="shared" si="36"/>
        <v>3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0</v>
      </c>
      <c r="E83" s="50">
        <v>1</v>
      </c>
      <c r="F83" s="50">
        <v>0</v>
      </c>
      <c r="G83" s="50">
        <v>0</v>
      </c>
      <c r="H83" s="50">
        <v>0</v>
      </c>
      <c r="I83" s="50">
        <v>1</v>
      </c>
      <c r="J83" s="50">
        <v>0</v>
      </c>
      <c r="K83" s="50">
        <v>0</v>
      </c>
      <c r="L83" s="50">
        <v>1</v>
      </c>
      <c r="M83" s="50">
        <v>0</v>
      </c>
      <c r="N83" s="50">
        <v>0</v>
      </c>
      <c r="O83" s="15">
        <f t="shared" si="35"/>
        <v>3</v>
      </c>
      <c r="P83" s="15">
        <f t="shared" si="36"/>
        <v>3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1</v>
      </c>
      <c r="M84" s="50">
        <v>0</v>
      </c>
      <c r="N84" s="50">
        <v>0</v>
      </c>
      <c r="O84" s="15">
        <f t="shared" si="35"/>
        <v>2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2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2</v>
      </c>
      <c r="M85" s="50">
        <v>0</v>
      </c>
      <c r="N85" s="50">
        <v>0</v>
      </c>
      <c r="O85" s="15">
        <f t="shared" si="35"/>
        <v>4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3</v>
      </c>
      <c r="E86" s="50">
        <v>1</v>
      </c>
      <c r="F86" s="50">
        <v>0</v>
      </c>
      <c r="G86" s="50">
        <v>0</v>
      </c>
      <c r="H86" s="50">
        <v>1</v>
      </c>
      <c r="I86" s="50">
        <v>2</v>
      </c>
      <c r="J86" s="50">
        <v>0</v>
      </c>
      <c r="K86" s="50">
        <v>2</v>
      </c>
      <c r="L86" s="50">
        <v>0</v>
      </c>
      <c r="M86" s="50">
        <v>0</v>
      </c>
      <c r="N86" s="50">
        <v>0</v>
      </c>
      <c r="O86" s="15">
        <f t="shared" si="35"/>
        <v>11</v>
      </c>
      <c r="P86" s="15">
        <f t="shared" si="36"/>
        <v>11</v>
      </c>
      <c r="R86" s="8"/>
      <c r="T86"/>
    </row>
    <row r="87" spans="2:20" ht="23.1" customHeight="1" x14ac:dyDescent="0.25">
      <c r="B87" s="45" t="s">
        <v>127</v>
      </c>
      <c r="C87" s="50">
        <v>0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2</v>
      </c>
      <c r="L87" s="50">
        <v>1</v>
      </c>
      <c r="M87" s="50">
        <v>0</v>
      </c>
      <c r="N87" s="50">
        <v>0</v>
      </c>
      <c r="O87" s="15">
        <f t="shared" si="35"/>
        <v>3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1</v>
      </c>
      <c r="L88" s="50">
        <v>0</v>
      </c>
      <c r="M88" s="50">
        <v>0</v>
      </c>
      <c r="N88" s="50"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2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3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1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3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2</v>
      </c>
      <c r="K91" s="50">
        <v>0</v>
      </c>
      <c r="L91" s="50">
        <v>1</v>
      </c>
      <c r="M91" s="50">
        <v>0</v>
      </c>
      <c r="N91" s="50">
        <v>0</v>
      </c>
      <c r="O91" s="15">
        <f t="shared" si="35"/>
        <v>4</v>
      </c>
      <c r="P91" s="15">
        <f t="shared" si="36"/>
        <v>4</v>
      </c>
      <c r="R91" s="8"/>
      <c r="T91"/>
    </row>
    <row r="92" spans="2:20" ht="23.1" customHeight="1" x14ac:dyDescent="0.25">
      <c r="B92" s="47" t="s">
        <v>132</v>
      </c>
      <c r="C92" s="50">
        <v>0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1</v>
      </c>
      <c r="J92" s="50">
        <v>0</v>
      </c>
      <c r="K92" s="50">
        <v>1</v>
      </c>
      <c r="L92" s="50">
        <v>0</v>
      </c>
      <c r="M92" s="50">
        <v>0</v>
      </c>
      <c r="N92" s="50">
        <v>0</v>
      </c>
      <c r="O92" s="15">
        <f t="shared" si="35"/>
        <v>3</v>
      </c>
      <c r="P92" s="15">
        <f t="shared" si="36"/>
        <v>3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2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4</v>
      </c>
      <c r="P93" s="15">
        <f t="shared" si="36"/>
        <v>4</v>
      </c>
      <c r="R93" s="8"/>
      <c r="T93"/>
    </row>
    <row r="94" spans="2:20" ht="23.1" customHeight="1" x14ac:dyDescent="0.25">
      <c r="B94" s="46" t="s">
        <v>134</v>
      </c>
      <c r="C94" s="50">
        <v>1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2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3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1</v>
      </c>
      <c r="E95" s="50">
        <v>1</v>
      </c>
      <c r="F95" s="50">
        <v>0</v>
      </c>
      <c r="G95" s="50">
        <v>1</v>
      </c>
      <c r="H95" s="50">
        <v>0</v>
      </c>
      <c r="I95" s="50">
        <v>0</v>
      </c>
      <c r="J95" s="50">
        <v>0</v>
      </c>
      <c r="K95" s="50">
        <v>0</v>
      </c>
      <c r="L95" s="50">
        <v>1</v>
      </c>
      <c r="M95" s="50">
        <v>0</v>
      </c>
      <c r="N95" s="50">
        <v>0</v>
      </c>
      <c r="O95" s="15">
        <f t="shared" si="35"/>
        <v>4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0</v>
      </c>
      <c r="D96" s="50">
        <v>0</v>
      </c>
      <c r="E96" s="50">
        <v>2</v>
      </c>
      <c r="F96" s="50">
        <v>0</v>
      </c>
      <c r="G96" s="50">
        <v>0</v>
      </c>
      <c r="H96" s="50">
        <v>1</v>
      </c>
      <c r="I96" s="50">
        <v>0</v>
      </c>
      <c r="J96" s="50">
        <v>1</v>
      </c>
      <c r="K96" s="50">
        <v>0</v>
      </c>
      <c r="L96" s="50">
        <v>0</v>
      </c>
      <c r="M96" s="50">
        <v>0</v>
      </c>
      <c r="N96" s="50"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1</v>
      </c>
      <c r="D97" s="50">
        <v>0</v>
      </c>
      <c r="E97" s="50">
        <v>0</v>
      </c>
      <c r="F97" s="50">
        <v>1</v>
      </c>
      <c r="G97" s="50">
        <v>0</v>
      </c>
      <c r="H97" s="50">
        <v>0</v>
      </c>
      <c r="I97" s="50">
        <v>1</v>
      </c>
      <c r="J97" s="50">
        <v>0</v>
      </c>
      <c r="K97" s="50">
        <v>0</v>
      </c>
      <c r="L97" s="50">
        <v>1</v>
      </c>
      <c r="M97" s="50">
        <v>0</v>
      </c>
      <c r="N97" s="50">
        <v>0</v>
      </c>
      <c r="O97" s="15">
        <f t="shared" si="35"/>
        <v>4</v>
      </c>
      <c r="P97" s="15">
        <f t="shared" si="36"/>
        <v>4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1</v>
      </c>
      <c r="F98" s="50">
        <v>0</v>
      </c>
      <c r="G98" s="50">
        <v>0</v>
      </c>
      <c r="H98" s="50">
        <v>1</v>
      </c>
      <c r="I98" s="50">
        <v>0</v>
      </c>
      <c r="J98" s="50">
        <v>0</v>
      </c>
      <c r="K98" s="50">
        <v>1</v>
      </c>
      <c r="L98" s="50">
        <v>0</v>
      </c>
      <c r="M98" s="50">
        <v>0</v>
      </c>
      <c r="N98" s="50">
        <v>0</v>
      </c>
      <c r="O98" s="15">
        <f t="shared" si="35"/>
        <v>5</v>
      </c>
      <c r="P98" s="15">
        <f t="shared" si="36"/>
        <v>5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0</v>
      </c>
      <c r="E99" s="50">
        <v>0</v>
      </c>
      <c r="F99" s="50">
        <v>1</v>
      </c>
      <c r="G99" s="50">
        <v>0</v>
      </c>
      <c r="H99" s="50">
        <v>0</v>
      </c>
      <c r="I99" s="50">
        <v>0</v>
      </c>
      <c r="J99" s="50">
        <v>2</v>
      </c>
      <c r="K99" s="50">
        <v>0</v>
      </c>
      <c r="L99" s="50">
        <v>0</v>
      </c>
      <c r="M99" s="50">
        <v>2</v>
      </c>
      <c r="N99" s="50">
        <v>0</v>
      </c>
      <c r="O99" s="15">
        <f t="shared" si="35"/>
        <v>6</v>
      </c>
      <c r="P99" s="15">
        <f t="shared" si="36"/>
        <v>8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2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3</v>
      </c>
      <c r="K100" s="50">
        <v>1</v>
      </c>
      <c r="L100" s="50">
        <v>0</v>
      </c>
      <c r="M100" s="50">
        <v>2</v>
      </c>
      <c r="N100" s="50">
        <v>0</v>
      </c>
      <c r="O100" s="15">
        <f t="shared" si="35"/>
        <v>7</v>
      </c>
      <c r="P100" s="15">
        <f t="shared" si="36"/>
        <v>9</v>
      </c>
      <c r="R100" s="8"/>
      <c r="T100"/>
    </row>
    <row r="101" spans="2:20" ht="23.1" customHeight="1" x14ac:dyDescent="0.25">
      <c r="B101" s="45" t="s">
        <v>141</v>
      </c>
      <c r="C101" s="50">
        <v>3</v>
      </c>
      <c r="D101" s="50">
        <v>3</v>
      </c>
      <c r="E101" s="50">
        <v>0</v>
      </c>
      <c r="F101" s="50">
        <v>0</v>
      </c>
      <c r="G101" s="50">
        <v>0</v>
      </c>
      <c r="H101" s="50">
        <v>0</v>
      </c>
      <c r="I101" s="50">
        <v>1</v>
      </c>
      <c r="J101" s="50">
        <v>2</v>
      </c>
      <c r="K101" s="50">
        <v>0</v>
      </c>
      <c r="L101" s="50">
        <v>0</v>
      </c>
      <c r="M101" s="50">
        <v>2</v>
      </c>
      <c r="N101" s="50">
        <v>0</v>
      </c>
      <c r="O101" s="15">
        <f t="shared" si="35"/>
        <v>9</v>
      </c>
      <c r="P101" s="15">
        <f t="shared" si="36"/>
        <v>11</v>
      </c>
      <c r="R101" s="8"/>
      <c r="T101"/>
    </row>
    <row r="102" spans="2:20" ht="23.1" customHeight="1" x14ac:dyDescent="0.25">
      <c r="B102" s="46" t="s">
        <v>142</v>
      </c>
      <c r="C102" s="50">
        <v>3</v>
      </c>
      <c r="D102" s="50">
        <v>3</v>
      </c>
      <c r="E102" s="50">
        <v>1</v>
      </c>
      <c r="F102" s="50">
        <v>2</v>
      </c>
      <c r="G102" s="50">
        <v>0</v>
      </c>
      <c r="H102" s="50">
        <v>1</v>
      </c>
      <c r="I102" s="50">
        <v>2</v>
      </c>
      <c r="J102" s="50">
        <v>0</v>
      </c>
      <c r="K102" s="50">
        <v>0</v>
      </c>
      <c r="L102" s="50">
        <v>0</v>
      </c>
      <c r="M102" s="50">
        <v>3</v>
      </c>
      <c r="N102" s="50">
        <v>0</v>
      </c>
      <c r="O102" s="15">
        <f t="shared" si="35"/>
        <v>12</v>
      </c>
      <c r="P102" s="15">
        <f t="shared" si="36"/>
        <v>15</v>
      </c>
      <c r="R102" s="8"/>
      <c r="T102"/>
    </row>
    <row r="103" spans="2:20" ht="23.1" customHeight="1" x14ac:dyDescent="0.25">
      <c r="B103" s="45" t="s">
        <v>143</v>
      </c>
      <c r="C103" s="50">
        <v>1</v>
      </c>
      <c r="D103" s="50">
        <v>3</v>
      </c>
      <c r="E103" s="50">
        <v>4</v>
      </c>
      <c r="F103" s="50">
        <v>2</v>
      </c>
      <c r="G103" s="50">
        <v>0</v>
      </c>
      <c r="H103" s="50">
        <v>1</v>
      </c>
      <c r="I103" s="50">
        <v>1</v>
      </c>
      <c r="J103" s="50">
        <v>2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14</v>
      </c>
      <c r="P103" s="15">
        <f t="shared" si="36"/>
        <v>16</v>
      </c>
      <c r="R103" s="8"/>
      <c r="T103"/>
    </row>
    <row r="104" spans="2:20" ht="23.1" customHeight="1" x14ac:dyDescent="0.25">
      <c r="B104" s="47" t="s">
        <v>144</v>
      </c>
      <c r="C104" s="50">
        <v>4</v>
      </c>
      <c r="D104" s="50">
        <v>1</v>
      </c>
      <c r="E104" s="50">
        <v>2</v>
      </c>
      <c r="F104" s="50">
        <v>0</v>
      </c>
      <c r="G104" s="50">
        <v>0</v>
      </c>
      <c r="H104" s="50">
        <v>0</v>
      </c>
      <c r="I104" s="50">
        <v>1</v>
      </c>
      <c r="J104" s="50">
        <v>4</v>
      </c>
      <c r="K104" s="50">
        <v>2</v>
      </c>
      <c r="L104" s="50">
        <v>0</v>
      </c>
      <c r="M104" s="50">
        <v>4</v>
      </c>
      <c r="N104" s="50">
        <v>0</v>
      </c>
      <c r="O104" s="15">
        <f t="shared" si="35"/>
        <v>14</v>
      </c>
      <c r="P104" s="15">
        <f t="shared" si="36"/>
        <v>18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3</v>
      </c>
      <c r="E105" s="50">
        <v>3</v>
      </c>
      <c r="F105" s="50">
        <v>0</v>
      </c>
      <c r="G105" s="50">
        <v>1</v>
      </c>
      <c r="H105" s="50">
        <v>0</v>
      </c>
      <c r="I105" s="50">
        <v>2</v>
      </c>
      <c r="J105" s="50">
        <v>2</v>
      </c>
      <c r="K105" s="50">
        <v>0</v>
      </c>
      <c r="L105" s="50">
        <v>0</v>
      </c>
      <c r="M105" s="50">
        <v>5</v>
      </c>
      <c r="N105" s="50">
        <v>0</v>
      </c>
      <c r="O105" s="15">
        <f t="shared" si="35"/>
        <v>14</v>
      </c>
      <c r="P105" s="15">
        <f t="shared" si="36"/>
        <v>19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288</v>
      </c>
      <c r="D106" s="16">
        <f t="shared" ref="D106:P106" si="37">SUM(D10:D105)</f>
        <v>84</v>
      </c>
      <c r="E106" s="16">
        <f t="shared" si="37"/>
        <v>81</v>
      </c>
      <c r="F106" s="16">
        <f t="shared" si="37"/>
        <v>15</v>
      </c>
      <c r="G106" s="16">
        <f t="shared" si="37"/>
        <v>4</v>
      </c>
      <c r="H106" s="16">
        <f t="shared" si="37"/>
        <v>8</v>
      </c>
      <c r="I106" s="16">
        <f t="shared" si="37"/>
        <v>58</v>
      </c>
      <c r="J106" s="16">
        <f t="shared" si="37"/>
        <v>63</v>
      </c>
      <c r="K106" s="16">
        <f t="shared" si="37"/>
        <v>29</v>
      </c>
      <c r="L106" s="16">
        <f t="shared" si="37"/>
        <v>22</v>
      </c>
      <c r="M106" s="16">
        <f t="shared" si="37"/>
        <v>288</v>
      </c>
      <c r="N106" s="16">
        <f t="shared" si="37"/>
        <v>1</v>
      </c>
      <c r="O106" s="16">
        <f t="shared" si="37"/>
        <v>653</v>
      </c>
      <c r="P106" s="16">
        <f t="shared" si="37"/>
        <v>941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0.30605738575982999</v>
      </c>
      <c r="D107" s="43">
        <f t="shared" si="38"/>
        <v>8.9266737513283748E-2</v>
      </c>
      <c r="E107" s="43">
        <f t="shared" si="38"/>
        <v>8.6078639744952182E-2</v>
      </c>
      <c r="F107" s="43">
        <f t="shared" si="38"/>
        <v>1.5940488841657812E-2</v>
      </c>
      <c r="G107" s="43">
        <f t="shared" si="38"/>
        <v>4.2507970244420826E-3</v>
      </c>
      <c r="H107" s="43">
        <f t="shared" si="38"/>
        <v>8.5015940488841653E-3</v>
      </c>
      <c r="I107" s="43">
        <f t="shared" si="38"/>
        <v>6.1636556854410204E-2</v>
      </c>
      <c r="J107" s="43">
        <f t="shared" si="38"/>
        <v>6.69500531349628E-2</v>
      </c>
      <c r="K107" s="43">
        <f t="shared" si="38"/>
        <v>3.0818278427205102E-2</v>
      </c>
      <c r="L107" s="43">
        <f t="shared" si="38"/>
        <v>2.3379383634431455E-2</v>
      </c>
      <c r="M107" s="43">
        <f t="shared" si="38"/>
        <v>0.30605738575982999</v>
      </c>
      <c r="N107" s="43">
        <f t="shared" si="38"/>
        <v>1.0626992561105207E-3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0.44104134762633995</v>
      </c>
      <c r="D108" s="44">
        <f t="shared" ref="D108:N108" si="39">D106/$O$106</f>
        <v>0.12863705972434916</v>
      </c>
      <c r="E108" s="44">
        <f t="shared" si="39"/>
        <v>0.12404287901990811</v>
      </c>
      <c r="F108" s="44">
        <f t="shared" si="39"/>
        <v>2.2970903522205207E-2</v>
      </c>
      <c r="G108" s="44">
        <f t="shared" si="39"/>
        <v>6.1255742725880554E-3</v>
      </c>
      <c r="H108" s="44">
        <f t="shared" si="39"/>
        <v>1.2251148545176111E-2</v>
      </c>
      <c r="I108" s="44">
        <f t="shared" si="39"/>
        <v>8.8820826952526799E-2</v>
      </c>
      <c r="J108" s="44">
        <f t="shared" si="39"/>
        <v>9.6477794793261865E-2</v>
      </c>
      <c r="K108" s="44">
        <f t="shared" si="39"/>
        <v>4.44104134762634E-2</v>
      </c>
      <c r="L108" s="44">
        <f t="shared" si="39"/>
        <v>3.3690658499234305E-2</v>
      </c>
      <c r="M108" s="44"/>
      <c r="N108" s="44">
        <f t="shared" si="39"/>
        <v>1.5313935681470138E-3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topLeftCell="A4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Lyantonde-Rushere'!C3:G3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3" t="str">
        <f>'25.10 Lyantonde-Rushere'!G5:H5</f>
        <v>Kaguta road JTC</v>
      </c>
      <c r="H5" s="64"/>
      <c r="I5" s="14"/>
      <c r="J5" s="2" t="s">
        <v>5</v>
      </c>
      <c r="K5" s="63" t="str">
        <f>'25.10 Lyantonde-Rushere'!K5:L5</f>
        <v>Josephine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Lyantonde-Rushere'!D6:E6</f>
        <v>Lyantonde</v>
      </c>
      <c r="E6" s="64"/>
      <c r="F6" s="2" t="s">
        <v>2</v>
      </c>
      <c r="G6" s="63" t="str">
        <f>'25.10 Lyantonde-Rushere'!G6:H6</f>
        <v>Rushere</v>
      </c>
      <c r="H6" s="64"/>
      <c r="J6" s="2" t="s">
        <v>21</v>
      </c>
      <c r="K6" s="63" t="str">
        <f>'25.10 Lyantonde-Rushere'!K6:L6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1</v>
      </c>
      <c r="L10" s="50">
        <v>0</v>
      </c>
      <c r="M10" s="50">
        <v>5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2</v>
      </c>
      <c r="AA10" s="17">
        <f t="shared" si="2"/>
        <v>1</v>
      </c>
      <c r="AB10" s="17">
        <f t="shared" si="2"/>
        <v>0</v>
      </c>
      <c r="AC10" s="17">
        <f t="shared" si="2"/>
        <v>21</v>
      </c>
      <c r="AD10" s="17">
        <f t="shared" si="2"/>
        <v>2</v>
      </c>
      <c r="AE10" s="31">
        <f t="shared" si="2"/>
        <v>13</v>
      </c>
      <c r="AF10" s="31">
        <f t="shared" si="2"/>
        <v>34</v>
      </c>
    </row>
    <row r="11" spans="2:32" s="6" customFormat="1" ht="23.1" customHeight="1" x14ac:dyDescent="0.25">
      <c r="B11" s="23" t="s">
        <v>38</v>
      </c>
      <c r="C11" s="50">
        <v>4</v>
      </c>
      <c r="D11" s="50">
        <v>0</v>
      </c>
      <c r="E11" s="50">
        <v>1</v>
      </c>
      <c r="F11" s="50">
        <v>1</v>
      </c>
      <c r="G11" s="50">
        <v>0</v>
      </c>
      <c r="H11" s="50">
        <v>0</v>
      </c>
      <c r="I11" s="50">
        <v>0</v>
      </c>
      <c r="J11" s="50">
        <v>2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8</v>
      </c>
      <c r="P11" s="15">
        <f t="shared" si="1"/>
        <v>13</v>
      </c>
      <c r="R11" s="1" t="s">
        <v>7</v>
      </c>
      <c r="S11" s="17">
        <f t="shared" ref="S11:AF11" si="3">SUM(C14:C17)</f>
        <v>7</v>
      </c>
      <c r="T11" s="17">
        <f t="shared" si="3"/>
        <v>2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3</v>
      </c>
      <c r="AA11" s="17">
        <f t="shared" si="3"/>
        <v>0</v>
      </c>
      <c r="AB11" s="17">
        <f t="shared" si="3"/>
        <v>1</v>
      </c>
      <c r="AC11" s="17">
        <f t="shared" si="3"/>
        <v>14</v>
      </c>
      <c r="AD11" s="17">
        <f t="shared" si="3"/>
        <v>0</v>
      </c>
      <c r="AE11" s="31">
        <f t="shared" si="3"/>
        <v>13</v>
      </c>
      <c r="AF11" s="31">
        <f t="shared" si="3"/>
        <v>27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6</v>
      </c>
      <c r="N12" s="50">
        <v>2</v>
      </c>
      <c r="O12" s="15">
        <f t="shared" si="0"/>
        <v>3</v>
      </c>
      <c r="P12" s="15">
        <f t="shared" si="1"/>
        <v>9</v>
      </c>
      <c r="R12" s="1" t="s">
        <v>8</v>
      </c>
      <c r="S12" s="17">
        <f t="shared" ref="S12:AF12" si="4">SUM(C18:C21)</f>
        <v>9</v>
      </c>
      <c r="T12" s="17">
        <f t="shared" si="4"/>
        <v>13</v>
      </c>
      <c r="U12" s="17">
        <f t="shared" si="4"/>
        <v>1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0</v>
      </c>
      <c r="AA12" s="17">
        <f t="shared" si="4"/>
        <v>3</v>
      </c>
      <c r="AB12" s="17">
        <f t="shared" si="4"/>
        <v>1</v>
      </c>
      <c r="AC12" s="17">
        <f t="shared" si="4"/>
        <v>14</v>
      </c>
      <c r="AD12" s="17">
        <f t="shared" si="4"/>
        <v>0</v>
      </c>
      <c r="AE12" s="31">
        <f t="shared" si="4"/>
        <v>30</v>
      </c>
      <c r="AF12" s="31">
        <f t="shared" si="4"/>
        <v>44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0</v>
      </c>
      <c r="P13" s="15">
        <f t="shared" si="1"/>
        <v>5</v>
      </c>
      <c r="R13" s="1" t="s">
        <v>9</v>
      </c>
      <c r="S13" s="17">
        <f t="shared" ref="S13:AF13" si="5">SUM(C22:C25)</f>
        <v>15</v>
      </c>
      <c r="T13" s="17">
        <f t="shared" si="5"/>
        <v>7</v>
      </c>
      <c r="U13" s="17">
        <f t="shared" si="5"/>
        <v>2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2</v>
      </c>
      <c r="AC13" s="17">
        <f t="shared" si="5"/>
        <v>23</v>
      </c>
      <c r="AD13" s="17">
        <f t="shared" si="5"/>
        <v>0</v>
      </c>
      <c r="AE13" s="31">
        <f t="shared" si="5"/>
        <v>30</v>
      </c>
      <c r="AF13" s="31">
        <f t="shared" si="5"/>
        <v>53</v>
      </c>
    </row>
    <row r="14" spans="2:32" ht="23.1" customHeight="1" x14ac:dyDescent="0.25">
      <c r="B14" s="23" t="s">
        <v>41</v>
      </c>
      <c r="C14" s="50">
        <v>1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1</v>
      </c>
      <c r="M14" s="50">
        <v>4</v>
      </c>
      <c r="N14" s="50">
        <v>0</v>
      </c>
      <c r="O14" s="15">
        <f t="shared" si="0"/>
        <v>3</v>
      </c>
      <c r="P14" s="15">
        <f t="shared" si="1"/>
        <v>7</v>
      </c>
      <c r="R14" s="1" t="s">
        <v>10</v>
      </c>
      <c r="S14" s="17">
        <f t="shared" ref="S14:AF14" si="6">SUM(C26:C29)</f>
        <v>16</v>
      </c>
      <c r="T14" s="17">
        <f t="shared" si="6"/>
        <v>5</v>
      </c>
      <c r="U14" s="17">
        <f t="shared" si="6"/>
        <v>4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5</v>
      </c>
      <c r="AA14" s="17">
        <f t="shared" si="6"/>
        <v>1</v>
      </c>
      <c r="AB14" s="17">
        <f t="shared" si="6"/>
        <v>0</v>
      </c>
      <c r="AC14" s="17">
        <f t="shared" si="6"/>
        <v>20</v>
      </c>
      <c r="AD14" s="17">
        <f t="shared" si="6"/>
        <v>0</v>
      </c>
      <c r="AE14" s="31">
        <f t="shared" si="6"/>
        <v>35</v>
      </c>
      <c r="AF14" s="31">
        <f t="shared" si="6"/>
        <v>55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4</v>
      </c>
      <c r="P15" s="15">
        <f t="shared" si="1"/>
        <v>7</v>
      </c>
      <c r="R15" s="1" t="s">
        <v>11</v>
      </c>
      <c r="S15" s="17">
        <f t="shared" ref="S15:AF15" si="7">SUM(C30:C33)</f>
        <v>14</v>
      </c>
      <c r="T15" s="17">
        <f t="shared" si="7"/>
        <v>10</v>
      </c>
      <c r="U15" s="17">
        <f t="shared" si="7"/>
        <v>2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3</v>
      </c>
      <c r="AA15" s="17">
        <f t="shared" si="7"/>
        <v>4</v>
      </c>
      <c r="AB15" s="17">
        <f t="shared" si="7"/>
        <v>0</v>
      </c>
      <c r="AC15" s="17">
        <f t="shared" si="7"/>
        <v>16</v>
      </c>
      <c r="AD15" s="17">
        <f t="shared" si="7"/>
        <v>0</v>
      </c>
      <c r="AE15" s="31">
        <f t="shared" si="7"/>
        <v>33</v>
      </c>
      <c r="AF15" s="31">
        <f t="shared" si="7"/>
        <v>49</v>
      </c>
    </row>
    <row r="16" spans="2:32" ht="23.1" customHeight="1" x14ac:dyDescent="0.25">
      <c r="B16" s="23" t="s">
        <v>43</v>
      </c>
      <c r="C16" s="50">
        <v>1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2</v>
      </c>
      <c r="P16" s="15">
        <f t="shared" si="1"/>
        <v>4</v>
      </c>
      <c r="R16" s="1" t="s">
        <v>12</v>
      </c>
      <c r="S16" s="17">
        <f t="shared" ref="S16:AF16" si="8">SUM(C34:C37)</f>
        <v>16</v>
      </c>
      <c r="T16" s="17">
        <f t="shared" si="8"/>
        <v>4</v>
      </c>
      <c r="U16" s="17">
        <f t="shared" si="8"/>
        <v>5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5</v>
      </c>
      <c r="AA16" s="17">
        <f t="shared" si="8"/>
        <v>1</v>
      </c>
      <c r="AB16" s="17">
        <f t="shared" si="8"/>
        <v>1</v>
      </c>
      <c r="AC16" s="17">
        <f t="shared" si="8"/>
        <v>11</v>
      </c>
      <c r="AD16" s="17">
        <f t="shared" si="8"/>
        <v>0</v>
      </c>
      <c r="AE16" s="31">
        <f t="shared" si="8"/>
        <v>33</v>
      </c>
      <c r="AF16" s="31">
        <f t="shared" si="8"/>
        <v>44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4</v>
      </c>
      <c r="P17" s="15">
        <f t="shared" si="1"/>
        <v>9</v>
      </c>
      <c r="R17" s="1" t="s">
        <v>13</v>
      </c>
      <c r="S17" s="17">
        <f t="shared" ref="S17:AF17" si="9">SUM(C38:C41)</f>
        <v>11</v>
      </c>
      <c r="T17" s="17">
        <f t="shared" si="9"/>
        <v>10</v>
      </c>
      <c r="U17" s="17">
        <f t="shared" si="9"/>
        <v>3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1</v>
      </c>
      <c r="AA17" s="17">
        <f t="shared" si="9"/>
        <v>2</v>
      </c>
      <c r="AB17" s="17">
        <f t="shared" si="9"/>
        <v>0</v>
      </c>
      <c r="AC17" s="17">
        <f t="shared" si="9"/>
        <v>29</v>
      </c>
      <c r="AD17" s="17">
        <f t="shared" si="9"/>
        <v>0</v>
      </c>
      <c r="AE17" s="31">
        <f t="shared" si="9"/>
        <v>30</v>
      </c>
      <c r="AF17" s="31">
        <f t="shared" si="9"/>
        <v>59</v>
      </c>
    </row>
    <row r="18" spans="2:32" ht="23.1" customHeight="1" x14ac:dyDescent="0.25">
      <c r="B18" s="23" t="s">
        <v>45</v>
      </c>
      <c r="C18" s="50">
        <v>4</v>
      </c>
      <c r="D18" s="50">
        <v>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6</v>
      </c>
      <c r="N18" s="50">
        <v>0</v>
      </c>
      <c r="O18" s="15">
        <f t="shared" si="0"/>
        <v>6</v>
      </c>
      <c r="P18" s="15">
        <f t="shared" si="1"/>
        <v>12</v>
      </c>
      <c r="R18" s="1" t="s">
        <v>14</v>
      </c>
      <c r="S18" s="17">
        <f t="shared" ref="S18:AF18" si="10">SUM(C42:C45)</f>
        <v>8</v>
      </c>
      <c r="T18" s="17">
        <f t="shared" si="10"/>
        <v>3</v>
      </c>
      <c r="U18" s="17">
        <f t="shared" si="10"/>
        <v>1</v>
      </c>
      <c r="V18" s="17">
        <f t="shared" si="10"/>
        <v>1</v>
      </c>
      <c r="W18" s="17">
        <f t="shared" si="10"/>
        <v>1</v>
      </c>
      <c r="X18" s="17">
        <f t="shared" si="10"/>
        <v>0</v>
      </c>
      <c r="Y18" s="17">
        <f t="shared" si="10"/>
        <v>1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21</v>
      </c>
      <c r="AD18" s="17">
        <f t="shared" si="10"/>
        <v>0</v>
      </c>
      <c r="AE18" s="31">
        <f t="shared" si="10"/>
        <v>17</v>
      </c>
      <c r="AF18" s="31">
        <f t="shared" si="10"/>
        <v>38</v>
      </c>
    </row>
    <row r="19" spans="2:32" ht="23.1" customHeight="1" x14ac:dyDescent="0.25">
      <c r="B19" s="23" t="s">
        <v>46</v>
      </c>
      <c r="C19" s="50">
        <v>4</v>
      </c>
      <c r="D19" s="50">
        <v>2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2</v>
      </c>
      <c r="L19" s="50">
        <v>1</v>
      </c>
      <c r="M19" s="50">
        <v>2</v>
      </c>
      <c r="N19" s="50">
        <v>0</v>
      </c>
      <c r="O19" s="15">
        <f t="shared" si="0"/>
        <v>10</v>
      </c>
      <c r="P19" s="15">
        <f t="shared" si="1"/>
        <v>12</v>
      </c>
      <c r="R19" s="1" t="s">
        <v>15</v>
      </c>
      <c r="S19" s="17">
        <f t="shared" ref="S19:AF19" si="11">SUM(C46:C49)</f>
        <v>9</v>
      </c>
      <c r="T19" s="17">
        <f t="shared" si="11"/>
        <v>6</v>
      </c>
      <c r="U19" s="17">
        <f t="shared" si="11"/>
        <v>2</v>
      </c>
      <c r="V19" s="17">
        <f t="shared" si="11"/>
        <v>1</v>
      </c>
      <c r="W19" s="17">
        <f t="shared" si="11"/>
        <v>0</v>
      </c>
      <c r="X19" s="17">
        <f t="shared" si="11"/>
        <v>1</v>
      </c>
      <c r="Y19" s="17">
        <f t="shared" si="11"/>
        <v>0</v>
      </c>
      <c r="Z19" s="17">
        <f t="shared" si="11"/>
        <v>7</v>
      </c>
      <c r="AA19" s="17">
        <f t="shared" si="11"/>
        <v>2</v>
      </c>
      <c r="AB19" s="17">
        <f t="shared" si="11"/>
        <v>1</v>
      </c>
      <c r="AC19" s="17">
        <f t="shared" si="11"/>
        <v>27</v>
      </c>
      <c r="AD19" s="17">
        <f t="shared" si="11"/>
        <v>0</v>
      </c>
      <c r="AE19" s="31">
        <f t="shared" si="11"/>
        <v>29</v>
      </c>
      <c r="AF19" s="31">
        <f t="shared" si="11"/>
        <v>56</v>
      </c>
    </row>
    <row r="20" spans="2:32" ht="23.1" customHeight="1" x14ac:dyDescent="0.25">
      <c r="B20" s="23" t="s">
        <v>47</v>
      </c>
      <c r="C20" s="50">
        <v>0</v>
      </c>
      <c r="D20" s="50">
        <v>4</v>
      </c>
      <c r="E20" s="50">
        <v>0</v>
      </c>
      <c r="F20" s="50">
        <v>2</v>
      </c>
      <c r="G20" s="50">
        <v>0</v>
      </c>
      <c r="H20" s="50">
        <v>0</v>
      </c>
      <c r="I20" s="50">
        <v>1</v>
      </c>
      <c r="J20" s="50">
        <v>0</v>
      </c>
      <c r="K20" s="50">
        <v>1</v>
      </c>
      <c r="L20" s="50">
        <v>0</v>
      </c>
      <c r="M20" s="50">
        <v>3</v>
      </c>
      <c r="N20" s="50">
        <v>0</v>
      </c>
      <c r="O20" s="15">
        <f t="shared" si="0"/>
        <v>8</v>
      </c>
      <c r="P20" s="15">
        <f t="shared" si="1"/>
        <v>11</v>
      </c>
      <c r="R20" s="1" t="s">
        <v>16</v>
      </c>
      <c r="S20" s="17">
        <f t="shared" ref="S20:AF20" si="12">SUM(C50:C53)</f>
        <v>16</v>
      </c>
      <c r="T20" s="17">
        <f t="shared" si="12"/>
        <v>9</v>
      </c>
      <c r="U20" s="17">
        <f t="shared" si="12"/>
        <v>3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23</v>
      </c>
      <c r="AD20" s="17">
        <f t="shared" si="12"/>
        <v>0</v>
      </c>
      <c r="AE20" s="31">
        <f t="shared" si="12"/>
        <v>32</v>
      </c>
      <c r="AF20" s="31">
        <f t="shared" si="12"/>
        <v>55</v>
      </c>
    </row>
    <row r="21" spans="2:32" ht="23.1" customHeight="1" x14ac:dyDescent="0.25">
      <c r="B21" s="23" t="s">
        <v>48</v>
      </c>
      <c r="C21" s="50">
        <v>1</v>
      </c>
      <c r="D21" s="50">
        <v>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3</v>
      </c>
      <c r="N21" s="50">
        <v>0</v>
      </c>
      <c r="O21" s="15">
        <f t="shared" si="0"/>
        <v>6</v>
      </c>
      <c r="P21" s="15">
        <f t="shared" si="1"/>
        <v>9</v>
      </c>
      <c r="R21" s="36" t="s">
        <v>20</v>
      </c>
      <c r="S21" s="34">
        <f t="shared" ref="S21:AF21" si="13">SUM(C54:C57)</f>
        <v>19</v>
      </c>
      <c r="T21" s="17">
        <f t="shared" si="13"/>
        <v>5</v>
      </c>
      <c r="U21" s="17">
        <f t="shared" si="13"/>
        <v>5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2</v>
      </c>
      <c r="AA21" s="17">
        <f t="shared" si="13"/>
        <v>1</v>
      </c>
      <c r="AB21" s="17">
        <f t="shared" si="13"/>
        <v>3</v>
      </c>
      <c r="AC21" s="17">
        <f t="shared" si="13"/>
        <v>28</v>
      </c>
      <c r="AD21" s="17">
        <f t="shared" si="13"/>
        <v>0</v>
      </c>
      <c r="AE21" s="31">
        <f t="shared" si="13"/>
        <v>39</v>
      </c>
      <c r="AF21" s="31">
        <f t="shared" si="13"/>
        <v>67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2</v>
      </c>
      <c r="M22" s="50">
        <v>3</v>
      </c>
      <c r="N22" s="50">
        <v>0</v>
      </c>
      <c r="O22" s="15">
        <f t="shared" si="0"/>
        <v>7</v>
      </c>
      <c r="P22" s="15">
        <f t="shared" si="1"/>
        <v>10</v>
      </c>
      <c r="R22" s="38" t="s">
        <v>90</v>
      </c>
      <c r="S22" s="39">
        <f>MAX(S10:S12)</f>
        <v>9</v>
      </c>
      <c r="T22" s="39">
        <f t="shared" ref="T22:AF22" si="14">MAX(T10:T12)</f>
        <v>13</v>
      </c>
      <c r="U22" s="39">
        <f t="shared" si="14"/>
        <v>1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1</v>
      </c>
      <c r="Z22" s="39">
        <f t="shared" si="14"/>
        <v>3</v>
      </c>
      <c r="AA22" s="39">
        <f t="shared" si="14"/>
        <v>3</v>
      </c>
      <c r="AB22" s="39">
        <f t="shared" si="14"/>
        <v>1</v>
      </c>
      <c r="AC22" s="39">
        <f t="shared" si="14"/>
        <v>21</v>
      </c>
      <c r="AD22" s="39">
        <f t="shared" si="14"/>
        <v>2</v>
      </c>
      <c r="AE22" s="40">
        <f t="shared" si="14"/>
        <v>30</v>
      </c>
      <c r="AF22" s="40">
        <f t="shared" si="14"/>
        <v>44</v>
      </c>
    </row>
    <row r="23" spans="2:32" ht="23.1" customHeight="1" x14ac:dyDescent="0.25">
      <c r="B23" s="23" t="s">
        <v>50</v>
      </c>
      <c r="C23" s="50">
        <v>5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5</v>
      </c>
      <c r="P23" s="15">
        <f t="shared" si="1"/>
        <v>10</v>
      </c>
      <c r="R23" s="38" t="s">
        <v>91</v>
      </c>
      <c r="S23" s="39">
        <f>MAX(S13:S18)</f>
        <v>16</v>
      </c>
      <c r="T23" s="39">
        <f t="shared" ref="T23:AF23" si="15">MAX(T13:T18)</f>
        <v>10</v>
      </c>
      <c r="U23" s="39">
        <f t="shared" si="15"/>
        <v>5</v>
      </c>
      <c r="V23" s="39">
        <f t="shared" si="15"/>
        <v>2</v>
      </c>
      <c r="W23" s="39">
        <f t="shared" si="15"/>
        <v>1</v>
      </c>
      <c r="X23" s="39">
        <f t="shared" si="15"/>
        <v>0</v>
      </c>
      <c r="Y23" s="39">
        <f t="shared" si="15"/>
        <v>4</v>
      </c>
      <c r="Z23" s="39">
        <f t="shared" si="15"/>
        <v>5</v>
      </c>
      <c r="AA23" s="39">
        <f t="shared" si="15"/>
        <v>4</v>
      </c>
      <c r="AB23" s="39">
        <f t="shared" si="15"/>
        <v>2</v>
      </c>
      <c r="AC23" s="39">
        <f t="shared" si="15"/>
        <v>29</v>
      </c>
      <c r="AD23" s="39">
        <f t="shared" si="15"/>
        <v>0</v>
      </c>
      <c r="AE23" s="40">
        <f t="shared" si="15"/>
        <v>35</v>
      </c>
      <c r="AF23" s="40">
        <f t="shared" si="15"/>
        <v>59</v>
      </c>
    </row>
    <row r="24" spans="2:32" ht="23.1" customHeight="1" x14ac:dyDescent="0.25">
      <c r="B24" s="23" t="s">
        <v>51</v>
      </c>
      <c r="C24" s="50">
        <v>1</v>
      </c>
      <c r="D24" s="50">
        <v>2</v>
      </c>
      <c r="E24" s="50">
        <v>2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5</v>
      </c>
      <c r="N24" s="50">
        <v>0</v>
      </c>
      <c r="O24" s="15">
        <f t="shared" si="0"/>
        <v>6</v>
      </c>
      <c r="P24" s="15">
        <f t="shared" si="1"/>
        <v>11</v>
      </c>
      <c r="R24" s="38" t="s">
        <v>92</v>
      </c>
      <c r="S24" s="39">
        <f>MAX(S19:S21)</f>
        <v>19</v>
      </c>
      <c r="T24" s="39">
        <f t="shared" ref="T24:AF24" si="16">MAX(T19:T21)</f>
        <v>9</v>
      </c>
      <c r="U24" s="39">
        <f t="shared" si="16"/>
        <v>5</v>
      </c>
      <c r="V24" s="39">
        <f t="shared" si="16"/>
        <v>1</v>
      </c>
      <c r="W24" s="39">
        <f t="shared" si="16"/>
        <v>0</v>
      </c>
      <c r="X24" s="39">
        <f t="shared" si="16"/>
        <v>1</v>
      </c>
      <c r="Y24" s="39">
        <f t="shared" si="16"/>
        <v>3</v>
      </c>
      <c r="Z24" s="39">
        <f t="shared" si="16"/>
        <v>7</v>
      </c>
      <c r="AA24" s="39">
        <f t="shared" si="16"/>
        <v>2</v>
      </c>
      <c r="AB24" s="39">
        <f t="shared" si="16"/>
        <v>3</v>
      </c>
      <c r="AC24" s="39">
        <f t="shared" si="16"/>
        <v>28</v>
      </c>
      <c r="AD24" s="39">
        <f t="shared" si="16"/>
        <v>0</v>
      </c>
      <c r="AE24" s="40">
        <f t="shared" si="16"/>
        <v>39</v>
      </c>
      <c r="AF24" s="40">
        <f t="shared" si="16"/>
        <v>67</v>
      </c>
    </row>
    <row r="25" spans="2:32" ht="23.1" customHeight="1" x14ac:dyDescent="0.25">
      <c r="B25" s="23" t="s">
        <v>52</v>
      </c>
      <c r="C25" s="50">
        <v>6</v>
      </c>
      <c r="D25" s="50">
        <v>4</v>
      </c>
      <c r="E25" s="50">
        <v>0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10</v>
      </c>
      <c r="N25" s="50">
        <v>0</v>
      </c>
      <c r="O25" s="15">
        <f t="shared" si="0"/>
        <v>12</v>
      </c>
      <c r="P25" s="15">
        <f t="shared" si="1"/>
        <v>22</v>
      </c>
      <c r="R25" s="37" t="s">
        <v>85</v>
      </c>
      <c r="S25" s="35">
        <f t="shared" ref="S25:AF25" si="17">SUM(S10:S12)</f>
        <v>22</v>
      </c>
      <c r="T25" s="16">
        <f t="shared" si="17"/>
        <v>15</v>
      </c>
      <c r="U25" s="16">
        <f t="shared" si="17"/>
        <v>2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1</v>
      </c>
      <c r="Z25" s="16">
        <f t="shared" si="17"/>
        <v>5</v>
      </c>
      <c r="AA25" s="16">
        <f t="shared" si="17"/>
        <v>4</v>
      </c>
      <c r="AB25" s="16">
        <f t="shared" si="17"/>
        <v>2</v>
      </c>
      <c r="AC25" s="16">
        <f t="shared" si="17"/>
        <v>49</v>
      </c>
      <c r="AD25" s="16">
        <f t="shared" si="17"/>
        <v>2</v>
      </c>
      <c r="AE25" s="32">
        <f t="shared" si="17"/>
        <v>56</v>
      </c>
      <c r="AF25" s="32">
        <f t="shared" si="17"/>
        <v>105</v>
      </c>
    </row>
    <row r="26" spans="2:32" ht="23.1" customHeight="1" x14ac:dyDescent="0.25">
      <c r="B26" s="23" t="s">
        <v>53</v>
      </c>
      <c r="C26" s="50">
        <v>1</v>
      </c>
      <c r="D26" s="50">
        <v>3</v>
      </c>
      <c r="E26" s="50">
        <v>2</v>
      </c>
      <c r="F26" s="50">
        <v>0</v>
      </c>
      <c r="G26" s="50">
        <v>0</v>
      </c>
      <c r="H26" s="50">
        <v>0</v>
      </c>
      <c r="I26" s="50">
        <v>1</v>
      </c>
      <c r="J26" s="50">
        <v>1</v>
      </c>
      <c r="K26" s="50">
        <v>0</v>
      </c>
      <c r="L26" s="50">
        <v>0</v>
      </c>
      <c r="M26" s="50">
        <v>5</v>
      </c>
      <c r="N26" s="50">
        <v>0</v>
      </c>
      <c r="O26" s="15">
        <f t="shared" si="0"/>
        <v>8</v>
      </c>
      <c r="P26" s="15">
        <f t="shared" si="1"/>
        <v>13</v>
      </c>
      <c r="R26" s="28" t="s">
        <v>86</v>
      </c>
      <c r="S26" s="16">
        <f t="shared" ref="S26:AF26" si="18">SUM(S13:S18)</f>
        <v>80</v>
      </c>
      <c r="T26" s="16">
        <f t="shared" si="18"/>
        <v>39</v>
      </c>
      <c r="U26" s="16">
        <f t="shared" si="18"/>
        <v>17</v>
      </c>
      <c r="V26" s="16">
        <f t="shared" si="18"/>
        <v>4</v>
      </c>
      <c r="W26" s="16">
        <f t="shared" si="18"/>
        <v>1</v>
      </c>
      <c r="X26" s="16">
        <f t="shared" si="18"/>
        <v>0</v>
      </c>
      <c r="Y26" s="16">
        <f t="shared" si="18"/>
        <v>10</v>
      </c>
      <c r="Z26" s="16">
        <f t="shared" si="18"/>
        <v>15</v>
      </c>
      <c r="AA26" s="16">
        <f t="shared" si="18"/>
        <v>9</v>
      </c>
      <c r="AB26" s="16">
        <f t="shared" si="18"/>
        <v>3</v>
      </c>
      <c r="AC26" s="16">
        <f t="shared" si="18"/>
        <v>120</v>
      </c>
      <c r="AD26" s="16">
        <f t="shared" si="18"/>
        <v>0</v>
      </c>
      <c r="AE26" s="32">
        <f t="shared" si="18"/>
        <v>178</v>
      </c>
      <c r="AF26" s="32">
        <f t="shared" si="18"/>
        <v>298</v>
      </c>
    </row>
    <row r="27" spans="2:32" ht="23.1" customHeight="1" x14ac:dyDescent="0.25">
      <c r="B27" s="23" t="s">
        <v>54</v>
      </c>
      <c r="C27" s="50">
        <v>6</v>
      </c>
      <c r="D27" s="50">
        <v>1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10</v>
      </c>
      <c r="P27" s="15">
        <f t="shared" si="1"/>
        <v>16</v>
      </c>
      <c r="R27" s="29" t="s">
        <v>87</v>
      </c>
      <c r="S27" s="16">
        <f t="shared" ref="S27:AF27" si="19">SUM(S19:S21)</f>
        <v>44</v>
      </c>
      <c r="T27" s="16">
        <f t="shared" si="19"/>
        <v>20</v>
      </c>
      <c r="U27" s="16">
        <f t="shared" si="19"/>
        <v>10</v>
      </c>
      <c r="V27" s="16">
        <f t="shared" si="19"/>
        <v>2</v>
      </c>
      <c r="W27" s="16">
        <f t="shared" si="19"/>
        <v>0</v>
      </c>
      <c r="X27" s="16">
        <f t="shared" si="19"/>
        <v>1</v>
      </c>
      <c r="Y27" s="16">
        <f t="shared" si="19"/>
        <v>6</v>
      </c>
      <c r="Z27" s="16">
        <f t="shared" si="19"/>
        <v>10</v>
      </c>
      <c r="AA27" s="16">
        <f t="shared" si="19"/>
        <v>3</v>
      </c>
      <c r="AB27" s="16">
        <f t="shared" si="19"/>
        <v>4</v>
      </c>
      <c r="AC27" s="16">
        <f t="shared" si="19"/>
        <v>78</v>
      </c>
      <c r="AD27" s="16">
        <f t="shared" si="19"/>
        <v>0</v>
      </c>
      <c r="AE27" s="32">
        <f t="shared" si="19"/>
        <v>100</v>
      </c>
      <c r="AF27" s="32">
        <f t="shared" si="19"/>
        <v>178</v>
      </c>
    </row>
    <row r="28" spans="2:32" ht="23.1" customHeight="1" x14ac:dyDescent="0.25">
      <c r="B28" s="23" t="s">
        <v>55</v>
      </c>
      <c r="C28" s="50">
        <v>6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10</v>
      </c>
      <c r="P28" s="15">
        <f t="shared" si="1"/>
        <v>14</v>
      </c>
      <c r="R28" s="5" t="s">
        <v>17</v>
      </c>
      <c r="S28" s="16">
        <f t="shared" ref="S28:AF28" si="20">SUM(S10:S21)</f>
        <v>146</v>
      </c>
      <c r="T28" s="16">
        <f t="shared" si="20"/>
        <v>74</v>
      </c>
      <c r="U28" s="16">
        <f t="shared" si="20"/>
        <v>29</v>
      </c>
      <c r="V28" s="16">
        <f t="shared" si="20"/>
        <v>9</v>
      </c>
      <c r="W28" s="16">
        <f t="shared" si="20"/>
        <v>1</v>
      </c>
      <c r="X28" s="16">
        <f t="shared" si="20"/>
        <v>1</v>
      </c>
      <c r="Y28" s="16">
        <f t="shared" si="20"/>
        <v>17</v>
      </c>
      <c r="Z28" s="16">
        <f t="shared" si="20"/>
        <v>30</v>
      </c>
      <c r="AA28" s="16">
        <f t="shared" si="20"/>
        <v>16</v>
      </c>
      <c r="AB28" s="16">
        <f t="shared" si="20"/>
        <v>9</v>
      </c>
      <c r="AC28" s="16">
        <f t="shared" si="20"/>
        <v>247</v>
      </c>
      <c r="AD28" s="16">
        <f t="shared" si="20"/>
        <v>2</v>
      </c>
      <c r="AE28" s="32">
        <f t="shared" si="20"/>
        <v>334</v>
      </c>
      <c r="AF28" s="32">
        <f t="shared" si="20"/>
        <v>581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2</v>
      </c>
      <c r="K29" s="50">
        <v>1</v>
      </c>
      <c r="L29" s="50">
        <v>0</v>
      </c>
      <c r="M29" s="50">
        <v>5</v>
      </c>
      <c r="N29" s="50">
        <v>0</v>
      </c>
      <c r="O29" s="15">
        <f t="shared" si="0"/>
        <v>7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3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1</v>
      </c>
      <c r="L30" s="50">
        <v>0</v>
      </c>
      <c r="M30" s="50">
        <v>7</v>
      </c>
      <c r="N30" s="50">
        <v>0</v>
      </c>
      <c r="O30" s="15">
        <f t="shared" si="0"/>
        <v>9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6</v>
      </c>
      <c r="D31" s="50">
        <v>2</v>
      </c>
      <c r="E31" s="50">
        <v>2</v>
      </c>
      <c r="F31" s="50">
        <v>0</v>
      </c>
      <c r="G31" s="50">
        <v>0</v>
      </c>
      <c r="H31" s="50">
        <v>0</v>
      </c>
      <c r="I31" s="50">
        <v>0</v>
      </c>
      <c r="J31" s="50">
        <v>2</v>
      </c>
      <c r="K31" s="50">
        <v>0</v>
      </c>
      <c r="L31" s="50">
        <v>0</v>
      </c>
      <c r="M31" s="50">
        <v>3</v>
      </c>
      <c r="N31" s="50">
        <v>0</v>
      </c>
      <c r="O31" s="15">
        <f t="shared" si="0"/>
        <v>12</v>
      </c>
      <c r="P31" s="15">
        <f t="shared" si="1"/>
        <v>15</v>
      </c>
    </row>
    <row r="32" spans="2:32" ht="23.1" customHeight="1" x14ac:dyDescent="0.25">
      <c r="B32" s="24" t="s">
        <v>59</v>
      </c>
      <c r="C32" s="50">
        <v>3</v>
      </c>
      <c r="D32" s="50">
        <v>3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6</v>
      </c>
      <c r="P32" s="15">
        <f t="shared" si="1"/>
        <v>9</v>
      </c>
    </row>
    <row r="33" spans="2:20" ht="23.1" customHeight="1" x14ac:dyDescent="0.25">
      <c r="B33" s="23" t="s">
        <v>60</v>
      </c>
      <c r="C33" s="50">
        <v>1</v>
      </c>
      <c r="D33" s="50">
        <v>2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3</v>
      </c>
      <c r="L33" s="50">
        <v>0</v>
      </c>
      <c r="M33" s="50">
        <v>3</v>
      </c>
      <c r="N33" s="50">
        <v>0</v>
      </c>
      <c r="O33" s="15">
        <f t="shared" si="0"/>
        <v>6</v>
      </c>
      <c r="P33" s="15">
        <f t="shared" si="1"/>
        <v>9</v>
      </c>
    </row>
    <row r="34" spans="2:20" ht="23.1" customHeight="1" x14ac:dyDescent="0.25">
      <c r="B34" s="24" t="s">
        <v>61</v>
      </c>
      <c r="C34" s="50">
        <v>5</v>
      </c>
      <c r="D34" s="50">
        <v>1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10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6</v>
      </c>
      <c r="D35" s="50">
        <v>2</v>
      </c>
      <c r="E35" s="50">
        <v>1</v>
      </c>
      <c r="F35" s="50">
        <v>0</v>
      </c>
      <c r="G35" s="50">
        <v>0</v>
      </c>
      <c r="H35" s="50">
        <v>0</v>
      </c>
      <c r="I35" s="50">
        <v>1</v>
      </c>
      <c r="J35" s="50">
        <v>2</v>
      </c>
      <c r="K35" s="50">
        <v>1</v>
      </c>
      <c r="L35" s="50">
        <v>0</v>
      </c>
      <c r="M35" s="50">
        <v>3</v>
      </c>
      <c r="N35" s="50">
        <v>0</v>
      </c>
      <c r="O35" s="15">
        <f t="shared" si="0"/>
        <v>13</v>
      </c>
      <c r="P35" s="15">
        <f t="shared" si="1"/>
        <v>16</v>
      </c>
    </row>
    <row r="36" spans="2:20" ht="23.1" customHeight="1" x14ac:dyDescent="0.25">
      <c r="B36" s="24" t="s">
        <v>63</v>
      </c>
      <c r="C36" s="50">
        <v>2</v>
      </c>
      <c r="D36" s="50">
        <v>1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6</v>
      </c>
      <c r="P36" s="15">
        <f t="shared" si="1"/>
        <v>9</v>
      </c>
    </row>
    <row r="37" spans="2:20" ht="23.1" customHeight="1" x14ac:dyDescent="0.25">
      <c r="B37" s="23" t="s">
        <v>64</v>
      </c>
      <c r="C37" s="50">
        <v>3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1</v>
      </c>
      <c r="M37" s="50">
        <v>3</v>
      </c>
      <c r="N37" s="50">
        <v>0</v>
      </c>
      <c r="O37" s="15">
        <f t="shared" si="0"/>
        <v>4</v>
      </c>
      <c r="P37" s="15">
        <f t="shared" si="1"/>
        <v>7</v>
      </c>
    </row>
    <row r="38" spans="2:20" ht="23.1" customHeight="1" x14ac:dyDescent="0.25">
      <c r="B38" s="24" t="s">
        <v>65</v>
      </c>
      <c r="C38" s="50">
        <v>5</v>
      </c>
      <c r="D38" s="50">
        <v>3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1</v>
      </c>
      <c r="K38" s="50">
        <v>1</v>
      </c>
      <c r="L38" s="50">
        <v>0</v>
      </c>
      <c r="M38" s="50">
        <v>10</v>
      </c>
      <c r="N38" s="50">
        <v>0</v>
      </c>
      <c r="O38" s="15">
        <f t="shared" si="0"/>
        <v>10</v>
      </c>
      <c r="P38" s="15">
        <f t="shared" si="1"/>
        <v>20</v>
      </c>
    </row>
    <row r="39" spans="2:20" ht="23.1" customHeight="1" x14ac:dyDescent="0.25">
      <c r="B39" s="24" t="s">
        <v>66</v>
      </c>
      <c r="C39" s="50">
        <v>1</v>
      </c>
      <c r="D39" s="50">
        <v>2</v>
      </c>
      <c r="E39" s="50">
        <v>0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5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3</v>
      </c>
      <c r="D40" s="50">
        <v>2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6</v>
      </c>
      <c r="P40" s="15">
        <f t="shared" si="1"/>
        <v>10</v>
      </c>
    </row>
    <row r="41" spans="2:20" ht="23.1" customHeight="1" x14ac:dyDescent="0.25">
      <c r="B41" s="23" t="s">
        <v>68</v>
      </c>
      <c r="C41" s="50">
        <v>2</v>
      </c>
      <c r="D41" s="50">
        <v>3</v>
      </c>
      <c r="E41" s="50">
        <v>2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1</v>
      </c>
      <c r="L41" s="50">
        <v>0</v>
      </c>
      <c r="M41" s="50">
        <v>8</v>
      </c>
      <c r="N41" s="50">
        <v>0</v>
      </c>
      <c r="O41" s="15">
        <f t="shared" si="0"/>
        <v>9</v>
      </c>
      <c r="P41" s="15">
        <f t="shared" si="1"/>
        <v>17</v>
      </c>
    </row>
    <row r="42" spans="2:20" ht="23.1" customHeight="1" x14ac:dyDescent="0.25">
      <c r="B42" s="24" t="s">
        <v>69</v>
      </c>
      <c r="C42" s="50">
        <v>0</v>
      </c>
      <c r="D42" s="50">
        <v>1</v>
      </c>
      <c r="E42" s="50">
        <v>0</v>
      </c>
      <c r="F42" s="50">
        <v>0</v>
      </c>
      <c r="G42" s="50">
        <v>1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2</v>
      </c>
      <c r="N42" s="50">
        <v>0</v>
      </c>
      <c r="O42" s="15">
        <f t="shared" si="0"/>
        <v>2</v>
      </c>
      <c r="P42" s="15">
        <f t="shared" si="1"/>
        <v>4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1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3</v>
      </c>
      <c r="P43" s="15">
        <f t="shared" si="1"/>
        <v>10</v>
      </c>
    </row>
    <row r="44" spans="2:20" ht="23.1" customHeight="1" x14ac:dyDescent="0.25">
      <c r="B44" s="25" t="s">
        <v>71</v>
      </c>
      <c r="C44" s="50">
        <v>3</v>
      </c>
      <c r="D44" s="50">
        <v>2</v>
      </c>
      <c r="E44" s="50">
        <v>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1</v>
      </c>
      <c r="L44" s="50">
        <v>0</v>
      </c>
      <c r="M44" s="50">
        <v>8</v>
      </c>
      <c r="N44" s="50">
        <v>0</v>
      </c>
      <c r="O44" s="15">
        <f t="shared" si="0"/>
        <v>7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4</v>
      </c>
      <c r="N45" s="50">
        <v>0</v>
      </c>
      <c r="O45" s="15">
        <f t="shared" si="0"/>
        <v>5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1</v>
      </c>
      <c r="D46" s="50">
        <v>1</v>
      </c>
      <c r="E46" s="50">
        <v>1</v>
      </c>
      <c r="F46" s="50">
        <v>0</v>
      </c>
      <c r="G46" s="50">
        <v>0</v>
      </c>
      <c r="H46" s="50">
        <v>1</v>
      </c>
      <c r="I46" s="50">
        <v>0</v>
      </c>
      <c r="J46" s="50">
        <v>2</v>
      </c>
      <c r="K46" s="50">
        <v>1</v>
      </c>
      <c r="L46" s="50">
        <v>0</v>
      </c>
      <c r="M46" s="50">
        <v>3</v>
      </c>
      <c r="N46" s="50">
        <v>0</v>
      </c>
      <c r="O46" s="15">
        <f t="shared" si="0"/>
        <v>7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2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</v>
      </c>
      <c r="K47" s="50">
        <v>0</v>
      </c>
      <c r="L47" s="50">
        <v>0</v>
      </c>
      <c r="M47" s="50">
        <v>12</v>
      </c>
      <c r="N47" s="50">
        <v>0</v>
      </c>
      <c r="O47" s="15">
        <f t="shared" si="0"/>
        <v>6</v>
      </c>
      <c r="P47" s="15">
        <f t="shared" si="1"/>
        <v>18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1</v>
      </c>
      <c r="L48" s="50">
        <v>1</v>
      </c>
      <c r="M48" s="50">
        <v>5</v>
      </c>
      <c r="N48" s="50">
        <v>0</v>
      </c>
      <c r="O48" s="15">
        <f t="shared" si="0"/>
        <v>5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3</v>
      </c>
      <c r="E49" s="50">
        <v>1</v>
      </c>
      <c r="F49" s="50">
        <v>1</v>
      </c>
      <c r="G49" s="50">
        <v>0</v>
      </c>
      <c r="H49" s="50">
        <v>0</v>
      </c>
      <c r="I49" s="50">
        <v>0</v>
      </c>
      <c r="J49" s="50">
        <v>2</v>
      </c>
      <c r="K49" s="50">
        <v>0</v>
      </c>
      <c r="L49" s="50">
        <v>0</v>
      </c>
      <c r="M49" s="50">
        <v>7</v>
      </c>
      <c r="N49" s="50">
        <v>0</v>
      </c>
      <c r="O49" s="15">
        <f t="shared" si="0"/>
        <v>11</v>
      </c>
      <c r="P49" s="15">
        <f t="shared" si="1"/>
        <v>18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4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8</v>
      </c>
      <c r="P50" s="15">
        <f t="shared" si="1"/>
        <v>14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2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8</v>
      </c>
      <c r="P51" s="15">
        <f t="shared" si="1"/>
        <v>13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1</v>
      </c>
      <c r="E52" s="50">
        <v>1</v>
      </c>
      <c r="F52" s="50">
        <v>0</v>
      </c>
      <c r="G52" s="50">
        <v>0</v>
      </c>
      <c r="H52" s="50">
        <v>0</v>
      </c>
      <c r="I52" s="50">
        <v>1</v>
      </c>
      <c r="J52" s="50">
        <v>1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9</v>
      </c>
      <c r="P52" s="15">
        <f t="shared" si="1"/>
        <v>14</v>
      </c>
      <c r="R52" s="8"/>
      <c r="T52"/>
    </row>
    <row r="53" spans="2:20" ht="23.1" customHeight="1" x14ac:dyDescent="0.25">
      <c r="B53" s="23" t="s">
        <v>80</v>
      </c>
      <c r="C53" s="50">
        <v>3</v>
      </c>
      <c r="D53" s="50">
        <v>2</v>
      </c>
      <c r="E53" s="50">
        <v>1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7</v>
      </c>
      <c r="P53" s="15">
        <f t="shared" si="1"/>
        <v>14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1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1</v>
      </c>
      <c r="L54" s="50">
        <v>0</v>
      </c>
      <c r="M54" s="50">
        <v>5</v>
      </c>
      <c r="N54" s="50">
        <v>0</v>
      </c>
      <c r="O54" s="15">
        <f t="shared" si="0"/>
        <v>10</v>
      </c>
      <c r="P54" s="15">
        <f t="shared" si="1"/>
        <v>15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1</v>
      </c>
      <c r="E55" s="50">
        <v>1</v>
      </c>
      <c r="F55" s="50">
        <v>1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3</v>
      </c>
      <c r="N55" s="50">
        <v>0</v>
      </c>
      <c r="O55" s="15">
        <f t="shared" si="0"/>
        <v>8</v>
      </c>
      <c r="P55" s="15">
        <f t="shared" si="1"/>
        <v>11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2</v>
      </c>
      <c r="J56" s="50">
        <v>1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7</v>
      </c>
      <c r="P56" s="15">
        <f t="shared" si="1"/>
        <v>16</v>
      </c>
      <c r="R56" s="8"/>
      <c r="T56"/>
    </row>
    <row r="57" spans="2:20" ht="23.1" customHeight="1" x14ac:dyDescent="0.25">
      <c r="B57" s="23" t="s">
        <v>84</v>
      </c>
      <c r="C57" s="50">
        <v>5</v>
      </c>
      <c r="D57" s="50">
        <v>3</v>
      </c>
      <c r="E57" s="50">
        <v>2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3</v>
      </c>
      <c r="M57" s="50">
        <v>11</v>
      </c>
      <c r="N57" s="50">
        <v>0</v>
      </c>
      <c r="O57" s="15">
        <f t="shared" si="0"/>
        <v>14</v>
      </c>
      <c r="P57" s="15">
        <f t="shared" si="1"/>
        <v>25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146</v>
      </c>
      <c r="D58" s="16">
        <f t="shared" si="21"/>
        <v>74</v>
      </c>
      <c r="E58" s="16">
        <f t="shared" si="21"/>
        <v>29</v>
      </c>
      <c r="F58" s="16">
        <f t="shared" si="21"/>
        <v>9</v>
      </c>
      <c r="G58" s="16">
        <f t="shared" si="21"/>
        <v>1</v>
      </c>
      <c r="H58" s="16">
        <f t="shared" si="21"/>
        <v>1</v>
      </c>
      <c r="I58" s="16">
        <f t="shared" si="21"/>
        <v>17</v>
      </c>
      <c r="J58" s="16">
        <f t="shared" si="21"/>
        <v>30</v>
      </c>
      <c r="K58" s="16">
        <f t="shared" si="21"/>
        <v>16</v>
      </c>
      <c r="L58" s="16">
        <f t="shared" si="21"/>
        <v>9</v>
      </c>
      <c r="M58" s="16">
        <f t="shared" si="21"/>
        <v>247</v>
      </c>
      <c r="N58" s="16">
        <f t="shared" si="21"/>
        <v>2</v>
      </c>
      <c r="O58" s="16">
        <f t="shared" si="21"/>
        <v>334</v>
      </c>
      <c r="P58" s="16">
        <f t="shared" si="21"/>
        <v>581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0.2512908777969019</v>
      </c>
      <c r="D59" s="43">
        <f t="shared" si="22"/>
        <v>0.12736660929432014</v>
      </c>
      <c r="E59" s="43">
        <f t="shared" si="22"/>
        <v>4.9913941480206538E-2</v>
      </c>
      <c r="F59" s="43">
        <f t="shared" si="22"/>
        <v>1.549053356282272E-2</v>
      </c>
      <c r="G59" s="43">
        <f t="shared" si="22"/>
        <v>1.7211703958691911E-3</v>
      </c>
      <c r="H59" s="43">
        <f t="shared" si="22"/>
        <v>1.7211703958691911E-3</v>
      </c>
      <c r="I59" s="43">
        <f t="shared" si="22"/>
        <v>2.9259896729776247E-2</v>
      </c>
      <c r="J59" s="43">
        <f t="shared" si="22"/>
        <v>5.163511187607573E-2</v>
      </c>
      <c r="K59" s="43">
        <f t="shared" si="22"/>
        <v>2.7538726333907058E-2</v>
      </c>
      <c r="L59" s="43">
        <f t="shared" si="22"/>
        <v>1.549053356282272E-2</v>
      </c>
      <c r="M59" s="43">
        <f t="shared" si="22"/>
        <v>0.42512908777969016</v>
      </c>
      <c r="N59" s="43">
        <f t="shared" si="22"/>
        <v>3.4423407917383822E-3</v>
      </c>
      <c r="R59" s="8"/>
      <c r="T59"/>
    </row>
    <row r="60" spans="2:20" ht="23.1" customHeight="1" x14ac:dyDescent="0.25">
      <c r="B60" s="42" t="s">
        <v>94</v>
      </c>
      <c r="C60" s="44">
        <f>C58/$O$58</f>
        <v>0.43712574850299402</v>
      </c>
      <c r="D60" s="44">
        <f t="shared" ref="D60:N60" si="23">D58/$O$58</f>
        <v>0.22155688622754491</v>
      </c>
      <c r="E60" s="44">
        <f t="shared" si="23"/>
        <v>8.6826347305389226E-2</v>
      </c>
      <c r="F60" s="44">
        <f t="shared" si="23"/>
        <v>2.6946107784431138E-2</v>
      </c>
      <c r="G60" s="44">
        <f t="shared" si="23"/>
        <v>2.9940119760479044E-3</v>
      </c>
      <c r="H60" s="44">
        <f t="shared" si="23"/>
        <v>2.9940119760479044E-3</v>
      </c>
      <c r="I60" s="44">
        <f t="shared" si="23"/>
        <v>5.089820359281437E-2</v>
      </c>
      <c r="J60" s="44">
        <f t="shared" si="23"/>
        <v>8.9820359281437126E-2</v>
      </c>
      <c r="K60" s="44">
        <f t="shared" si="23"/>
        <v>4.790419161676647E-2</v>
      </c>
      <c r="L60" s="44">
        <f t="shared" si="23"/>
        <v>2.6946107784431138E-2</v>
      </c>
      <c r="M60" s="44"/>
      <c r="N60" s="44">
        <f t="shared" si="23"/>
        <v>5.9880239520958087E-3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Rushere-Lyantonde'!C3:G3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'27.10 Lyantonde-Rushere'!D5</f>
        <v>27.10.19</v>
      </c>
      <c r="E5" s="3"/>
      <c r="F5" s="41" t="s">
        <v>1</v>
      </c>
      <c r="G5" s="63" t="str">
        <f>'25.10 Lyantonde-Rushere'!G5:H5</f>
        <v>Kaguta road JTC</v>
      </c>
      <c r="H5" s="64"/>
      <c r="I5" s="14"/>
      <c r="J5" s="2" t="s">
        <v>5</v>
      </c>
      <c r="K5" s="63" t="s">
        <v>168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Rushere-Lyantonde'!D6:E6</f>
        <v>Rushere</v>
      </c>
      <c r="E6" s="64"/>
      <c r="F6" s="2" t="s">
        <v>2</v>
      </c>
      <c r="G6" s="63" t="str">
        <f>'25.10 Rushere-Lyantonde'!G6:H6</f>
        <v>Lyantonde</v>
      </c>
      <c r="H6" s="64"/>
      <c r="J6" s="2" t="s">
        <v>21</v>
      </c>
      <c r="K6" s="63" t="str">
        <f>'25.10 Lyantonde-Rushere'!K6:L6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1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5</v>
      </c>
      <c r="T10" s="17">
        <f t="shared" si="2"/>
        <v>1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1</v>
      </c>
      <c r="Y10" s="17">
        <f t="shared" si="2"/>
        <v>0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10</v>
      </c>
      <c r="AD10" s="17">
        <f t="shared" si="2"/>
        <v>0</v>
      </c>
      <c r="AE10" s="31">
        <f t="shared" si="2"/>
        <v>11</v>
      </c>
      <c r="AF10" s="31">
        <f t="shared" si="2"/>
        <v>21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3</v>
      </c>
      <c r="P11" s="15">
        <f t="shared" si="1"/>
        <v>5</v>
      </c>
      <c r="R11" s="1" t="s">
        <v>7</v>
      </c>
      <c r="S11" s="17">
        <f t="shared" ref="S11:AF11" si="3">SUM(C14:C17)</f>
        <v>4</v>
      </c>
      <c r="T11" s="17">
        <f t="shared" si="3"/>
        <v>2</v>
      </c>
      <c r="U11" s="17">
        <f t="shared" si="3"/>
        <v>0</v>
      </c>
      <c r="V11" s="17">
        <f t="shared" si="3"/>
        <v>1</v>
      </c>
      <c r="W11" s="17">
        <f t="shared" si="3"/>
        <v>1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2</v>
      </c>
      <c r="AB11" s="17">
        <f t="shared" si="3"/>
        <v>0</v>
      </c>
      <c r="AC11" s="17">
        <f t="shared" si="3"/>
        <v>13</v>
      </c>
      <c r="AD11" s="17">
        <f t="shared" si="3"/>
        <v>0</v>
      </c>
      <c r="AE11" s="31">
        <f t="shared" si="3"/>
        <v>10</v>
      </c>
      <c r="AF11" s="31">
        <f t="shared" si="3"/>
        <v>23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1</v>
      </c>
      <c r="L12" s="50">
        <v>0</v>
      </c>
      <c r="M12" s="50">
        <v>3</v>
      </c>
      <c r="N12" s="50">
        <v>0</v>
      </c>
      <c r="O12" s="15">
        <f t="shared" si="0"/>
        <v>3</v>
      </c>
      <c r="P12" s="15">
        <f t="shared" si="1"/>
        <v>6</v>
      </c>
      <c r="R12" s="1" t="s">
        <v>8</v>
      </c>
      <c r="S12" s="17">
        <f t="shared" ref="S12:AF12" si="4">SUM(C18:C21)</f>
        <v>9</v>
      </c>
      <c r="T12" s="17">
        <f t="shared" si="4"/>
        <v>4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19</v>
      </c>
      <c r="AD12" s="17">
        <f t="shared" si="4"/>
        <v>0</v>
      </c>
      <c r="AE12" s="31">
        <f t="shared" si="4"/>
        <v>15</v>
      </c>
      <c r="AF12" s="31">
        <f t="shared" si="4"/>
        <v>34</v>
      </c>
    </row>
    <row r="13" spans="2:32" ht="23.1" customHeight="1" x14ac:dyDescent="0.25">
      <c r="B13" s="23" t="s">
        <v>40</v>
      </c>
      <c r="C13" s="50">
        <v>2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</v>
      </c>
      <c r="N13" s="50">
        <v>0</v>
      </c>
      <c r="O13" s="15">
        <f t="shared" si="0"/>
        <v>3</v>
      </c>
      <c r="P13" s="15">
        <f t="shared" si="1"/>
        <v>5</v>
      </c>
      <c r="R13" s="1" t="s">
        <v>9</v>
      </c>
      <c r="S13" s="17">
        <f t="shared" ref="S13:AF13" si="5">SUM(C22:C25)</f>
        <v>15</v>
      </c>
      <c r="T13" s="17">
        <f t="shared" si="5"/>
        <v>2</v>
      </c>
      <c r="U13" s="17">
        <f t="shared" si="5"/>
        <v>3</v>
      </c>
      <c r="V13" s="17">
        <f t="shared" si="5"/>
        <v>1</v>
      </c>
      <c r="W13" s="17">
        <f t="shared" si="5"/>
        <v>0</v>
      </c>
      <c r="X13" s="17">
        <f t="shared" si="5"/>
        <v>1</v>
      </c>
      <c r="Y13" s="17">
        <f t="shared" si="5"/>
        <v>0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35</v>
      </c>
      <c r="AD13" s="17">
        <f t="shared" si="5"/>
        <v>0</v>
      </c>
      <c r="AE13" s="31">
        <f t="shared" si="5"/>
        <v>22</v>
      </c>
      <c r="AF13" s="31">
        <f t="shared" si="5"/>
        <v>57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15">
        <f t="shared" si="0"/>
        <v>2</v>
      </c>
      <c r="P14" s="15">
        <f t="shared" si="1"/>
        <v>3</v>
      </c>
      <c r="R14" s="1" t="s">
        <v>10</v>
      </c>
      <c r="S14" s="17">
        <f t="shared" ref="S14:AF14" si="6">SUM(C26:C29)</f>
        <v>16</v>
      </c>
      <c r="T14" s="17">
        <f t="shared" si="6"/>
        <v>10</v>
      </c>
      <c r="U14" s="17">
        <f t="shared" si="6"/>
        <v>2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1</v>
      </c>
      <c r="AB14" s="17">
        <f t="shared" si="6"/>
        <v>0</v>
      </c>
      <c r="AC14" s="17">
        <f t="shared" si="6"/>
        <v>43</v>
      </c>
      <c r="AD14" s="17">
        <f t="shared" si="6"/>
        <v>0</v>
      </c>
      <c r="AE14" s="31">
        <f t="shared" si="6"/>
        <v>33</v>
      </c>
      <c r="AF14" s="31">
        <f t="shared" si="6"/>
        <v>76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1</v>
      </c>
      <c r="P15" s="15">
        <f t="shared" si="1"/>
        <v>3</v>
      </c>
      <c r="R15" s="1" t="s">
        <v>11</v>
      </c>
      <c r="S15" s="17">
        <f t="shared" ref="S15:AF15" si="7">SUM(C30:C33)</f>
        <v>7</v>
      </c>
      <c r="T15" s="17">
        <f t="shared" si="7"/>
        <v>9</v>
      </c>
      <c r="U15" s="17">
        <f t="shared" si="7"/>
        <v>4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0</v>
      </c>
      <c r="AB15" s="17">
        <f t="shared" si="7"/>
        <v>3</v>
      </c>
      <c r="AC15" s="17">
        <f t="shared" si="7"/>
        <v>8</v>
      </c>
      <c r="AD15" s="17">
        <f t="shared" si="7"/>
        <v>0</v>
      </c>
      <c r="AE15" s="31">
        <f t="shared" si="7"/>
        <v>26</v>
      </c>
      <c r="AF15" s="31">
        <f t="shared" si="7"/>
        <v>34</v>
      </c>
    </row>
    <row r="16" spans="2:32" ht="23.1" customHeight="1" x14ac:dyDescent="0.25">
      <c r="B16" s="23" t="s">
        <v>43</v>
      </c>
      <c r="C16" s="50">
        <v>2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3</v>
      </c>
      <c r="P16" s="15">
        <f t="shared" si="1"/>
        <v>7</v>
      </c>
      <c r="R16" s="1" t="s">
        <v>12</v>
      </c>
      <c r="S16" s="17">
        <f t="shared" ref="S16:AF16" si="8">SUM(C34:C37)</f>
        <v>12</v>
      </c>
      <c r="T16" s="17">
        <f t="shared" si="8"/>
        <v>10</v>
      </c>
      <c r="U16" s="17">
        <f t="shared" si="8"/>
        <v>3</v>
      </c>
      <c r="V16" s="17">
        <f t="shared" si="8"/>
        <v>1</v>
      </c>
      <c r="W16" s="17">
        <f t="shared" si="8"/>
        <v>1</v>
      </c>
      <c r="X16" s="17">
        <f t="shared" si="8"/>
        <v>0</v>
      </c>
      <c r="Y16" s="17">
        <f t="shared" si="8"/>
        <v>2</v>
      </c>
      <c r="Z16" s="17">
        <f t="shared" si="8"/>
        <v>3</v>
      </c>
      <c r="AA16" s="17">
        <f t="shared" si="8"/>
        <v>1</v>
      </c>
      <c r="AB16" s="17">
        <f t="shared" si="8"/>
        <v>3</v>
      </c>
      <c r="AC16" s="17">
        <f t="shared" si="8"/>
        <v>11</v>
      </c>
      <c r="AD16" s="17">
        <f t="shared" si="8"/>
        <v>2</v>
      </c>
      <c r="AE16" s="31">
        <f t="shared" si="8"/>
        <v>38</v>
      </c>
      <c r="AF16" s="31">
        <f t="shared" si="8"/>
        <v>49</v>
      </c>
    </row>
    <row r="17" spans="2:32" ht="23.1" customHeight="1" x14ac:dyDescent="0.25">
      <c r="B17" s="23" t="s">
        <v>44</v>
      </c>
      <c r="C17" s="50">
        <v>0</v>
      </c>
      <c r="D17" s="50">
        <v>1</v>
      </c>
      <c r="E17" s="50">
        <v>0</v>
      </c>
      <c r="F17" s="50">
        <v>0</v>
      </c>
      <c r="G17" s="50">
        <v>1</v>
      </c>
      <c r="H17" s="50">
        <v>0</v>
      </c>
      <c r="I17" s="50">
        <v>0</v>
      </c>
      <c r="J17" s="50">
        <v>0</v>
      </c>
      <c r="K17" s="50">
        <v>2</v>
      </c>
      <c r="L17" s="50">
        <v>0</v>
      </c>
      <c r="M17" s="50">
        <v>6</v>
      </c>
      <c r="N17" s="50">
        <v>0</v>
      </c>
      <c r="O17" s="15">
        <f t="shared" si="0"/>
        <v>4</v>
      </c>
      <c r="P17" s="15">
        <f t="shared" si="1"/>
        <v>10</v>
      </c>
      <c r="R17" s="1" t="s">
        <v>13</v>
      </c>
      <c r="S17" s="17">
        <f t="shared" ref="S17:AF17" si="9">SUM(C38:C41)</f>
        <v>8</v>
      </c>
      <c r="T17" s="17">
        <f t="shared" si="9"/>
        <v>13</v>
      </c>
      <c r="U17" s="17">
        <f t="shared" si="9"/>
        <v>4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5</v>
      </c>
      <c r="AA17" s="17">
        <f t="shared" si="9"/>
        <v>2</v>
      </c>
      <c r="AB17" s="17">
        <f t="shared" si="9"/>
        <v>5</v>
      </c>
      <c r="AC17" s="17">
        <f t="shared" si="9"/>
        <v>34</v>
      </c>
      <c r="AD17" s="17">
        <f t="shared" si="9"/>
        <v>0</v>
      </c>
      <c r="AE17" s="31">
        <f t="shared" si="9"/>
        <v>43</v>
      </c>
      <c r="AF17" s="31">
        <f t="shared" si="9"/>
        <v>77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1</v>
      </c>
      <c r="L18" s="50">
        <v>0</v>
      </c>
      <c r="M18" s="50">
        <v>4</v>
      </c>
      <c r="N18" s="50">
        <v>0</v>
      </c>
      <c r="O18" s="15">
        <f t="shared" si="0"/>
        <v>5</v>
      </c>
      <c r="P18" s="15">
        <f t="shared" si="1"/>
        <v>9</v>
      </c>
      <c r="R18" s="1" t="s">
        <v>14</v>
      </c>
      <c r="S18" s="17">
        <f t="shared" ref="S18:AF18" si="10">SUM(C42:C45)</f>
        <v>13</v>
      </c>
      <c r="T18" s="17">
        <f t="shared" si="10"/>
        <v>5</v>
      </c>
      <c r="U18" s="17">
        <f t="shared" si="10"/>
        <v>5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2</v>
      </c>
      <c r="AA18" s="17">
        <f t="shared" si="10"/>
        <v>1</v>
      </c>
      <c r="AB18" s="17">
        <f t="shared" si="10"/>
        <v>1</v>
      </c>
      <c r="AC18" s="17">
        <f t="shared" si="10"/>
        <v>19</v>
      </c>
      <c r="AD18" s="17">
        <f t="shared" si="10"/>
        <v>0</v>
      </c>
      <c r="AE18" s="31">
        <f t="shared" si="10"/>
        <v>30</v>
      </c>
      <c r="AF18" s="31">
        <f t="shared" si="10"/>
        <v>49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5</v>
      </c>
      <c r="N19" s="50">
        <v>0</v>
      </c>
      <c r="O19" s="15">
        <f t="shared" si="0"/>
        <v>1</v>
      </c>
      <c r="P19" s="15">
        <f t="shared" si="1"/>
        <v>6</v>
      </c>
      <c r="R19" s="1" t="s">
        <v>15</v>
      </c>
      <c r="S19" s="17">
        <f t="shared" ref="S19:AF19" si="11">SUM(C46:C49)</f>
        <v>15</v>
      </c>
      <c r="T19" s="17">
        <f t="shared" si="11"/>
        <v>5</v>
      </c>
      <c r="U19" s="17">
        <f t="shared" si="11"/>
        <v>3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8</v>
      </c>
      <c r="AA19" s="17">
        <f t="shared" si="11"/>
        <v>3</v>
      </c>
      <c r="AB19" s="17">
        <f t="shared" si="11"/>
        <v>0</v>
      </c>
      <c r="AC19" s="17">
        <f t="shared" si="11"/>
        <v>39</v>
      </c>
      <c r="AD19" s="17">
        <f t="shared" si="11"/>
        <v>0</v>
      </c>
      <c r="AE19" s="31">
        <f t="shared" si="11"/>
        <v>40</v>
      </c>
      <c r="AF19" s="31">
        <f t="shared" si="11"/>
        <v>79</v>
      </c>
    </row>
    <row r="20" spans="2:32" ht="23.1" customHeight="1" x14ac:dyDescent="0.25">
      <c r="B20" s="23" t="s">
        <v>47</v>
      </c>
      <c r="C20" s="50">
        <v>4</v>
      </c>
      <c r="D20" s="50">
        <v>3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7</v>
      </c>
      <c r="P20" s="15">
        <f t="shared" si="1"/>
        <v>13</v>
      </c>
      <c r="R20" s="1" t="s">
        <v>16</v>
      </c>
      <c r="S20" s="17">
        <f t="shared" ref="S20:AF20" si="12">SUM(C50:C53)</f>
        <v>21</v>
      </c>
      <c r="T20" s="17">
        <f t="shared" si="12"/>
        <v>15</v>
      </c>
      <c r="U20" s="17">
        <f t="shared" si="12"/>
        <v>2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4</v>
      </c>
      <c r="AA20" s="17">
        <f t="shared" si="12"/>
        <v>5</v>
      </c>
      <c r="AB20" s="17">
        <f t="shared" si="12"/>
        <v>1</v>
      </c>
      <c r="AC20" s="17">
        <f t="shared" si="12"/>
        <v>35</v>
      </c>
      <c r="AD20" s="17">
        <f t="shared" si="12"/>
        <v>0</v>
      </c>
      <c r="AE20" s="31">
        <f t="shared" si="12"/>
        <v>53</v>
      </c>
      <c r="AF20" s="31">
        <f t="shared" si="12"/>
        <v>88</v>
      </c>
    </row>
    <row r="21" spans="2:32" ht="23.1" customHeight="1" x14ac:dyDescent="0.25">
      <c r="B21" s="23" t="s">
        <v>48</v>
      </c>
      <c r="C21" s="50">
        <v>1</v>
      </c>
      <c r="D21" s="50">
        <v>1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2</v>
      </c>
      <c r="P21" s="15">
        <f t="shared" si="1"/>
        <v>6</v>
      </c>
      <c r="R21" s="36" t="s">
        <v>20</v>
      </c>
      <c r="S21" s="34">
        <f t="shared" ref="S21:AF21" si="13">SUM(C54:C57)</f>
        <v>22</v>
      </c>
      <c r="T21" s="17">
        <f t="shared" si="13"/>
        <v>11</v>
      </c>
      <c r="U21" s="17">
        <f t="shared" si="13"/>
        <v>4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1</v>
      </c>
      <c r="AA21" s="17">
        <f t="shared" si="13"/>
        <v>3</v>
      </c>
      <c r="AB21" s="17">
        <f t="shared" si="13"/>
        <v>0</v>
      </c>
      <c r="AC21" s="17">
        <f t="shared" si="13"/>
        <v>28</v>
      </c>
      <c r="AD21" s="17">
        <f t="shared" si="13"/>
        <v>0</v>
      </c>
      <c r="AE21" s="31">
        <f t="shared" si="13"/>
        <v>47</v>
      </c>
      <c r="AF21" s="31">
        <f t="shared" si="13"/>
        <v>75</v>
      </c>
    </row>
    <row r="22" spans="2:32" ht="23.1" customHeight="1" x14ac:dyDescent="0.25">
      <c r="B22" s="23" t="s">
        <v>49</v>
      </c>
      <c r="C22" s="50">
        <v>5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5</v>
      </c>
      <c r="P22" s="15">
        <f t="shared" si="1"/>
        <v>12</v>
      </c>
      <c r="R22" s="38" t="s">
        <v>90</v>
      </c>
      <c r="S22" s="39">
        <f>MAX(S10:S12)</f>
        <v>9</v>
      </c>
      <c r="T22" s="39">
        <f t="shared" ref="T22:AF22" si="14">MAX(T10:T12)</f>
        <v>4</v>
      </c>
      <c r="U22" s="39">
        <f t="shared" si="14"/>
        <v>2</v>
      </c>
      <c r="V22" s="39">
        <f t="shared" si="14"/>
        <v>1</v>
      </c>
      <c r="W22" s="39">
        <f t="shared" si="14"/>
        <v>1</v>
      </c>
      <c r="X22" s="39">
        <f t="shared" si="14"/>
        <v>1</v>
      </c>
      <c r="Y22" s="39">
        <f t="shared" si="14"/>
        <v>0</v>
      </c>
      <c r="Z22" s="39">
        <f t="shared" si="14"/>
        <v>0</v>
      </c>
      <c r="AA22" s="39">
        <f t="shared" si="14"/>
        <v>2</v>
      </c>
      <c r="AB22" s="39">
        <f t="shared" si="14"/>
        <v>0</v>
      </c>
      <c r="AC22" s="39">
        <f t="shared" si="14"/>
        <v>19</v>
      </c>
      <c r="AD22" s="39">
        <f t="shared" si="14"/>
        <v>0</v>
      </c>
      <c r="AE22" s="40">
        <f t="shared" si="14"/>
        <v>15</v>
      </c>
      <c r="AF22" s="40">
        <f t="shared" si="14"/>
        <v>34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0</v>
      </c>
      <c r="F23" s="50">
        <v>0</v>
      </c>
      <c r="G23" s="50">
        <v>0</v>
      </c>
      <c r="H23" s="50">
        <v>1</v>
      </c>
      <c r="I23" s="50">
        <v>0</v>
      </c>
      <c r="J23" s="50">
        <v>0</v>
      </c>
      <c r="K23" s="50">
        <v>0</v>
      </c>
      <c r="L23" s="50">
        <v>0</v>
      </c>
      <c r="M23" s="50">
        <v>7</v>
      </c>
      <c r="N23" s="50">
        <v>0</v>
      </c>
      <c r="O23" s="15">
        <f t="shared" si="0"/>
        <v>4</v>
      </c>
      <c r="P23" s="15">
        <f t="shared" si="1"/>
        <v>11</v>
      </c>
      <c r="R23" s="38" t="s">
        <v>91</v>
      </c>
      <c r="S23" s="39">
        <f>MAX(S13:S18)</f>
        <v>16</v>
      </c>
      <c r="T23" s="39">
        <f t="shared" ref="T23:AF23" si="15">MAX(T13:T18)</f>
        <v>13</v>
      </c>
      <c r="U23" s="39">
        <f t="shared" si="15"/>
        <v>5</v>
      </c>
      <c r="V23" s="39">
        <f t="shared" si="15"/>
        <v>3</v>
      </c>
      <c r="W23" s="39">
        <f t="shared" si="15"/>
        <v>1</v>
      </c>
      <c r="X23" s="39">
        <f t="shared" si="15"/>
        <v>1</v>
      </c>
      <c r="Y23" s="39">
        <f t="shared" si="15"/>
        <v>4</v>
      </c>
      <c r="Z23" s="39">
        <f t="shared" si="15"/>
        <v>5</v>
      </c>
      <c r="AA23" s="39">
        <f t="shared" si="15"/>
        <v>2</v>
      </c>
      <c r="AB23" s="39">
        <f t="shared" si="15"/>
        <v>5</v>
      </c>
      <c r="AC23" s="39">
        <f t="shared" si="15"/>
        <v>43</v>
      </c>
      <c r="AD23" s="39">
        <f t="shared" si="15"/>
        <v>2</v>
      </c>
      <c r="AE23" s="40">
        <f t="shared" si="15"/>
        <v>43</v>
      </c>
      <c r="AF23" s="40">
        <f t="shared" si="15"/>
        <v>77</v>
      </c>
    </row>
    <row r="24" spans="2:32" ht="23.1" customHeight="1" x14ac:dyDescent="0.25">
      <c r="B24" s="23" t="s">
        <v>51</v>
      </c>
      <c r="C24" s="50">
        <v>3</v>
      </c>
      <c r="D24" s="50">
        <v>1</v>
      </c>
      <c r="E24" s="50">
        <v>2</v>
      </c>
      <c r="F24" s="50">
        <v>1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7</v>
      </c>
      <c r="P24" s="15">
        <f t="shared" si="1"/>
        <v>18</v>
      </c>
      <c r="R24" s="38" t="s">
        <v>92</v>
      </c>
      <c r="S24" s="39">
        <f>MAX(S19:S21)</f>
        <v>22</v>
      </c>
      <c r="T24" s="39">
        <f t="shared" ref="T24:AF24" si="16">MAX(T19:T21)</f>
        <v>15</v>
      </c>
      <c r="U24" s="39">
        <f t="shared" si="16"/>
        <v>4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4</v>
      </c>
      <c r="Z24" s="39">
        <f t="shared" si="16"/>
        <v>8</v>
      </c>
      <c r="AA24" s="39">
        <f t="shared" si="16"/>
        <v>5</v>
      </c>
      <c r="AB24" s="39">
        <f t="shared" si="16"/>
        <v>1</v>
      </c>
      <c r="AC24" s="39">
        <f t="shared" si="16"/>
        <v>39</v>
      </c>
      <c r="AD24" s="39">
        <f t="shared" si="16"/>
        <v>0</v>
      </c>
      <c r="AE24" s="40">
        <f t="shared" si="16"/>
        <v>53</v>
      </c>
      <c r="AF24" s="40">
        <f t="shared" si="16"/>
        <v>88</v>
      </c>
    </row>
    <row r="25" spans="2:32" ht="23.1" customHeight="1" x14ac:dyDescent="0.25">
      <c r="B25" s="23" t="s">
        <v>52</v>
      </c>
      <c r="C25" s="50">
        <v>4</v>
      </c>
      <c r="D25" s="50">
        <v>1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10</v>
      </c>
      <c r="N25" s="50">
        <v>0</v>
      </c>
      <c r="O25" s="15">
        <f t="shared" si="0"/>
        <v>6</v>
      </c>
      <c r="P25" s="15">
        <f t="shared" si="1"/>
        <v>16</v>
      </c>
      <c r="R25" s="37" t="s">
        <v>85</v>
      </c>
      <c r="S25" s="35">
        <f t="shared" ref="S25:AF25" si="17">SUM(S10:S12)</f>
        <v>18</v>
      </c>
      <c r="T25" s="16">
        <f t="shared" si="17"/>
        <v>7</v>
      </c>
      <c r="U25" s="16">
        <f t="shared" si="17"/>
        <v>3</v>
      </c>
      <c r="V25" s="16">
        <f t="shared" si="17"/>
        <v>2</v>
      </c>
      <c r="W25" s="16">
        <f t="shared" si="17"/>
        <v>1</v>
      </c>
      <c r="X25" s="16">
        <f t="shared" si="17"/>
        <v>1</v>
      </c>
      <c r="Y25" s="16">
        <f t="shared" si="17"/>
        <v>0</v>
      </c>
      <c r="Z25" s="16">
        <f t="shared" si="17"/>
        <v>0</v>
      </c>
      <c r="AA25" s="16">
        <f t="shared" si="17"/>
        <v>4</v>
      </c>
      <c r="AB25" s="16">
        <f t="shared" si="17"/>
        <v>0</v>
      </c>
      <c r="AC25" s="16">
        <f t="shared" si="17"/>
        <v>42</v>
      </c>
      <c r="AD25" s="16">
        <f t="shared" si="17"/>
        <v>0</v>
      </c>
      <c r="AE25" s="32">
        <f t="shared" si="17"/>
        <v>36</v>
      </c>
      <c r="AF25" s="32">
        <f t="shared" si="17"/>
        <v>78</v>
      </c>
    </row>
    <row r="26" spans="2:32" ht="23.1" customHeight="1" x14ac:dyDescent="0.25">
      <c r="B26" s="23" t="s">
        <v>53</v>
      </c>
      <c r="C26" s="50">
        <v>3</v>
      </c>
      <c r="D26" s="50">
        <v>5</v>
      </c>
      <c r="E26" s="50">
        <v>1</v>
      </c>
      <c r="F26" s="50">
        <v>3</v>
      </c>
      <c r="G26" s="50">
        <v>0</v>
      </c>
      <c r="H26" s="50">
        <v>0</v>
      </c>
      <c r="I26" s="50">
        <v>0</v>
      </c>
      <c r="J26" s="50">
        <v>0</v>
      </c>
      <c r="K26" s="50">
        <v>1</v>
      </c>
      <c r="L26" s="50">
        <v>0</v>
      </c>
      <c r="M26" s="50">
        <v>10</v>
      </c>
      <c r="N26" s="50">
        <v>0</v>
      </c>
      <c r="O26" s="15">
        <f t="shared" si="0"/>
        <v>13</v>
      </c>
      <c r="P26" s="15">
        <f t="shared" si="1"/>
        <v>23</v>
      </c>
      <c r="R26" s="28" t="s">
        <v>86</v>
      </c>
      <c r="S26" s="16">
        <f t="shared" ref="S26:AF26" si="18">SUM(S13:S18)</f>
        <v>71</v>
      </c>
      <c r="T26" s="16">
        <f t="shared" si="18"/>
        <v>49</v>
      </c>
      <c r="U26" s="16">
        <f t="shared" si="18"/>
        <v>21</v>
      </c>
      <c r="V26" s="16">
        <f t="shared" si="18"/>
        <v>9</v>
      </c>
      <c r="W26" s="16">
        <f t="shared" si="18"/>
        <v>1</v>
      </c>
      <c r="X26" s="16">
        <f t="shared" si="18"/>
        <v>1</v>
      </c>
      <c r="Y26" s="16">
        <f t="shared" si="18"/>
        <v>10</v>
      </c>
      <c r="Z26" s="16">
        <f t="shared" si="18"/>
        <v>11</v>
      </c>
      <c r="AA26" s="16">
        <f t="shared" si="18"/>
        <v>5</v>
      </c>
      <c r="AB26" s="16">
        <f t="shared" si="18"/>
        <v>12</v>
      </c>
      <c r="AC26" s="16">
        <f t="shared" si="18"/>
        <v>150</v>
      </c>
      <c r="AD26" s="16">
        <f t="shared" si="18"/>
        <v>2</v>
      </c>
      <c r="AE26" s="32">
        <f t="shared" si="18"/>
        <v>192</v>
      </c>
      <c r="AF26" s="32">
        <f t="shared" si="18"/>
        <v>342</v>
      </c>
    </row>
    <row r="27" spans="2:32" ht="23.1" customHeight="1" x14ac:dyDescent="0.25">
      <c r="B27" s="23" t="s">
        <v>54</v>
      </c>
      <c r="C27" s="50">
        <v>4</v>
      </c>
      <c r="D27" s="50">
        <v>2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7</v>
      </c>
      <c r="P27" s="15">
        <f t="shared" si="1"/>
        <v>17</v>
      </c>
      <c r="R27" s="29" t="s">
        <v>87</v>
      </c>
      <c r="S27" s="16">
        <f t="shared" ref="S27:AF27" si="19">SUM(S19:S21)</f>
        <v>58</v>
      </c>
      <c r="T27" s="16">
        <f t="shared" si="19"/>
        <v>31</v>
      </c>
      <c r="U27" s="16">
        <f t="shared" si="19"/>
        <v>9</v>
      </c>
      <c r="V27" s="16">
        <f t="shared" si="19"/>
        <v>6</v>
      </c>
      <c r="W27" s="16">
        <f t="shared" si="19"/>
        <v>0</v>
      </c>
      <c r="X27" s="16">
        <f t="shared" si="19"/>
        <v>0</v>
      </c>
      <c r="Y27" s="16">
        <f t="shared" si="19"/>
        <v>11</v>
      </c>
      <c r="Z27" s="16">
        <f t="shared" si="19"/>
        <v>13</v>
      </c>
      <c r="AA27" s="16">
        <f t="shared" si="19"/>
        <v>11</v>
      </c>
      <c r="AB27" s="16">
        <f t="shared" si="19"/>
        <v>1</v>
      </c>
      <c r="AC27" s="16">
        <f t="shared" si="19"/>
        <v>102</v>
      </c>
      <c r="AD27" s="16">
        <f t="shared" si="19"/>
        <v>0</v>
      </c>
      <c r="AE27" s="32">
        <f t="shared" si="19"/>
        <v>140</v>
      </c>
      <c r="AF27" s="32">
        <f t="shared" si="19"/>
        <v>242</v>
      </c>
    </row>
    <row r="28" spans="2:32" ht="23.1" customHeight="1" x14ac:dyDescent="0.25">
      <c r="B28" s="23" t="s">
        <v>55</v>
      </c>
      <c r="C28" s="50">
        <v>7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8</v>
      </c>
      <c r="P28" s="15">
        <f t="shared" si="1"/>
        <v>20</v>
      </c>
      <c r="R28" s="5" t="s">
        <v>17</v>
      </c>
      <c r="S28" s="16">
        <f t="shared" ref="S28:AF28" si="20">SUM(S10:S21)</f>
        <v>147</v>
      </c>
      <c r="T28" s="16">
        <f t="shared" si="20"/>
        <v>87</v>
      </c>
      <c r="U28" s="16">
        <f t="shared" si="20"/>
        <v>33</v>
      </c>
      <c r="V28" s="16">
        <f t="shared" si="20"/>
        <v>17</v>
      </c>
      <c r="W28" s="16">
        <f t="shared" si="20"/>
        <v>2</v>
      </c>
      <c r="X28" s="16">
        <f t="shared" si="20"/>
        <v>2</v>
      </c>
      <c r="Y28" s="16">
        <f t="shared" si="20"/>
        <v>21</v>
      </c>
      <c r="Z28" s="16">
        <f t="shared" si="20"/>
        <v>24</v>
      </c>
      <c r="AA28" s="16">
        <f t="shared" si="20"/>
        <v>20</v>
      </c>
      <c r="AB28" s="16">
        <f t="shared" si="20"/>
        <v>13</v>
      </c>
      <c r="AC28" s="16">
        <f t="shared" si="20"/>
        <v>294</v>
      </c>
      <c r="AD28" s="16">
        <f t="shared" si="20"/>
        <v>2</v>
      </c>
      <c r="AE28" s="32">
        <f t="shared" si="20"/>
        <v>368</v>
      </c>
      <c r="AF28" s="32">
        <f t="shared" si="20"/>
        <v>662</v>
      </c>
    </row>
    <row r="29" spans="2:32" ht="23.1" customHeight="1" x14ac:dyDescent="0.25">
      <c r="B29" s="23" t="s">
        <v>56</v>
      </c>
      <c r="C29" s="50">
        <v>2</v>
      </c>
      <c r="D29" s="50">
        <v>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11</v>
      </c>
      <c r="N29" s="50">
        <v>0</v>
      </c>
      <c r="O29" s="15">
        <f t="shared" si="0"/>
        <v>5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3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</v>
      </c>
      <c r="N30" s="50">
        <v>0</v>
      </c>
      <c r="O30" s="15">
        <f t="shared" si="0"/>
        <v>4</v>
      </c>
      <c r="P30" s="15">
        <f t="shared" si="1"/>
        <v>6</v>
      </c>
    </row>
    <row r="31" spans="2:32" ht="23.1" customHeight="1" x14ac:dyDescent="0.25">
      <c r="B31" s="24" t="s">
        <v>58</v>
      </c>
      <c r="C31" s="50">
        <v>1</v>
      </c>
      <c r="D31" s="50">
        <v>4</v>
      </c>
      <c r="E31" s="50">
        <v>1</v>
      </c>
      <c r="F31" s="50">
        <v>0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3</v>
      </c>
      <c r="M31" s="50">
        <v>1</v>
      </c>
      <c r="N31" s="50">
        <v>0</v>
      </c>
      <c r="O31" s="15">
        <f t="shared" si="0"/>
        <v>11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3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3</v>
      </c>
      <c r="N32" s="50">
        <v>0</v>
      </c>
      <c r="O32" s="15">
        <f t="shared" si="0"/>
        <v>5</v>
      </c>
      <c r="P32" s="15">
        <f t="shared" si="1"/>
        <v>8</v>
      </c>
    </row>
    <row r="33" spans="2:20" ht="23.1" customHeight="1" x14ac:dyDescent="0.25">
      <c r="B33" s="23" t="s">
        <v>60</v>
      </c>
      <c r="C33" s="50">
        <v>3</v>
      </c>
      <c r="D33" s="50">
        <v>1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2</v>
      </c>
      <c r="N33" s="50">
        <v>0</v>
      </c>
      <c r="O33" s="15">
        <f t="shared" si="0"/>
        <v>6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2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2</v>
      </c>
      <c r="N34" s="50">
        <v>0</v>
      </c>
      <c r="O34" s="15">
        <f t="shared" si="0"/>
        <v>4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3</v>
      </c>
      <c r="D35" s="50">
        <v>2</v>
      </c>
      <c r="E35" s="50">
        <v>1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1</v>
      </c>
      <c r="L35" s="50">
        <v>1</v>
      </c>
      <c r="M35" s="50">
        <v>3</v>
      </c>
      <c r="N35" s="50">
        <v>0</v>
      </c>
      <c r="O35" s="15">
        <f t="shared" si="0"/>
        <v>9</v>
      </c>
      <c r="P35" s="15">
        <f t="shared" si="1"/>
        <v>12</v>
      </c>
    </row>
    <row r="36" spans="2:20" ht="23.1" customHeight="1" x14ac:dyDescent="0.25">
      <c r="B36" s="24" t="s">
        <v>63</v>
      </c>
      <c r="C36" s="50">
        <v>3</v>
      </c>
      <c r="D36" s="50">
        <v>5</v>
      </c>
      <c r="E36" s="50">
        <v>1</v>
      </c>
      <c r="F36" s="50">
        <v>0</v>
      </c>
      <c r="G36" s="50">
        <v>1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3</v>
      </c>
      <c r="N36" s="50">
        <v>0</v>
      </c>
      <c r="O36" s="15">
        <f t="shared" si="0"/>
        <v>10</v>
      </c>
      <c r="P36" s="15">
        <f t="shared" si="1"/>
        <v>13</v>
      </c>
    </row>
    <row r="37" spans="2:20" ht="23.1" customHeight="1" x14ac:dyDescent="0.25">
      <c r="B37" s="23" t="s">
        <v>64</v>
      </c>
      <c r="C37" s="50">
        <v>4</v>
      </c>
      <c r="D37" s="50">
        <v>2</v>
      </c>
      <c r="E37" s="50">
        <v>1</v>
      </c>
      <c r="F37" s="50">
        <v>0</v>
      </c>
      <c r="G37" s="50">
        <v>0</v>
      </c>
      <c r="H37" s="50">
        <v>0</v>
      </c>
      <c r="I37" s="50">
        <v>2</v>
      </c>
      <c r="J37" s="50">
        <v>2</v>
      </c>
      <c r="K37" s="50">
        <v>0</v>
      </c>
      <c r="L37" s="50">
        <v>2</v>
      </c>
      <c r="M37" s="50">
        <v>3</v>
      </c>
      <c r="N37" s="50">
        <v>2</v>
      </c>
      <c r="O37" s="15">
        <f t="shared" si="0"/>
        <v>15</v>
      </c>
      <c r="P37" s="15">
        <f t="shared" si="1"/>
        <v>18</v>
      </c>
    </row>
    <row r="38" spans="2:20" ht="23.1" customHeight="1" x14ac:dyDescent="0.25">
      <c r="B38" s="24" t="s">
        <v>65</v>
      </c>
      <c r="C38" s="50">
        <v>0</v>
      </c>
      <c r="D38" s="50">
        <v>3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1</v>
      </c>
      <c r="K38" s="50">
        <v>1</v>
      </c>
      <c r="L38" s="50">
        <v>2</v>
      </c>
      <c r="M38" s="50">
        <v>7</v>
      </c>
      <c r="N38" s="50">
        <v>0</v>
      </c>
      <c r="O38" s="15">
        <f t="shared" si="0"/>
        <v>7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4</v>
      </c>
      <c r="D39" s="50">
        <v>4</v>
      </c>
      <c r="E39" s="50">
        <v>2</v>
      </c>
      <c r="F39" s="50">
        <v>2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11</v>
      </c>
      <c r="N39" s="50">
        <v>0</v>
      </c>
      <c r="O39" s="15">
        <f t="shared" si="0"/>
        <v>14</v>
      </c>
      <c r="P39" s="15">
        <f t="shared" si="1"/>
        <v>25</v>
      </c>
    </row>
    <row r="40" spans="2:20" ht="23.1" customHeight="1" x14ac:dyDescent="0.25">
      <c r="B40" s="24" t="s">
        <v>67</v>
      </c>
      <c r="C40" s="50">
        <v>1</v>
      </c>
      <c r="D40" s="50">
        <v>3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1</v>
      </c>
      <c r="L40" s="50">
        <v>3</v>
      </c>
      <c r="M40" s="50">
        <v>8</v>
      </c>
      <c r="N40" s="50">
        <v>0</v>
      </c>
      <c r="O40" s="15">
        <f t="shared" si="0"/>
        <v>9</v>
      </c>
      <c r="P40" s="15">
        <f t="shared" si="1"/>
        <v>17</v>
      </c>
    </row>
    <row r="41" spans="2:20" ht="23.1" customHeight="1" x14ac:dyDescent="0.25">
      <c r="B41" s="23" t="s">
        <v>68</v>
      </c>
      <c r="C41" s="50">
        <v>3</v>
      </c>
      <c r="D41" s="50">
        <v>3</v>
      </c>
      <c r="E41" s="50">
        <v>1</v>
      </c>
      <c r="F41" s="50">
        <v>0</v>
      </c>
      <c r="G41" s="50">
        <v>0</v>
      </c>
      <c r="H41" s="50">
        <v>0</v>
      </c>
      <c r="I41" s="50">
        <v>3</v>
      </c>
      <c r="J41" s="50">
        <v>3</v>
      </c>
      <c r="K41" s="50">
        <v>0</v>
      </c>
      <c r="L41" s="50">
        <v>0</v>
      </c>
      <c r="M41" s="50">
        <v>8</v>
      </c>
      <c r="N41" s="50">
        <v>0</v>
      </c>
      <c r="O41" s="15">
        <f t="shared" si="0"/>
        <v>13</v>
      </c>
      <c r="P41" s="15">
        <f t="shared" si="1"/>
        <v>21</v>
      </c>
    </row>
    <row r="42" spans="2:20" ht="23.1" customHeight="1" x14ac:dyDescent="0.25">
      <c r="B42" s="24" t="s">
        <v>69</v>
      </c>
      <c r="C42" s="50">
        <v>2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1</v>
      </c>
      <c r="M42" s="50">
        <v>1</v>
      </c>
      <c r="N42" s="50">
        <v>0</v>
      </c>
      <c r="O42" s="15">
        <f t="shared" si="0"/>
        <v>6</v>
      </c>
      <c r="P42" s="15">
        <f t="shared" si="1"/>
        <v>7</v>
      </c>
    </row>
    <row r="43" spans="2:20" ht="23.1" customHeight="1" x14ac:dyDescent="0.25">
      <c r="B43" s="23" t="s">
        <v>70</v>
      </c>
      <c r="C43" s="50">
        <v>4</v>
      </c>
      <c r="D43" s="50">
        <v>2</v>
      </c>
      <c r="E43" s="50">
        <v>2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5</v>
      </c>
      <c r="N43" s="50">
        <v>0</v>
      </c>
      <c r="O43" s="15">
        <f t="shared" si="0"/>
        <v>10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4</v>
      </c>
      <c r="D44" s="50">
        <v>2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1</v>
      </c>
      <c r="K44" s="50">
        <v>1</v>
      </c>
      <c r="L44" s="50">
        <v>0</v>
      </c>
      <c r="M44" s="50">
        <v>7</v>
      </c>
      <c r="N44" s="50">
        <v>0</v>
      </c>
      <c r="O44" s="15">
        <f t="shared" si="0"/>
        <v>8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3</v>
      </c>
      <c r="D45" s="50">
        <v>0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6</v>
      </c>
      <c r="P45" s="15">
        <f t="shared" si="1"/>
        <v>12</v>
      </c>
    </row>
    <row r="46" spans="2:20" ht="23.1" customHeight="1" x14ac:dyDescent="0.25">
      <c r="B46" s="24" t="s">
        <v>73</v>
      </c>
      <c r="C46" s="50">
        <v>4</v>
      </c>
      <c r="D46" s="50">
        <v>2</v>
      </c>
      <c r="E46" s="50">
        <v>1</v>
      </c>
      <c r="F46" s="50">
        <v>1</v>
      </c>
      <c r="G46" s="50">
        <v>0</v>
      </c>
      <c r="H46" s="50">
        <v>0</v>
      </c>
      <c r="I46" s="50">
        <v>1</v>
      </c>
      <c r="J46" s="50">
        <v>4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13</v>
      </c>
      <c r="P46" s="15">
        <f t="shared" si="1"/>
        <v>22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1</v>
      </c>
      <c r="E47" s="50">
        <v>0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1</v>
      </c>
      <c r="L47" s="50">
        <v>0</v>
      </c>
      <c r="M47" s="50">
        <v>11</v>
      </c>
      <c r="N47" s="50">
        <v>0</v>
      </c>
      <c r="O47" s="15">
        <f t="shared" si="0"/>
        <v>9</v>
      </c>
      <c r="P47" s="15">
        <f t="shared" si="1"/>
        <v>20</v>
      </c>
      <c r="R47" s="8"/>
      <c r="T47"/>
    </row>
    <row r="48" spans="2:20" ht="23.1" customHeight="1" x14ac:dyDescent="0.25">
      <c r="B48" s="24" t="s">
        <v>75</v>
      </c>
      <c r="C48" s="50">
        <v>4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2</v>
      </c>
      <c r="K48" s="50">
        <v>2</v>
      </c>
      <c r="L48" s="50">
        <v>0</v>
      </c>
      <c r="M48" s="50">
        <v>9</v>
      </c>
      <c r="N48" s="50">
        <v>0</v>
      </c>
      <c r="O48" s="15">
        <f t="shared" si="0"/>
        <v>10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2</v>
      </c>
      <c r="E49" s="50">
        <v>1</v>
      </c>
      <c r="F49" s="50">
        <v>0</v>
      </c>
      <c r="G49" s="50">
        <v>0</v>
      </c>
      <c r="H49" s="50">
        <v>0</v>
      </c>
      <c r="I49" s="50">
        <v>1</v>
      </c>
      <c r="J49" s="50">
        <v>2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8</v>
      </c>
      <c r="P49" s="15">
        <f t="shared" si="1"/>
        <v>18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4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1</v>
      </c>
      <c r="L50" s="50">
        <v>1</v>
      </c>
      <c r="M50" s="50">
        <v>10</v>
      </c>
      <c r="N50" s="50">
        <v>0</v>
      </c>
      <c r="O50" s="15">
        <f t="shared" si="0"/>
        <v>12</v>
      </c>
      <c r="P50" s="15">
        <f t="shared" si="1"/>
        <v>22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4</v>
      </c>
      <c r="E51" s="50">
        <v>0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7</v>
      </c>
      <c r="N51" s="50">
        <v>0</v>
      </c>
      <c r="O51" s="15">
        <f t="shared" si="0"/>
        <v>6</v>
      </c>
      <c r="P51" s="15">
        <f t="shared" si="1"/>
        <v>13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4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1</v>
      </c>
      <c r="K52" s="50">
        <v>1</v>
      </c>
      <c r="L52" s="50">
        <v>0</v>
      </c>
      <c r="M52" s="50">
        <v>11</v>
      </c>
      <c r="N52" s="50">
        <v>0</v>
      </c>
      <c r="O52" s="15">
        <f t="shared" si="0"/>
        <v>10</v>
      </c>
      <c r="P52" s="15">
        <f t="shared" si="1"/>
        <v>21</v>
      </c>
      <c r="R52" s="8"/>
      <c r="T52"/>
    </row>
    <row r="53" spans="2:20" ht="23.1" customHeight="1" x14ac:dyDescent="0.25">
      <c r="B53" s="23" t="s">
        <v>80</v>
      </c>
      <c r="C53" s="50">
        <v>13</v>
      </c>
      <c r="D53" s="50">
        <v>3</v>
      </c>
      <c r="E53" s="50">
        <v>2</v>
      </c>
      <c r="F53" s="50">
        <v>1</v>
      </c>
      <c r="G53" s="50">
        <v>0</v>
      </c>
      <c r="H53" s="50">
        <v>0</v>
      </c>
      <c r="I53" s="50">
        <v>1</v>
      </c>
      <c r="J53" s="50">
        <v>3</v>
      </c>
      <c r="K53" s="50">
        <v>2</v>
      </c>
      <c r="L53" s="50">
        <v>0</v>
      </c>
      <c r="M53" s="50">
        <v>7</v>
      </c>
      <c r="N53" s="50">
        <v>0</v>
      </c>
      <c r="O53" s="15">
        <f t="shared" si="0"/>
        <v>25</v>
      </c>
      <c r="P53" s="15">
        <f t="shared" si="1"/>
        <v>32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3</v>
      </c>
      <c r="E54" s="50">
        <v>1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2</v>
      </c>
      <c r="L54" s="50">
        <v>0</v>
      </c>
      <c r="M54" s="50">
        <v>7</v>
      </c>
      <c r="N54" s="50">
        <v>0</v>
      </c>
      <c r="O54" s="15">
        <f t="shared" si="0"/>
        <v>12</v>
      </c>
      <c r="P54" s="15">
        <f t="shared" si="1"/>
        <v>19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5</v>
      </c>
      <c r="E55" s="50">
        <v>2</v>
      </c>
      <c r="F55" s="50">
        <v>1</v>
      </c>
      <c r="G55" s="50">
        <v>0</v>
      </c>
      <c r="H55" s="50">
        <v>0</v>
      </c>
      <c r="I55" s="50">
        <v>3</v>
      </c>
      <c r="J55" s="50">
        <v>0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16</v>
      </c>
      <c r="P55" s="15">
        <f t="shared" si="1"/>
        <v>23</v>
      </c>
      <c r="R55" s="8"/>
      <c r="T55"/>
    </row>
    <row r="56" spans="2:20" ht="23.1" customHeight="1" x14ac:dyDescent="0.25">
      <c r="B56" s="23" t="s">
        <v>83</v>
      </c>
      <c r="C56" s="50">
        <v>8</v>
      </c>
      <c r="D56" s="50">
        <v>2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1</v>
      </c>
      <c r="K56" s="50">
        <v>1</v>
      </c>
      <c r="L56" s="50">
        <v>0</v>
      </c>
      <c r="M56" s="50">
        <v>8</v>
      </c>
      <c r="N56" s="50">
        <v>0</v>
      </c>
      <c r="O56" s="15">
        <f t="shared" si="0"/>
        <v>13</v>
      </c>
      <c r="P56" s="15">
        <f t="shared" si="1"/>
        <v>21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6</v>
      </c>
      <c r="P57" s="15">
        <f t="shared" si="1"/>
        <v>12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147</v>
      </c>
      <c r="D58" s="16">
        <f t="shared" si="21"/>
        <v>87</v>
      </c>
      <c r="E58" s="16">
        <f t="shared" si="21"/>
        <v>33</v>
      </c>
      <c r="F58" s="16">
        <f t="shared" si="21"/>
        <v>17</v>
      </c>
      <c r="G58" s="16">
        <f t="shared" si="21"/>
        <v>2</v>
      </c>
      <c r="H58" s="16">
        <f t="shared" si="21"/>
        <v>2</v>
      </c>
      <c r="I58" s="16">
        <f t="shared" si="21"/>
        <v>21</v>
      </c>
      <c r="J58" s="16">
        <f t="shared" si="21"/>
        <v>24</v>
      </c>
      <c r="K58" s="16">
        <f t="shared" si="21"/>
        <v>20</v>
      </c>
      <c r="L58" s="16">
        <f t="shared" si="21"/>
        <v>13</v>
      </c>
      <c r="M58" s="16">
        <f t="shared" si="21"/>
        <v>294</v>
      </c>
      <c r="N58" s="16">
        <f t="shared" si="21"/>
        <v>2</v>
      </c>
      <c r="O58" s="16">
        <f t="shared" si="21"/>
        <v>368</v>
      </c>
      <c r="P58" s="16">
        <f t="shared" si="21"/>
        <v>662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0.22205438066465258</v>
      </c>
      <c r="D59" s="43">
        <f t="shared" si="22"/>
        <v>0.13141993957703926</v>
      </c>
      <c r="E59" s="43">
        <f t="shared" si="22"/>
        <v>4.9848942598187312E-2</v>
      </c>
      <c r="F59" s="43">
        <f t="shared" si="22"/>
        <v>2.5679758308157101E-2</v>
      </c>
      <c r="G59" s="43">
        <f t="shared" si="22"/>
        <v>3.0211480362537764E-3</v>
      </c>
      <c r="H59" s="43">
        <f t="shared" si="22"/>
        <v>3.0211480362537764E-3</v>
      </c>
      <c r="I59" s="43">
        <f t="shared" si="22"/>
        <v>3.1722054380664652E-2</v>
      </c>
      <c r="J59" s="43">
        <f t="shared" si="22"/>
        <v>3.6253776435045321E-2</v>
      </c>
      <c r="K59" s="43">
        <f t="shared" si="22"/>
        <v>3.0211480362537766E-2</v>
      </c>
      <c r="L59" s="43">
        <f t="shared" si="22"/>
        <v>1.9637462235649546E-2</v>
      </c>
      <c r="M59" s="43">
        <f t="shared" si="22"/>
        <v>0.44410876132930516</v>
      </c>
      <c r="N59" s="43">
        <f t="shared" si="22"/>
        <v>3.0211480362537764E-3</v>
      </c>
      <c r="R59" s="8"/>
      <c r="T59"/>
    </row>
    <row r="60" spans="2:20" ht="23.1" customHeight="1" x14ac:dyDescent="0.25">
      <c r="B60" s="42" t="s">
        <v>94</v>
      </c>
      <c r="C60" s="44">
        <f>C58/$O$58</f>
        <v>0.39945652173913043</v>
      </c>
      <c r="D60" s="44">
        <f t="shared" ref="D60:N60" si="23">D58/$O$58</f>
        <v>0.23641304347826086</v>
      </c>
      <c r="E60" s="44">
        <f t="shared" si="23"/>
        <v>8.9673913043478257E-2</v>
      </c>
      <c r="F60" s="44">
        <f t="shared" si="23"/>
        <v>4.619565217391304E-2</v>
      </c>
      <c r="G60" s="44">
        <f t="shared" si="23"/>
        <v>5.434782608695652E-3</v>
      </c>
      <c r="H60" s="44">
        <f t="shared" si="23"/>
        <v>5.434782608695652E-3</v>
      </c>
      <c r="I60" s="44">
        <f t="shared" si="23"/>
        <v>5.7065217391304345E-2</v>
      </c>
      <c r="J60" s="44">
        <f t="shared" si="23"/>
        <v>6.5217391304347824E-2</v>
      </c>
      <c r="K60" s="44">
        <f t="shared" si="23"/>
        <v>5.434782608695652E-2</v>
      </c>
      <c r="L60" s="44">
        <f t="shared" si="23"/>
        <v>3.5326086956521736E-2</v>
      </c>
      <c r="M60" s="44"/>
      <c r="N60" s="44">
        <f t="shared" si="23"/>
        <v>5.434782608695652E-3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topLeftCell="A54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Lyantonde-Rushere'!C3:G3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175</v>
      </c>
      <c r="E5" s="3"/>
      <c r="F5" s="41" t="s">
        <v>1</v>
      </c>
      <c r="G5" s="63" t="str">
        <f>'26.10 Rushere-Lyantonde-24hr'!G5:H5</f>
        <v>Kaguta road JTC</v>
      </c>
      <c r="H5" s="64"/>
      <c r="I5" s="14"/>
      <c r="J5" s="2" t="s">
        <v>5</v>
      </c>
      <c r="K5" s="63" t="s">
        <v>173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Lyantonde-Rushere'!D6:E6</f>
        <v>Lyantonde</v>
      </c>
      <c r="E6" s="64"/>
      <c r="F6" s="2" t="s">
        <v>2</v>
      </c>
      <c r="G6" s="63" t="str">
        <f>'25.10 Lyantonde-Rushere'!G6:H6</f>
        <v>Rushere</v>
      </c>
      <c r="H6" s="64"/>
      <c r="J6" s="2" t="s">
        <v>21</v>
      </c>
      <c r="K6" s="63" t="str">
        <f>'26.10 Rushere-Lyantonde-24hr'!K6:L6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</v>
      </c>
      <c r="D10" s="50">
        <v>2</v>
      </c>
      <c r="E10" s="50">
        <v>3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73" si="0">SUM(C10:L10,N10)</f>
        <v>11</v>
      </c>
      <c r="P10" s="15">
        <f t="shared" ref="P10:P73" si="1">SUM(C10:N10)</f>
        <v>16</v>
      </c>
      <c r="R10" s="1" t="s">
        <v>6</v>
      </c>
      <c r="S10" s="17">
        <f t="shared" ref="S10:AF10" si="2">SUM(C10:C13)</f>
        <v>12</v>
      </c>
      <c r="T10" s="17">
        <f t="shared" si="2"/>
        <v>7</v>
      </c>
      <c r="U10" s="17">
        <f t="shared" si="2"/>
        <v>5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3</v>
      </c>
      <c r="AA10" s="17">
        <f t="shared" si="2"/>
        <v>2</v>
      </c>
      <c r="AB10" s="17">
        <f t="shared" si="2"/>
        <v>1</v>
      </c>
      <c r="AC10" s="17">
        <f t="shared" si="2"/>
        <v>20</v>
      </c>
      <c r="AD10" s="17">
        <f t="shared" si="2"/>
        <v>0</v>
      </c>
      <c r="AE10" s="31">
        <f t="shared" si="2"/>
        <v>34</v>
      </c>
      <c r="AF10" s="31">
        <f t="shared" si="2"/>
        <v>54</v>
      </c>
    </row>
    <row r="11" spans="2:32" s="6" customFormat="1" ht="23.1" customHeight="1" x14ac:dyDescent="0.25">
      <c r="B11" s="45" t="s">
        <v>38</v>
      </c>
      <c r="C11" s="50">
        <v>4</v>
      </c>
      <c r="D11" s="50">
        <v>0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2</v>
      </c>
      <c r="L11" s="50">
        <v>1</v>
      </c>
      <c r="M11" s="50">
        <v>4</v>
      </c>
      <c r="N11" s="50">
        <v>0</v>
      </c>
      <c r="O11" s="15">
        <f t="shared" si="0"/>
        <v>9</v>
      </c>
      <c r="P11" s="15">
        <f t="shared" si="1"/>
        <v>13</v>
      </c>
      <c r="R11" s="1" t="s">
        <v>7</v>
      </c>
      <c r="S11" s="17">
        <f t="shared" ref="S11:AF11" si="3">SUM(C14:C17)</f>
        <v>6</v>
      </c>
      <c r="T11" s="17">
        <f t="shared" si="3"/>
        <v>1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2</v>
      </c>
      <c r="AA11" s="17">
        <f t="shared" si="3"/>
        <v>2</v>
      </c>
      <c r="AB11" s="17">
        <f t="shared" si="3"/>
        <v>1</v>
      </c>
      <c r="AC11" s="17">
        <f t="shared" si="3"/>
        <v>18</v>
      </c>
      <c r="AD11" s="17">
        <f t="shared" si="3"/>
        <v>0</v>
      </c>
      <c r="AE11" s="31">
        <f t="shared" si="3"/>
        <v>14</v>
      </c>
      <c r="AF11" s="31">
        <f t="shared" si="3"/>
        <v>32</v>
      </c>
    </row>
    <row r="12" spans="2:32" ht="23.1" customHeight="1" x14ac:dyDescent="0.25">
      <c r="B12" s="45" t="s">
        <v>39</v>
      </c>
      <c r="C12" s="50">
        <v>3</v>
      </c>
      <c r="D12" s="50">
        <v>3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2</v>
      </c>
      <c r="K12" s="50">
        <v>0</v>
      </c>
      <c r="L12" s="50">
        <v>0</v>
      </c>
      <c r="M12" s="50">
        <v>6</v>
      </c>
      <c r="N12" s="50">
        <v>0</v>
      </c>
      <c r="O12" s="15">
        <f t="shared" si="0"/>
        <v>9</v>
      </c>
      <c r="P12" s="15">
        <f t="shared" si="1"/>
        <v>15</v>
      </c>
      <c r="R12" s="1" t="s">
        <v>8</v>
      </c>
      <c r="S12" s="17">
        <f t="shared" ref="S12:AF12" si="4">SUM(C18:C21)</f>
        <v>6</v>
      </c>
      <c r="T12" s="17">
        <f t="shared" si="4"/>
        <v>4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32</v>
      </c>
      <c r="AD12" s="17">
        <f t="shared" si="4"/>
        <v>0</v>
      </c>
      <c r="AE12" s="31">
        <f t="shared" si="4"/>
        <v>11</v>
      </c>
      <c r="AF12" s="31">
        <f t="shared" si="4"/>
        <v>43</v>
      </c>
    </row>
    <row r="13" spans="2:32" ht="23.1" customHeight="1" x14ac:dyDescent="0.25">
      <c r="B13" s="45" t="s">
        <v>40</v>
      </c>
      <c r="C13" s="50">
        <v>1</v>
      </c>
      <c r="D13" s="50">
        <v>2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5</v>
      </c>
      <c r="P13" s="15">
        <f t="shared" si="1"/>
        <v>10</v>
      </c>
      <c r="R13" s="1" t="s">
        <v>9</v>
      </c>
      <c r="S13" s="17">
        <f t="shared" ref="S13:AF13" si="5">SUM(C22:C25)</f>
        <v>13</v>
      </c>
      <c r="T13" s="17">
        <f t="shared" si="5"/>
        <v>2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0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24</v>
      </c>
      <c r="AD13" s="17">
        <f t="shared" si="5"/>
        <v>0</v>
      </c>
      <c r="AE13" s="31">
        <f t="shared" si="5"/>
        <v>19</v>
      </c>
      <c r="AF13" s="31">
        <f t="shared" si="5"/>
        <v>43</v>
      </c>
    </row>
    <row r="14" spans="2:32" ht="23.1" customHeight="1" x14ac:dyDescent="0.25">
      <c r="B14" s="45" t="s">
        <v>41</v>
      </c>
      <c r="C14" s="50">
        <v>3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1</v>
      </c>
      <c r="M14" s="50">
        <v>2</v>
      </c>
      <c r="N14" s="50">
        <v>0</v>
      </c>
      <c r="O14" s="15">
        <f t="shared" si="0"/>
        <v>5</v>
      </c>
      <c r="P14" s="15">
        <f t="shared" si="1"/>
        <v>7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3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15</v>
      </c>
      <c r="AD14" s="17">
        <f t="shared" si="6"/>
        <v>0</v>
      </c>
      <c r="AE14" s="31">
        <f t="shared" si="6"/>
        <v>14</v>
      </c>
      <c r="AF14" s="31">
        <f t="shared" si="6"/>
        <v>29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2</v>
      </c>
      <c r="L15" s="50">
        <v>0</v>
      </c>
      <c r="M15" s="50">
        <v>4</v>
      </c>
      <c r="N15" s="50">
        <v>0</v>
      </c>
      <c r="O15" s="15">
        <f t="shared" si="0"/>
        <v>3</v>
      </c>
      <c r="P15" s="15">
        <f t="shared" si="1"/>
        <v>7</v>
      </c>
      <c r="R15" s="1" t="s">
        <v>11</v>
      </c>
      <c r="S15" s="17">
        <f t="shared" ref="S15:AF15" si="7">SUM(C30:C33)</f>
        <v>19</v>
      </c>
      <c r="T15" s="17">
        <f t="shared" si="7"/>
        <v>7</v>
      </c>
      <c r="U15" s="17">
        <f t="shared" si="7"/>
        <v>6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1</v>
      </c>
      <c r="AA15" s="17">
        <f t="shared" si="7"/>
        <v>3</v>
      </c>
      <c r="AB15" s="17">
        <f t="shared" si="7"/>
        <v>1</v>
      </c>
      <c r="AC15" s="17">
        <f t="shared" si="7"/>
        <v>28</v>
      </c>
      <c r="AD15" s="17">
        <f t="shared" si="7"/>
        <v>0</v>
      </c>
      <c r="AE15" s="31">
        <f t="shared" si="7"/>
        <v>39</v>
      </c>
      <c r="AF15" s="31">
        <f t="shared" si="7"/>
        <v>67</v>
      </c>
    </row>
    <row r="16" spans="2:32" ht="23.1" customHeight="1" x14ac:dyDescent="0.25">
      <c r="B16" s="45" t="s">
        <v>43</v>
      </c>
      <c r="C16" s="50">
        <v>3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2</v>
      </c>
      <c r="K16" s="50">
        <v>0</v>
      </c>
      <c r="L16" s="50">
        <v>0</v>
      </c>
      <c r="M16" s="50">
        <v>2</v>
      </c>
      <c r="N16" s="50">
        <v>0</v>
      </c>
      <c r="O16" s="15">
        <f t="shared" si="0"/>
        <v>5</v>
      </c>
      <c r="P16" s="15">
        <f t="shared" si="1"/>
        <v>7</v>
      </c>
      <c r="R16" s="1" t="s">
        <v>12</v>
      </c>
      <c r="S16" s="17">
        <f t="shared" ref="S16:AF16" si="8">SUM(C34:C37)</f>
        <v>15</v>
      </c>
      <c r="T16" s="17">
        <f t="shared" si="8"/>
        <v>7</v>
      </c>
      <c r="U16" s="17">
        <f t="shared" si="8"/>
        <v>4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5</v>
      </c>
      <c r="AA16" s="17">
        <f t="shared" si="8"/>
        <v>4</v>
      </c>
      <c r="AB16" s="17">
        <f t="shared" si="8"/>
        <v>1</v>
      </c>
      <c r="AC16" s="17">
        <f t="shared" si="8"/>
        <v>23</v>
      </c>
      <c r="AD16" s="17">
        <f t="shared" si="8"/>
        <v>0</v>
      </c>
      <c r="AE16" s="31">
        <f t="shared" si="8"/>
        <v>38</v>
      </c>
      <c r="AF16" s="31">
        <f t="shared" si="8"/>
        <v>61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1</v>
      </c>
      <c r="P17" s="15">
        <f t="shared" si="1"/>
        <v>11</v>
      </c>
      <c r="R17" s="1" t="s">
        <v>13</v>
      </c>
      <c r="S17" s="17">
        <f t="shared" ref="S17:AF17" si="9">SUM(C38:C41)</f>
        <v>14</v>
      </c>
      <c r="T17" s="17">
        <f t="shared" si="9"/>
        <v>4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5</v>
      </c>
      <c r="AA17" s="17">
        <f t="shared" si="9"/>
        <v>2</v>
      </c>
      <c r="AB17" s="17">
        <f t="shared" si="9"/>
        <v>0</v>
      </c>
      <c r="AC17" s="17">
        <f t="shared" si="9"/>
        <v>29</v>
      </c>
      <c r="AD17" s="17">
        <f t="shared" si="9"/>
        <v>0</v>
      </c>
      <c r="AE17" s="31">
        <f t="shared" si="9"/>
        <v>26</v>
      </c>
      <c r="AF17" s="31">
        <f t="shared" si="9"/>
        <v>55</v>
      </c>
    </row>
    <row r="18" spans="2:32" ht="23.1" customHeight="1" x14ac:dyDescent="0.25">
      <c r="B18" s="45" t="s">
        <v>45</v>
      </c>
      <c r="C18" s="50">
        <v>1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10</v>
      </c>
      <c r="N18" s="50">
        <v>0</v>
      </c>
      <c r="O18" s="15">
        <f t="shared" si="0"/>
        <v>2</v>
      </c>
      <c r="P18" s="15">
        <f t="shared" si="1"/>
        <v>12</v>
      </c>
      <c r="R18" s="1" t="s">
        <v>14</v>
      </c>
      <c r="S18" s="17">
        <f t="shared" ref="S18:AF18" si="10">SUM(C42:C45)</f>
        <v>13</v>
      </c>
      <c r="T18" s="17">
        <f t="shared" si="10"/>
        <v>2</v>
      </c>
      <c r="U18" s="17">
        <f t="shared" si="10"/>
        <v>0</v>
      </c>
      <c r="V18" s="17">
        <f t="shared" si="10"/>
        <v>1</v>
      </c>
      <c r="W18" s="17">
        <f t="shared" si="10"/>
        <v>0</v>
      </c>
      <c r="X18" s="17">
        <f t="shared" si="10"/>
        <v>1</v>
      </c>
      <c r="Y18" s="17">
        <f t="shared" si="10"/>
        <v>9</v>
      </c>
      <c r="Z18" s="17">
        <f t="shared" si="10"/>
        <v>2</v>
      </c>
      <c r="AA18" s="17">
        <f t="shared" si="10"/>
        <v>2</v>
      </c>
      <c r="AB18" s="17">
        <f t="shared" si="10"/>
        <v>0</v>
      </c>
      <c r="AC18" s="17">
        <f t="shared" si="10"/>
        <v>25</v>
      </c>
      <c r="AD18" s="17">
        <f t="shared" si="10"/>
        <v>1</v>
      </c>
      <c r="AE18" s="31">
        <f t="shared" si="10"/>
        <v>31</v>
      </c>
      <c r="AF18" s="31">
        <f t="shared" si="10"/>
        <v>56</v>
      </c>
    </row>
    <row r="19" spans="2:32" ht="23.1" customHeight="1" x14ac:dyDescent="0.25">
      <c r="B19" s="45" t="s">
        <v>46</v>
      </c>
      <c r="C19" s="50">
        <v>2</v>
      </c>
      <c r="D19" s="50">
        <v>2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4</v>
      </c>
      <c r="P19" s="15">
        <f t="shared" si="1"/>
        <v>14</v>
      </c>
      <c r="R19" s="1" t="s">
        <v>15</v>
      </c>
      <c r="S19" s="17">
        <f t="shared" ref="S19:AF19" si="11">SUM(C46:C49)</f>
        <v>34</v>
      </c>
      <c r="T19" s="17">
        <f t="shared" si="11"/>
        <v>7</v>
      </c>
      <c r="U19" s="17">
        <f t="shared" si="11"/>
        <v>4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8</v>
      </c>
      <c r="Z19" s="17">
        <f t="shared" si="11"/>
        <v>2</v>
      </c>
      <c r="AA19" s="17">
        <f t="shared" si="11"/>
        <v>3</v>
      </c>
      <c r="AB19" s="17">
        <f t="shared" si="11"/>
        <v>0</v>
      </c>
      <c r="AC19" s="17">
        <f t="shared" si="11"/>
        <v>32</v>
      </c>
      <c r="AD19" s="17">
        <f t="shared" si="11"/>
        <v>0</v>
      </c>
      <c r="AE19" s="31">
        <f t="shared" si="11"/>
        <v>58</v>
      </c>
      <c r="AF19" s="31">
        <f t="shared" si="11"/>
        <v>90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5</v>
      </c>
      <c r="N20" s="50">
        <v>0</v>
      </c>
      <c r="O20" s="15">
        <f t="shared" si="0"/>
        <v>1</v>
      </c>
      <c r="P20" s="15">
        <f t="shared" si="1"/>
        <v>6</v>
      </c>
      <c r="R20" s="1" t="s">
        <v>16</v>
      </c>
      <c r="S20" s="17">
        <f t="shared" ref="S20:AF20" si="12">SUM(C50:C53)</f>
        <v>24</v>
      </c>
      <c r="T20" s="17">
        <f t="shared" si="12"/>
        <v>3</v>
      </c>
      <c r="U20" s="17">
        <f t="shared" si="12"/>
        <v>3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1</v>
      </c>
      <c r="AA20" s="17">
        <f t="shared" si="12"/>
        <v>2</v>
      </c>
      <c r="AB20" s="17">
        <f t="shared" si="12"/>
        <v>1</v>
      </c>
      <c r="AC20" s="17">
        <f t="shared" si="12"/>
        <v>23</v>
      </c>
      <c r="AD20" s="17">
        <f t="shared" si="12"/>
        <v>0</v>
      </c>
      <c r="AE20" s="31">
        <f t="shared" si="12"/>
        <v>37</v>
      </c>
      <c r="AF20" s="31">
        <f t="shared" si="12"/>
        <v>60</v>
      </c>
    </row>
    <row r="21" spans="2:32" ht="23.1" customHeight="1" x14ac:dyDescent="0.25">
      <c r="B21" s="45" t="s">
        <v>48</v>
      </c>
      <c r="C21" s="50">
        <v>2</v>
      </c>
      <c r="D21" s="50">
        <v>1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1</v>
      </c>
      <c r="L21" s="50">
        <v>0</v>
      </c>
      <c r="M21" s="50">
        <v>7</v>
      </c>
      <c r="N21" s="50">
        <v>0</v>
      </c>
      <c r="O21" s="15">
        <f t="shared" si="0"/>
        <v>4</v>
      </c>
      <c r="P21" s="15">
        <f t="shared" si="1"/>
        <v>11</v>
      </c>
      <c r="R21" s="36" t="s">
        <v>20</v>
      </c>
      <c r="S21" s="34">
        <f t="shared" ref="S21:AF21" si="13">SUM(C54:C57)</f>
        <v>13</v>
      </c>
      <c r="T21" s="17">
        <f t="shared" si="13"/>
        <v>0</v>
      </c>
      <c r="U21" s="17">
        <f t="shared" si="13"/>
        <v>3</v>
      </c>
      <c r="V21" s="17">
        <f t="shared" si="13"/>
        <v>2</v>
      </c>
      <c r="W21" s="17">
        <f t="shared" si="13"/>
        <v>0</v>
      </c>
      <c r="X21" s="17">
        <f t="shared" si="13"/>
        <v>2</v>
      </c>
      <c r="Y21" s="17">
        <f t="shared" si="13"/>
        <v>2</v>
      </c>
      <c r="Z21" s="17">
        <f t="shared" si="13"/>
        <v>3</v>
      </c>
      <c r="AA21" s="17">
        <f t="shared" si="13"/>
        <v>1</v>
      </c>
      <c r="AB21" s="17">
        <f t="shared" si="13"/>
        <v>0</v>
      </c>
      <c r="AC21" s="17">
        <f t="shared" si="13"/>
        <v>20</v>
      </c>
      <c r="AD21" s="17">
        <f t="shared" si="13"/>
        <v>0</v>
      </c>
      <c r="AE21" s="31">
        <f t="shared" si="13"/>
        <v>26</v>
      </c>
      <c r="AF21" s="31">
        <f t="shared" si="13"/>
        <v>46</v>
      </c>
    </row>
    <row r="22" spans="2:32" ht="23.1" customHeight="1" x14ac:dyDescent="0.25">
      <c r="B22" s="45" t="s">
        <v>49</v>
      </c>
      <c r="C22" s="50">
        <v>3</v>
      </c>
      <c r="D22" s="50">
        <v>2</v>
      </c>
      <c r="E22" s="50">
        <v>2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7</v>
      </c>
      <c r="P22" s="15">
        <f t="shared" si="1"/>
        <v>12</v>
      </c>
      <c r="R22" s="36" t="s">
        <v>146</v>
      </c>
      <c r="S22" s="34">
        <f>SUM(C58:C61)</f>
        <v>19</v>
      </c>
      <c r="T22" s="34">
        <f t="shared" ref="T22:AF22" si="14">SUM(D58:D61)</f>
        <v>8</v>
      </c>
      <c r="U22" s="34">
        <f t="shared" si="14"/>
        <v>5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0</v>
      </c>
      <c r="Z22" s="34">
        <f t="shared" si="14"/>
        <v>0</v>
      </c>
      <c r="AA22" s="34">
        <f t="shared" si="14"/>
        <v>0</v>
      </c>
      <c r="AB22" s="34">
        <f t="shared" si="14"/>
        <v>3</v>
      </c>
      <c r="AC22" s="34">
        <f t="shared" si="14"/>
        <v>17</v>
      </c>
      <c r="AD22" s="34">
        <f t="shared" si="14"/>
        <v>0</v>
      </c>
      <c r="AE22" s="31">
        <f t="shared" si="14"/>
        <v>35</v>
      </c>
      <c r="AF22" s="31">
        <f t="shared" si="14"/>
        <v>52</v>
      </c>
    </row>
    <row r="23" spans="2:32" ht="23.1" customHeight="1" x14ac:dyDescent="0.25">
      <c r="B23" s="45" t="s">
        <v>50</v>
      </c>
      <c r="C23" s="50">
        <v>3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6</v>
      </c>
      <c r="N23" s="50">
        <v>0</v>
      </c>
      <c r="O23" s="15">
        <f t="shared" si="0"/>
        <v>4</v>
      </c>
      <c r="P23" s="15">
        <f t="shared" si="1"/>
        <v>10</v>
      </c>
      <c r="R23" s="36" t="s">
        <v>147</v>
      </c>
      <c r="S23" s="34">
        <f>SUM(C62:C65)</f>
        <v>8</v>
      </c>
      <c r="T23" s="34">
        <f t="shared" ref="T23:AF23" si="15">SUM(D62:D65)</f>
        <v>5</v>
      </c>
      <c r="U23" s="34">
        <f t="shared" si="15"/>
        <v>2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3</v>
      </c>
      <c r="AA23" s="34">
        <f t="shared" si="15"/>
        <v>2</v>
      </c>
      <c r="AB23" s="34">
        <f t="shared" si="15"/>
        <v>3</v>
      </c>
      <c r="AC23" s="34">
        <f t="shared" si="15"/>
        <v>16</v>
      </c>
      <c r="AD23" s="34">
        <f t="shared" si="15"/>
        <v>0</v>
      </c>
      <c r="AE23" s="31">
        <f t="shared" si="15"/>
        <v>23</v>
      </c>
      <c r="AF23" s="31">
        <f t="shared" si="15"/>
        <v>39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7</v>
      </c>
      <c r="N24" s="50">
        <v>0</v>
      </c>
      <c r="O24" s="15">
        <f t="shared" si="0"/>
        <v>2</v>
      </c>
      <c r="P24" s="15">
        <f t="shared" si="1"/>
        <v>9</v>
      </c>
      <c r="R24" s="36" t="s">
        <v>148</v>
      </c>
      <c r="S24" s="34">
        <f>SUM(C66:C69)</f>
        <v>12</v>
      </c>
      <c r="T24" s="34">
        <f t="shared" ref="T24:AF24" si="16">SUM(D66:D69)</f>
        <v>8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1</v>
      </c>
      <c r="Y24" s="34">
        <f t="shared" si="16"/>
        <v>6</v>
      </c>
      <c r="Z24" s="34">
        <f t="shared" si="16"/>
        <v>2</v>
      </c>
      <c r="AA24" s="34">
        <f t="shared" si="16"/>
        <v>0</v>
      </c>
      <c r="AB24" s="34">
        <f t="shared" si="16"/>
        <v>3</v>
      </c>
      <c r="AC24" s="34">
        <f t="shared" si="16"/>
        <v>7</v>
      </c>
      <c r="AD24" s="34">
        <f t="shared" si="16"/>
        <v>0</v>
      </c>
      <c r="AE24" s="31">
        <f t="shared" si="16"/>
        <v>32</v>
      </c>
      <c r="AF24" s="31">
        <f t="shared" si="16"/>
        <v>39</v>
      </c>
    </row>
    <row r="25" spans="2:32" ht="23.1" customHeight="1" x14ac:dyDescent="0.25">
      <c r="B25" s="45" t="s">
        <v>52</v>
      </c>
      <c r="C25" s="50">
        <v>6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6</v>
      </c>
      <c r="P25" s="15">
        <f t="shared" si="1"/>
        <v>12</v>
      </c>
      <c r="R25" s="36" t="s">
        <v>149</v>
      </c>
      <c r="S25" s="34">
        <f>SUM(C70:C73)</f>
        <v>13</v>
      </c>
      <c r="T25" s="34">
        <f t="shared" ref="T25:AF25" si="17">SUM(D70:D73)</f>
        <v>7</v>
      </c>
      <c r="U25" s="34">
        <f t="shared" si="17"/>
        <v>2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4</v>
      </c>
      <c r="AA25" s="34">
        <f t="shared" si="17"/>
        <v>4</v>
      </c>
      <c r="AB25" s="34">
        <f t="shared" si="17"/>
        <v>5</v>
      </c>
      <c r="AC25" s="34">
        <f t="shared" si="17"/>
        <v>5</v>
      </c>
      <c r="AD25" s="34">
        <f t="shared" si="17"/>
        <v>0</v>
      </c>
      <c r="AE25" s="31">
        <f t="shared" si="17"/>
        <v>40</v>
      </c>
      <c r="AF25" s="31">
        <f t="shared" si="17"/>
        <v>45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4</v>
      </c>
      <c r="N26" s="50">
        <v>0</v>
      </c>
      <c r="O26" s="15">
        <f t="shared" si="0"/>
        <v>3</v>
      </c>
      <c r="P26" s="15">
        <f t="shared" si="1"/>
        <v>7</v>
      </c>
      <c r="R26" s="36" t="s">
        <v>150</v>
      </c>
      <c r="S26" s="34">
        <f>SUM(C74:C77)</f>
        <v>8</v>
      </c>
      <c r="T26" s="34">
        <f t="shared" ref="T26:AF26" si="18">SUM(D74:D77)</f>
        <v>6</v>
      </c>
      <c r="U26" s="34">
        <f t="shared" si="18"/>
        <v>4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4</v>
      </c>
      <c r="AA26" s="34">
        <f t="shared" si="18"/>
        <v>5</v>
      </c>
      <c r="AB26" s="34">
        <f t="shared" si="18"/>
        <v>8</v>
      </c>
      <c r="AC26" s="34">
        <f t="shared" si="18"/>
        <v>3</v>
      </c>
      <c r="AD26" s="34">
        <f t="shared" si="18"/>
        <v>0</v>
      </c>
      <c r="AE26" s="31">
        <f t="shared" si="18"/>
        <v>37</v>
      </c>
      <c r="AF26" s="31">
        <f t="shared" si="18"/>
        <v>40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2</v>
      </c>
      <c r="P27" s="15">
        <f t="shared" si="1"/>
        <v>5</v>
      </c>
      <c r="R27" s="36" t="s">
        <v>151</v>
      </c>
      <c r="S27" s="34">
        <f>SUM(C78:C81)</f>
        <v>8</v>
      </c>
      <c r="T27" s="34">
        <f t="shared" ref="T27:AF27" si="19">SUM(D78:D81)</f>
        <v>11</v>
      </c>
      <c r="U27" s="34">
        <f t="shared" si="19"/>
        <v>4</v>
      </c>
      <c r="V27" s="34">
        <f t="shared" si="19"/>
        <v>0</v>
      </c>
      <c r="W27" s="34">
        <f t="shared" si="19"/>
        <v>1</v>
      </c>
      <c r="X27" s="34">
        <f t="shared" si="19"/>
        <v>0</v>
      </c>
      <c r="Y27" s="34">
        <f t="shared" si="19"/>
        <v>3</v>
      </c>
      <c r="Z27" s="34">
        <f t="shared" si="19"/>
        <v>0</v>
      </c>
      <c r="AA27" s="34">
        <f t="shared" si="19"/>
        <v>3</v>
      </c>
      <c r="AB27" s="34">
        <f t="shared" si="19"/>
        <v>4</v>
      </c>
      <c r="AC27" s="34">
        <f t="shared" si="19"/>
        <v>0</v>
      </c>
      <c r="AD27" s="34">
        <f t="shared" si="19"/>
        <v>0</v>
      </c>
      <c r="AE27" s="31">
        <f t="shared" si="19"/>
        <v>34</v>
      </c>
      <c r="AF27" s="31">
        <f t="shared" si="19"/>
        <v>34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1</v>
      </c>
      <c r="P28" s="15">
        <f t="shared" si="1"/>
        <v>5</v>
      </c>
      <c r="R28" s="36" t="s">
        <v>152</v>
      </c>
      <c r="S28" s="34">
        <f>SUM(C82:C85)</f>
        <v>7</v>
      </c>
      <c r="T28" s="34">
        <f t="shared" ref="T28:AF28" si="20">SUM(D82:D85)</f>
        <v>6</v>
      </c>
      <c r="U28" s="34">
        <f t="shared" si="20"/>
        <v>3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4</v>
      </c>
      <c r="AA28" s="34">
        <f t="shared" si="20"/>
        <v>0</v>
      </c>
      <c r="AB28" s="34">
        <f t="shared" si="20"/>
        <v>3</v>
      </c>
      <c r="AC28" s="34">
        <f t="shared" si="20"/>
        <v>3</v>
      </c>
      <c r="AD28" s="34">
        <f t="shared" si="20"/>
        <v>0</v>
      </c>
      <c r="AE28" s="31">
        <f t="shared" si="20"/>
        <v>25</v>
      </c>
      <c r="AF28" s="31">
        <f t="shared" si="20"/>
        <v>28</v>
      </c>
    </row>
    <row r="29" spans="2:32" ht="23.1" customHeight="1" x14ac:dyDescent="0.25">
      <c r="B29" s="45" t="s">
        <v>56</v>
      </c>
      <c r="C29" s="50">
        <v>2</v>
      </c>
      <c r="D29" s="50">
        <v>0</v>
      </c>
      <c r="E29" s="50">
        <v>2</v>
      </c>
      <c r="F29" s="50">
        <v>0</v>
      </c>
      <c r="G29" s="50">
        <v>0</v>
      </c>
      <c r="H29" s="50">
        <v>0</v>
      </c>
      <c r="I29" s="50">
        <v>1</v>
      </c>
      <c r="J29" s="50">
        <v>3</v>
      </c>
      <c r="K29" s="50">
        <v>0</v>
      </c>
      <c r="L29" s="50">
        <v>0</v>
      </c>
      <c r="M29" s="50">
        <v>4</v>
      </c>
      <c r="N29" s="50">
        <v>0</v>
      </c>
      <c r="O29" s="15">
        <f t="shared" si="0"/>
        <v>8</v>
      </c>
      <c r="P29" s="15">
        <f t="shared" si="1"/>
        <v>12</v>
      </c>
      <c r="R29" s="36" t="s">
        <v>153</v>
      </c>
      <c r="S29" s="34">
        <f>SUM(C86:C89)</f>
        <v>4</v>
      </c>
      <c r="T29" s="34">
        <f t="shared" ref="T29:AF29" si="21">SUM(D86:D89)</f>
        <v>2</v>
      </c>
      <c r="U29" s="34">
        <f t="shared" si="21"/>
        <v>3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4</v>
      </c>
      <c r="Z29" s="34">
        <f t="shared" si="21"/>
        <v>1</v>
      </c>
      <c r="AA29" s="34">
        <f t="shared" si="21"/>
        <v>4</v>
      </c>
      <c r="AB29" s="34">
        <f t="shared" si="21"/>
        <v>5</v>
      </c>
      <c r="AC29" s="34">
        <f t="shared" si="21"/>
        <v>0</v>
      </c>
      <c r="AD29" s="34">
        <f t="shared" si="21"/>
        <v>0</v>
      </c>
      <c r="AE29" s="31">
        <f t="shared" si="21"/>
        <v>23</v>
      </c>
      <c r="AF29" s="31">
        <f t="shared" si="21"/>
        <v>23</v>
      </c>
    </row>
    <row r="30" spans="2:32" ht="23.1" customHeight="1" x14ac:dyDescent="0.25">
      <c r="B30" s="45" t="s">
        <v>57</v>
      </c>
      <c r="C30" s="50">
        <v>3</v>
      </c>
      <c r="D30" s="50">
        <v>1</v>
      </c>
      <c r="E30" s="50">
        <v>1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1</v>
      </c>
      <c r="M30" s="50">
        <v>10</v>
      </c>
      <c r="N30" s="50">
        <v>0</v>
      </c>
      <c r="O30" s="15">
        <f t="shared" si="0"/>
        <v>7</v>
      </c>
      <c r="P30" s="15">
        <f t="shared" si="1"/>
        <v>17</v>
      </c>
      <c r="R30" s="36" t="s">
        <v>154</v>
      </c>
      <c r="S30" s="34">
        <f>SUM(C90:C93)</f>
        <v>7</v>
      </c>
      <c r="T30" s="34">
        <f t="shared" ref="T30:AF30" si="22">SUM(D90:D93)</f>
        <v>3</v>
      </c>
      <c r="U30" s="34">
        <f t="shared" si="22"/>
        <v>1</v>
      </c>
      <c r="V30" s="34">
        <f t="shared" si="22"/>
        <v>0</v>
      </c>
      <c r="W30" s="34">
        <f t="shared" si="22"/>
        <v>2</v>
      </c>
      <c r="X30" s="34">
        <f t="shared" si="22"/>
        <v>1</v>
      </c>
      <c r="Y30" s="34">
        <f t="shared" si="22"/>
        <v>0</v>
      </c>
      <c r="Z30" s="34">
        <f t="shared" si="22"/>
        <v>3</v>
      </c>
      <c r="AA30" s="34">
        <f t="shared" si="22"/>
        <v>6</v>
      </c>
      <c r="AB30" s="34">
        <f t="shared" si="22"/>
        <v>11</v>
      </c>
      <c r="AC30" s="34">
        <f t="shared" si="22"/>
        <v>0</v>
      </c>
      <c r="AD30" s="34">
        <f t="shared" si="22"/>
        <v>0</v>
      </c>
      <c r="AE30" s="31">
        <f t="shared" si="22"/>
        <v>34</v>
      </c>
      <c r="AF30" s="31">
        <f t="shared" si="22"/>
        <v>34</v>
      </c>
    </row>
    <row r="31" spans="2:32" ht="23.1" customHeight="1" x14ac:dyDescent="0.25">
      <c r="B31" s="46" t="s">
        <v>58</v>
      </c>
      <c r="C31" s="50">
        <v>4</v>
      </c>
      <c r="D31" s="50">
        <v>3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7</v>
      </c>
      <c r="N31" s="50">
        <v>0</v>
      </c>
      <c r="O31" s="15">
        <f t="shared" si="0"/>
        <v>9</v>
      </c>
      <c r="P31" s="15">
        <f t="shared" si="1"/>
        <v>16</v>
      </c>
      <c r="R31" s="36" t="s">
        <v>155</v>
      </c>
      <c r="S31" s="34">
        <f>SUM(C94:C97)</f>
        <v>3</v>
      </c>
      <c r="T31" s="34">
        <f t="shared" ref="T31:AF31" si="23">SUM(D94:D97)</f>
        <v>2</v>
      </c>
      <c r="U31" s="34">
        <f t="shared" si="23"/>
        <v>3</v>
      </c>
      <c r="V31" s="34">
        <f t="shared" si="23"/>
        <v>2</v>
      </c>
      <c r="W31" s="34">
        <f t="shared" si="23"/>
        <v>0</v>
      </c>
      <c r="X31" s="34">
        <f t="shared" si="23"/>
        <v>1</v>
      </c>
      <c r="Y31" s="34">
        <f t="shared" si="23"/>
        <v>3</v>
      </c>
      <c r="Z31" s="34">
        <f t="shared" si="23"/>
        <v>3</v>
      </c>
      <c r="AA31" s="34">
        <f t="shared" si="23"/>
        <v>4</v>
      </c>
      <c r="AB31" s="34">
        <f t="shared" si="23"/>
        <v>4</v>
      </c>
      <c r="AC31" s="34">
        <f t="shared" si="23"/>
        <v>0</v>
      </c>
      <c r="AD31" s="34">
        <f t="shared" si="23"/>
        <v>0</v>
      </c>
      <c r="AE31" s="31">
        <f t="shared" si="23"/>
        <v>25</v>
      </c>
      <c r="AF31" s="31">
        <f t="shared" si="23"/>
        <v>25</v>
      </c>
    </row>
    <row r="32" spans="2:32" ht="23.1" customHeight="1" x14ac:dyDescent="0.25">
      <c r="B32" s="46" t="s">
        <v>59</v>
      </c>
      <c r="C32" s="50">
        <v>5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1</v>
      </c>
      <c r="L32" s="50">
        <v>0</v>
      </c>
      <c r="M32" s="50">
        <v>5</v>
      </c>
      <c r="N32" s="50">
        <v>0</v>
      </c>
      <c r="O32" s="15">
        <f t="shared" si="0"/>
        <v>9</v>
      </c>
      <c r="P32" s="15">
        <f t="shared" si="1"/>
        <v>14</v>
      </c>
      <c r="R32" s="33" t="s">
        <v>156</v>
      </c>
      <c r="S32" s="34">
        <f>SUM(C98:C101)</f>
        <v>5</v>
      </c>
      <c r="T32" s="34">
        <f t="shared" ref="T32:AF32" si="24">SUM(D98:D101)</f>
        <v>9</v>
      </c>
      <c r="U32" s="34">
        <f t="shared" si="24"/>
        <v>4</v>
      </c>
      <c r="V32" s="34">
        <f t="shared" si="24"/>
        <v>3</v>
      </c>
      <c r="W32" s="34">
        <f t="shared" si="24"/>
        <v>0</v>
      </c>
      <c r="X32" s="34">
        <f t="shared" si="24"/>
        <v>3</v>
      </c>
      <c r="Y32" s="34">
        <f t="shared" si="24"/>
        <v>2</v>
      </c>
      <c r="Z32" s="34">
        <f t="shared" si="24"/>
        <v>1</v>
      </c>
      <c r="AA32" s="34">
        <f t="shared" si="24"/>
        <v>5</v>
      </c>
      <c r="AB32" s="34">
        <f t="shared" si="24"/>
        <v>9</v>
      </c>
      <c r="AC32" s="34">
        <f t="shared" si="24"/>
        <v>13</v>
      </c>
      <c r="AD32" s="34">
        <f t="shared" si="24"/>
        <v>0</v>
      </c>
      <c r="AE32" s="31">
        <f t="shared" si="24"/>
        <v>41</v>
      </c>
      <c r="AF32" s="31">
        <f t="shared" si="24"/>
        <v>54</v>
      </c>
    </row>
    <row r="33" spans="2:32" ht="23.1" customHeight="1" x14ac:dyDescent="0.25">
      <c r="B33" s="45" t="s">
        <v>60</v>
      </c>
      <c r="C33" s="50">
        <v>7</v>
      </c>
      <c r="D33" s="50">
        <v>2</v>
      </c>
      <c r="E33" s="50">
        <v>3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1</v>
      </c>
      <c r="L33" s="50">
        <v>0</v>
      </c>
      <c r="M33" s="50">
        <v>6</v>
      </c>
      <c r="N33" s="50">
        <v>0</v>
      </c>
      <c r="O33" s="15">
        <f t="shared" si="0"/>
        <v>14</v>
      </c>
      <c r="P33" s="15">
        <f t="shared" si="1"/>
        <v>20</v>
      </c>
      <c r="R33" s="33" t="s">
        <v>157</v>
      </c>
      <c r="S33" s="34">
        <f>SUM(C102:C105)</f>
        <v>1</v>
      </c>
      <c r="T33" s="34">
        <f t="shared" ref="T33:AF33" si="25">SUM(D102:D105)</f>
        <v>0</v>
      </c>
      <c r="U33" s="34">
        <f t="shared" si="25"/>
        <v>0</v>
      </c>
      <c r="V33" s="34">
        <f t="shared" si="25"/>
        <v>2</v>
      </c>
      <c r="W33" s="34">
        <f t="shared" si="25"/>
        <v>0</v>
      </c>
      <c r="X33" s="34">
        <f t="shared" si="25"/>
        <v>3</v>
      </c>
      <c r="Y33" s="34">
        <f t="shared" si="25"/>
        <v>1</v>
      </c>
      <c r="Z33" s="34">
        <f t="shared" si="25"/>
        <v>4</v>
      </c>
      <c r="AA33" s="34">
        <f t="shared" si="25"/>
        <v>2</v>
      </c>
      <c r="AB33" s="34">
        <f t="shared" si="25"/>
        <v>5</v>
      </c>
      <c r="AC33" s="34">
        <f t="shared" si="25"/>
        <v>3</v>
      </c>
      <c r="AD33" s="34">
        <f t="shared" si="25"/>
        <v>2</v>
      </c>
      <c r="AE33" s="31">
        <f t="shared" si="25"/>
        <v>20</v>
      </c>
      <c r="AF33" s="31">
        <f t="shared" si="25"/>
        <v>23</v>
      </c>
    </row>
    <row r="34" spans="2:32" ht="23.1" customHeight="1" x14ac:dyDescent="0.25">
      <c r="B34" s="46" t="s">
        <v>61</v>
      </c>
      <c r="C34" s="50">
        <v>3</v>
      </c>
      <c r="D34" s="50">
        <v>1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1</v>
      </c>
      <c r="L34" s="50">
        <v>0</v>
      </c>
      <c r="M34" s="50">
        <v>4</v>
      </c>
      <c r="N34" s="50">
        <v>0</v>
      </c>
      <c r="O34" s="15">
        <f t="shared" si="0"/>
        <v>6</v>
      </c>
      <c r="P34" s="15">
        <f t="shared" si="1"/>
        <v>10</v>
      </c>
      <c r="R34" s="38" t="s">
        <v>90</v>
      </c>
      <c r="S34" s="39">
        <f t="shared" ref="S34:AF34" si="26">MAX(S10:S12)</f>
        <v>12</v>
      </c>
      <c r="T34" s="39">
        <f t="shared" si="26"/>
        <v>7</v>
      </c>
      <c r="U34" s="39">
        <f t="shared" si="26"/>
        <v>5</v>
      </c>
      <c r="V34" s="39">
        <f t="shared" si="26"/>
        <v>1</v>
      </c>
      <c r="W34" s="39">
        <f t="shared" si="26"/>
        <v>0</v>
      </c>
      <c r="X34" s="39">
        <f t="shared" si="26"/>
        <v>0</v>
      </c>
      <c r="Y34" s="39">
        <f t="shared" si="26"/>
        <v>3</v>
      </c>
      <c r="Z34" s="39">
        <f t="shared" si="26"/>
        <v>3</v>
      </c>
      <c r="AA34" s="39">
        <f t="shared" si="26"/>
        <v>2</v>
      </c>
      <c r="AB34" s="39">
        <f t="shared" si="26"/>
        <v>1</v>
      </c>
      <c r="AC34" s="39">
        <f t="shared" si="26"/>
        <v>32</v>
      </c>
      <c r="AD34" s="39">
        <f t="shared" si="26"/>
        <v>0</v>
      </c>
      <c r="AE34" s="40">
        <f t="shared" si="26"/>
        <v>34</v>
      </c>
      <c r="AF34" s="40">
        <f t="shared" si="26"/>
        <v>54</v>
      </c>
    </row>
    <row r="35" spans="2:32" ht="23.1" customHeight="1" x14ac:dyDescent="0.25">
      <c r="B35" s="46" t="s">
        <v>62</v>
      </c>
      <c r="C35" s="50">
        <v>1</v>
      </c>
      <c r="D35" s="50">
        <v>2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2</v>
      </c>
      <c r="K35" s="50">
        <v>1</v>
      </c>
      <c r="L35" s="50">
        <v>1</v>
      </c>
      <c r="M35" s="50">
        <v>9</v>
      </c>
      <c r="N35" s="50">
        <v>0</v>
      </c>
      <c r="O35" s="15">
        <f t="shared" si="0"/>
        <v>8</v>
      </c>
      <c r="P35" s="15">
        <f t="shared" si="1"/>
        <v>17</v>
      </c>
      <c r="R35" s="38" t="s">
        <v>91</v>
      </c>
      <c r="S35" s="39">
        <f t="shared" ref="S35:AF35" si="27">MAX(S13:S18)</f>
        <v>19</v>
      </c>
      <c r="T35" s="39">
        <f t="shared" si="27"/>
        <v>7</v>
      </c>
      <c r="U35" s="39">
        <f t="shared" si="27"/>
        <v>6</v>
      </c>
      <c r="V35" s="39">
        <f t="shared" si="27"/>
        <v>1</v>
      </c>
      <c r="W35" s="39">
        <f t="shared" si="27"/>
        <v>0</v>
      </c>
      <c r="X35" s="39">
        <f t="shared" si="27"/>
        <v>1</v>
      </c>
      <c r="Y35" s="39">
        <f t="shared" si="27"/>
        <v>9</v>
      </c>
      <c r="Z35" s="39">
        <f t="shared" si="27"/>
        <v>5</v>
      </c>
      <c r="AA35" s="39">
        <f t="shared" si="27"/>
        <v>4</v>
      </c>
      <c r="AB35" s="39">
        <f t="shared" si="27"/>
        <v>1</v>
      </c>
      <c r="AC35" s="39">
        <f t="shared" si="27"/>
        <v>29</v>
      </c>
      <c r="AD35" s="39">
        <f t="shared" si="27"/>
        <v>1</v>
      </c>
      <c r="AE35" s="40">
        <f t="shared" si="27"/>
        <v>39</v>
      </c>
      <c r="AF35" s="40">
        <f t="shared" si="27"/>
        <v>67</v>
      </c>
    </row>
    <row r="36" spans="2:32" ht="23.1" customHeight="1" x14ac:dyDescent="0.25">
      <c r="B36" s="46" t="s">
        <v>63</v>
      </c>
      <c r="C36" s="50">
        <v>4</v>
      </c>
      <c r="D36" s="50">
        <v>2</v>
      </c>
      <c r="E36" s="50">
        <v>1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4</v>
      </c>
      <c r="N36" s="50">
        <v>0</v>
      </c>
      <c r="O36" s="15">
        <f t="shared" si="0"/>
        <v>8</v>
      </c>
      <c r="P36" s="15">
        <f t="shared" si="1"/>
        <v>12</v>
      </c>
      <c r="R36" s="38" t="s">
        <v>92</v>
      </c>
      <c r="S36" s="39">
        <f t="shared" ref="S36:AF36" si="28">MAX(S19:S21)</f>
        <v>34</v>
      </c>
      <c r="T36" s="39">
        <f t="shared" si="28"/>
        <v>7</v>
      </c>
      <c r="U36" s="39">
        <f t="shared" si="28"/>
        <v>4</v>
      </c>
      <c r="V36" s="39">
        <f t="shared" si="28"/>
        <v>2</v>
      </c>
      <c r="W36" s="39">
        <f t="shared" si="28"/>
        <v>0</v>
      </c>
      <c r="X36" s="39">
        <f t="shared" si="28"/>
        <v>2</v>
      </c>
      <c r="Y36" s="39">
        <f t="shared" si="28"/>
        <v>8</v>
      </c>
      <c r="Z36" s="39">
        <f t="shared" si="28"/>
        <v>3</v>
      </c>
      <c r="AA36" s="39">
        <f t="shared" si="28"/>
        <v>3</v>
      </c>
      <c r="AB36" s="39">
        <f t="shared" si="28"/>
        <v>1</v>
      </c>
      <c r="AC36" s="39">
        <f t="shared" si="28"/>
        <v>32</v>
      </c>
      <c r="AD36" s="39">
        <f t="shared" si="28"/>
        <v>0</v>
      </c>
      <c r="AE36" s="40">
        <f t="shared" si="28"/>
        <v>58</v>
      </c>
      <c r="AF36" s="40">
        <f t="shared" si="28"/>
        <v>90</v>
      </c>
    </row>
    <row r="37" spans="2:32" ht="23.1" customHeight="1" x14ac:dyDescent="0.25">
      <c r="B37" s="45" t="s">
        <v>64</v>
      </c>
      <c r="C37" s="50">
        <v>7</v>
      </c>
      <c r="D37" s="50">
        <v>2</v>
      </c>
      <c r="E37" s="50">
        <v>3</v>
      </c>
      <c r="F37" s="50">
        <v>0</v>
      </c>
      <c r="G37" s="50">
        <v>0</v>
      </c>
      <c r="H37" s="50">
        <v>0</v>
      </c>
      <c r="I37" s="50">
        <v>0</v>
      </c>
      <c r="J37" s="50">
        <v>2</v>
      </c>
      <c r="K37" s="50">
        <v>2</v>
      </c>
      <c r="L37" s="50">
        <v>0</v>
      </c>
      <c r="M37" s="50">
        <v>6</v>
      </c>
      <c r="N37" s="50">
        <v>0</v>
      </c>
      <c r="O37" s="15">
        <f t="shared" si="0"/>
        <v>16</v>
      </c>
      <c r="P37" s="15">
        <f t="shared" si="1"/>
        <v>22</v>
      </c>
      <c r="R37" s="37" t="s">
        <v>85</v>
      </c>
      <c r="S37" s="35">
        <f t="shared" ref="S37:AF37" si="29">SUM(S10:S12)</f>
        <v>24</v>
      </c>
      <c r="T37" s="16">
        <f t="shared" si="29"/>
        <v>12</v>
      </c>
      <c r="U37" s="16">
        <f t="shared" si="29"/>
        <v>6</v>
      </c>
      <c r="V37" s="16">
        <f t="shared" si="29"/>
        <v>1</v>
      </c>
      <c r="W37" s="16">
        <f t="shared" si="29"/>
        <v>0</v>
      </c>
      <c r="X37" s="16">
        <f t="shared" si="29"/>
        <v>0</v>
      </c>
      <c r="Y37" s="16">
        <f t="shared" si="29"/>
        <v>4</v>
      </c>
      <c r="Z37" s="16">
        <f t="shared" si="29"/>
        <v>5</v>
      </c>
      <c r="AA37" s="16">
        <f t="shared" si="29"/>
        <v>5</v>
      </c>
      <c r="AB37" s="16">
        <f t="shared" si="29"/>
        <v>2</v>
      </c>
      <c r="AC37" s="16">
        <f t="shared" si="29"/>
        <v>70</v>
      </c>
      <c r="AD37" s="16">
        <f t="shared" si="29"/>
        <v>0</v>
      </c>
      <c r="AE37" s="32">
        <f t="shared" si="29"/>
        <v>59</v>
      </c>
      <c r="AF37" s="32">
        <f t="shared" si="29"/>
        <v>129</v>
      </c>
    </row>
    <row r="38" spans="2:32" ht="23.1" customHeight="1" x14ac:dyDescent="0.25">
      <c r="B38" s="46" t="s">
        <v>65</v>
      </c>
      <c r="C38" s="50">
        <v>3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3</v>
      </c>
      <c r="K38" s="50">
        <v>2</v>
      </c>
      <c r="L38" s="50">
        <v>0</v>
      </c>
      <c r="M38" s="50">
        <v>5</v>
      </c>
      <c r="N38" s="50">
        <v>0</v>
      </c>
      <c r="O38" s="15">
        <f t="shared" si="0"/>
        <v>8</v>
      </c>
      <c r="P38" s="15">
        <f t="shared" si="1"/>
        <v>13</v>
      </c>
      <c r="R38" s="28" t="s">
        <v>86</v>
      </c>
      <c r="S38" s="16">
        <f t="shared" ref="S38:AF38" si="30">SUM(S13:S18)</f>
        <v>80</v>
      </c>
      <c r="T38" s="16">
        <f t="shared" si="30"/>
        <v>22</v>
      </c>
      <c r="U38" s="16">
        <f t="shared" si="30"/>
        <v>16</v>
      </c>
      <c r="V38" s="16">
        <f t="shared" si="30"/>
        <v>1</v>
      </c>
      <c r="W38" s="16">
        <f t="shared" si="30"/>
        <v>0</v>
      </c>
      <c r="X38" s="16">
        <f t="shared" si="30"/>
        <v>1</v>
      </c>
      <c r="Y38" s="16">
        <f t="shared" si="30"/>
        <v>16</v>
      </c>
      <c r="Z38" s="16">
        <f t="shared" si="30"/>
        <v>17</v>
      </c>
      <c r="AA38" s="16">
        <f t="shared" si="30"/>
        <v>11</v>
      </c>
      <c r="AB38" s="16">
        <f t="shared" si="30"/>
        <v>2</v>
      </c>
      <c r="AC38" s="16">
        <f t="shared" si="30"/>
        <v>144</v>
      </c>
      <c r="AD38" s="16">
        <f t="shared" si="30"/>
        <v>1</v>
      </c>
      <c r="AE38" s="32">
        <f t="shared" si="30"/>
        <v>167</v>
      </c>
      <c r="AF38" s="32">
        <f t="shared" si="30"/>
        <v>311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2</v>
      </c>
      <c r="P39" s="15">
        <f t="shared" si="1"/>
        <v>9</v>
      </c>
      <c r="R39" s="29" t="s">
        <v>87</v>
      </c>
      <c r="S39" s="16">
        <f t="shared" ref="S39:AF39" si="31">SUM(S19:S21)</f>
        <v>71</v>
      </c>
      <c r="T39" s="16">
        <f t="shared" si="31"/>
        <v>10</v>
      </c>
      <c r="U39" s="16">
        <f t="shared" si="31"/>
        <v>10</v>
      </c>
      <c r="V39" s="16">
        <f t="shared" si="31"/>
        <v>2</v>
      </c>
      <c r="W39" s="16">
        <f t="shared" si="31"/>
        <v>0</v>
      </c>
      <c r="X39" s="16">
        <f t="shared" si="31"/>
        <v>2</v>
      </c>
      <c r="Y39" s="16">
        <f t="shared" si="31"/>
        <v>13</v>
      </c>
      <c r="Z39" s="16">
        <f t="shared" si="31"/>
        <v>6</v>
      </c>
      <c r="AA39" s="16">
        <f t="shared" si="31"/>
        <v>6</v>
      </c>
      <c r="AB39" s="16">
        <f t="shared" si="31"/>
        <v>1</v>
      </c>
      <c r="AC39" s="16">
        <f t="shared" si="31"/>
        <v>75</v>
      </c>
      <c r="AD39" s="16">
        <f t="shared" si="31"/>
        <v>0</v>
      </c>
      <c r="AE39" s="32">
        <f t="shared" si="31"/>
        <v>121</v>
      </c>
      <c r="AF39" s="32">
        <f t="shared" si="31"/>
        <v>196</v>
      </c>
    </row>
    <row r="40" spans="2:32" ht="23.1" customHeight="1" x14ac:dyDescent="0.25">
      <c r="B40" s="46" t="s">
        <v>67</v>
      </c>
      <c r="C40" s="50">
        <v>6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8</v>
      </c>
      <c r="P40" s="15">
        <f t="shared" si="1"/>
        <v>16</v>
      </c>
      <c r="R40" s="5" t="s">
        <v>17</v>
      </c>
      <c r="S40" s="16">
        <f t="shared" ref="S40:AF40" si="32">SUM(S10:S21)</f>
        <v>175</v>
      </c>
      <c r="T40" s="16">
        <f t="shared" si="32"/>
        <v>44</v>
      </c>
      <c r="U40" s="16">
        <f t="shared" si="32"/>
        <v>32</v>
      </c>
      <c r="V40" s="16">
        <f t="shared" si="32"/>
        <v>4</v>
      </c>
      <c r="W40" s="16">
        <f t="shared" si="32"/>
        <v>0</v>
      </c>
      <c r="X40" s="16">
        <f t="shared" si="32"/>
        <v>3</v>
      </c>
      <c r="Y40" s="16">
        <f t="shared" si="32"/>
        <v>33</v>
      </c>
      <c r="Z40" s="16">
        <f t="shared" si="32"/>
        <v>28</v>
      </c>
      <c r="AA40" s="16">
        <f t="shared" si="32"/>
        <v>22</v>
      </c>
      <c r="AB40" s="16">
        <f t="shared" si="32"/>
        <v>5</v>
      </c>
      <c r="AC40" s="16">
        <f t="shared" si="32"/>
        <v>289</v>
      </c>
      <c r="AD40" s="16">
        <f t="shared" si="32"/>
        <v>1</v>
      </c>
      <c r="AE40" s="32">
        <f t="shared" si="32"/>
        <v>347</v>
      </c>
      <c r="AF40" s="32">
        <f t="shared" si="32"/>
        <v>636</v>
      </c>
    </row>
    <row r="41" spans="2:32" ht="23.1" customHeight="1" x14ac:dyDescent="0.25">
      <c r="B41" s="45" t="s">
        <v>68</v>
      </c>
      <c r="C41" s="50">
        <v>3</v>
      </c>
      <c r="D41" s="50">
        <v>3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1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8</v>
      </c>
      <c r="P41" s="15">
        <f t="shared" si="1"/>
        <v>17</v>
      </c>
      <c r="R41" s="5" t="s">
        <v>159</v>
      </c>
      <c r="S41" s="16">
        <f>SUM(S10:S33)</f>
        <v>270</v>
      </c>
      <c r="T41" s="16">
        <f t="shared" ref="T41:AF41" si="33">SUM(T10:T33)</f>
        <v>111</v>
      </c>
      <c r="U41" s="16">
        <f t="shared" si="33"/>
        <v>63</v>
      </c>
      <c r="V41" s="16">
        <f t="shared" si="33"/>
        <v>13</v>
      </c>
      <c r="W41" s="16">
        <f t="shared" si="33"/>
        <v>3</v>
      </c>
      <c r="X41" s="16">
        <f t="shared" si="33"/>
        <v>12</v>
      </c>
      <c r="Y41" s="16">
        <f t="shared" si="33"/>
        <v>59</v>
      </c>
      <c r="Z41" s="16">
        <f t="shared" si="33"/>
        <v>57</v>
      </c>
      <c r="AA41" s="16">
        <f t="shared" si="33"/>
        <v>57</v>
      </c>
      <c r="AB41" s="16">
        <f t="shared" si="33"/>
        <v>68</v>
      </c>
      <c r="AC41" s="16">
        <f t="shared" si="33"/>
        <v>356</v>
      </c>
      <c r="AD41" s="16">
        <f t="shared" si="33"/>
        <v>3</v>
      </c>
      <c r="AE41" s="32">
        <f t="shared" si="33"/>
        <v>716</v>
      </c>
      <c r="AF41" s="32">
        <f t="shared" si="33"/>
        <v>1072</v>
      </c>
    </row>
    <row r="42" spans="2:32" ht="23.1" customHeight="1" x14ac:dyDescent="0.25">
      <c r="B42" s="46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1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4</v>
      </c>
      <c r="P42" s="15">
        <f t="shared" si="1"/>
        <v>9</v>
      </c>
      <c r="R42" s="5" t="s">
        <v>160</v>
      </c>
      <c r="S42" s="48">
        <f>S41/S40</f>
        <v>1.5428571428571429</v>
      </c>
      <c r="T42" s="48">
        <f t="shared" ref="T42:AF42" si="34">T41/T40</f>
        <v>2.5227272727272729</v>
      </c>
      <c r="U42" s="48">
        <f t="shared" si="34"/>
        <v>1.96875</v>
      </c>
      <c r="V42" s="48">
        <f t="shared" si="34"/>
        <v>3.25</v>
      </c>
      <c r="W42" s="48" t="e">
        <f t="shared" si="34"/>
        <v>#DIV/0!</v>
      </c>
      <c r="X42" s="48">
        <f t="shared" si="34"/>
        <v>4</v>
      </c>
      <c r="Y42" s="48">
        <f t="shared" si="34"/>
        <v>1.7878787878787878</v>
      </c>
      <c r="Z42" s="48">
        <f t="shared" si="34"/>
        <v>2.0357142857142856</v>
      </c>
      <c r="AA42" s="48">
        <f t="shared" si="34"/>
        <v>2.5909090909090908</v>
      </c>
      <c r="AB42" s="48">
        <f t="shared" si="34"/>
        <v>13.6</v>
      </c>
      <c r="AC42" s="48">
        <f t="shared" si="34"/>
        <v>1.2318339100346021</v>
      </c>
      <c r="AD42" s="48">
        <f t="shared" si="34"/>
        <v>3</v>
      </c>
      <c r="AE42" s="48">
        <f t="shared" si="34"/>
        <v>2.0634005763688759</v>
      </c>
      <c r="AF42" s="48">
        <f t="shared" si="34"/>
        <v>1.6855345911949686</v>
      </c>
    </row>
    <row r="43" spans="2:32" ht="23.1" customHeight="1" x14ac:dyDescent="0.25">
      <c r="B43" s="45" t="s">
        <v>70</v>
      </c>
      <c r="C43" s="50">
        <v>2</v>
      </c>
      <c r="D43" s="50">
        <v>1</v>
      </c>
      <c r="E43" s="50">
        <v>0</v>
      </c>
      <c r="F43" s="50">
        <v>0</v>
      </c>
      <c r="G43" s="50">
        <v>0</v>
      </c>
      <c r="H43" s="50">
        <v>1</v>
      </c>
      <c r="I43" s="50">
        <v>3</v>
      </c>
      <c r="J43" s="50">
        <v>1</v>
      </c>
      <c r="K43" s="50">
        <v>1</v>
      </c>
      <c r="L43" s="50">
        <v>0</v>
      </c>
      <c r="M43" s="50">
        <v>7</v>
      </c>
      <c r="N43" s="50">
        <v>1</v>
      </c>
      <c r="O43" s="15">
        <f t="shared" si="0"/>
        <v>10</v>
      </c>
      <c r="P43" s="15">
        <f t="shared" si="1"/>
        <v>17</v>
      </c>
    </row>
    <row r="44" spans="2:32" ht="23.1" customHeight="1" x14ac:dyDescent="0.25">
      <c r="B44" s="47" t="s">
        <v>71</v>
      </c>
      <c r="C44" s="50">
        <v>6</v>
      </c>
      <c r="D44" s="50">
        <v>1</v>
      </c>
      <c r="E44" s="50">
        <v>0</v>
      </c>
      <c r="F44" s="50">
        <v>1</v>
      </c>
      <c r="G44" s="50">
        <v>0</v>
      </c>
      <c r="H44" s="50">
        <v>0</v>
      </c>
      <c r="I44" s="50">
        <v>2</v>
      </c>
      <c r="J44" s="50">
        <v>0</v>
      </c>
      <c r="K44" s="50">
        <v>1</v>
      </c>
      <c r="L44" s="50">
        <v>0</v>
      </c>
      <c r="M44" s="50">
        <v>7</v>
      </c>
      <c r="N44" s="50">
        <v>0</v>
      </c>
      <c r="O44" s="15">
        <f t="shared" si="0"/>
        <v>11</v>
      </c>
      <c r="P44" s="15">
        <f t="shared" si="1"/>
        <v>18</v>
      </c>
    </row>
    <row r="45" spans="2:32" ht="23.1" customHeight="1" x14ac:dyDescent="0.25">
      <c r="B45" s="45" t="s">
        <v>72</v>
      </c>
      <c r="C45" s="50">
        <v>3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3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6</v>
      </c>
      <c r="P45" s="15">
        <f t="shared" si="1"/>
        <v>12</v>
      </c>
    </row>
    <row r="46" spans="2:32" ht="23.1" customHeight="1" x14ac:dyDescent="0.25">
      <c r="B46" s="46" t="s">
        <v>73</v>
      </c>
      <c r="C46" s="50">
        <v>7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1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10</v>
      </c>
      <c r="P46" s="15">
        <f t="shared" si="1"/>
        <v>18</v>
      </c>
      <c r="R46" s="8"/>
      <c r="T46"/>
    </row>
    <row r="47" spans="2:32" ht="23.1" customHeight="1" x14ac:dyDescent="0.25">
      <c r="B47" s="46" t="s">
        <v>74</v>
      </c>
      <c r="C47" s="50">
        <v>12</v>
      </c>
      <c r="D47" s="50">
        <v>2</v>
      </c>
      <c r="E47" s="50">
        <v>2</v>
      </c>
      <c r="F47" s="50">
        <v>0</v>
      </c>
      <c r="G47" s="50">
        <v>0</v>
      </c>
      <c r="H47" s="50">
        <v>0</v>
      </c>
      <c r="I47" s="50">
        <v>5</v>
      </c>
      <c r="J47" s="50">
        <v>1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22</v>
      </c>
      <c r="P47" s="15">
        <f t="shared" si="1"/>
        <v>31</v>
      </c>
      <c r="R47" s="8"/>
      <c r="T47"/>
    </row>
    <row r="48" spans="2:32" ht="23.1" customHeight="1" x14ac:dyDescent="0.25">
      <c r="B48" s="46" t="s">
        <v>75</v>
      </c>
      <c r="C48" s="50">
        <v>8</v>
      </c>
      <c r="D48" s="50">
        <v>3</v>
      </c>
      <c r="E48" s="50">
        <v>0</v>
      </c>
      <c r="F48" s="50">
        <v>0</v>
      </c>
      <c r="G48" s="50">
        <v>0</v>
      </c>
      <c r="H48" s="50">
        <v>0</v>
      </c>
      <c r="I48" s="50">
        <v>2</v>
      </c>
      <c r="J48" s="50">
        <v>0</v>
      </c>
      <c r="K48" s="50">
        <v>1</v>
      </c>
      <c r="L48" s="50">
        <v>0</v>
      </c>
      <c r="M48" s="50">
        <v>8</v>
      </c>
      <c r="N48" s="50">
        <v>0</v>
      </c>
      <c r="O48" s="15">
        <f t="shared" si="0"/>
        <v>14</v>
      </c>
      <c r="P48" s="15">
        <f t="shared" si="1"/>
        <v>22</v>
      </c>
      <c r="R48" s="8"/>
      <c r="T48"/>
    </row>
    <row r="49" spans="2:20" ht="23.1" customHeight="1" x14ac:dyDescent="0.25">
      <c r="B49" s="45" t="s">
        <v>76</v>
      </c>
      <c r="C49" s="50">
        <v>7</v>
      </c>
      <c r="D49" s="50">
        <v>2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2</v>
      </c>
      <c r="L49" s="50">
        <v>0</v>
      </c>
      <c r="M49" s="50">
        <v>7</v>
      </c>
      <c r="N49" s="50">
        <v>0</v>
      </c>
      <c r="O49" s="15">
        <f t="shared" si="0"/>
        <v>12</v>
      </c>
      <c r="P49" s="15">
        <f t="shared" si="1"/>
        <v>19</v>
      </c>
      <c r="R49" s="8"/>
      <c r="T49"/>
    </row>
    <row r="50" spans="2:20" ht="23.1" customHeight="1" x14ac:dyDescent="0.25">
      <c r="B50" s="46" t="s">
        <v>77</v>
      </c>
      <c r="C50" s="50">
        <v>7</v>
      </c>
      <c r="D50" s="50">
        <v>2</v>
      </c>
      <c r="E50" s="50">
        <v>1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7</v>
      </c>
      <c r="N50" s="50">
        <v>0</v>
      </c>
      <c r="O50" s="15">
        <f t="shared" si="0"/>
        <v>11</v>
      </c>
      <c r="P50" s="15">
        <f t="shared" si="1"/>
        <v>18</v>
      </c>
      <c r="R50" s="8"/>
      <c r="T50"/>
    </row>
    <row r="51" spans="2:20" ht="23.1" customHeight="1" x14ac:dyDescent="0.25">
      <c r="B51" s="46" t="s">
        <v>78</v>
      </c>
      <c r="C51" s="50">
        <v>3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1</v>
      </c>
      <c r="M51" s="50">
        <v>4</v>
      </c>
      <c r="N51" s="50">
        <v>0</v>
      </c>
      <c r="O51" s="15">
        <f t="shared" si="0"/>
        <v>6</v>
      </c>
      <c r="P51" s="15">
        <f t="shared" si="1"/>
        <v>10</v>
      </c>
      <c r="R51" s="8"/>
      <c r="T51"/>
    </row>
    <row r="52" spans="2:20" ht="23.1" customHeight="1" x14ac:dyDescent="0.25">
      <c r="B52" s="46" t="s">
        <v>79</v>
      </c>
      <c r="C52" s="50">
        <v>5</v>
      </c>
      <c r="D52" s="50">
        <v>1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1</v>
      </c>
      <c r="L52" s="50">
        <v>0</v>
      </c>
      <c r="M52" s="50">
        <v>6</v>
      </c>
      <c r="N52" s="50">
        <v>0</v>
      </c>
      <c r="O52" s="15">
        <f t="shared" si="0"/>
        <v>8</v>
      </c>
      <c r="P52" s="15">
        <f t="shared" si="1"/>
        <v>14</v>
      </c>
      <c r="R52" s="8"/>
      <c r="T52"/>
    </row>
    <row r="53" spans="2:20" ht="23.1" customHeight="1" x14ac:dyDescent="0.25">
      <c r="B53" s="45" t="s">
        <v>80</v>
      </c>
      <c r="C53" s="50">
        <v>9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1</v>
      </c>
      <c r="L53" s="50">
        <v>0</v>
      </c>
      <c r="M53" s="50">
        <v>6</v>
      </c>
      <c r="N53" s="50">
        <v>0</v>
      </c>
      <c r="O53" s="15">
        <f t="shared" si="0"/>
        <v>12</v>
      </c>
      <c r="P53" s="15">
        <f t="shared" si="1"/>
        <v>18</v>
      </c>
      <c r="R53" s="8"/>
      <c r="T53"/>
    </row>
    <row r="54" spans="2:20" ht="23.1" customHeight="1" x14ac:dyDescent="0.25">
      <c r="B54" s="45" t="s">
        <v>81</v>
      </c>
      <c r="C54" s="50">
        <v>4</v>
      </c>
      <c r="D54" s="50">
        <v>0</v>
      </c>
      <c r="E54" s="50">
        <v>0</v>
      </c>
      <c r="F54" s="50">
        <v>0</v>
      </c>
      <c r="G54" s="50">
        <v>0</v>
      </c>
      <c r="H54" s="50">
        <v>2</v>
      </c>
      <c r="I54" s="50">
        <v>0</v>
      </c>
      <c r="J54" s="50">
        <v>1</v>
      </c>
      <c r="K54" s="50">
        <v>1</v>
      </c>
      <c r="L54" s="50">
        <v>0</v>
      </c>
      <c r="M54" s="50">
        <v>5</v>
      </c>
      <c r="N54" s="50">
        <v>0</v>
      </c>
      <c r="O54" s="15">
        <f t="shared" si="0"/>
        <v>8</v>
      </c>
      <c r="P54" s="15">
        <f t="shared" si="1"/>
        <v>13</v>
      </c>
      <c r="R54" s="8"/>
      <c r="T54"/>
    </row>
    <row r="55" spans="2:20" ht="23.1" customHeight="1" x14ac:dyDescent="0.25">
      <c r="B55" s="45" t="s">
        <v>82</v>
      </c>
      <c r="C55" s="50">
        <v>3</v>
      </c>
      <c r="D55" s="50">
        <v>0</v>
      </c>
      <c r="E55" s="50">
        <v>1</v>
      </c>
      <c r="F55" s="50">
        <v>2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7</v>
      </c>
      <c r="N55" s="50">
        <v>0</v>
      </c>
      <c r="O55" s="15">
        <f t="shared" si="0"/>
        <v>8</v>
      </c>
      <c r="P55" s="15">
        <f t="shared" si="1"/>
        <v>15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0</v>
      </c>
      <c r="E56" s="50">
        <v>2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5</v>
      </c>
      <c r="N56" s="50">
        <v>0</v>
      </c>
      <c r="O56" s="15">
        <f t="shared" si="0"/>
        <v>5</v>
      </c>
      <c r="P56" s="15">
        <f t="shared" si="1"/>
        <v>10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2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5</v>
      </c>
      <c r="P57" s="15">
        <f t="shared" si="1"/>
        <v>8</v>
      </c>
      <c r="R57" s="8"/>
      <c r="T57"/>
    </row>
    <row r="58" spans="2:20" ht="23.1" customHeight="1" x14ac:dyDescent="0.25">
      <c r="B58" s="45" t="s">
        <v>99</v>
      </c>
      <c r="C58" s="50">
        <v>6</v>
      </c>
      <c r="D58" s="50">
        <v>3</v>
      </c>
      <c r="E58" s="50">
        <v>1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4</v>
      </c>
      <c r="N58" s="50">
        <v>0</v>
      </c>
      <c r="O58" s="15">
        <f t="shared" si="0"/>
        <v>10</v>
      </c>
      <c r="P58" s="15">
        <f t="shared" si="1"/>
        <v>14</v>
      </c>
      <c r="R58" s="8"/>
      <c r="T58"/>
    </row>
    <row r="59" spans="2:20" ht="23.1" customHeight="1" x14ac:dyDescent="0.25">
      <c r="B59" s="45" t="s">
        <v>100</v>
      </c>
      <c r="C59" s="50">
        <v>4</v>
      </c>
      <c r="D59" s="50">
        <v>0</v>
      </c>
      <c r="E59" s="50">
        <v>2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5</v>
      </c>
      <c r="N59" s="50">
        <v>0</v>
      </c>
      <c r="O59" s="15">
        <f t="shared" si="0"/>
        <v>6</v>
      </c>
      <c r="P59" s="15">
        <f t="shared" si="1"/>
        <v>11</v>
      </c>
      <c r="R59" s="8"/>
      <c r="T59"/>
    </row>
    <row r="60" spans="2:20" ht="23.1" customHeight="1" x14ac:dyDescent="0.25">
      <c r="B60" s="45" t="s">
        <v>101</v>
      </c>
      <c r="C60" s="50">
        <v>5</v>
      </c>
      <c r="D60" s="50">
        <v>2</v>
      </c>
      <c r="E60" s="50">
        <v>1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50">
        <v>3</v>
      </c>
      <c r="N60" s="50">
        <v>0</v>
      </c>
      <c r="O60" s="15">
        <f t="shared" si="0"/>
        <v>8</v>
      </c>
      <c r="P60" s="15">
        <f t="shared" si="1"/>
        <v>11</v>
      </c>
      <c r="R60" s="8"/>
      <c r="T60"/>
    </row>
    <row r="61" spans="2:20" ht="23.1" customHeight="1" x14ac:dyDescent="0.25">
      <c r="B61" s="45" t="s">
        <v>102</v>
      </c>
      <c r="C61" s="50">
        <v>4</v>
      </c>
      <c r="D61" s="50">
        <v>3</v>
      </c>
      <c r="E61" s="50">
        <v>1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3</v>
      </c>
      <c r="M61" s="50">
        <v>5</v>
      </c>
      <c r="N61" s="50">
        <v>0</v>
      </c>
      <c r="O61" s="15">
        <f t="shared" si="0"/>
        <v>11</v>
      </c>
      <c r="P61" s="15">
        <f t="shared" si="1"/>
        <v>16</v>
      </c>
      <c r="R61" s="8"/>
      <c r="T61"/>
    </row>
    <row r="62" spans="2:20" ht="23.1" customHeight="1" x14ac:dyDescent="0.25">
      <c r="B62" s="45" t="s">
        <v>107</v>
      </c>
      <c r="C62" s="50">
        <v>3</v>
      </c>
      <c r="D62" s="50">
        <v>2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2</v>
      </c>
      <c r="M62" s="50">
        <v>3</v>
      </c>
      <c r="N62" s="50">
        <v>0</v>
      </c>
      <c r="O62" s="15">
        <f t="shared" si="0"/>
        <v>8</v>
      </c>
      <c r="P62" s="15">
        <f t="shared" si="1"/>
        <v>11</v>
      </c>
      <c r="R62" s="8"/>
      <c r="T62"/>
    </row>
    <row r="63" spans="2:20" ht="23.1" customHeight="1" x14ac:dyDescent="0.25">
      <c r="B63" s="45" t="s">
        <v>108</v>
      </c>
      <c r="C63" s="50">
        <v>2</v>
      </c>
      <c r="D63" s="50">
        <v>1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2</v>
      </c>
      <c r="L63" s="50">
        <v>1</v>
      </c>
      <c r="M63" s="50">
        <v>2</v>
      </c>
      <c r="N63" s="50">
        <v>0</v>
      </c>
      <c r="O63" s="15">
        <f t="shared" si="0"/>
        <v>6</v>
      </c>
      <c r="P63" s="15">
        <f t="shared" si="1"/>
        <v>8</v>
      </c>
      <c r="R63" s="8"/>
      <c r="T63"/>
    </row>
    <row r="64" spans="2:20" ht="23.1" customHeight="1" x14ac:dyDescent="0.25">
      <c r="B64" s="45" t="s">
        <v>109</v>
      </c>
      <c r="C64" s="50">
        <v>3</v>
      </c>
      <c r="D64" s="50">
        <v>2</v>
      </c>
      <c r="E64" s="50">
        <v>1</v>
      </c>
      <c r="F64" s="50">
        <v>0</v>
      </c>
      <c r="G64" s="50">
        <v>0</v>
      </c>
      <c r="H64" s="50">
        <v>0</v>
      </c>
      <c r="I64" s="50">
        <v>0</v>
      </c>
      <c r="J64" s="50">
        <v>2</v>
      </c>
      <c r="K64" s="50">
        <v>0</v>
      </c>
      <c r="L64" s="50">
        <v>0</v>
      </c>
      <c r="M64" s="50">
        <v>6</v>
      </c>
      <c r="N64" s="50">
        <v>0</v>
      </c>
      <c r="O64" s="15">
        <f t="shared" si="0"/>
        <v>8</v>
      </c>
      <c r="P64" s="15">
        <f t="shared" si="1"/>
        <v>14</v>
      </c>
      <c r="R64" s="8"/>
      <c r="T64"/>
    </row>
    <row r="65" spans="2:20" ht="23.1" customHeight="1" x14ac:dyDescent="0.25">
      <c r="B65" s="45" t="s">
        <v>158</v>
      </c>
      <c r="C65" s="50">
        <v>0</v>
      </c>
      <c r="D65" s="50">
        <v>0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1</v>
      </c>
      <c r="K65" s="50">
        <v>0</v>
      </c>
      <c r="L65" s="50">
        <v>0</v>
      </c>
      <c r="M65" s="50">
        <v>5</v>
      </c>
      <c r="N65" s="50">
        <v>0</v>
      </c>
      <c r="O65" s="15">
        <f t="shared" si="0"/>
        <v>1</v>
      </c>
      <c r="P65" s="15">
        <f t="shared" si="1"/>
        <v>6</v>
      </c>
      <c r="R65" s="8"/>
      <c r="T65"/>
    </row>
    <row r="66" spans="2:20" ht="23.1" customHeight="1" x14ac:dyDescent="0.25">
      <c r="B66" s="45" t="s">
        <v>103</v>
      </c>
      <c r="C66" s="50">
        <v>4</v>
      </c>
      <c r="D66" s="50">
        <v>3</v>
      </c>
      <c r="E66" s="50">
        <v>0</v>
      </c>
      <c r="F66" s="50">
        <v>0</v>
      </c>
      <c r="G66" s="50">
        <v>0</v>
      </c>
      <c r="H66" s="50">
        <v>0</v>
      </c>
      <c r="I66" s="50">
        <v>3</v>
      </c>
      <c r="J66" s="50">
        <v>2</v>
      </c>
      <c r="K66" s="50">
        <v>0</v>
      </c>
      <c r="L66" s="50">
        <v>1</v>
      </c>
      <c r="M66" s="50">
        <v>2</v>
      </c>
      <c r="N66" s="50">
        <v>0</v>
      </c>
      <c r="O66" s="15">
        <f t="shared" si="0"/>
        <v>13</v>
      </c>
      <c r="P66" s="15">
        <f t="shared" si="1"/>
        <v>15</v>
      </c>
      <c r="R66" s="8"/>
      <c r="T66"/>
    </row>
    <row r="67" spans="2:20" ht="23.1" customHeight="1" x14ac:dyDescent="0.25">
      <c r="B67" s="45" t="s">
        <v>104</v>
      </c>
      <c r="C67" s="50">
        <v>3</v>
      </c>
      <c r="D67" s="50">
        <v>4</v>
      </c>
      <c r="E67" s="50">
        <v>0</v>
      </c>
      <c r="F67" s="50">
        <v>0</v>
      </c>
      <c r="G67" s="50">
        <v>0</v>
      </c>
      <c r="H67" s="50">
        <v>0</v>
      </c>
      <c r="I67" s="50">
        <v>2</v>
      </c>
      <c r="J67" s="50">
        <v>0</v>
      </c>
      <c r="K67" s="50">
        <v>0</v>
      </c>
      <c r="L67" s="50">
        <v>0</v>
      </c>
      <c r="M67" s="50">
        <v>3</v>
      </c>
      <c r="N67" s="50">
        <v>0</v>
      </c>
      <c r="O67" s="15">
        <f t="shared" si="0"/>
        <v>9</v>
      </c>
      <c r="P67" s="15">
        <f t="shared" si="1"/>
        <v>12</v>
      </c>
      <c r="R67" s="8"/>
      <c r="T67"/>
    </row>
    <row r="68" spans="2:20" ht="23.1" customHeight="1" x14ac:dyDescent="0.25">
      <c r="B68" s="45" t="s">
        <v>105</v>
      </c>
      <c r="C68" s="50">
        <v>3</v>
      </c>
      <c r="D68" s="50">
        <v>1</v>
      </c>
      <c r="E68" s="50">
        <v>0</v>
      </c>
      <c r="F68" s="50">
        <v>0</v>
      </c>
      <c r="G68" s="50">
        <v>0</v>
      </c>
      <c r="H68" s="50">
        <v>1</v>
      </c>
      <c r="I68" s="50">
        <v>0</v>
      </c>
      <c r="J68" s="50">
        <v>0</v>
      </c>
      <c r="K68" s="50">
        <v>0</v>
      </c>
      <c r="L68" s="50">
        <v>2</v>
      </c>
      <c r="M68" s="50">
        <v>0</v>
      </c>
      <c r="N68" s="50">
        <v>0</v>
      </c>
      <c r="O68" s="15">
        <f t="shared" si="0"/>
        <v>7</v>
      </c>
      <c r="P68" s="15">
        <f t="shared" si="1"/>
        <v>7</v>
      </c>
      <c r="R68" s="8"/>
      <c r="T68"/>
    </row>
    <row r="69" spans="2:20" ht="23.1" customHeight="1" x14ac:dyDescent="0.25">
      <c r="B69" s="45" t="s">
        <v>106</v>
      </c>
      <c r="C69" s="50">
        <v>2</v>
      </c>
      <c r="D69" s="50">
        <v>0</v>
      </c>
      <c r="E69" s="50">
        <v>0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2</v>
      </c>
      <c r="N69" s="50">
        <v>0</v>
      </c>
      <c r="O69" s="15">
        <f t="shared" si="0"/>
        <v>3</v>
      </c>
      <c r="P69" s="15">
        <f t="shared" si="1"/>
        <v>5</v>
      </c>
      <c r="R69" s="8"/>
      <c r="T69"/>
    </row>
    <row r="70" spans="2:20" ht="23.1" customHeight="1" x14ac:dyDescent="0.25">
      <c r="B70" s="45" t="s">
        <v>110</v>
      </c>
      <c r="C70" s="50">
        <v>4</v>
      </c>
      <c r="D70" s="50">
        <v>2</v>
      </c>
      <c r="E70" s="50">
        <v>2</v>
      </c>
      <c r="F70" s="50">
        <v>0</v>
      </c>
      <c r="G70" s="50">
        <v>0</v>
      </c>
      <c r="H70" s="50">
        <v>0</v>
      </c>
      <c r="I70" s="50">
        <v>2</v>
      </c>
      <c r="J70" s="50">
        <v>1</v>
      </c>
      <c r="K70" s="50">
        <v>2</v>
      </c>
      <c r="L70" s="50">
        <v>1</v>
      </c>
      <c r="M70" s="50">
        <v>3</v>
      </c>
      <c r="N70" s="50">
        <v>0</v>
      </c>
      <c r="O70" s="15">
        <f t="shared" si="0"/>
        <v>14</v>
      </c>
      <c r="P70" s="15">
        <f t="shared" si="1"/>
        <v>17</v>
      </c>
      <c r="R70" s="8"/>
      <c r="T70"/>
    </row>
    <row r="71" spans="2:20" ht="23.1" customHeight="1" x14ac:dyDescent="0.25">
      <c r="B71" s="45" t="s">
        <v>111</v>
      </c>
      <c r="C71" s="50">
        <v>4</v>
      </c>
      <c r="D71" s="50">
        <v>1</v>
      </c>
      <c r="E71" s="50">
        <v>0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2</v>
      </c>
      <c r="L71" s="50">
        <v>0</v>
      </c>
      <c r="M71" s="50">
        <v>2</v>
      </c>
      <c r="N71" s="50">
        <v>0</v>
      </c>
      <c r="O71" s="15">
        <f t="shared" si="0"/>
        <v>8</v>
      </c>
      <c r="P71" s="15">
        <f t="shared" si="1"/>
        <v>10</v>
      </c>
      <c r="R71" s="8"/>
      <c r="T71"/>
    </row>
    <row r="72" spans="2:20" ht="23.1" customHeight="1" x14ac:dyDescent="0.25">
      <c r="B72" s="45" t="s">
        <v>112</v>
      </c>
      <c r="C72" s="50">
        <v>2</v>
      </c>
      <c r="D72" s="50">
        <v>1</v>
      </c>
      <c r="E72" s="50">
        <v>0</v>
      </c>
      <c r="F72" s="50">
        <v>0</v>
      </c>
      <c r="G72" s="50">
        <v>0</v>
      </c>
      <c r="H72" s="50">
        <v>0</v>
      </c>
      <c r="I72" s="50">
        <v>2</v>
      </c>
      <c r="J72" s="50">
        <v>0</v>
      </c>
      <c r="K72" s="50">
        <v>0</v>
      </c>
      <c r="L72" s="50">
        <v>3</v>
      </c>
      <c r="M72" s="50">
        <v>0</v>
      </c>
      <c r="N72" s="50">
        <v>0</v>
      </c>
      <c r="O72" s="15">
        <f t="shared" si="0"/>
        <v>8</v>
      </c>
      <c r="P72" s="15">
        <f t="shared" si="1"/>
        <v>8</v>
      </c>
      <c r="R72" s="8"/>
      <c r="T72"/>
    </row>
    <row r="73" spans="2:20" ht="23.1" customHeight="1" x14ac:dyDescent="0.25">
      <c r="B73" s="45" t="s">
        <v>113</v>
      </c>
      <c r="C73" s="50">
        <v>3</v>
      </c>
      <c r="D73" s="50">
        <v>3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3</v>
      </c>
      <c r="K73" s="50">
        <v>0</v>
      </c>
      <c r="L73" s="50">
        <v>1</v>
      </c>
      <c r="M73" s="50">
        <v>0</v>
      </c>
      <c r="N73" s="50">
        <v>0</v>
      </c>
      <c r="O73" s="15">
        <f t="shared" si="0"/>
        <v>10</v>
      </c>
      <c r="P73" s="15">
        <f t="shared" si="1"/>
        <v>10</v>
      </c>
      <c r="R73" s="8"/>
      <c r="T73"/>
    </row>
    <row r="74" spans="2:20" ht="23.1" customHeight="1" x14ac:dyDescent="0.25">
      <c r="B74" s="45" t="s">
        <v>114</v>
      </c>
      <c r="C74" s="50">
        <v>2</v>
      </c>
      <c r="D74" s="50">
        <v>3</v>
      </c>
      <c r="E74" s="50">
        <v>0</v>
      </c>
      <c r="F74" s="50">
        <v>2</v>
      </c>
      <c r="G74" s="50">
        <v>0</v>
      </c>
      <c r="H74" s="50">
        <v>0</v>
      </c>
      <c r="I74" s="50">
        <v>0</v>
      </c>
      <c r="J74" s="50">
        <v>3</v>
      </c>
      <c r="K74" s="50">
        <v>0</v>
      </c>
      <c r="L74" s="50">
        <v>2</v>
      </c>
      <c r="M74" s="50">
        <v>2</v>
      </c>
      <c r="N74" s="50">
        <v>0</v>
      </c>
      <c r="O74" s="15">
        <f t="shared" ref="O74:O105" si="35">SUM(C74:L74,N74)</f>
        <v>12</v>
      </c>
      <c r="P74" s="15">
        <f t="shared" ref="P74:P105" si="36">SUM(C74:N74)</f>
        <v>14</v>
      </c>
      <c r="R74" s="8"/>
      <c r="T74"/>
    </row>
    <row r="75" spans="2:20" ht="23.1" customHeight="1" x14ac:dyDescent="0.25">
      <c r="B75" s="45" t="s">
        <v>115</v>
      </c>
      <c r="C75" s="50">
        <v>3</v>
      </c>
      <c r="D75" s="50">
        <v>2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2</v>
      </c>
      <c r="M75" s="50">
        <v>1</v>
      </c>
      <c r="N75" s="50">
        <v>0</v>
      </c>
      <c r="O75" s="15">
        <f t="shared" si="35"/>
        <v>8</v>
      </c>
      <c r="P75" s="15">
        <f t="shared" si="36"/>
        <v>9</v>
      </c>
      <c r="R75" s="8"/>
      <c r="T75"/>
    </row>
    <row r="76" spans="2:20" ht="23.1" customHeight="1" x14ac:dyDescent="0.25">
      <c r="B76" s="45" t="s">
        <v>116</v>
      </c>
      <c r="C76" s="50">
        <v>1</v>
      </c>
      <c r="D76" s="50">
        <v>1</v>
      </c>
      <c r="E76" s="50">
        <v>3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2</v>
      </c>
      <c r="L76" s="50">
        <v>1</v>
      </c>
      <c r="M76" s="50">
        <v>0</v>
      </c>
      <c r="N76" s="50">
        <v>0</v>
      </c>
      <c r="O76" s="15">
        <f t="shared" si="35"/>
        <v>8</v>
      </c>
      <c r="P76" s="15">
        <f t="shared" si="36"/>
        <v>8</v>
      </c>
      <c r="R76" s="8"/>
      <c r="T76"/>
    </row>
    <row r="77" spans="2:20" ht="23.1" customHeight="1" x14ac:dyDescent="0.25">
      <c r="B77" s="45" t="s">
        <v>117</v>
      </c>
      <c r="C77" s="50">
        <v>2</v>
      </c>
      <c r="D77" s="50">
        <v>0</v>
      </c>
      <c r="E77" s="50">
        <v>1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3</v>
      </c>
      <c r="L77" s="50">
        <v>3</v>
      </c>
      <c r="M77" s="50">
        <v>0</v>
      </c>
      <c r="N77" s="50">
        <v>0</v>
      </c>
      <c r="O77" s="15">
        <f t="shared" si="35"/>
        <v>9</v>
      </c>
      <c r="P77" s="15">
        <f t="shared" si="36"/>
        <v>9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2</v>
      </c>
      <c r="E78" s="50">
        <v>0</v>
      </c>
      <c r="F78" s="50">
        <v>0</v>
      </c>
      <c r="G78" s="50">
        <v>0</v>
      </c>
      <c r="H78" s="50">
        <v>0</v>
      </c>
      <c r="I78" s="50">
        <v>2</v>
      </c>
      <c r="J78" s="50">
        <v>0</v>
      </c>
      <c r="K78" s="50">
        <v>0</v>
      </c>
      <c r="L78" s="50">
        <v>0</v>
      </c>
      <c r="M78" s="50">
        <v>0</v>
      </c>
      <c r="N78" s="50">
        <v>0</v>
      </c>
      <c r="O78" s="15">
        <f t="shared" si="35"/>
        <v>6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5</v>
      </c>
      <c r="E79" s="50">
        <v>2</v>
      </c>
      <c r="F79" s="50">
        <v>0</v>
      </c>
      <c r="G79" s="50">
        <v>1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0</v>
      </c>
      <c r="N79" s="50">
        <v>0</v>
      </c>
      <c r="O79" s="15">
        <f t="shared" si="35"/>
        <v>8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v>3</v>
      </c>
      <c r="D80" s="50">
        <v>3</v>
      </c>
      <c r="E80" s="50">
        <v>1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2</v>
      </c>
      <c r="L80" s="50">
        <v>3</v>
      </c>
      <c r="M80" s="50">
        <v>0</v>
      </c>
      <c r="N80" s="50">
        <v>0</v>
      </c>
      <c r="O80" s="15">
        <f t="shared" si="35"/>
        <v>12</v>
      </c>
      <c r="P80" s="15">
        <f t="shared" si="36"/>
        <v>12</v>
      </c>
      <c r="R80" s="8"/>
      <c r="T80"/>
    </row>
    <row r="81" spans="2:20" ht="23.1" customHeight="1" x14ac:dyDescent="0.25">
      <c r="B81" s="45" t="s">
        <v>121</v>
      </c>
      <c r="C81" s="50">
        <v>3</v>
      </c>
      <c r="D81" s="50">
        <v>1</v>
      </c>
      <c r="E81" s="50">
        <v>1</v>
      </c>
      <c r="F81" s="50">
        <v>0</v>
      </c>
      <c r="G81" s="50">
        <v>0</v>
      </c>
      <c r="H81" s="50">
        <v>0</v>
      </c>
      <c r="I81" s="50">
        <v>1</v>
      </c>
      <c r="J81" s="50">
        <v>0</v>
      </c>
      <c r="K81" s="50">
        <v>1</v>
      </c>
      <c r="L81" s="50">
        <v>1</v>
      </c>
      <c r="M81" s="50">
        <v>0</v>
      </c>
      <c r="N81" s="50">
        <v>0</v>
      </c>
      <c r="O81" s="15">
        <f t="shared" si="35"/>
        <v>8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3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2</v>
      </c>
      <c r="K82" s="50">
        <v>0</v>
      </c>
      <c r="L82" s="50">
        <v>1</v>
      </c>
      <c r="M82" s="50">
        <v>0</v>
      </c>
      <c r="N82" s="50">
        <v>0</v>
      </c>
      <c r="O82" s="15">
        <f t="shared" si="35"/>
        <v>7</v>
      </c>
      <c r="P82" s="15">
        <f t="shared" si="36"/>
        <v>7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2</v>
      </c>
      <c r="E83" s="50">
        <v>3</v>
      </c>
      <c r="F83" s="50">
        <v>0</v>
      </c>
      <c r="G83" s="50">
        <v>0</v>
      </c>
      <c r="H83" s="50">
        <v>0</v>
      </c>
      <c r="I83" s="50">
        <v>0</v>
      </c>
      <c r="J83" s="50">
        <v>2</v>
      </c>
      <c r="K83" s="50">
        <v>0</v>
      </c>
      <c r="L83" s="50">
        <v>0</v>
      </c>
      <c r="M83" s="50">
        <v>1</v>
      </c>
      <c r="N83" s="50">
        <v>0</v>
      </c>
      <c r="O83" s="15">
        <f t="shared" si="35"/>
        <v>7</v>
      </c>
      <c r="P83" s="15">
        <f t="shared" si="36"/>
        <v>8</v>
      </c>
      <c r="R83" s="8"/>
      <c r="T83"/>
    </row>
    <row r="84" spans="2:20" ht="23.1" customHeight="1" x14ac:dyDescent="0.25">
      <c r="B84" s="47" t="s">
        <v>124</v>
      </c>
      <c r="C84" s="50">
        <v>3</v>
      </c>
      <c r="D84" s="50">
        <v>0</v>
      </c>
      <c r="E84" s="50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2</v>
      </c>
      <c r="M84" s="50">
        <v>1</v>
      </c>
      <c r="N84" s="50">
        <v>0</v>
      </c>
      <c r="O84" s="15">
        <f t="shared" si="35"/>
        <v>5</v>
      </c>
      <c r="P84" s="15">
        <f t="shared" si="36"/>
        <v>6</v>
      </c>
      <c r="R84" s="8"/>
      <c r="T84"/>
    </row>
    <row r="85" spans="2:20" ht="23.1" customHeight="1" x14ac:dyDescent="0.25">
      <c r="B85" s="45" t="s">
        <v>125</v>
      </c>
      <c r="C85" s="50">
        <v>3</v>
      </c>
      <c r="D85" s="50">
        <v>1</v>
      </c>
      <c r="E85" s="50">
        <v>0</v>
      </c>
      <c r="F85" s="50">
        <v>0</v>
      </c>
      <c r="G85" s="50">
        <v>0</v>
      </c>
      <c r="H85" s="50">
        <v>0</v>
      </c>
      <c r="I85" s="50">
        <v>2</v>
      </c>
      <c r="J85" s="50">
        <v>0</v>
      </c>
      <c r="K85" s="50">
        <v>0</v>
      </c>
      <c r="L85" s="50">
        <v>0</v>
      </c>
      <c r="M85" s="50">
        <v>1</v>
      </c>
      <c r="N85" s="50">
        <v>0</v>
      </c>
      <c r="O85" s="15">
        <f t="shared" si="35"/>
        <v>6</v>
      </c>
      <c r="P85" s="15">
        <f t="shared" si="36"/>
        <v>7</v>
      </c>
      <c r="R85" s="8"/>
      <c r="T85"/>
    </row>
    <row r="86" spans="2:20" ht="23.1" customHeight="1" x14ac:dyDescent="0.25">
      <c r="B86" s="46" t="s">
        <v>126</v>
      </c>
      <c r="C86" s="50">
        <v>3</v>
      </c>
      <c r="D86" s="50">
        <v>2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1</v>
      </c>
      <c r="L86" s="50">
        <v>0</v>
      </c>
      <c r="M86" s="50">
        <v>0</v>
      </c>
      <c r="N86" s="50"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45" t="s">
        <v>127</v>
      </c>
      <c r="C87" s="50">
        <v>1</v>
      </c>
      <c r="D87" s="50">
        <v>0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1</v>
      </c>
      <c r="L87" s="50">
        <v>0</v>
      </c>
      <c r="M87" s="50">
        <v>0</v>
      </c>
      <c r="N87" s="50">
        <v>0</v>
      </c>
      <c r="O87" s="15">
        <f t="shared" si="35"/>
        <v>2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v>0</v>
      </c>
      <c r="D88" s="50">
        <v>0</v>
      </c>
      <c r="E88" s="50">
        <v>0</v>
      </c>
      <c r="F88" s="50">
        <v>0</v>
      </c>
      <c r="G88" s="50">
        <v>0</v>
      </c>
      <c r="H88" s="50">
        <v>0</v>
      </c>
      <c r="I88" s="50">
        <v>2</v>
      </c>
      <c r="J88" s="50">
        <v>1</v>
      </c>
      <c r="K88" s="50">
        <v>0</v>
      </c>
      <c r="L88" s="50">
        <v>3</v>
      </c>
      <c r="M88" s="50">
        <v>0</v>
      </c>
      <c r="N88" s="50">
        <v>0</v>
      </c>
      <c r="O88" s="15">
        <f t="shared" si="35"/>
        <v>6</v>
      </c>
      <c r="P88" s="15">
        <f t="shared" si="36"/>
        <v>6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3</v>
      </c>
      <c r="F89" s="50">
        <v>0</v>
      </c>
      <c r="G89" s="50">
        <v>0</v>
      </c>
      <c r="H89" s="50">
        <v>0</v>
      </c>
      <c r="I89" s="50">
        <v>2</v>
      </c>
      <c r="J89" s="50">
        <v>0</v>
      </c>
      <c r="K89" s="50">
        <v>2</v>
      </c>
      <c r="L89" s="50">
        <v>2</v>
      </c>
      <c r="M89" s="50">
        <v>0</v>
      </c>
      <c r="N89" s="50">
        <v>0</v>
      </c>
      <c r="O89" s="15">
        <f t="shared" si="35"/>
        <v>9</v>
      </c>
      <c r="P89" s="15">
        <f t="shared" si="36"/>
        <v>9</v>
      </c>
      <c r="R89" s="8"/>
      <c r="T89"/>
    </row>
    <row r="90" spans="2:20" ht="23.1" customHeight="1" x14ac:dyDescent="0.25">
      <c r="B90" s="46" t="s">
        <v>130</v>
      </c>
      <c r="C90" s="50">
        <v>2</v>
      </c>
      <c r="D90" s="50">
        <v>1</v>
      </c>
      <c r="E90" s="50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3</v>
      </c>
      <c r="L90" s="50">
        <v>3</v>
      </c>
      <c r="M90" s="50">
        <v>0</v>
      </c>
      <c r="N90" s="50">
        <v>0</v>
      </c>
      <c r="O90" s="15">
        <f t="shared" si="35"/>
        <v>9</v>
      </c>
      <c r="P90" s="15">
        <f t="shared" si="36"/>
        <v>9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3</v>
      </c>
      <c r="M91" s="50">
        <v>0</v>
      </c>
      <c r="N91" s="50">
        <v>0</v>
      </c>
      <c r="O91" s="15">
        <f t="shared" si="35"/>
        <v>3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3</v>
      </c>
      <c r="K92" s="50">
        <v>0</v>
      </c>
      <c r="L92" s="50">
        <v>1</v>
      </c>
      <c r="M92" s="50">
        <v>0</v>
      </c>
      <c r="N92" s="50">
        <v>0</v>
      </c>
      <c r="O92" s="15">
        <f t="shared" si="35"/>
        <v>6</v>
      </c>
      <c r="P92" s="15">
        <f t="shared" si="36"/>
        <v>6</v>
      </c>
      <c r="R92" s="8"/>
      <c r="T92"/>
    </row>
    <row r="93" spans="2:20" ht="23.1" customHeight="1" x14ac:dyDescent="0.25">
      <c r="B93" s="45" t="s">
        <v>133</v>
      </c>
      <c r="C93" s="50">
        <v>3</v>
      </c>
      <c r="D93" s="50">
        <v>2</v>
      </c>
      <c r="E93" s="50">
        <v>1</v>
      </c>
      <c r="F93" s="50">
        <v>0</v>
      </c>
      <c r="G93" s="50">
        <v>2</v>
      </c>
      <c r="H93" s="50">
        <v>1</v>
      </c>
      <c r="I93" s="50">
        <v>0</v>
      </c>
      <c r="J93" s="50">
        <v>0</v>
      </c>
      <c r="K93" s="50">
        <v>3</v>
      </c>
      <c r="L93" s="50">
        <v>4</v>
      </c>
      <c r="M93" s="50">
        <v>0</v>
      </c>
      <c r="N93" s="50">
        <v>0</v>
      </c>
      <c r="O93" s="15">
        <f t="shared" si="35"/>
        <v>16</v>
      </c>
      <c r="P93" s="15">
        <f t="shared" si="36"/>
        <v>16</v>
      </c>
      <c r="R93" s="8"/>
      <c r="T93"/>
    </row>
    <row r="94" spans="2:20" ht="23.1" customHeight="1" x14ac:dyDescent="0.25">
      <c r="B94" s="46" t="s">
        <v>134</v>
      </c>
      <c r="C94" s="50">
        <v>0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2</v>
      </c>
      <c r="K94" s="50">
        <v>0</v>
      </c>
      <c r="L94" s="50">
        <v>2</v>
      </c>
      <c r="M94" s="50">
        <v>0</v>
      </c>
      <c r="N94" s="50">
        <v>0</v>
      </c>
      <c r="O94" s="15">
        <f t="shared" si="35"/>
        <v>4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3</v>
      </c>
      <c r="L95" s="50">
        <v>0</v>
      </c>
      <c r="M95" s="50">
        <v>0</v>
      </c>
      <c r="N95" s="50">
        <v>0</v>
      </c>
      <c r="O95" s="15">
        <f t="shared" si="35"/>
        <v>3</v>
      </c>
      <c r="P95" s="15">
        <f t="shared" si="36"/>
        <v>3</v>
      </c>
      <c r="R95" s="8"/>
      <c r="T95"/>
    </row>
    <row r="96" spans="2:20" ht="23.1" customHeight="1" x14ac:dyDescent="0.25">
      <c r="B96" s="47" t="s">
        <v>136</v>
      </c>
      <c r="C96" s="50">
        <v>3</v>
      </c>
      <c r="D96" s="50">
        <v>0</v>
      </c>
      <c r="E96" s="50">
        <v>2</v>
      </c>
      <c r="F96" s="50">
        <v>0</v>
      </c>
      <c r="G96" s="50">
        <v>0</v>
      </c>
      <c r="H96" s="50">
        <v>0</v>
      </c>
      <c r="I96" s="50">
        <v>3</v>
      </c>
      <c r="J96" s="50">
        <v>0</v>
      </c>
      <c r="K96" s="50">
        <v>1</v>
      </c>
      <c r="L96" s="50">
        <v>0</v>
      </c>
      <c r="M96" s="50">
        <v>0</v>
      </c>
      <c r="N96" s="50">
        <v>0</v>
      </c>
      <c r="O96" s="15">
        <f t="shared" si="35"/>
        <v>9</v>
      </c>
      <c r="P96" s="15">
        <f t="shared" si="36"/>
        <v>9</v>
      </c>
      <c r="R96" s="8"/>
      <c r="T96"/>
    </row>
    <row r="97" spans="2:20" ht="23.1" customHeight="1" x14ac:dyDescent="0.25">
      <c r="B97" s="45" t="s">
        <v>137</v>
      </c>
      <c r="C97" s="50">
        <v>0</v>
      </c>
      <c r="D97" s="50">
        <v>2</v>
      </c>
      <c r="E97" s="50">
        <v>1</v>
      </c>
      <c r="F97" s="50">
        <v>2</v>
      </c>
      <c r="G97" s="50">
        <v>0</v>
      </c>
      <c r="H97" s="50">
        <v>1</v>
      </c>
      <c r="I97" s="50">
        <v>0</v>
      </c>
      <c r="J97" s="50">
        <v>1</v>
      </c>
      <c r="K97" s="50">
        <v>0</v>
      </c>
      <c r="L97" s="50">
        <v>2</v>
      </c>
      <c r="M97" s="50">
        <v>0</v>
      </c>
      <c r="N97" s="50">
        <v>0</v>
      </c>
      <c r="O97" s="15">
        <f t="shared" si="35"/>
        <v>9</v>
      </c>
      <c r="P97" s="15">
        <f t="shared" si="36"/>
        <v>9</v>
      </c>
      <c r="R97" s="8"/>
      <c r="T97"/>
    </row>
    <row r="98" spans="2:20" ht="23.1" customHeight="1" x14ac:dyDescent="0.25">
      <c r="B98" s="46" t="s">
        <v>138</v>
      </c>
      <c r="C98" s="50">
        <v>0</v>
      </c>
      <c r="D98" s="50">
        <v>2</v>
      </c>
      <c r="E98" s="50">
        <v>0</v>
      </c>
      <c r="F98" s="50">
        <v>2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4</v>
      </c>
      <c r="M98" s="50">
        <v>4</v>
      </c>
      <c r="N98" s="50">
        <v>0</v>
      </c>
      <c r="O98" s="15">
        <f t="shared" si="35"/>
        <v>8</v>
      </c>
      <c r="P98" s="15">
        <f t="shared" si="36"/>
        <v>12</v>
      </c>
      <c r="R98" s="8"/>
      <c r="T98"/>
    </row>
    <row r="99" spans="2:20" ht="23.1" customHeight="1" x14ac:dyDescent="0.25">
      <c r="B99" s="45" t="s">
        <v>139</v>
      </c>
      <c r="C99" s="50">
        <v>0</v>
      </c>
      <c r="D99" s="50">
        <v>1</v>
      </c>
      <c r="E99" s="50">
        <v>0</v>
      </c>
      <c r="F99" s="50">
        <v>0</v>
      </c>
      <c r="G99" s="50">
        <v>0</v>
      </c>
      <c r="H99" s="50">
        <v>2</v>
      </c>
      <c r="I99" s="50">
        <v>2</v>
      </c>
      <c r="J99" s="50">
        <v>1</v>
      </c>
      <c r="K99" s="50">
        <v>0</v>
      </c>
      <c r="L99" s="50">
        <v>2</v>
      </c>
      <c r="M99" s="50">
        <v>3</v>
      </c>
      <c r="N99" s="50">
        <v>0</v>
      </c>
      <c r="O99" s="15">
        <f t="shared" si="35"/>
        <v>8</v>
      </c>
      <c r="P99" s="15">
        <f t="shared" si="36"/>
        <v>11</v>
      </c>
      <c r="R99" s="8"/>
      <c r="T99"/>
    </row>
    <row r="100" spans="2:20" ht="23.1" customHeight="1" x14ac:dyDescent="0.25">
      <c r="B100" s="47" t="s">
        <v>140</v>
      </c>
      <c r="C100" s="50">
        <v>2</v>
      </c>
      <c r="D100" s="50">
        <v>2</v>
      </c>
      <c r="E100" s="50">
        <v>3</v>
      </c>
      <c r="F100" s="50">
        <v>0</v>
      </c>
      <c r="G100" s="50">
        <v>0</v>
      </c>
      <c r="H100" s="50">
        <v>1</v>
      </c>
      <c r="I100" s="50">
        <v>0</v>
      </c>
      <c r="J100" s="50">
        <v>0</v>
      </c>
      <c r="K100" s="50">
        <v>2</v>
      </c>
      <c r="L100" s="50">
        <v>1</v>
      </c>
      <c r="M100" s="50">
        <v>3</v>
      </c>
      <c r="N100" s="50">
        <v>0</v>
      </c>
      <c r="O100" s="15">
        <f t="shared" si="35"/>
        <v>11</v>
      </c>
      <c r="P100" s="15">
        <f t="shared" si="36"/>
        <v>14</v>
      </c>
      <c r="R100" s="8"/>
      <c r="T100"/>
    </row>
    <row r="101" spans="2:20" ht="23.1" customHeight="1" x14ac:dyDescent="0.25">
      <c r="B101" s="45" t="s">
        <v>141</v>
      </c>
      <c r="C101" s="50">
        <v>3</v>
      </c>
      <c r="D101" s="50">
        <v>4</v>
      </c>
      <c r="E101" s="50">
        <v>1</v>
      </c>
      <c r="F101" s="50">
        <v>1</v>
      </c>
      <c r="G101" s="50">
        <v>0</v>
      </c>
      <c r="H101" s="50">
        <v>0</v>
      </c>
      <c r="I101" s="50">
        <v>0</v>
      </c>
      <c r="J101" s="50">
        <v>0</v>
      </c>
      <c r="K101" s="50">
        <v>3</v>
      </c>
      <c r="L101" s="50">
        <v>2</v>
      </c>
      <c r="M101" s="50">
        <v>3</v>
      </c>
      <c r="N101" s="50">
        <v>0</v>
      </c>
      <c r="O101" s="15">
        <f t="shared" si="35"/>
        <v>14</v>
      </c>
      <c r="P101" s="15">
        <f t="shared" si="36"/>
        <v>17</v>
      </c>
      <c r="R101" s="8"/>
      <c r="T101"/>
    </row>
    <row r="102" spans="2:20" ht="23.1" customHeight="1" x14ac:dyDescent="0.25">
      <c r="B102" s="46" t="s">
        <v>142</v>
      </c>
      <c r="C102" s="50">
        <v>0</v>
      </c>
      <c r="D102" s="50">
        <v>0</v>
      </c>
      <c r="E102" s="50">
        <v>0</v>
      </c>
      <c r="F102" s="50">
        <v>2</v>
      </c>
      <c r="G102" s="50">
        <v>0</v>
      </c>
      <c r="H102" s="50">
        <v>2</v>
      </c>
      <c r="I102" s="50">
        <v>0</v>
      </c>
      <c r="J102" s="50">
        <v>2</v>
      </c>
      <c r="K102" s="50">
        <v>0</v>
      </c>
      <c r="L102" s="50">
        <v>2</v>
      </c>
      <c r="M102" s="50">
        <v>0</v>
      </c>
      <c r="N102" s="50">
        <v>1</v>
      </c>
      <c r="O102" s="15">
        <f t="shared" si="35"/>
        <v>9</v>
      </c>
      <c r="P102" s="15">
        <f t="shared" si="36"/>
        <v>9</v>
      </c>
      <c r="R102" s="8"/>
      <c r="T102"/>
    </row>
    <row r="103" spans="2:20" ht="23.1" customHeight="1" x14ac:dyDescent="0.25">
      <c r="B103" s="45" t="s">
        <v>143</v>
      </c>
      <c r="C103" s="50">
        <v>0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50">
        <v>2</v>
      </c>
      <c r="N103" s="50">
        <v>0</v>
      </c>
      <c r="O103" s="15">
        <f t="shared" si="35"/>
        <v>0</v>
      </c>
      <c r="P103" s="15">
        <f t="shared" si="36"/>
        <v>2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1</v>
      </c>
      <c r="L104" s="50">
        <v>1</v>
      </c>
      <c r="M104" s="50">
        <v>0</v>
      </c>
      <c r="N104" s="50">
        <v>1</v>
      </c>
      <c r="O104" s="15">
        <f t="shared" si="35"/>
        <v>4</v>
      </c>
      <c r="P104" s="15">
        <f t="shared" si="36"/>
        <v>4</v>
      </c>
      <c r="R104" s="8"/>
      <c r="T104"/>
    </row>
    <row r="105" spans="2:20" ht="23.1" customHeight="1" x14ac:dyDescent="0.25">
      <c r="B105" s="45" t="s">
        <v>145</v>
      </c>
      <c r="C105" s="50">
        <v>0</v>
      </c>
      <c r="D105" s="50">
        <v>0</v>
      </c>
      <c r="E105" s="50">
        <v>0</v>
      </c>
      <c r="F105" s="50">
        <v>0</v>
      </c>
      <c r="G105" s="50">
        <v>0</v>
      </c>
      <c r="H105" s="50">
        <v>1</v>
      </c>
      <c r="I105" s="50">
        <v>1</v>
      </c>
      <c r="J105" s="50">
        <v>2</v>
      </c>
      <c r="K105" s="50">
        <v>1</v>
      </c>
      <c r="L105" s="50">
        <v>2</v>
      </c>
      <c r="M105" s="50">
        <v>1</v>
      </c>
      <c r="N105" s="50">
        <v>0</v>
      </c>
      <c r="O105" s="15">
        <f t="shared" si="35"/>
        <v>7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270</v>
      </c>
      <c r="D106" s="16">
        <f t="shared" ref="D106:P106" si="37">SUM(D10:D105)</f>
        <v>111</v>
      </c>
      <c r="E106" s="16">
        <f t="shared" si="37"/>
        <v>63</v>
      </c>
      <c r="F106" s="16">
        <f t="shared" si="37"/>
        <v>13</v>
      </c>
      <c r="G106" s="16">
        <f t="shared" si="37"/>
        <v>3</v>
      </c>
      <c r="H106" s="16">
        <f t="shared" si="37"/>
        <v>12</v>
      </c>
      <c r="I106" s="16">
        <f t="shared" si="37"/>
        <v>59</v>
      </c>
      <c r="J106" s="16">
        <f t="shared" si="37"/>
        <v>57</v>
      </c>
      <c r="K106" s="16">
        <f t="shared" si="37"/>
        <v>57</v>
      </c>
      <c r="L106" s="16">
        <f t="shared" si="37"/>
        <v>68</v>
      </c>
      <c r="M106" s="16">
        <f t="shared" si="37"/>
        <v>356</v>
      </c>
      <c r="N106" s="16">
        <f t="shared" si="37"/>
        <v>3</v>
      </c>
      <c r="O106" s="16">
        <f t="shared" si="37"/>
        <v>716</v>
      </c>
      <c r="P106" s="16">
        <f t="shared" si="37"/>
        <v>1072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0.25186567164179102</v>
      </c>
      <c r="D107" s="43">
        <f t="shared" si="38"/>
        <v>0.10354477611940298</v>
      </c>
      <c r="E107" s="43">
        <f t="shared" si="38"/>
        <v>5.8768656716417914E-2</v>
      </c>
      <c r="F107" s="43">
        <f t="shared" si="38"/>
        <v>1.2126865671641791E-2</v>
      </c>
      <c r="G107" s="43">
        <f t="shared" si="38"/>
        <v>2.798507462686567E-3</v>
      </c>
      <c r="H107" s="43">
        <f t="shared" si="38"/>
        <v>1.1194029850746268E-2</v>
      </c>
      <c r="I107" s="43">
        <f t="shared" si="38"/>
        <v>5.503731343283582E-2</v>
      </c>
      <c r="J107" s="43">
        <f t="shared" si="38"/>
        <v>5.3171641791044777E-2</v>
      </c>
      <c r="K107" s="43">
        <f t="shared" si="38"/>
        <v>5.3171641791044777E-2</v>
      </c>
      <c r="L107" s="43">
        <f t="shared" si="38"/>
        <v>6.3432835820895525E-2</v>
      </c>
      <c r="M107" s="43">
        <f t="shared" si="38"/>
        <v>0.33208955223880599</v>
      </c>
      <c r="N107" s="43">
        <f t="shared" si="38"/>
        <v>2.798507462686567E-3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0.37709497206703912</v>
      </c>
      <c r="D108" s="44">
        <f t="shared" ref="D108:N108" si="39">D106/$O$106</f>
        <v>0.15502793296089384</v>
      </c>
      <c r="E108" s="44">
        <f t="shared" si="39"/>
        <v>8.7988826815642462E-2</v>
      </c>
      <c r="F108" s="44">
        <f t="shared" si="39"/>
        <v>1.8156424581005588E-2</v>
      </c>
      <c r="G108" s="44">
        <f t="shared" si="39"/>
        <v>4.1899441340782122E-3</v>
      </c>
      <c r="H108" s="44">
        <f t="shared" si="39"/>
        <v>1.6759776536312849E-2</v>
      </c>
      <c r="I108" s="44">
        <f t="shared" si="39"/>
        <v>8.2402234636871505E-2</v>
      </c>
      <c r="J108" s="44">
        <f t="shared" si="39"/>
        <v>7.9608938547486033E-2</v>
      </c>
      <c r="K108" s="44">
        <f t="shared" si="39"/>
        <v>7.9608938547486033E-2</v>
      </c>
      <c r="L108" s="44">
        <f t="shared" si="39"/>
        <v>9.4972067039106142E-2</v>
      </c>
      <c r="M108" s="44"/>
      <c r="N108" s="44">
        <f t="shared" si="39"/>
        <v>4.1899441340782122E-3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topLeftCell="A43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Lyantonde-Rushere'!C3:G3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'28.10 Lyantonde-Rushere-24h'!D5</f>
        <v>28.10.19</v>
      </c>
      <c r="E5" s="3"/>
      <c r="F5" s="41" t="s">
        <v>1</v>
      </c>
      <c r="G5" s="63" t="str">
        <f>'28.10 Lyantonde-Rushere-24h'!G5:H5</f>
        <v>Kaguta road JTC</v>
      </c>
      <c r="H5" s="64"/>
      <c r="I5" s="14"/>
      <c r="J5" s="2" t="s">
        <v>5</v>
      </c>
      <c r="K5" s="63" t="s">
        <v>174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Rushere-Lyantonde'!D6:E6</f>
        <v>Rushere</v>
      </c>
      <c r="E6" s="64"/>
      <c r="F6" s="2" t="s">
        <v>2</v>
      </c>
      <c r="G6" s="63" t="str">
        <f>'25.10 Rushere-Lyantonde'!G6:H6</f>
        <v>Lyantonde</v>
      </c>
      <c r="H6" s="64"/>
      <c r="J6" s="2" t="s">
        <v>21</v>
      </c>
      <c r="K6" s="63" t="str">
        <f>'28.10 Lyantonde-Rushere-24h'!K6:L6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2</v>
      </c>
      <c r="D10" s="50">
        <v>2</v>
      </c>
      <c r="E10" s="50">
        <v>1</v>
      </c>
      <c r="F10" s="50">
        <v>2</v>
      </c>
      <c r="G10" s="50">
        <v>0</v>
      </c>
      <c r="H10" s="50">
        <v>0</v>
      </c>
      <c r="I10" s="50">
        <v>1</v>
      </c>
      <c r="J10" s="50">
        <v>3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73" si="0">SUM(C10:L10,N10)</f>
        <v>11</v>
      </c>
      <c r="P10" s="15">
        <f t="shared" ref="P10:P73" si="1">SUM(C10:N10)</f>
        <v>18</v>
      </c>
      <c r="R10" s="1" t="s">
        <v>6</v>
      </c>
      <c r="S10" s="17">
        <f t="shared" ref="S10:AF10" si="2">SUM(C10:C13)</f>
        <v>11</v>
      </c>
      <c r="T10" s="17">
        <f t="shared" si="2"/>
        <v>6</v>
      </c>
      <c r="U10" s="17">
        <f t="shared" si="2"/>
        <v>1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4</v>
      </c>
      <c r="AA10" s="17">
        <f t="shared" si="2"/>
        <v>3</v>
      </c>
      <c r="AB10" s="17">
        <f t="shared" si="2"/>
        <v>0</v>
      </c>
      <c r="AC10" s="17">
        <f t="shared" si="2"/>
        <v>25</v>
      </c>
      <c r="AD10" s="17">
        <f t="shared" si="2"/>
        <v>0</v>
      </c>
      <c r="AE10" s="31">
        <f t="shared" si="2"/>
        <v>33</v>
      </c>
      <c r="AF10" s="31">
        <f t="shared" si="2"/>
        <v>58</v>
      </c>
    </row>
    <row r="11" spans="2:32" s="6" customFormat="1" ht="23.1" customHeight="1" x14ac:dyDescent="0.25">
      <c r="B11" s="45" t="s">
        <v>38</v>
      </c>
      <c r="C11" s="50">
        <v>2</v>
      </c>
      <c r="D11" s="50">
        <v>1</v>
      </c>
      <c r="E11" s="50">
        <v>0</v>
      </c>
      <c r="F11" s="50">
        <v>1</v>
      </c>
      <c r="G11" s="50">
        <v>0</v>
      </c>
      <c r="H11" s="50">
        <v>0</v>
      </c>
      <c r="I11" s="50">
        <v>2</v>
      </c>
      <c r="J11" s="50">
        <v>0</v>
      </c>
      <c r="K11" s="50">
        <v>2</v>
      </c>
      <c r="L11" s="50">
        <v>0</v>
      </c>
      <c r="M11" s="50">
        <v>5</v>
      </c>
      <c r="N11" s="50">
        <v>0</v>
      </c>
      <c r="O11" s="15">
        <f t="shared" si="0"/>
        <v>8</v>
      </c>
      <c r="P11" s="15">
        <f t="shared" si="1"/>
        <v>13</v>
      </c>
      <c r="R11" s="1" t="s">
        <v>7</v>
      </c>
      <c r="S11" s="17">
        <f t="shared" ref="S11:AF11" si="3">SUM(C14:C17)</f>
        <v>10</v>
      </c>
      <c r="T11" s="17">
        <f t="shared" si="3"/>
        <v>1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1</v>
      </c>
      <c r="AB11" s="17">
        <f t="shared" si="3"/>
        <v>0</v>
      </c>
      <c r="AC11" s="17">
        <f t="shared" si="3"/>
        <v>23</v>
      </c>
      <c r="AD11" s="17">
        <f t="shared" si="3"/>
        <v>0</v>
      </c>
      <c r="AE11" s="31">
        <f t="shared" si="3"/>
        <v>13</v>
      </c>
      <c r="AF11" s="31">
        <f t="shared" si="3"/>
        <v>36</v>
      </c>
    </row>
    <row r="12" spans="2:32" ht="23.1" customHeight="1" x14ac:dyDescent="0.25">
      <c r="B12" s="45" t="s">
        <v>39</v>
      </c>
      <c r="C12" s="50">
        <v>4</v>
      </c>
      <c r="D12" s="50">
        <v>2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0</v>
      </c>
      <c r="M12" s="50">
        <v>5</v>
      </c>
      <c r="N12" s="50">
        <v>0</v>
      </c>
      <c r="O12" s="15">
        <f t="shared" si="0"/>
        <v>9</v>
      </c>
      <c r="P12" s="15">
        <f t="shared" si="1"/>
        <v>14</v>
      </c>
      <c r="R12" s="1" t="s">
        <v>8</v>
      </c>
      <c r="S12" s="17">
        <f t="shared" ref="S12:AF12" si="4">SUM(C18:C21)</f>
        <v>13</v>
      </c>
      <c r="T12" s="17">
        <f t="shared" si="4"/>
        <v>3</v>
      </c>
      <c r="U12" s="17">
        <f t="shared" si="4"/>
        <v>1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26</v>
      </c>
      <c r="AD12" s="17">
        <f t="shared" si="4"/>
        <v>0</v>
      </c>
      <c r="AE12" s="31">
        <f t="shared" si="4"/>
        <v>22</v>
      </c>
      <c r="AF12" s="31">
        <f t="shared" si="4"/>
        <v>48</v>
      </c>
    </row>
    <row r="13" spans="2:32" ht="23.1" customHeight="1" x14ac:dyDescent="0.25">
      <c r="B13" s="45" t="s">
        <v>40</v>
      </c>
      <c r="C13" s="50">
        <v>3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5</v>
      </c>
      <c r="P13" s="15">
        <f t="shared" si="1"/>
        <v>13</v>
      </c>
      <c r="R13" s="1" t="s">
        <v>9</v>
      </c>
      <c r="S13" s="17">
        <f t="shared" ref="S13:AF13" si="5">SUM(C22:C25)</f>
        <v>30</v>
      </c>
      <c r="T13" s="17">
        <f t="shared" si="5"/>
        <v>9</v>
      </c>
      <c r="U13" s="17">
        <f t="shared" si="5"/>
        <v>3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27</v>
      </c>
      <c r="AD13" s="17">
        <f t="shared" si="5"/>
        <v>0</v>
      </c>
      <c r="AE13" s="31">
        <f t="shared" si="5"/>
        <v>51</v>
      </c>
      <c r="AF13" s="31">
        <f t="shared" si="5"/>
        <v>78</v>
      </c>
    </row>
    <row r="14" spans="2:32" ht="23.1" customHeight="1" x14ac:dyDescent="0.25">
      <c r="B14" s="45" t="s">
        <v>41</v>
      </c>
      <c r="C14" s="50">
        <v>4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1</v>
      </c>
      <c r="L14" s="50">
        <v>0</v>
      </c>
      <c r="M14" s="50">
        <v>5</v>
      </c>
      <c r="N14" s="50">
        <v>0</v>
      </c>
      <c r="O14" s="15">
        <f t="shared" si="0"/>
        <v>5</v>
      </c>
      <c r="P14" s="15">
        <f t="shared" si="1"/>
        <v>10</v>
      </c>
      <c r="R14" s="1" t="s">
        <v>10</v>
      </c>
      <c r="S14" s="17">
        <f t="shared" ref="S14:AF14" si="6">SUM(C26:C29)</f>
        <v>10</v>
      </c>
      <c r="T14" s="17">
        <f t="shared" si="6"/>
        <v>11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16</v>
      </c>
      <c r="AD14" s="17">
        <f t="shared" si="6"/>
        <v>1</v>
      </c>
      <c r="AE14" s="31">
        <f t="shared" si="6"/>
        <v>29</v>
      </c>
      <c r="AF14" s="31">
        <f t="shared" si="6"/>
        <v>45</v>
      </c>
    </row>
    <row r="15" spans="2:32" ht="23.1" customHeight="1" x14ac:dyDescent="0.25">
      <c r="B15" s="45" t="s">
        <v>42</v>
      </c>
      <c r="C15" s="50">
        <v>4</v>
      </c>
      <c r="D15" s="50">
        <v>1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7</v>
      </c>
      <c r="N15" s="50">
        <v>0</v>
      </c>
      <c r="O15" s="15">
        <f t="shared" si="0"/>
        <v>5</v>
      </c>
      <c r="P15" s="15">
        <f t="shared" si="1"/>
        <v>12</v>
      </c>
      <c r="R15" s="1" t="s">
        <v>11</v>
      </c>
      <c r="S15" s="17">
        <f t="shared" ref="S15:AF15" si="7">SUM(C30:C33)</f>
        <v>24</v>
      </c>
      <c r="T15" s="17">
        <f t="shared" si="7"/>
        <v>19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34</v>
      </c>
      <c r="AD15" s="17">
        <f t="shared" si="7"/>
        <v>0</v>
      </c>
      <c r="AE15" s="31">
        <f t="shared" si="7"/>
        <v>47</v>
      </c>
      <c r="AF15" s="31">
        <f t="shared" si="7"/>
        <v>81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0</v>
      </c>
      <c r="L16" s="50">
        <v>0</v>
      </c>
      <c r="M16" s="50">
        <v>7</v>
      </c>
      <c r="N16" s="50">
        <v>0</v>
      </c>
      <c r="O16" s="15">
        <f t="shared" si="0"/>
        <v>1</v>
      </c>
      <c r="P16" s="15">
        <f t="shared" si="1"/>
        <v>8</v>
      </c>
      <c r="R16" s="1" t="s">
        <v>12</v>
      </c>
      <c r="S16" s="17">
        <f t="shared" ref="S16:AF16" si="8">SUM(C34:C37)</f>
        <v>31</v>
      </c>
      <c r="T16" s="17">
        <f t="shared" si="8"/>
        <v>10</v>
      </c>
      <c r="U16" s="17">
        <f t="shared" si="8"/>
        <v>5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0</v>
      </c>
      <c r="AA16" s="17">
        <f t="shared" si="8"/>
        <v>0</v>
      </c>
      <c r="AB16" s="17">
        <f t="shared" si="8"/>
        <v>3</v>
      </c>
      <c r="AC16" s="17">
        <f t="shared" si="8"/>
        <v>27</v>
      </c>
      <c r="AD16" s="17">
        <f t="shared" si="8"/>
        <v>0</v>
      </c>
      <c r="AE16" s="31">
        <f t="shared" si="8"/>
        <v>62</v>
      </c>
      <c r="AF16" s="31">
        <f t="shared" si="8"/>
        <v>89</v>
      </c>
    </row>
    <row r="17" spans="2:32" ht="23.1" customHeight="1" x14ac:dyDescent="0.25">
      <c r="B17" s="45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2</v>
      </c>
      <c r="P17" s="15">
        <f t="shared" si="1"/>
        <v>6</v>
      </c>
      <c r="R17" s="1" t="s">
        <v>13</v>
      </c>
      <c r="S17" s="17">
        <f t="shared" ref="S17:AF17" si="9">SUM(C38:C41)</f>
        <v>32</v>
      </c>
      <c r="T17" s="17">
        <f t="shared" si="9"/>
        <v>13</v>
      </c>
      <c r="U17" s="17">
        <f t="shared" si="9"/>
        <v>4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0</v>
      </c>
      <c r="AB17" s="17">
        <f t="shared" si="9"/>
        <v>1</v>
      </c>
      <c r="AC17" s="17">
        <f t="shared" si="9"/>
        <v>32</v>
      </c>
      <c r="AD17" s="17">
        <f t="shared" si="9"/>
        <v>0</v>
      </c>
      <c r="AE17" s="31">
        <f t="shared" si="9"/>
        <v>57</v>
      </c>
      <c r="AF17" s="31">
        <f t="shared" si="9"/>
        <v>89</v>
      </c>
    </row>
    <row r="18" spans="2:32" ht="23.1" customHeight="1" x14ac:dyDescent="0.25">
      <c r="B18" s="45" t="s">
        <v>45</v>
      </c>
      <c r="C18" s="50">
        <v>2</v>
      </c>
      <c r="D18" s="50">
        <v>1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1</v>
      </c>
      <c r="K18" s="50">
        <v>0</v>
      </c>
      <c r="L18" s="50">
        <v>0</v>
      </c>
      <c r="M18" s="50">
        <v>7</v>
      </c>
      <c r="N18" s="50">
        <v>0</v>
      </c>
      <c r="O18" s="15">
        <f t="shared" si="0"/>
        <v>4</v>
      </c>
      <c r="P18" s="15">
        <f t="shared" si="1"/>
        <v>11</v>
      </c>
      <c r="R18" s="1" t="s">
        <v>14</v>
      </c>
      <c r="S18" s="17">
        <f t="shared" ref="S18:AF18" si="10">SUM(C42:C45)</f>
        <v>31</v>
      </c>
      <c r="T18" s="17">
        <f t="shared" si="10"/>
        <v>12</v>
      </c>
      <c r="U18" s="17">
        <f t="shared" si="10"/>
        <v>12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16</v>
      </c>
      <c r="Z18" s="17">
        <f t="shared" si="10"/>
        <v>0</v>
      </c>
      <c r="AA18" s="17">
        <f t="shared" si="10"/>
        <v>0</v>
      </c>
      <c r="AB18" s="17">
        <f t="shared" si="10"/>
        <v>4</v>
      </c>
      <c r="AC18" s="17">
        <f t="shared" si="10"/>
        <v>43</v>
      </c>
      <c r="AD18" s="17">
        <f t="shared" si="10"/>
        <v>0</v>
      </c>
      <c r="AE18" s="31">
        <f t="shared" si="10"/>
        <v>75</v>
      </c>
      <c r="AF18" s="31">
        <f t="shared" si="10"/>
        <v>118</v>
      </c>
    </row>
    <row r="19" spans="2:32" ht="23.1" customHeight="1" x14ac:dyDescent="0.25">
      <c r="B19" s="45" t="s">
        <v>46</v>
      </c>
      <c r="C19" s="50">
        <v>3</v>
      </c>
      <c r="D19" s="50">
        <v>1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6</v>
      </c>
      <c r="N19" s="50">
        <v>0</v>
      </c>
      <c r="O19" s="15">
        <f t="shared" si="0"/>
        <v>5</v>
      </c>
      <c r="P19" s="15">
        <f t="shared" si="1"/>
        <v>11</v>
      </c>
      <c r="R19" s="1" t="s">
        <v>15</v>
      </c>
      <c r="S19" s="17">
        <f t="shared" ref="S19:AF19" si="11">SUM(C46:C49)</f>
        <v>27</v>
      </c>
      <c r="T19" s="17">
        <f t="shared" si="11"/>
        <v>23</v>
      </c>
      <c r="U19" s="17">
        <f t="shared" si="11"/>
        <v>9</v>
      </c>
      <c r="V19" s="17">
        <f t="shared" si="11"/>
        <v>0</v>
      </c>
      <c r="W19" s="17">
        <f t="shared" si="11"/>
        <v>1</v>
      </c>
      <c r="X19" s="17">
        <f t="shared" si="11"/>
        <v>0</v>
      </c>
      <c r="Y19" s="17">
        <f t="shared" si="11"/>
        <v>18</v>
      </c>
      <c r="Z19" s="17">
        <f t="shared" si="11"/>
        <v>0</v>
      </c>
      <c r="AA19" s="17">
        <f t="shared" si="11"/>
        <v>0</v>
      </c>
      <c r="AB19" s="17">
        <f t="shared" si="11"/>
        <v>2</v>
      </c>
      <c r="AC19" s="17">
        <f t="shared" si="11"/>
        <v>36</v>
      </c>
      <c r="AD19" s="17">
        <f t="shared" si="11"/>
        <v>0</v>
      </c>
      <c r="AE19" s="31">
        <f t="shared" si="11"/>
        <v>80</v>
      </c>
      <c r="AF19" s="31">
        <f t="shared" si="11"/>
        <v>116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2</v>
      </c>
      <c r="P20" s="15">
        <f t="shared" si="1"/>
        <v>9</v>
      </c>
      <c r="R20" s="1" t="s">
        <v>16</v>
      </c>
      <c r="S20" s="17">
        <f t="shared" ref="S20:AF20" si="12">SUM(C50:C53)</f>
        <v>39</v>
      </c>
      <c r="T20" s="17">
        <f t="shared" si="12"/>
        <v>13</v>
      </c>
      <c r="U20" s="17">
        <f t="shared" si="12"/>
        <v>12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18</v>
      </c>
      <c r="Z20" s="17">
        <f t="shared" si="12"/>
        <v>2</v>
      </c>
      <c r="AA20" s="17">
        <f t="shared" si="12"/>
        <v>1</v>
      </c>
      <c r="AB20" s="17">
        <f t="shared" si="12"/>
        <v>1</v>
      </c>
      <c r="AC20" s="17">
        <f t="shared" si="12"/>
        <v>39</v>
      </c>
      <c r="AD20" s="17">
        <f t="shared" si="12"/>
        <v>0</v>
      </c>
      <c r="AE20" s="31">
        <f t="shared" si="12"/>
        <v>86</v>
      </c>
      <c r="AF20" s="31">
        <f t="shared" si="12"/>
        <v>125</v>
      </c>
    </row>
    <row r="21" spans="2:32" ht="23.1" customHeight="1" x14ac:dyDescent="0.25">
      <c r="B21" s="45" t="s">
        <v>48</v>
      </c>
      <c r="C21" s="50">
        <v>8</v>
      </c>
      <c r="D21" s="50">
        <v>1</v>
      </c>
      <c r="E21" s="50">
        <v>0</v>
      </c>
      <c r="F21" s="50">
        <v>1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11</v>
      </c>
      <c r="P21" s="15">
        <f t="shared" si="1"/>
        <v>17</v>
      </c>
      <c r="R21" s="36" t="s">
        <v>20</v>
      </c>
      <c r="S21" s="34">
        <f t="shared" ref="S21:AF21" si="13">SUM(C54:C57)</f>
        <v>13</v>
      </c>
      <c r="T21" s="17">
        <f t="shared" si="13"/>
        <v>6</v>
      </c>
      <c r="U21" s="17">
        <f t="shared" si="13"/>
        <v>4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2</v>
      </c>
      <c r="AA21" s="17">
        <f t="shared" si="13"/>
        <v>2</v>
      </c>
      <c r="AB21" s="17">
        <f t="shared" si="13"/>
        <v>2</v>
      </c>
      <c r="AC21" s="17">
        <f t="shared" si="13"/>
        <v>26</v>
      </c>
      <c r="AD21" s="17">
        <f t="shared" si="13"/>
        <v>0</v>
      </c>
      <c r="AE21" s="31">
        <f t="shared" si="13"/>
        <v>36</v>
      </c>
      <c r="AF21" s="31">
        <f t="shared" si="13"/>
        <v>62</v>
      </c>
    </row>
    <row r="22" spans="2:32" ht="23.1" customHeight="1" x14ac:dyDescent="0.25">
      <c r="B22" s="45" t="s">
        <v>49</v>
      </c>
      <c r="C22" s="50">
        <v>8</v>
      </c>
      <c r="D22" s="50">
        <v>4</v>
      </c>
      <c r="E22" s="50">
        <v>3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15</v>
      </c>
      <c r="P22" s="15">
        <f t="shared" si="1"/>
        <v>22</v>
      </c>
      <c r="R22" s="36" t="s">
        <v>146</v>
      </c>
      <c r="S22" s="34">
        <f>SUM(C58:C61)</f>
        <v>12</v>
      </c>
      <c r="T22" s="34">
        <f t="shared" ref="T22:AF22" si="14">SUM(D58:D61)</f>
        <v>3</v>
      </c>
      <c r="U22" s="34">
        <f t="shared" si="14"/>
        <v>3</v>
      </c>
      <c r="V22" s="34">
        <f t="shared" si="14"/>
        <v>1</v>
      </c>
      <c r="W22" s="34">
        <f t="shared" si="14"/>
        <v>1</v>
      </c>
      <c r="X22" s="34">
        <f t="shared" si="14"/>
        <v>1</v>
      </c>
      <c r="Y22" s="34">
        <f t="shared" si="14"/>
        <v>2</v>
      </c>
      <c r="Z22" s="34">
        <f t="shared" si="14"/>
        <v>5</v>
      </c>
      <c r="AA22" s="34">
        <f t="shared" si="14"/>
        <v>3</v>
      </c>
      <c r="AB22" s="34">
        <f t="shared" si="14"/>
        <v>2</v>
      </c>
      <c r="AC22" s="34">
        <f t="shared" si="14"/>
        <v>3</v>
      </c>
      <c r="AD22" s="34">
        <f t="shared" si="14"/>
        <v>0</v>
      </c>
      <c r="AE22" s="31">
        <f t="shared" si="14"/>
        <v>33</v>
      </c>
      <c r="AF22" s="31">
        <f t="shared" si="14"/>
        <v>36</v>
      </c>
    </row>
    <row r="23" spans="2:32" ht="23.1" customHeight="1" x14ac:dyDescent="0.25">
      <c r="B23" s="45" t="s">
        <v>50</v>
      </c>
      <c r="C23" s="50">
        <v>9</v>
      </c>
      <c r="D23" s="50">
        <v>2</v>
      </c>
      <c r="E23" s="50">
        <v>0</v>
      </c>
      <c r="F23" s="50">
        <v>1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15</v>
      </c>
      <c r="P23" s="15">
        <f t="shared" si="1"/>
        <v>23</v>
      </c>
      <c r="R23" s="36" t="s">
        <v>147</v>
      </c>
      <c r="S23" s="34">
        <f>SUM(C62:C65)</f>
        <v>20</v>
      </c>
      <c r="T23" s="34">
        <f t="shared" ref="T23:AF23" si="15">SUM(D62:D65)</f>
        <v>6</v>
      </c>
      <c r="U23" s="34">
        <f t="shared" si="15"/>
        <v>2</v>
      </c>
      <c r="V23" s="34">
        <f t="shared" si="15"/>
        <v>3</v>
      </c>
      <c r="W23" s="34">
        <f t="shared" si="15"/>
        <v>0</v>
      </c>
      <c r="X23" s="34">
        <f t="shared" si="15"/>
        <v>0</v>
      </c>
      <c r="Y23" s="34">
        <f t="shared" si="15"/>
        <v>0</v>
      </c>
      <c r="Z23" s="34">
        <f t="shared" si="15"/>
        <v>2</v>
      </c>
      <c r="AA23" s="34">
        <f t="shared" si="15"/>
        <v>1</v>
      </c>
      <c r="AB23" s="34">
        <f t="shared" si="15"/>
        <v>4</v>
      </c>
      <c r="AC23" s="34">
        <f t="shared" si="15"/>
        <v>11</v>
      </c>
      <c r="AD23" s="34">
        <f t="shared" si="15"/>
        <v>0</v>
      </c>
      <c r="AE23" s="31">
        <f t="shared" si="15"/>
        <v>38</v>
      </c>
      <c r="AF23" s="31">
        <f t="shared" si="15"/>
        <v>49</v>
      </c>
    </row>
    <row r="24" spans="2:32" ht="23.1" customHeight="1" x14ac:dyDescent="0.25">
      <c r="B24" s="45" t="s">
        <v>51</v>
      </c>
      <c r="C24" s="50">
        <v>6</v>
      </c>
      <c r="D24" s="50">
        <v>2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8</v>
      </c>
      <c r="N24" s="50">
        <v>0</v>
      </c>
      <c r="O24" s="15">
        <f t="shared" si="0"/>
        <v>10</v>
      </c>
      <c r="P24" s="15">
        <f t="shared" si="1"/>
        <v>18</v>
      </c>
      <c r="R24" s="36" t="s">
        <v>148</v>
      </c>
      <c r="S24" s="34">
        <f>SUM(C66:C69)</f>
        <v>12</v>
      </c>
      <c r="T24" s="34">
        <f t="shared" ref="T24:AF24" si="16">SUM(D66:D69)</f>
        <v>3</v>
      </c>
      <c r="U24" s="34">
        <f t="shared" si="16"/>
        <v>3</v>
      </c>
      <c r="V24" s="34">
        <f t="shared" si="16"/>
        <v>0</v>
      </c>
      <c r="W24" s="34">
        <f t="shared" si="16"/>
        <v>1</v>
      </c>
      <c r="X24" s="34">
        <f t="shared" si="16"/>
        <v>1</v>
      </c>
      <c r="Y24" s="34">
        <f t="shared" si="16"/>
        <v>6</v>
      </c>
      <c r="Z24" s="34">
        <f t="shared" si="16"/>
        <v>1</v>
      </c>
      <c r="AA24" s="34">
        <f t="shared" si="16"/>
        <v>2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29</v>
      </c>
      <c r="AF24" s="31">
        <f t="shared" si="16"/>
        <v>29</v>
      </c>
    </row>
    <row r="25" spans="2:32" ht="23.1" customHeight="1" x14ac:dyDescent="0.25">
      <c r="B25" s="45" t="s">
        <v>52</v>
      </c>
      <c r="C25" s="50">
        <v>7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11</v>
      </c>
      <c r="P25" s="15">
        <f t="shared" si="1"/>
        <v>15</v>
      </c>
      <c r="R25" s="36" t="s">
        <v>149</v>
      </c>
      <c r="S25" s="34">
        <f>SUM(C70:C73)</f>
        <v>4</v>
      </c>
      <c r="T25" s="34">
        <f t="shared" ref="T25:AF25" si="17">SUM(D70:D73)</f>
        <v>4</v>
      </c>
      <c r="U25" s="34">
        <f t="shared" si="17"/>
        <v>4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4</v>
      </c>
      <c r="AA25" s="34">
        <f t="shared" si="17"/>
        <v>1</v>
      </c>
      <c r="AB25" s="34">
        <f t="shared" si="17"/>
        <v>1</v>
      </c>
      <c r="AC25" s="34">
        <f t="shared" si="17"/>
        <v>0</v>
      </c>
      <c r="AD25" s="34">
        <f t="shared" si="17"/>
        <v>0</v>
      </c>
      <c r="AE25" s="31">
        <f t="shared" si="17"/>
        <v>19</v>
      </c>
      <c r="AF25" s="31">
        <f t="shared" si="17"/>
        <v>19</v>
      </c>
    </row>
    <row r="26" spans="2:32" ht="23.1" customHeight="1" x14ac:dyDescent="0.25">
      <c r="B26" s="45" t="s">
        <v>53</v>
      </c>
      <c r="C26" s="50">
        <v>0</v>
      </c>
      <c r="D26" s="50">
        <v>3</v>
      </c>
      <c r="E26" s="50">
        <v>0</v>
      </c>
      <c r="F26" s="50">
        <v>0</v>
      </c>
      <c r="G26" s="50">
        <v>0</v>
      </c>
      <c r="H26" s="50">
        <v>0</v>
      </c>
      <c r="I26" s="50">
        <v>2</v>
      </c>
      <c r="J26" s="50">
        <v>0</v>
      </c>
      <c r="K26" s="50">
        <v>0</v>
      </c>
      <c r="L26" s="50">
        <v>0</v>
      </c>
      <c r="M26" s="50">
        <v>4</v>
      </c>
      <c r="N26" s="50">
        <v>1</v>
      </c>
      <c r="O26" s="15">
        <f t="shared" si="0"/>
        <v>6</v>
      </c>
      <c r="P26" s="15">
        <f t="shared" si="1"/>
        <v>10</v>
      </c>
      <c r="R26" s="36" t="s">
        <v>150</v>
      </c>
      <c r="S26" s="34">
        <f>SUM(C74:C77)</f>
        <v>5</v>
      </c>
      <c r="T26" s="34">
        <f t="shared" ref="T26:AF26" si="18">SUM(D74:D77)</f>
        <v>3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5</v>
      </c>
      <c r="AA26" s="34">
        <f t="shared" si="18"/>
        <v>2</v>
      </c>
      <c r="AB26" s="34">
        <f t="shared" si="18"/>
        <v>0</v>
      </c>
      <c r="AC26" s="34">
        <f t="shared" si="18"/>
        <v>0</v>
      </c>
      <c r="AD26" s="34">
        <f t="shared" si="18"/>
        <v>0</v>
      </c>
      <c r="AE26" s="31">
        <f t="shared" si="18"/>
        <v>18</v>
      </c>
      <c r="AF26" s="31">
        <f t="shared" si="18"/>
        <v>18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3</v>
      </c>
      <c r="N27" s="50">
        <v>0</v>
      </c>
      <c r="O27" s="15">
        <f t="shared" si="0"/>
        <v>4</v>
      </c>
      <c r="P27" s="15">
        <f t="shared" si="1"/>
        <v>7</v>
      </c>
      <c r="R27" s="36" t="s">
        <v>151</v>
      </c>
      <c r="S27" s="34">
        <f>SUM(C78:C81)</f>
        <v>2</v>
      </c>
      <c r="T27" s="34">
        <f t="shared" ref="T27:AF27" si="19">SUM(D78:D81)</f>
        <v>2</v>
      </c>
      <c r="U27" s="34">
        <f t="shared" si="19"/>
        <v>4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5</v>
      </c>
      <c r="Z27" s="34">
        <f t="shared" si="19"/>
        <v>4</v>
      </c>
      <c r="AA27" s="34">
        <f t="shared" si="19"/>
        <v>2</v>
      </c>
      <c r="AB27" s="34">
        <f t="shared" si="19"/>
        <v>2</v>
      </c>
      <c r="AC27" s="34">
        <f t="shared" si="19"/>
        <v>0</v>
      </c>
      <c r="AD27" s="34">
        <f t="shared" si="19"/>
        <v>0</v>
      </c>
      <c r="AE27" s="31">
        <f t="shared" si="19"/>
        <v>21</v>
      </c>
      <c r="AF27" s="31">
        <f t="shared" si="19"/>
        <v>21</v>
      </c>
    </row>
    <row r="28" spans="2:32" ht="23.1" customHeight="1" x14ac:dyDescent="0.25">
      <c r="B28" s="45" t="s">
        <v>55</v>
      </c>
      <c r="C28" s="50">
        <v>4</v>
      </c>
      <c r="D28" s="50">
        <v>4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6</v>
      </c>
      <c r="N28" s="50">
        <v>0</v>
      </c>
      <c r="O28" s="15">
        <f t="shared" si="0"/>
        <v>9</v>
      </c>
      <c r="P28" s="15">
        <f t="shared" si="1"/>
        <v>15</v>
      </c>
      <c r="R28" s="36" t="s">
        <v>152</v>
      </c>
      <c r="S28" s="34">
        <f>SUM(C82:C85)</f>
        <v>1</v>
      </c>
      <c r="T28" s="34">
        <f t="shared" ref="T28:AF28" si="20">SUM(D82:D85)</f>
        <v>2</v>
      </c>
      <c r="U28" s="34">
        <f t="shared" si="20"/>
        <v>6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3</v>
      </c>
      <c r="AB28" s="34">
        <f t="shared" si="20"/>
        <v>3</v>
      </c>
      <c r="AC28" s="34">
        <f t="shared" si="20"/>
        <v>0</v>
      </c>
      <c r="AD28" s="34">
        <f t="shared" si="20"/>
        <v>0</v>
      </c>
      <c r="AE28" s="31">
        <f t="shared" si="20"/>
        <v>15</v>
      </c>
      <c r="AF28" s="31">
        <f t="shared" si="20"/>
        <v>15</v>
      </c>
    </row>
    <row r="29" spans="2:32" ht="23.1" customHeight="1" x14ac:dyDescent="0.25">
      <c r="B29" s="45" t="s">
        <v>56</v>
      </c>
      <c r="C29" s="50">
        <v>6</v>
      </c>
      <c r="D29" s="50">
        <v>4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10</v>
      </c>
      <c r="P29" s="15">
        <f t="shared" si="1"/>
        <v>13</v>
      </c>
      <c r="R29" s="36" t="s">
        <v>153</v>
      </c>
      <c r="S29" s="34">
        <f>SUM(C86:C89)</f>
        <v>5</v>
      </c>
      <c r="T29" s="34">
        <f t="shared" ref="T29:AF29" si="21">SUM(D86:D89)</f>
        <v>1</v>
      </c>
      <c r="U29" s="34">
        <f t="shared" si="21"/>
        <v>4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1</v>
      </c>
      <c r="AB29" s="34">
        <f t="shared" si="21"/>
        <v>1</v>
      </c>
      <c r="AC29" s="34">
        <f t="shared" si="21"/>
        <v>0</v>
      </c>
      <c r="AD29" s="34">
        <f t="shared" si="21"/>
        <v>0</v>
      </c>
      <c r="AE29" s="31">
        <f t="shared" si="21"/>
        <v>13</v>
      </c>
      <c r="AF29" s="31">
        <f t="shared" si="21"/>
        <v>13</v>
      </c>
    </row>
    <row r="30" spans="2:32" ht="23.1" customHeight="1" x14ac:dyDescent="0.25">
      <c r="B30" s="45" t="s">
        <v>57</v>
      </c>
      <c r="C30" s="50">
        <v>8</v>
      </c>
      <c r="D30" s="50">
        <v>2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11</v>
      </c>
      <c r="P30" s="15">
        <f t="shared" si="1"/>
        <v>23</v>
      </c>
      <c r="R30" s="36" t="s">
        <v>154</v>
      </c>
      <c r="S30" s="34">
        <f>SUM(C90:C93)</f>
        <v>4</v>
      </c>
      <c r="T30" s="34">
        <f t="shared" ref="T30:AF30" si="22">SUM(D90:D93)</f>
        <v>2</v>
      </c>
      <c r="U30" s="34">
        <f t="shared" si="22"/>
        <v>2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5</v>
      </c>
      <c r="AA30" s="34">
        <f t="shared" si="22"/>
        <v>2</v>
      </c>
      <c r="AB30" s="34">
        <f t="shared" si="22"/>
        <v>0</v>
      </c>
      <c r="AC30" s="34">
        <f t="shared" si="22"/>
        <v>0</v>
      </c>
      <c r="AD30" s="34">
        <f t="shared" si="22"/>
        <v>0</v>
      </c>
      <c r="AE30" s="31">
        <f t="shared" si="22"/>
        <v>16</v>
      </c>
      <c r="AF30" s="31">
        <f t="shared" si="22"/>
        <v>16</v>
      </c>
    </row>
    <row r="31" spans="2:32" ht="23.1" customHeight="1" x14ac:dyDescent="0.25">
      <c r="B31" s="46" t="s">
        <v>58</v>
      </c>
      <c r="C31" s="50">
        <v>7</v>
      </c>
      <c r="D31" s="50">
        <v>7</v>
      </c>
      <c r="E31" s="50">
        <v>0</v>
      </c>
      <c r="F31" s="50">
        <v>0</v>
      </c>
      <c r="G31" s="50">
        <v>0</v>
      </c>
      <c r="H31" s="50">
        <v>0</v>
      </c>
      <c r="I31" s="50">
        <v>3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17</v>
      </c>
      <c r="P31" s="15">
        <f t="shared" si="1"/>
        <v>24</v>
      </c>
      <c r="R31" s="36" t="s">
        <v>155</v>
      </c>
      <c r="S31" s="34">
        <f>SUM(C94:C97)</f>
        <v>5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2</v>
      </c>
      <c r="AA31" s="34">
        <f t="shared" si="23"/>
        <v>5</v>
      </c>
      <c r="AB31" s="34">
        <f t="shared" si="23"/>
        <v>1</v>
      </c>
      <c r="AC31" s="34">
        <f t="shared" si="23"/>
        <v>0</v>
      </c>
      <c r="AD31" s="34">
        <f t="shared" si="23"/>
        <v>0</v>
      </c>
      <c r="AE31" s="31">
        <f t="shared" si="23"/>
        <v>19</v>
      </c>
      <c r="AF31" s="31">
        <f t="shared" si="23"/>
        <v>19</v>
      </c>
    </row>
    <row r="32" spans="2:32" ht="23.1" customHeight="1" x14ac:dyDescent="0.25">
      <c r="B32" s="46" t="s">
        <v>59</v>
      </c>
      <c r="C32" s="50">
        <v>3</v>
      </c>
      <c r="D32" s="50">
        <v>6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8</v>
      </c>
      <c r="N32" s="50">
        <v>0</v>
      </c>
      <c r="O32" s="15">
        <f t="shared" si="0"/>
        <v>9</v>
      </c>
      <c r="P32" s="15">
        <f t="shared" si="1"/>
        <v>17</v>
      </c>
      <c r="R32" s="33" t="s">
        <v>156</v>
      </c>
      <c r="S32" s="34">
        <f>SUM(C98:C101)</f>
        <v>9</v>
      </c>
      <c r="T32" s="34">
        <f t="shared" ref="T32:AF32" si="24">SUM(D98:D101)</f>
        <v>4</v>
      </c>
      <c r="U32" s="34">
        <f t="shared" si="24"/>
        <v>4</v>
      </c>
      <c r="V32" s="34">
        <f t="shared" si="24"/>
        <v>0</v>
      </c>
      <c r="W32" s="34">
        <f t="shared" si="24"/>
        <v>0</v>
      </c>
      <c r="X32" s="34">
        <f t="shared" si="24"/>
        <v>2</v>
      </c>
      <c r="Y32" s="34">
        <f t="shared" si="24"/>
        <v>2</v>
      </c>
      <c r="Z32" s="34">
        <f t="shared" si="24"/>
        <v>4</v>
      </c>
      <c r="AA32" s="34">
        <f t="shared" si="24"/>
        <v>2</v>
      </c>
      <c r="AB32" s="34">
        <f t="shared" si="24"/>
        <v>4</v>
      </c>
      <c r="AC32" s="34">
        <f t="shared" si="24"/>
        <v>0</v>
      </c>
      <c r="AD32" s="34">
        <f t="shared" si="24"/>
        <v>0</v>
      </c>
      <c r="AE32" s="31">
        <f t="shared" si="24"/>
        <v>31</v>
      </c>
      <c r="AF32" s="31">
        <f t="shared" si="24"/>
        <v>31</v>
      </c>
    </row>
    <row r="33" spans="2:32" ht="23.1" customHeight="1" x14ac:dyDescent="0.25">
      <c r="B33" s="45" t="s">
        <v>60</v>
      </c>
      <c r="C33" s="50">
        <v>6</v>
      </c>
      <c r="D33" s="50">
        <v>4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7</v>
      </c>
      <c r="N33" s="50">
        <v>0</v>
      </c>
      <c r="O33" s="15">
        <f t="shared" si="0"/>
        <v>10</v>
      </c>
      <c r="P33" s="15">
        <f t="shared" si="1"/>
        <v>17</v>
      </c>
      <c r="R33" s="33" t="s">
        <v>157</v>
      </c>
      <c r="S33" s="34">
        <f>SUM(C102:C105)</f>
        <v>7</v>
      </c>
      <c r="T33" s="34">
        <f t="shared" ref="T33:AF33" si="25">SUM(D102:D105)</f>
        <v>2</v>
      </c>
      <c r="U33" s="34">
        <f t="shared" si="25"/>
        <v>0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0</v>
      </c>
      <c r="Z33" s="34">
        <f t="shared" si="25"/>
        <v>0</v>
      </c>
      <c r="AA33" s="34">
        <f t="shared" si="25"/>
        <v>1</v>
      </c>
      <c r="AB33" s="34">
        <f t="shared" si="25"/>
        <v>0</v>
      </c>
      <c r="AC33" s="34">
        <f t="shared" si="25"/>
        <v>10</v>
      </c>
      <c r="AD33" s="34">
        <f t="shared" si="25"/>
        <v>0</v>
      </c>
      <c r="AE33" s="31">
        <f t="shared" si="25"/>
        <v>10</v>
      </c>
      <c r="AF33" s="31">
        <f t="shared" si="25"/>
        <v>20</v>
      </c>
    </row>
    <row r="34" spans="2:32" ht="23.1" customHeight="1" x14ac:dyDescent="0.25">
      <c r="B34" s="46" t="s">
        <v>61</v>
      </c>
      <c r="C34" s="50">
        <v>10</v>
      </c>
      <c r="D34" s="50">
        <v>0</v>
      </c>
      <c r="E34" s="50">
        <v>3</v>
      </c>
      <c r="F34" s="50">
        <v>1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1</v>
      </c>
      <c r="M34" s="50">
        <v>11</v>
      </c>
      <c r="N34" s="50">
        <v>0</v>
      </c>
      <c r="O34" s="15">
        <f t="shared" si="0"/>
        <v>16</v>
      </c>
      <c r="P34" s="15">
        <f t="shared" si="1"/>
        <v>27</v>
      </c>
      <c r="R34" s="38" t="s">
        <v>90</v>
      </c>
      <c r="S34" s="39">
        <f t="shared" ref="S34:AF34" si="26">MAX(S10:S12)</f>
        <v>13</v>
      </c>
      <c r="T34" s="39">
        <f t="shared" si="26"/>
        <v>6</v>
      </c>
      <c r="U34" s="39">
        <f t="shared" si="26"/>
        <v>1</v>
      </c>
      <c r="V34" s="39">
        <f t="shared" si="26"/>
        <v>3</v>
      </c>
      <c r="W34" s="39">
        <f t="shared" si="26"/>
        <v>0</v>
      </c>
      <c r="X34" s="39">
        <f t="shared" si="26"/>
        <v>0</v>
      </c>
      <c r="Y34" s="39">
        <f t="shared" si="26"/>
        <v>5</v>
      </c>
      <c r="Z34" s="39">
        <f t="shared" si="26"/>
        <v>4</v>
      </c>
      <c r="AA34" s="39">
        <f t="shared" si="26"/>
        <v>3</v>
      </c>
      <c r="AB34" s="39">
        <f t="shared" si="26"/>
        <v>0</v>
      </c>
      <c r="AC34" s="39">
        <f t="shared" si="26"/>
        <v>26</v>
      </c>
      <c r="AD34" s="39">
        <f t="shared" si="26"/>
        <v>0</v>
      </c>
      <c r="AE34" s="40">
        <f t="shared" si="26"/>
        <v>33</v>
      </c>
      <c r="AF34" s="40">
        <f t="shared" si="26"/>
        <v>58</v>
      </c>
    </row>
    <row r="35" spans="2:32" ht="23.1" customHeight="1" x14ac:dyDescent="0.25">
      <c r="B35" s="46" t="s">
        <v>62</v>
      </c>
      <c r="C35" s="50">
        <v>6</v>
      </c>
      <c r="D35" s="50">
        <v>2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3</v>
      </c>
      <c r="N35" s="50">
        <v>0</v>
      </c>
      <c r="O35" s="15">
        <f t="shared" si="0"/>
        <v>9</v>
      </c>
      <c r="P35" s="15">
        <f t="shared" si="1"/>
        <v>12</v>
      </c>
      <c r="R35" s="38" t="s">
        <v>91</v>
      </c>
      <c r="S35" s="39">
        <f t="shared" ref="S35:AF35" si="27">MAX(S13:S18)</f>
        <v>32</v>
      </c>
      <c r="T35" s="39">
        <f t="shared" si="27"/>
        <v>19</v>
      </c>
      <c r="U35" s="39">
        <f t="shared" si="27"/>
        <v>12</v>
      </c>
      <c r="V35" s="39">
        <f t="shared" si="27"/>
        <v>1</v>
      </c>
      <c r="W35" s="39">
        <f t="shared" si="27"/>
        <v>0</v>
      </c>
      <c r="X35" s="39">
        <f t="shared" si="27"/>
        <v>0</v>
      </c>
      <c r="Y35" s="39">
        <f t="shared" si="27"/>
        <v>16</v>
      </c>
      <c r="Z35" s="39">
        <f t="shared" si="27"/>
        <v>0</v>
      </c>
      <c r="AA35" s="39">
        <f t="shared" si="27"/>
        <v>0</v>
      </c>
      <c r="AB35" s="39">
        <f t="shared" si="27"/>
        <v>4</v>
      </c>
      <c r="AC35" s="39">
        <f t="shared" si="27"/>
        <v>43</v>
      </c>
      <c r="AD35" s="39">
        <f t="shared" si="27"/>
        <v>1</v>
      </c>
      <c r="AE35" s="40">
        <f t="shared" si="27"/>
        <v>75</v>
      </c>
      <c r="AF35" s="40">
        <f t="shared" si="27"/>
        <v>118</v>
      </c>
    </row>
    <row r="36" spans="2:32" ht="23.1" customHeight="1" x14ac:dyDescent="0.25">
      <c r="B36" s="46" t="s">
        <v>63</v>
      </c>
      <c r="C36" s="50">
        <v>6</v>
      </c>
      <c r="D36" s="50">
        <v>4</v>
      </c>
      <c r="E36" s="50">
        <v>1</v>
      </c>
      <c r="F36" s="50">
        <v>0</v>
      </c>
      <c r="G36" s="50">
        <v>0</v>
      </c>
      <c r="H36" s="50">
        <v>0</v>
      </c>
      <c r="I36" s="50">
        <v>4</v>
      </c>
      <c r="J36" s="50">
        <v>0</v>
      </c>
      <c r="K36" s="50">
        <v>0</v>
      </c>
      <c r="L36" s="50">
        <v>2</v>
      </c>
      <c r="M36" s="50">
        <v>6</v>
      </c>
      <c r="N36" s="50">
        <v>0</v>
      </c>
      <c r="O36" s="15">
        <f t="shared" si="0"/>
        <v>17</v>
      </c>
      <c r="P36" s="15">
        <f t="shared" si="1"/>
        <v>23</v>
      </c>
      <c r="R36" s="38" t="s">
        <v>92</v>
      </c>
      <c r="S36" s="39">
        <f t="shared" ref="S36:AF36" si="28">MAX(S19:S21)</f>
        <v>39</v>
      </c>
      <c r="T36" s="39">
        <f t="shared" si="28"/>
        <v>23</v>
      </c>
      <c r="U36" s="39">
        <f t="shared" si="28"/>
        <v>12</v>
      </c>
      <c r="V36" s="39">
        <f t="shared" si="28"/>
        <v>0</v>
      </c>
      <c r="W36" s="39">
        <f t="shared" si="28"/>
        <v>1</v>
      </c>
      <c r="X36" s="39">
        <f t="shared" si="28"/>
        <v>0</v>
      </c>
      <c r="Y36" s="39">
        <f t="shared" si="28"/>
        <v>18</v>
      </c>
      <c r="Z36" s="39">
        <f t="shared" si="28"/>
        <v>2</v>
      </c>
      <c r="AA36" s="39">
        <f t="shared" si="28"/>
        <v>2</v>
      </c>
      <c r="AB36" s="39">
        <f t="shared" si="28"/>
        <v>2</v>
      </c>
      <c r="AC36" s="39">
        <f t="shared" si="28"/>
        <v>39</v>
      </c>
      <c r="AD36" s="39">
        <f t="shared" si="28"/>
        <v>0</v>
      </c>
      <c r="AE36" s="40">
        <f t="shared" si="28"/>
        <v>86</v>
      </c>
      <c r="AF36" s="40">
        <f t="shared" si="28"/>
        <v>125</v>
      </c>
    </row>
    <row r="37" spans="2:32" ht="23.1" customHeight="1" x14ac:dyDescent="0.25">
      <c r="B37" s="45" t="s">
        <v>64</v>
      </c>
      <c r="C37" s="50">
        <v>9</v>
      </c>
      <c r="D37" s="50">
        <v>4</v>
      </c>
      <c r="E37" s="50">
        <v>0</v>
      </c>
      <c r="F37" s="50">
        <v>0</v>
      </c>
      <c r="G37" s="50">
        <v>0</v>
      </c>
      <c r="H37" s="50">
        <v>0</v>
      </c>
      <c r="I37" s="50">
        <v>7</v>
      </c>
      <c r="J37" s="50">
        <v>0</v>
      </c>
      <c r="K37" s="50">
        <v>0</v>
      </c>
      <c r="L37" s="50">
        <v>0</v>
      </c>
      <c r="M37" s="50">
        <v>7</v>
      </c>
      <c r="N37" s="50">
        <v>0</v>
      </c>
      <c r="O37" s="15">
        <f t="shared" si="0"/>
        <v>20</v>
      </c>
      <c r="P37" s="15">
        <f t="shared" si="1"/>
        <v>27</v>
      </c>
      <c r="R37" s="37" t="s">
        <v>85</v>
      </c>
      <c r="S37" s="35">
        <f t="shared" ref="S37:AF37" si="29">SUM(S10:S12)</f>
        <v>34</v>
      </c>
      <c r="T37" s="16">
        <f t="shared" si="29"/>
        <v>10</v>
      </c>
      <c r="U37" s="16">
        <f t="shared" si="29"/>
        <v>2</v>
      </c>
      <c r="V37" s="16">
        <f t="shared" si="29"/>
        <v>4</v>
      </c>
      <c r="W37" s="16">
        <f t="shared" si="29"/>
        <v>0</v>
      </c>
      <c r="X37" s="16">
        <f t="shared" si="29"/>
        <v>0</v>
      </c>
      <c r="Y37" s="16">
        <f t="shared" si="29"/>
        <v>7</v>
      </c>
      <c r="Z37" s="16">
        <f t="shared" si="29"/>
        <v>7</v>
      </c>
      <c r="AA37" s="16">
        <f t="shared" si="29"/>
        <v>4</v>
      </c>
      <c r="AB37" s="16">
        <f t="shared" si="29"/>
        <v>0</v>
      </c>
      <c r="AC37" s="16">
        <f t="shared" si="29"/>
        <v>74</v>
      </c>
      <c r="AD37" s="16">
        <f t="shared" si="29"/>
        <v>0</v>
      </c>
      <c r="AE37" s="32">
        <f t="shared" si="29"/>
        <v>68</v>
      </c>
      <c r="AF37" s="32">
        <f t="shared" si="29"/>
        <v>142</v>
      </c>
    </row>
    <row r="38" spans="2:32" ht="23.1" customHeight="1" x14ac:dyDescent="0.25">
      <c r="B38" s="46" t="s">
        <v>65</v>
      </c>
      <c r="C38" s="50">
        <v>6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1</v>
      </c>
      <c r="M38" s="50">
        <v>10</v>
      </c>
      <c r="N38" s="50">
        <v>0</v>
      </c>
      <c r="O38" s="15">
        <f t="shared" si="0"/>
        <v>8</v>
      </c>
      <c r="P38" s="15">
        <f t="shared" si="1"/>
        <v>18</v>
      </c>
      <c r="R38" s="28" t="s">
        <v>86</v>
      </c>
      <c r="S38" s="16">
        <f t="shared" ref="S38:AF38" si="30">SUM(S13:S18)</f>
        <v>158</v>
      </c>
      <c r="T38" s="16">
        <f t="shared" si="30"/>
        <v>74</v>
      </c>
      <c r="U38" s="16">
        <f t="shared" si="30"/>
        <v>26</v>
      </c>
      <c r="V38" s="16">
        <f t="shared" si="30"/>
        <v>2</v>
      </c>
      <c r="W38" s="16">
        <f t="shared" si="30"/>
        <v>0</v>
      </c>
      <c r="X38" s="16">
        <f t="shared" si="30"/>
        <v>0</v>
      </c>
      <c r="Y38" s="16">
        <f t="shared" si="30"/>
        <v>52</v>
      </c>
      <c r="Z38" s="16">
        <f t="shared" si="30"/>
        <v>0</v>
      </c>
      <c r="AA38" s="16">
        <f t="shared" si="30"/>
        <v>0</v>
      </c>
      <c r="AB38" s="16">
        <f t="shared" si="30"/>
        <v>8</v>
      </c>
      <c r="AC38" s="16">
        <f t="shared" si="30"/>
        <v>179</v>
      </c>
      <c r="AD38" s="16">
        <f t="shared" si="30"/>
        <v>1</v>
      </c>
      <c r="AE38" s="32">
        <f t="shared" si="30"/>
        <v>321</v>
      </c>
      <c r="AF38" s="32">
        <f t="shared" si="30"/>
        <v>500</v>
      </c>
    </row>
    <row r="39" spans="2:32" ht="23.1" customHeight="1" x14ac:dyDescent="0.25">
      <c r="B39" s="46" t="s">
        <v>66</v>
      </c>
      <c r="C39" s="50">
        <v>7</v>
      </c>
      <c r="D39" s="50">
        <v>3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4</v>
      </c>
      <c r="N39" s="50">
        <v>0</v>
      </c>
      <c r="O39" s="15">
        <f t="shared" si="0"/>
        <v>10</v>
      </c>
      <c r="P39" s="15">
        <f t="shared" si="1"/>
        <v>14</v>
      </c>
      <c r="R39" s="29" t="s">
        <v>87</v>
      </c>
      <c r="S39" s="16">
        <f t="shared" ref="S39:AF39" si="31">SUM(S19:S21)</f>
        <v>79</v>
      </c>
      <c r="T39" s="16">
        <f t="shared" si="31"/>
        <v>42</v>
      </c>
      <c r="U39" s="16">
        <f t="shared" si="31"/>
        <v>25</v>
      </c>
      <c r="V39" s="16">
        <f t="shared" si="31"/>
        <v>0</v>
      </c>
      <c r="W39" s="16">
        <f t="shared" si="31"/>
        <v>1</v>
      </c>
      <c r="X39" s="16">
        <f t="shared" si="31"/>
        <v>0</v>
      </c>
      <c r="Y39" s="16">
        <f t="shared" si="31"/>
        <v>43</v>
      </c>
      <c r="Z39" s="16">
        <f t="shared" si="31"/>
        <v>4</v>
      </c>
      <c r="AA39" s="16">
        <f t="shared" si="31"/>
        <v>3</v>
      </c>
      <c r="AB39" s="16">
        <f t="shared" si="31"/>
        <v>5</v>
      </c>
      <c r="AC39" s="16">
        <f t="shared" si="31"/>
        <v>101</v>
      </c>
      <c r="AD39" s="16">
        <f t="shared" si="31"/>
        <v>0</v>
      </c>
      <c r="AE39" s="32">
        <f t="shared" si="31"/>
        <v>202</v>
      </c>
      <c r="AF39" s="32">
        <f t="shared" si="31"/>
        <v>303</v>
      </c>
    </row>
    <row r="40" spans="2:32" ht="23.1" customHeight="1" x14ac:dyDescent="0.25">
      <c r="B40" s="46" t="s">
        <v>67</v>
      </c>
      <c r="C40" s="50">
        <v>9</v>
      </c>
      <c r="D40" s="50">
        <v>2</v>
      </c>
      <c r="E40" s="50">
        <v>0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14</v>
      </c>
      <c r="P40" s="15">
        <f t="shared" si="1"/>
        <v>26</v>
      </c>
      <c r="R40" s="5" t="s">
        <v>17</v>
      </c>
      <c r="S40" s="16">
        <f t="shared" ref="S40:AF40" si="32">SUM(S10:S21)</f>
        <v>271</v>
      </c>
      <c r="T40" s="16">
        <f t="shared" si="32"/>
        <v>126</v>
      </c>
      <c r="U40" s="16">
        <f t="shared" si="32"/>
        <v>53</v>
      </c>
      <c r="V40" s="16">
        <f t="shared" si="32"/>
        <v>6</v>
      </c>
      <c r="W40" s="16">
        <f t="shared" si="32"/>
        <v>1</v>
      </c>
      <c r="X40" s="16">
        <f t="shared" si="32"/>
        <v>0</v>
      </c>
      <c r="Y40" s="16">
        <f t="shared" si="32"/>
        <v>102</v>
      </c>
      <c r="Z40" s="16">
        <f t="shared" si="32"/>
        <v>11</v>
      </c>
      <c r="AA40" s="16">
        <f t="shared" si="32"/>
        <v>7</v>
      </c>
      <c r="AB40" s="16">
        <f t="shared" si="32"/>
        <v>13</v>
      </c>
      <c r="AC40" s="16">
        <f t="shared" si="32"/>
        <v>354</v>
      </c>
      <c r="AD40" s="16">
        <f t="shared" si="32"/>
        <v>1</v>
      </c>
      <c r="AE40" s="32">
        <f t="shared" si="32"/>
        <v>591</v>
      </c>
      <c r="AF40" s="32">
        <f t="shared" si="32"/>
        <v>945</v>
      </c>
    </row>
    <row r="41" spans="2:32" ht="23.1" customHeight="1" x14ac:dyDescent="0.25">
      <c r="B41" s="45" t="s">
        <v>68</v>
      </c>
      <c r="C41" s="50">
        <v>10</v>
      </c>
      <c r="D41" s="50">
        <v>8</v>
      </c>
      <c r="E41" s="50">
        <v>4</v>
      </c>
      <c r="F41" s="50">
        <v>0</v>
      </c>
      <c r="G41" s="50">
        <v>0</v>
      </c>
      <c r="H41" s="50">
        <v>0</v>
      </c>
      <c r="I41" s="50">
        <v>3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25</v>
      </c>
      <c r="P41" s="15">
        <f t="shared" si="1"/>
        <v>31</v>
      </c>
      <c r="R41" s="5" t="s">
        <v>159</v>
      </c>
      <c r="S41" s="16">
        <f>SUM(S10:S33)</f>
        <v>357</v>
      </c>
      <c r="T41" s="16">
        <f t="shared" ref="T41:AF41" si="33">SUM(T10:T33)</f>
        <v>158</v>
      </c>
      <c r="U41" s="16">
        <f t="shared" si="33"/>
        <v>89</v>
      </c>
      <c r="V41" s="16">
        <f t="shared" si="33"/>
        <v>11</v>
      </c>
      <c r="W41" s="16">
        <f t="shared" si="33"/>
        <v>3</v>
      </c>
      <c r="X41" s="16">
        <f t="shared" si="33"/>
        <v>4</v>
      </c>
      <c r="Y41" s="16">
        <f t="shared" si="33"/>
        <v>124</v>
      </c>
      <c r="Z41" s="16">
        <f t="shared" si="33"/>
        <v>43</v>
      </c>
      <c r="AA41" s="16">
        <f t="shared" si="33"/>
        <v>32</v>
      </c>
      <c r="AB41" s="16">
        <f t="shared" si="33"/>
        <v>31</v>
      </c>
      <c r="AC41" s="16">
        <f t="shared" si="33"/>
        <v>378</v>
      </c>
      <c r="AD41" s="16">
        <f t="shared" si="33"/>
        <v>1</v>
      </c>
      <c r="AE41" s="32">
        <f t="shared" si="33"/>
        <v>853</v>
      </c>
      <c r="AF41" s="32">
        <f t="shared" si="33"/>
        <v>1231</v>
      </c>
    </row>
    <row r="42" spans="2:32" ht="23.1" customHeight="1" x14ac:dyDescent="0.25">
      <c r="B42" s="46" t="s">
        <v>69</v>
      </c>
      <c r="C42" s="50">
        <v>3</v>
      </c>
      <c r="D42" s="50">
        <v>3</v>
      </c>
      <c r="E42" s="50">
        <v>3</v>
      </c>
      <c r="F42" s="50">
        <v>0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1</v>
      </c>
      <c r="M42" s="50">
        <v>13</v>
      </c>
      <c r="N42" s="50">
        <v>0</v>
      </c>
      <c r="O42" s="15">
        <f t="shared" si="0"/>
        <v>13</v>
      </c>
      <c r="P42" s="15">
        <f t="shared" si="1"/>
        <v>26</v>
      </c>
      <c r="R42" s="5" t="s">
        <v>160</v>
      </c>
      <c r="S42" s="48">
        <f>S41/S40</f>
        <v>1.3173431734317342</v>
      </c>
      <c r="T42" s="48">
        <f t="shared" ref="T42:AF42" si="34">T41/T40</f>
        <v>1.253968253968254</v>
      </c>
      <c r="U42" s="48">
        <f t="shared" si="34"/>
        <v>1.679245283018868</v>
      </c>
      <c r="V42" s="48">
        <f t="shared" si="34"/>
        <v>1.8333333333333333</v>
      </c>
      <c r="W42" s="48">
        <f t="shared" si="34"/>
        <v>3</v>
      </c>
      <c r="X42" s="48" t="e">
        <f t="shared" si="34"/>
        <v>#DIV/0!</v>
      </c>
      <c r="Y42" s="48">
        <f t="shared" si="34"/>
        <v>1.2156862745098038</v>
      </c>
      <c r="Z42" s="48">
        <f t="shared" si="34"/>
        <v>3.9090909090909092</v>
      </c>
      <c r="AA42" s="48">
        <f t="shared" si="34"/>
        <v>4.5714285714285712</v>
      </c>
      <c r="AB42" s="48">
        <f t="shared" si="34"/>
        <v>2.3846153846153846</v>
      </c>
      <c r="AC42" s="48">
        <f t="shared" si="34"/>
        <v>1.0677966101694916</v>
      </c>
      <c r="AD42" s="48">
        <f t="shared" si="34"/>
        <v>1</v>
      </c>
      <c r="AE42" s="48">
        <f t="shared" si="34"/>
        <v>1.4433164128595601</v>
      </c>
      <c r="AF42" s="48">
        <f t="shared" si="34"/>
        <v>1.3026455026455026</v>
      </c>
    </row>
    <row r="43" spans="2:32" ht="23.1" customHeight="1" x14ac:dyDescent="0.25">
      <c r="B43" s="45" t="s">
        <v>70</v>
      </c>
      <c r="C43" s="50">
        <v>11</v>
      </c>
      <c r="D43" s="50">
        <v>2</v>
      </c>
      <c r="E43" s="50">
        <v>2</v>
      </c>
      <c r="F43" s="50">
        <v>0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18</v>
      </c>
      <c r="P43" s="15">
        <f t="shared" si="1"/>
        <v>26</v>
      </c>
    </row>
    <row r="44" spans="2:32" ht="23.1" customHeight="1" x14ac:dyDescent="0.25">
      <c r="B44" s="47" t="s">
        <v>71</v>
      </c>
      <c r="C44" s="50">
        <v>7</v>
      </c>
      <c r="D44" s="50">
        <v>4</v>
      </c>
      <c r="E44" s="50">
        <v>4</v>
      </c>
      <c r="F44" s="50">
        <v>0</v>
      </c>
      <c r="G44" s="50">
        <v>0</v>
      </c>
      <c r="H44" s="50">
        <v>0</v>
      </c>
      <c r="I44" s="50">
        <v>6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21</v>
      </c>
      <c r="P44" s="15">
        <f t="shared" si="1"/>
        <v>31</v>
      </c>
    </row>
    <row r="45" spans="2:32" ht="23.1" customHeight="1" x14ac:dyDescent="0.25">
      <c r="B45" s="45" t="s">
        <v>72</v>
      </c>
      <c r="C45" s="50">
        <v>10</v>
      </c>
      <c r="D45" s="50">
        <v>3</v>
      </c>
      <c r="E45" s="50">
        <v>3</v>
      </c>
      <c r="F45" s="50">
        <v>0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3</v>
      </c>
      <c r="M45" s="50">
        <v>12</v>
      </c>
      <c r="N45" s="50">
        <v>0</v>
      </c>
      <c r="O45" s="15">
        <f t="shared" si="0"/>
        <v>23</v>
      </c>
      <c r="P45" s="15">
        <f t="shared" si="1"/>
        <v>35</v>
      </c>
    </row>
    <row r="46" spans="2:32" ht="23.1" customHeight="1" x14ac:dyDescent="0.25">
      <c r="B46" s="46" t="s">
        <v>73</v>
      </c>
      <c r="C46" s="50">
        <v>6</v>
      </c>
      <c r="D46" s="50">
        <v>4</v>
      </c>
      <c r="E46" s="50">
        <v>4</v>
      </c>
      <c r="F46" s="50">
        <v>0</v>
      </c>
      <c r="G46" s="50">
        <v>0</v>
      </c>
      <c r="H46" s="50">
        <v>0</v>
      </c>
      <c r="I46" s="50">
        <v>3</v>
      </c>
      <c r="J46" s="50">
        <v>0</v>
      </c>
      <c r="K46" s="50">
        <v>0</v>
      </c>
      <c r="L46" s="50">
        <v>1</v>
      </c>
      <c r="M46" s="50">
        <v>6</v>
      </c>
      <c r="N46" s="50">
        <v>0</v>
      </c>
      <c r="O46" s="15">
        <f t="shared" si="0"/>
        <v>18</v>
      </c>
      <c r="P46" s="15">
        <f t="shared" si="1"/>
        <v>24</v>
      </c>
      <c r="R46" s="8"/>
      <c r="T46"/>
    </row>
    <row r="47" spans="2:32" ht="23.1" customHeight="1" x14ac:dyDescent="0.25">
      <c r="B47" s="46" t="s">
        <v>74</v>
      </c>
      <c r="C47" s="50">
        <v>4</v>
      </c>
      <c r="D47" s="50">
        <v>3</v>
      </c>
      <c r="E47" s="50">
        <v>2</v>
      </c>
      <c r="F47" s="50">
        <v>0</v>
      </c>
      <c r="G47" s="50">
        <v>1</v>
      </c>
      <c r="H47" s="50">
        <v>0</v>
      </c>
      <c r="I47" s="50">
        <v>2</v>
      </c>
      <c r="J47" s="50">
        <v>0</v>
      </c>
      <c r="K47" s="50">
        <v>0</v>
      </c>
      <c r="L47" s="50">
        <v>1</v>
      </c>
      <c r="M47" s="50">
        <v>7</v>
      </c>
      <c r="N47" s="50">
        <v>0</v>
      </c>
      <c r="O47" s="15">
        <f t="shared" si="0"/>
        <v>13</v>
      </c>
      <c r="P47" s="15">
        <f t="shared" si="1"/>
        <v>20</v>
      </c>
      <c r="R47" s="8"/>
      <c r="T47"/>
    </row>
    <row r="48" spans="2:32" ht="23.1" customHeight="1" x14ac:dyDescent="0.25">
      <c r="B48" s="46" t="s">
        <v>75</v>
      </c>
      <c r="C48" s="50">
        <v>8</v>
      </c>
      <c r="D48" s="50">
        <v>7</v>
      </c>
      <c r="E48" s="50">
        <v>3</v>
      </c>
      <c r="F48" s="50">
        <v>0</v>
      </c>
      <c r="G48" s="50">
        <v>0</v>
      </c>
      <c r="H48" s="50">
        <v>0</v>
      </c>
      <c r="I48" s="50">
        <v>7</v>
      </c>
      <c r="J48" s="50">
        <v>0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25</v>
      </c>
      <c r="P48" s="15">
        <f t="shared" si="1"/>
        <v>32</v>
      </c>
      <c r="R48" s="8"/>
      <c r="T48"/>
    </row>
    <row r="49" spans="2:20" ht="23.1" customHeight="1" x14ac:dyDescent="0.25">
      <c r="B49" s="45" t="s">
        <v>76</v>
      </c>
      <c r="C49" s="50">
        <v>9</v>
      </c>
      <c r="D49" s="50">
        <v>9</v>
      </c>
      <c r="E49" s="50">
        <v>0</v>
      </c>
      <c r="F49" s="50">
        <v>0</v>
      </c>
      <c r="G49" s="50">
        <v>0</v>
      </c>
      <c r="H49" s="50">
        <v>0</v>
      </c>
      <c r="I49" s="50">
        <v>6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24</v>
      </c>
      <c r="P49" s="15">
        <f t="shared" si="1"/>
        <v>40</v>
      </c>
      <c r="R49" s="8"/>
      <c r="T49"/>
    </row>
    <row r="50" spans="2:20" ht="23.1" customHeight="1" x14ac:dyDescent="0.25">
      <c r="B50" s="46" t="s">
        <v>77</v>
      </c>
      <c r="C50" s="50">
        <v>13</v>
      </c>
      <c r="D50" s="50">
        <v>5</v>
      </c>
      <c r="E50" s="50">
        <v>8</v>
      </c>
      <c r="F50" s="50">
        <v>0</v>
      </c>
      <c r="G50" s="50">
        <v>0</v>
      </c>
      <c r="H50" s="50">
        <v>0</v>
      </c>
      <c r="I50" s="50">
        <v>8</v>
      </c>
      <c r="J50" s="50">
        <v>0</v>
      </c>
      <c r="K50" s="50">
        <v>0</v>
      </c>
      <c r="L50" s="50">
        <v>0</v>
      </c>
      <c r="M50" s="50">
        <v>9</v>
      </c>
      <c r="N50" s="50">
        <v>0</v>
      </c>
      <c r="O50" s="15">
        <f t="shared" si="0"/>
        <v>34</v>
      </c>
      <c r="P50" s="15">
        <f t="shared" si="1"/>
        <v>43</v>
      </c>
      <c r="R50" s="8"/>
      <c r="T50"/>
    </row>
    <row r="51" spans="2:20" ht="23.1" customHeight="1" x14ac:dyDescent="0.25">
      <c r="B51" s="46" t="s">
        <v>78</v>
      </c>
      <c r="C51" s="50">
        <v>7</v>
      </c>
      <c r="D51" s="50">
        <v>4</v>
      </c>
      <c r="E51" s="50">
        <v>3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1</v>
      </c>
      <c r="L51" s="50">
        <v>1</v>
      </c>
      <c r="M51" s="50">
        <v>10</v>
      </c>
      <c r="N51" s="50">
        <v>0</v>
      </c>
      <c r="O51" s="15">
        <f t="shared" si="0"/>
        <v>17</v>
      </c>
      <c r="P51" s="15">
        <f t="shared" si="1"/>
        <v>27</v>
      </c>
      <c r="R51" s="8"/>
      <c r="T51"/>
    </row>
    <row r="52" spans="2:20" ht="23.1" customHeight="1" x14ac:dyDescent="0.25">
      <c r="B52" s="46" t="s">
        <v>79</v>
      </c>
      <c r="C52" s="50">
        <v>12</v>
      </c>
      <c r="D52" s="50">
        <v>4</v>
      </c>
      <c r="E52" s="50">
        <v>1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19</v>
      </c>
      <c r="P52" s="15">
        <f t="shared" si="1"/>
        <v>31</v>
      </c>
      <c r="R52" s="8"/>
      <c r="T52"/>
    </row>
    <row r="53" spans="2:20" ht="23.1" customHeight="1" x14ac:dyDescent="0.25">
      <c r="B53" s="45" t="s">
        <v>80</v>
      </c>
      <c r="C53" s="50">
        <v>7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7</v>
      </c>
      <c r="J53" s="50">
        <v>2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16</v>
      </c>
      <c r="P53" s="15">
        <f t="shared" si="1"/>
        <v>24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2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7</v>
      </c>
      <c r="P54" s="15">
        <f t="shared" si="1"/>
        <v>14</v>
      </c>
      <c r="R54" s="8"/>
      <c r="T54"/>
    </row>
    <row r="55" spans="2:20" ht="23.1" customHeight="1" x14ac:dyDescent="0.25">
      <c r="B55" s="45" t="s">
        <v>82</v>
      </c>
      <c r="C55" s="50">
        <v>4</v>
      </c>
      <c r="D55" s="50">
        <v>3</v>
      </c>
      <c r="E55" s="50">
        <v>3</v>
      </c>
      <c r="F55" s="50">
        <v>0</v>
      </c>
      <c r="G55" s="50">
        <v>0</v>
      </c>
      <c r="H55" s="50">
        <v>0</v>
      </c>
      <c r="I55" s="50">
        <v>4</v>
      </c>
      <c r="J55" s="50">
        <v>0</v>
      </c>
      <c r="K55" s="50">
        <v>1</v>
      </c>
      <c r="L55" s="50">
        <v>2</v>
      </c>
      <c r="M55" s="50">
        <v>9</v>
      </c>
      <c r="N55" s="50">
        <v>0</v>
      </c>
      <c r="O55" s="15">
        <f t="shared" si="0"/>
        <v>17</v>
      </c>
      <c r="P55" s="15">
        <f t="shared" si="1"/>
        <v>26</v>
      </c>
      <c r="R55" s="8"/>
      <c r="T55"/>
    </row>
    <row r="56" spans="2:20" ht="23.1" customHeight="1" x14ac:dyDescent="0.25">
      <c r="B56" s="45" t="s">
        <v>83</v>
      </c>
      <c r="C56" s="50">
        <v>5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4</v>
      </c>
      <c r="N56" s="50">
        <v>0</v>
      </c>
      <c r="O56" s="15">
        <f t="shared" si="0"/>
        <v>7</v>
      </c>
      <c r="P56" s="15">
        <f t="shared" si="1"/>
        <v>11</v>
      </c>
      <c r="R56" s="8"/>
      <c r="T56"/>
    </row>
    <row r="57" spans="2:20" ht="23.1" customHeight="1" x14ac:dyDescent="0.25">
      <c r="B57" s="45" t="s">
        <v>84</v>
      </c>
      <c r="C57" s="50">
        <v>2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1</v>
      </c>
      <c r="K57" s="50">
        <v>1</v>
      </c>
      <c r="L57" s="50">
        <v>0</v>
      </c>
      <c r="M57" s="50">
        <v>6</v>
      </c>
      <c r="N57" s="50">
        <v>0</v>
      </c>
      <c r="O57" s="15">
        <f t="shared" si="0"/>
        <v>5</v>
      </c>
      <c r="P57" s="15">
        <f t="shared" si="1"/>
        <v>11</v>
      </c>
      <c r="R57" s="8"/>
      <c r="T57"/>
    </row>
    <row r="58" spans="2:20" ht="23.1" customHeight="1" x14ac:dyDescent="0.25">
      <c r="B58" s="45" t="s">
        <v>99</v>
      </c>
      <c r="C58" s="50">
        <v>2</v>
      </c>
      <c r="D58" s="50">
        <v>0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1</v>
      </c>
      <c r="K58" s="50">
        <v>0</v>
      </c>
      <c r="L58" s="50">
        <v>1</v>
      </c>
      <c r="M58" s="50">
        <v>3</v>
      </c>
      <c r="N58" s="50">
        <v>0</v>
      </c>
      <c r="O58" s="15">
        <f t="shared" si="0"/>
        <v>4</v>
      </c>
      <c r="P58" s="15">
        <f t="shared" si="1"/>
        <v>7</v>
      </c>
      <c r="R58" s="8"/>
      <c r="T58"/>
    </row>
    <row r="59" spans="2:20" ht="23.1" customHeight="1" x14ac:dyDescent="0.25">
      <c r="B59" s="45" t="s">
        <v>100</v>
      </c>
      <c r="C59" s="50">
        <v>3</v>
      </c>
      <c r="D59" s="50">
        <v>0</v>
      </c>
      <c r="E59" s="50">
        <v>2</v>
      </c>
      <c r="F59" s="50">
        <v>1</v>
      </c>
      <c r="G59" s="50">
        <v>0</v>
      </c>
      <c r="H59" s="50">
        <v>1</v>
      </c>
      <c r="I59" s="50">
        <v>0</v>
      </c>
      <c r="J59" s="50">
        <v>2</v>
      </c>
      <c r="K59" s="50">
        <v>0</v>
      </c>
      <c r="L59" s="50">
        <v>0</v>
      </c>
      <c r="M59" s="50">
        <v>0</v>
      </c>
      <c r="N59" s="50">
        <v>0</v>
      </c>
      <c r="O59" s="15">
        <f t="shared" si="0"/>
        <v>9</v>
      </c>
      <c r="P59" s="15">
        <f t="shared" si="1"/>
        <v>9</v>
      </c>
      <c r="R59" s="8"/>
      <c r="T59"/>
    </row>
    <row r="60" spans="2:20" ht="23.1" customHeight="1" x14ac:dyDescent="0.25">
      <c r="B60" s="45" t="s">
        <v>101</v>
      </c>
      <c r="C60" s="50">
        <v>4</v>
      </c>
      <c r="D60" s="50">
        <v>2</v>
      </c>
      <c r="E60" s="50">
        <v>1</v>
      </c>
      <c r="F60" s="50">
        <v>0</v>
      </c>
      <c r="G60" s="50">
        <v>0</v>
      </c>
      <c r="H60" s="50">
        <v>0</v>
      </c>
      <c r="I60" s="50">
        <v>2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15">
        <f t="shared" si="0"/>
        <v>9</v>
      </c>
      <c r="P60" s="15">
        <f t="shared" si="1"/>
        <v>9</v>
      </c>
      <c r="R60" s="8"/>
      <c r="T60"/>
    </row>
    <row r="61" spans="2:20" ht="23.1" customHeight="1" x14ac:dyDescent="0.25">
      <c r="B61" s="45" t="s">
        <v>102</v>
      </c>
      <c r="C61" s="50">
        <v>3</v>
      </c>
      <c r="D61" s="50">
        <v>1</v>
      </c>
      <c r="E61" s="50">
        <v>0</v>
      </c>
      <c r="F61" s="50">
        <v>0</v>
      </c>
      <c r="G61" s="50">
        <v>1</v>
      </c>
      <c r="H61" s="50">
        <v>0</v>
      </c>
      <c r="I61" s="50">
        <v>0</v>
      </c>
      <c r="J61" s="50">
        <v>2</v>
      </c>
      <c r="K61" s="50">
        <v>3</v>
      </c>
      <c r="L61" s="50">
        <v>1</v>
      </c>
      <c r="M61" s="50">
        <v>0</v>
      </c>
      <c r="N61" s="50">
        <v>0</v>
      </c>
      <c r="O61" s="15">
        <f t="shared" si="0"/>
        <v>11</v>
      </c>
      <c r="P61" s="15">
        <f t="shared" si="1"/>
        <v>11</v>
      </c>
      <c r="R61" s="8"/>
      <c r="T61"/>
    </row>
    <row r="62" spans="2:20" ht="23.1" customHeight="1" x14ac:dyDescent="0.25">
      <c r="B62" s="45" t="s">
        <v>107</v>
      </c>
      <c r="C62" s="50">
        <v>5</v>
      </c>
      <c r="D62" s="50">
        <v>2</v>
      </c>
      <c r="E62" s="50">
        <v>1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1</v>
      </c>
      <c r="M62" s="50">
        <v>2</v>
      </c>
      <c r="N62" s="50">
        <v>0</v>
      </c>
      <c r="O62" s="15">
        <f t="shared" si="0"/>
        <v>9</v>
      </c>
      <c r="P62" s="15">
        <f t="shared" si="1"/>
        <v>11</v>
      </c>
      <c r="R62" s="8"/>
      <c r="T62"/>
    </row>
    <row r="63" spans="2:20" ht="23.1" customHeight="1" x14ac:dyDescent="0.25">
      <c r="B63" s="45" t="s">
        <v>108</v>
      </c>
      <c r="C63" s="50">
        <v>3</v>
      </c>
      <c r="D63" s="50">
        <v>0</v>
      </c>
      <c r="E63" s="50">
        <v>1</v>
      </c>
      <c r="F63" s="50">
        <v>2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0</v>
      </c>
      <c r="N63" s="50">
        <v>0</v>
      </c>
      <c r="O63" s="15">
        <f t="shared" si="0"/>
        <v>6</v>
      </c>
      <c r="P63" s="15">
        <f t="shared" si="1"/>
        <v>6</v>
      </c>
      <c r="R63" s="8"/>
      <c r="T63"/>
    </row>
    <row r="64" spans="2:20" ht="23.1" customHeight="1" x14ac:dyDescent="0.25">
      <c r="B64" s="45" t="s">
        <v>109</v>
      </c>
      <c r="C64" s="50">
        <v>5</v>
      </c>
      <c r="D64" s="50">
        <v>2</v>
      </c>
      <c r="E64" s="50">
        <v>0</v>
      </c>
      <c r="F64" s="50">
        <v>1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2</v>
      </c>
      <c r="M64" s="50">
        <v>3</v>
      </c>
      <c r="N64" s="50">
        <v>0</v>
      </c>
      <c r="O64" s="15">
        <f t="shared" si="0"/>
        <v>10</v>
      </c>
      <c r="P64" s="15">
        <f t="shared" si="1"/>
        <v>13</v>
      </c>
      <c r="R64" s="8"/>
      <c r="T64"/>
    </row>
    <row r="65" spans="2:20" ht="23.1" customHeight="1" x14ac:dyDescent="0.25">
      <c r="B65" s="45" t="s">
        <v>158</v>
      </c>
      <c r="C65" s="50">
        <v>7</v>
      </c>
      <c r="D65" s="50">
        <v>2</v>
      </c>
      <c r="E65" s="50">
        <v>0</v>
      </c>
      <c r="F65" s="50">
        <v>0</v>
      </c>
      <c r="G65" s="50">
        <v>0</v>
      </c>
      <c r="H65" s="50">
        <v>0</v>
      </c>
      <c r="I65" s="50">
        <v>0</v>
      </c>
      <c r="J65" s="50">
        <v>2</v>
      </c>
      <c r="K65" s="50">
        <v>1</v>
      </c>
      <c r="L65" s="50">
        <v>1</v>
      </c>
      <c r="M65" s="50">
        <v>6</v>
      </c>
      <c r="N65" s="50">
        <v>0</v>
      </c>
      <c r="O65" s="15">
        <f t="shared" si="0"/>
        <v>13</v>
      </c>
      <c r="P65" s="15">
        <f t="shared" si="1"/>
        <v>19</v>
      </c>
      <c r="R65" s="8"/>
      <c r="T65"/>
    </row>
    <row r="66" spans="2:20" ht="23.1" customHeight="1" x14ac:dyDescent="0.25">
      <c r="B66" s="45" t="s">
        <v>103</v>
      </c>
      <c r="C66" s="50">
        <v>5</v>
      </c>
      <c r="D66" s="50">
        <v>0</v>
      </c>
      <c r="E66" s="50">
        <v>1</v>
      </c>
      <c r="F66" s="50">
        <v>0</v>
      </c>
      <c r="G66" s="50">
        <v>0</v>
      </c>
      <c r="H66" s="50">
        <v>0</v>
      </c>
      <c r="I66" s="50">
        <v>1</v>
      </c>
      <c r="J66" s="50">
        <v>0</v>
      </c>
      <c r="K66" s="50">
        <v>2</v>
      </c>
      <c r="L66" s="50">
        <v>0</v>
      </c>
      <c r="M66" s="50">
        <v>0</v>
      </c>
      <c r="N66" s="50">
        <v>0</v>
      </c>
      <c r="O66" s="15">
        <f t="shared" si="0"/>
        <v>9</v>
      </c>
      <c r="P66" s="15">
        <f t="shared" si="1"/>
        <v>9</v>
      </c>
      <c r="R66" s="8"/>
      <c r="T66"/>
    </row>
    <row r="67" spans="2:20" ht="23.1" customHeight="1" x14ac:dyDescent="0.25">
      <c r="B67" s="45" t="s">
        <v>104</v>
      </c>
      <c r="C67" s="50">
        <v>2</v>
      </c>
      <c r="D67" s="50">
        <v>1</v>
      </c>
      <c r="E67" s="50">
        <v>1</v>
      </c>
      <c r="F67" s="50">
        <v>0</v>
      </c>
      <c r="G67" s="50">
        <v>0</v>
      </c>
      <c r="H67" s="50">
        <v>1</v>
      </c>
      <c r="I67" s="50">
        <v>2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15">
        <f t="shared" si="0"/>
        <v>7</v>
      </c>
      <c r="P67" s="15">
        <f t="shared" si="1"/>
        <v>7</v>
      </c>
      <c r="R67" s="8"/>
      <c r="T67"/>
    </row>
    <row r="68" spans="2:20" ht="23.1" customHeight="1" x14ac:dyDescent="0.25">
      <c r="B68" s="45" t="s">
        <v>105</v>
      </c>
      <c r="C68" s="50">
        <v>2</v>
      </c>
      <c r="D68" s="50">
        <v>0</v>
      </c>
      <c r="E68" s="50">
        <v>0</v>
      </c>
      <c r="F68" s="50">
        <v>0</v>
      </c>
      <c r="G68" s="50">
        <v>1</v>
      </c>
      <c r="H68" s="50">
        <v>0</v>
      </c>
      <c r="I68" s="50">
        <v>2</v>
      </c>
      <c r="J68" s="50">
        <v>1</v>
      </c>
      <c r="K68" s="50">
        <v>0</v>
      </c>
      <c r="L68" s="50">
        <v>0</v>
      </c>
      <c r="M68" s="50">
        <v>0</v>
      </c>
      <c r="N68" s="50">
        <v>0</v>
      </c>
      <c r="O68" s="15">
        <f t="shared" si="0"/>
        <v>6</v>
      </c>
      <c r="P68" s="15">
        <f t="shared" si="1"/>
        <v>6</v>
      </c>
      <c r="R68" s="8"/>
      <c r="T68"/>
    </row>
    <row r="69" spans="2:20" ht="23.1" customHeight="1" x14ac:dyDescent="0.25">
      <c r="B69" s="45" t="s">
        <v>106</v>
      </c>
      <c r="C69" s="50">
        <v>3</v>
      </c>
      <c r="D69" s="50">
        <v>2</v>
      </c>
      <c r="E69" s="50">
        <v>1</v>
      </c>
      <c r="F69" s="50">
        <v>0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15">
        <f t="shared" si="0"/>
        <v>7</v>
      </c>
      <c r="P69" s="15">
        <f t="shared" si="1"/>
        <v>7</v>
      </c>
      <c r="R69" s="8"/>
      <c r="T69"/>
    </row>
    <row r="70" spans="2:20" ht="23.1" customHeight="1" x14ac:dyDescent="0.25">
      <c r="B70" s="45" t="s">
        <v>110</v>
      </c>
      <c r="C70" s="50">
        <v>1</v>
      </c>
      <c r="D70" s="50">
        <v>0</v>
      </c>
      <c r="E70" s="50">
        <v>1</v>
      </c>
      <c r="F70" s="50">
        <v>0</v>
      </c>
      <c r="G70" s="50">
        <v>0</v>
      </c>
      <c r="H70" s="50">
        <v>0</v>
      </c>
      <c r="I70" s="50">
        <v>1</v>
      </c>
      <c r="J70" s="50">
        <v>1</v>
      </c>
      <c r="K70" s="50">
        <v>0</v>
      </c>
      <c r="L70" s="50">
        <v>0</v>
      </c>
      <c r="M70" s="50">
        <v>0</v>
      </c>
      <c r="N70" s="50">
        <v>0</v>
      </c>
      <c r="O70" s="15">
        <f t="shared" si="0"/>
        <v>4</v>
      </c>
      <c r="P70" s="15">
        <f t="shared" si="1"/>
        <v>4</v>
      </c>
      <c r="R70" s="8"/>
      <c r="T70"/>
    </row>
    <row r="71" spans="2:20" ht="23.1" customHeight="1" x14ac:dyDescent="0.25">
      <c r="B71" s="45" t="s">
        <v>111</v>
      </c>
      <c r="C71" s="50">
        <v>1</v>
      </c>
      <c r="D71" s="50">
        <v>1</v>
      </c>
      <c r="E71" s="50">
        <v>2</v>
      </c>
      <c r="F71" s="50">
        <v>0</v>
      </c>
      <c r="G71" s="50">
        <v>0</v>
      </c>
      <c r="H71" s="50">
        <v>0</v>
      </c>
      <c r="I71" s="50">
        <v>0</v>
      </c>
      <c r="J71" s="50">
        <v>2</v>
      </c>
      <c r="K71" s="50">
        <v>0</v>
      </c>
      <c r="L71" s="50">
        <v>0</v>
      </c>
      <c r="M71" s="50">
        <v>0</v>
      </c>
      <c r="N71" s="50">
        <v>0</v>
      </c>
      <c r="O71" s="15">
        <f t="shared" si="0"/>
        <v>6</v>
      </c>
      <c r="P71" s="15">
        <f t="shared" si="1"/>
        <v>6</v>
      </c>
      <c r="R71" s="8"/>
      <c r="T71"/>
    </row>
    <row r="72" spans="2:20" ht="23.1" customHeight="1" x14ac:dyDescent="0.25">
      <c r="B72" s="45" t="s">
        <v>112</v>
      </c>
      <c r="C72" s="50">
        <v>1</v>
      </c>
      <c r="D72" s="50">
        <v>2</v>
      </c>
      <c r="E72" s="50">
        <v>1</v>
      </c>
      <c r="F72" s="50">
        <v>0</v>
      </c>
      <c r="G72" s="50">
        <v>0</v>
      </c>
      <c r="H72" s="50">
        <v>0</v>
      </c>
      <c r="I72" s="50">
        <v>0</v>
      </c>
      <c r="J72" s="50">
        <v>1</v>
      </c>
      <c r="K72" s="50">
        <v>0</v>
      </c>
      <c r="L72" s="50">
        <v>1</v>
      </c>
      <c r="M72" s="50">
        <v>0</v>
      </c>
      <c r="N72" s="50">
        <v>0</v>
      </c>
      <c r="O72" s="15">
        <f t="shared" si="0"/>
        <v>6</v>
      </c>
      <c r="P72" s="15">
        <f t="shared" si="1"/>
        <v>6</v>
      </c>
      <c r="R72" s="8"/>
      <c r="T72"/>
    </row>
    <row r="73" spans="2:20" ht="23.1" customHeight="1" x14ac:dyDescent="0.25">
      <c r="B73" s="45" t="s">
        <v>113</v>
      </c>
      <c r="C73" s="50">
        <v>1</v>
      </c>
      <c r="D73" s="50">
        <v>1</v>
      </c>
      <c r="E73" s="50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1</v>
      </c>
      <c r="L73" s="50">
        <v>0</v>
      </c>
      <c r="M73" s="50">
        <v>0</v>
      </c>
      <c r="N73" s="50">
        <v>0</v>
      </c>
      <c r="O73" s="15">
        <f t="shared" si="0"/>
        <v>3</v>
      </c>
      <c r="P73" s="15">
        <f t="shared" si="1"/>
        <v>3</v>
      </c>
      <c r="R73" s="8"/>
      <c r="T73"/>
    </row>
    <row r="74" spans="2:20" ht="23.1" customHeight="1" x14ac:dyDescent="0.25">
      <c r="B74" s="45" t="s">
        <v>114</v>
      </c>
      <c r="C74" s="50">
        <v>1</v>
      </c>
      <c r="D74" s="50">
        <v>1</v>
      </c>
      <c r="E74" s="50">
        <v>0</v>
      </c>
      <c r="F74" s="50">
        <v>0</v>
      </c>
      <c r="G74" s="50">
        <v>0</v>
      </c>
      <c r="H74" s="50">
        <v>0</v>
      </c>
      <c r="I74" s="50">
        <v>2</v>
      </c>
      <c r="J74" s="50">
        <v>1</v>
      </c>
      <c r="K74" s="50">
        <v>0</v>
      </c>
      <c r="L74" s="50">
        <v>0</v>
      </c>
      <c r="M74" s="50">
        <v>0</v>
      </c>
      <c r="N74" s="50">
        <v>0</v>
      </c>
      <c r="O74" s="15">
        <f t="shared" ref="O74:O105" si="35">SUM(C74:L74,N74)</f>
        <v>5</v>
      </c>
      <c r="P74" s="15">
        <f t="shared" ref="P74:P105" si="36">SUM(C74:N74)</f>
        <v>5</v>
      </c>
      <c r="R74" s="8"/>
      <c r="T74"/>
    </row>
    <row r="75" spans="2:20" ht="23.1" customHeight="1" x14ac:dyDescent="0.25">
      <c r="B75" s="45" t="s">
        <v>115</v>
      </c>
      <c r="C75" s="50">
        <v>1</v>
      </c>
      <c r="D75" s="50">
        <v>0</v>
      </c>
      <c r="E75" s="50">
        <v>0</v>
      </c>
      <c r="F75" s="50">
        <v>0</v>
      </c>
      <c r="G75" s="50">
        <v>0</v>
      </c>
      <c r="H75" s="50">
        <v>0</v>
      </c>
      <c r="I75" s="50">
        <v>0</v>
      </c>
      <c r="J75" s="50">
        <v>1</v>
      </c>
      <c r="K75" s="50">
        <v>0</v>
      </c>
      <c r="L75" s="50">
        <v>0</v>
      </c>
      <c r="M75" s="50">
        <v>0</v>
      </c>
      <c r="N75" s="50">
        <v>0</v>
      </c>
      <c r="O75" s="15">
        <f t="shared" si="35"/>
        <v>2</v>
      </c>
      <c r="P75" s="15">
        <f t="shared" si="36"/>
        <v>2</v>
      </c>
      <c r="R75" s="8"/>
      <c r="T75"/>
    </row>
    <row r="76" spans="2:20" ht="23.1" customHeight="1" x14ac:dyDescent="0.25">
      <c r="B76" s="45" t="s">
        <v>116</v>
      </c>
      <c r="C76" s="50">
        <v>0</v>
      </c>
      <c r="D76" s="50">
        <v>2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1</v>
      </c>
      <c r="K76" s="50">
        <v>1</v>
      </c>
      <c r="L76" s="50">
        <v>0</v>
      </c>
      <c r="M76" s="50">
        <v>0</v>
      </c>
      <c r="N76" s="50">
        <v>0</v>
      </c>
      <c r="O76" s="15">
        <f t="shared" si="35"/>
        <v>5</v>
      </c>
      <c r="P76" s="15">
        <f t="shared" si="36"/>
        <v>5</v>
      </c>
      <c r="R76" s="8"/>
      <c r="T76"/>
    </row>
    <row r="77" spans="2:20" ht="23.1" customHeight="1" x14ac:dyDescent="0.25">
      <c r="B77" s="45" t="s">
        <v>117</v>
      </c>
      <c r="C77" s="50">
        <v>3</v>
      </c>
      <c r="D77" s="50">
        <v>0</v>
      </c>
      <c r="E77" s="50">
        <v>0</v>
      </c>
      <c r="F77" s="50">
        <v>0</v>
      </c>
      <c r="G77" s="50">
        <v>0</v>
      </c>
      <c r="H77" s="50">
        <v>0</v>
      </c>
      <c r="I77" s="50">
        <v>0</v>
      </c>
      <c r="J77" s="50">
        <v>2</v>
      </c>
      <c r="K77" s="50">
        <v>1</v>
      </c>
      <c r="L77" s="50">
        <v>0</v>
      </c>
      <c r="M77" s="50">
        <v>0</v>
      </c>
      <c r="N77" s="50">
        <v>0</v>
      </c>
      <c r="O77" s="15">
        <f t="shared" si="35"/>
        <v>6</v>
      </c>
      <c r="P77" s="15">
        <f t="shared" si="36"/>
        <v>6</v>
      </c>
      <c r="R77" s="8"/>
      <c r="T77"/>
    </row>
    <row r="78" spans="2:20" ht="23.1" customHeight="1" x14ac:dyDescent="0.25">
      <c r="B78" s="46" t="s">
        <v>118</v>
      </c>
      <c r="C78" s="50">
        <v>2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2</v>
      </c>
      <c r="J78" s="50">
        <v>1</v>
      </c>
      <c r="K78" s="50">
        <v>1</v>
      </c>
      <c r="L78" s="50">
        <v>2</v>
      </c>
      <c r="M78" s="50">
        <v>0</v>
      </c>
      <c r="N78" s="50">
        <v>0</v>
      </c>
      <c r="O78" s="15">
        <f t="shared" si="35"/>
        <v>8</v>
      </c>
      <c r="P78" s="15">
        <f t="shared" si="36"/>
        <v>8</v>
      </c>
      <c r="R78" s="8"/>
      <c r="T78"/>
    </row>
    <row r="79" spans="2:20" ht="23.1" customHeight="1" x14ac:dyDescent="0.25">
      <c r="B79" s="45" t="s">
        <v>119</v>
      </c>
      <c r="C79" s="50">
        <v>0</v>
      </c>
      <c r="D79" s="50">
        <v>0</v>
      </c>
      <c r="E79" s="50">
        <v>1</v>
      </c>
      <c r="F79" s="50">
        <v>0</v>
      </c>
      <c r="G79" s="50">
        <v>0</v>
      </c>
      <c r="H79" s="50">
        <v>0</v>
      </c>
      <c r="I79" s="50">
        <v>0</v>
      </c>
      <c r="J79" s="50">
        <v>2</v>
      </c>
      <c r="K79" s="50">
        <v>1</v>
      </c>
      <c r="L79" s="50">
        <v>0</v>
      </c>
      <c r="M79" s="50">
        <v>0</v>
      </c>
      <c r="N79" s="50">
        <v>0</v>
      </c>
      <c r="O79" s="15">
        <f t="shared" si="35"/>
        <v>4</v>
      </c>
      <c r="P79" s="15">
        <f t="shared" si="36"/>
        <v>4</v>
      </c>
      <c r="R79" s="8"/>
      <c r="T79"/>
    </row>
    <row r="80" spans="2:20" ht="23.1" customHeight="1" x14ac:dyDescent="0.25">
      <c r="B80" s="47" t="s">
        <v>120</v>
      </c>
      <c r="C80" s="50">
        <v>0</v>
      </c>
      <c r="D80" s="50">
        <v>0</v>
      </c>
      <c r="E80" s="50">
        <v>2</v>
      </c>
      <c r="F80" s="50">
        <v>0</v>
      </c>
      <c r="G80" s="50">
        <v>0</v>
      </c>
      <c r="H80" s="50">
        <v>0</v>
      </c>
      <c r="I80" s="50">
        <v>1</v>
      </c>
      <c r="J80" s="50">
        <v>1</v>
      </c>
      <c r="K80" s="50">
        <v>0</v>
      </c>
      <c r="L80" s="50">
        <v>0</v>
      </c>
      <c r="M80" s="50">
        <v>0</v>
      </c>
      <c r="N80" s="50">
        <v>0</v>
      </c>
      <c r="O80" s="15">
        <f t="shared" si="35"/>
        <v>4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v>0</v>
      </c>
      <c r="D81" s="50">
        <v>2</v>
      </c>
      <c r="E81" s="50">
        <v>1</v>
      </c>
      <c r="F81" s="50">
        <v>0</v>
      </c>
      <c r="G81" s="50">
        <v>0</v>
      </c>
      <c r="H81" s="50">
        <v>0</v>
      </c>
      <c r="I81" s="50">
        <v>2</v>
      </c>
      <c r="J81" s="50">
        <v>0</v>
      </c>
      <c r="K81" s="50">
        <v>0</v>
      </c>
      <c r="L81" s="50">
        <v>0</v>
      </c>
      <c r="M81" s="50">
        <v>0</v>
      </c>
      <c r="N81" s="50">
        <v>0</v>
      </c>
      <c r="O81" s="15">
        <f t="shared" si="35"/>
        <v>5</v>
      </c>
      <c r="P81" s="15">
        <f t="shared" si="36"/>
        <v>5</v>
      </c>
      <c r="R81" s="8"/>
      <c r="T81"/>
    </row>
    <row r="82" spans="2:20" ht="23.1" customHeight="1" x14ac:dyDescent="0.25">
      <c r="B82" s="46" t="s">
        <v>122</v>
      </c>
      <c r="C82" s="50">
        <v>1</v>
      </c>
      <c r="D82" s="50">
        <v>0</v>
      </c>
      <c r="E82" s="50">
        <v>2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1</v>
      </c>
      <c r="M82" s="50">
        <v>0</v>
      </c>
      <c r="N82" s="50">
        <v>0</v>
      </c>
      <c r="O82" s="15">
        <f t="shared" si="35"/>
        <v>4</v>
      </c>
      <c r="P82" s="15">
        <f t="shared" si="36"/>
        <v>4</v>
      </c>
      <c r="R82" s="8"/>
      <c r="T82"/>
    </row>
    <row r="83" spans="2:20" ht="23.1" customHeight="1" x14ac:dyDescent="0.25">
      <c r="B83" s="45" t="s">
        <v>123</v>
      </c>
      <c r="C83" s="50">
        <v>0</v>
      </c>
      <c r="D83" s="50">
        <v>2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2</v>
      </c>
      <c r="L83" s="50">
        <v>0</v>
      </c>
      <c r="M83" s="50">
        <v>0</v>
      </c>
      <c r="N83" s="50">
        <v>0</v>
      </c>
      <c r="O83" s="15">
        <f t="shared" si="35"/>
        <v>5</v>
      </c>
      <c r="P83" s="15">
        <f t="shared" si="36"/>
        <v>5</v>
      </c>
      <c r="R83" s="8"/>
      <c r="T83"/>
    </row>
    <row r="84" spans="2:20" ht="23.1" customHeight="1" x14ac:dyDescent="0.25">
      <c r="B84" s="47" t="s">
        <v>124</v>
      </c>
      <c r="C84" s="50">
        <v>0</v>
      </c>
      <c r="D84" s="50">
        <v>0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1</v>
      </c>
      <c r="L84" s="50">
        <v>0</v>
      </c>
      <c r="M84" s="50">
        <v>0</v>
      </c>
      <c r="N84" s="50">
        <v>0</v>
      </c>
      <c r="O84" s="15">
        <f t="shared" si="35"/>
        <v>2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v>0</v>
      </c>
      <c r="D85" s="50">
        <v>0</v>
      </c>
      <c r="E85" s="50">
        <v>2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2</v>
      </c>
      <c r="M85" s="50">
        <v>0</v>
      </c>
      <c r="N85" s="50">
        <v>0</v>
      </c>
      <c r="O85" s="15">
        <f t="shared" si="35"/>
        <v>4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v>2</v>
      </c>
      <c r="D86" s="50">
        <v>0</v>
      </c>
      <c r="E86" s="50">
        <v>1</v>
      </c>
      <c r="F86" s="50">
        <v>0</v>
      </c>
      <c r="G86" s="50">
        <v>0</v>
      </c>
      <c r="H86" s="50">
        <v>0</v>
      </c>
      <c r="I86" s="50">
        <v>1</v>
      </c>
      <c r="J86" s="50">
        <v>0</v>
      </c>
      <c r="K86" s="50">
        <v>0</v>
      </c>
      <c r="L86" s="50">
        <v>1</v>
      </c>
      <c r="M86" s="50">
        <v>0</v>
      </c>
      <c r="N86" s="50">
        <v>0</v>
      </c>
      <c r="O86" s="15">
        <f t="shared" si="35"/>
        <v>5</v>
      </c>
      <c r="P86" s="15">
        <f t="shared" si="36"/>
        <v>5</v>
      </c>
      <c r="R86" s="8"/>
      <c r="T86"/>
    </row>
    <row r="87" spans="2:20" ht="23.1" customHeight="1" x14ac:dyDescent="0.25">
      <c r="B87" s="45" t="s">
        <v>127</v>
      </c>
      <c r="C87" s="50">
        <v>2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0</v>
      </c>
      <c r="N87" s="50">
        <v>0</v>
      </c>
      <c r="O87" s="15">
        <f t="shared" si="35"/>
        <v>3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v>1</v>
      </c>
      <c r="D88" s="50">
        <v>0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1</v>
      </c>
      <c r="L88" s="50">
        <v>0</v>
      </c>
      <c r="M88" s="50">
        <v>0</v>
      </c>
      <c r="N88" s="50"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45" t="s">
        <v>129</v>
      </c>
      <c r="C89" s="50">
        <v>0</v>
      </c>
      <c r="D89" s="50">
        <v>0</v>
      </c>
      <c r="E89" s="50">
        <v>2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15">
        <f t="shared" si="35"/>
        <v>2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v>0</v>
      </c>
      <c r="D90" s="50">
        <v>2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2</v>
      </c>
      <c r="K90" s="50">
        <v>0</v>
      </c>
      <c r="L90" s="50">
        <v>0</v>
      </c>
      <c r="M90" s="50">
        <v>0</v>
      </c>
      <c r="N90" s="50">
        <v>0</v>
      </c>
      <c r="O90" s="15">
        <f t="shared" si="35"/>
        <v>5</v>
      </c>
      <c r="P90" s="15">
        <f t="shared" si="36"/>
        <v>5</v>
      </c>
      <c r="R90" s="8"/>
      <c r="T90"/>
    </row>
    <row r="91" spans="2:20" ht="23.1" customHeight="1" x14ac:dyDescent="0.25">
      <c r="B91" s="45" t="s">
        <v>131</v>
      </c>
      <c r="C91" s="50">
        <v>0</v>
      </c>
      <c r="D91" s="50">
        <v>0</v>
      </c>
      <c r="E91" s="50">
        <v>1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2</v>
      </c>
      <c r="L91" s="50">
        <v>0</v>
      </c>
      <c r="M91" s="50">
        <v>0</v>
      </c>
      <c r="N91" s="50">
        <v>0</v>
      </c>
      <c r="O91" s="15">
        <f t="shared" si="35"/>
        <v>3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v>2</v>
      </c>
      <c r="D92" s="50">
        <v>0</v>
      </c>
      <c r="E92" s="50">
        <v>1</v>
      </c>
      <c r="F92" s="50">
        <v>0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0</v>
      </c>
      <c r="N92" s="50">
        <v>0</v>
      </c>
      <c r="O92" s="15">
        <f t="shared" si="35"/>
        <v>4</v>
      </c>
      <c r="P92" s="15">
        <f t="shared" si="36"/>
        <v>4</v>
      </c>
      <c r="R92" s="8"/>
      <c r="T92"/>
    </row>
    <row r="93" spans="2:20" ht="23.1" customHeight="1" x14ac:dyDescent="0.25">
      <c r="B93" s="45" t="s">
        <v>133</v>
      </c>
      <c r="C93" s="50">
        <v>2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2</v>
      </c>
      <c r="K93" s="50">
        <v>0</v>
      </c>
      <c r="L93" s="50">
        <v>0</v>
      </c>
      <c r="M93" s="50">
        <v>0</v>
      </c>
      <c r="N93" s="50">
        <v>0</v>
      </c>
      <c r="O93" s="15">
        <f t="shared" si="35"/>
        <v>4</v>
      </c>
      <c r="P93" s="15">
        <f t="shared" si="36"/>
        <v>4</v>
      </c>
      <c r="R93" s="8"/>
      <c r="T93"/>
    </row>
    <row r="94" spans="2:20" ht="23.1" customHeight="1" x14ac:dyDescent="0.25">
      <c r="B94" s="46" t="s">
        <v>134</v>
      </c>
      <c r="C94" s="50">
        <v>2</v>
      </c>
      <c r="D94" s="50">
        <v>0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2</v>
      </c>
      <c r="K94" s="50">
        <v>0</v>
      </c>
      <c r="L94" s="50">
        <v>0</v>
      </c>
      <c r="M94" s="50">
        <v>0</v>
      </c>
      <c r="N94" s="50">
        <v>0</v>
      </c>
      <c r="O94" s="15">
        <f t="shared" si="35"/>
        <v>4</v>
      </c>
      <c r="P94" s="15">
        <f t="shared" si="36"/>
        <v>4</v>
      </c>
      <c r="R94" s="8"/>
      <c r="T94"/>
    </row>
    <row r="95" spans="2:20" ht="23.1" customHeight="1" x14ac:dyDescent="0.25">
      <c r="B95" s="45" t="s">
        <v>135</v>
      </c>
      <c r="C95" s="50">
        <v>0</v>
      </c>
      <c r="D95" s="50">
        <v>0</v>
      </c>
      <c r="E95" s="50">
        <v>1</v>
      </c>
      <c r="F95" s="50">
        <v>0</v>
      </c>
      <c r="G95" s="50">
        <v>0</v>
      </c>
      <c r="H95" s="50">
        <v>0</v>
      </c>
      <c r="I95" s="50">
        <v>2</v>
      </c>
      <c r="J95" s="50">
        <v>0</v>
      </c>
      <c r="K95" s="50">
        <v>0</v>
      </c>
      <c r="L95" s="50">
        <v>1</v>
      </c>
      <c r="M95" s="50">
        <v>0</v>
      </c>
      <c r="N95" s="50">
        <v>0</v>
      </c>
      <c r="O95" s="15">
        <f t="shared" si="35"/>
        <v>4</v>
      </c>
      <c r="P95" s="15">
        <f t="shared" si="36"/>
        <v>4</v>
      </c>
      <c r="R95" s="8"/>
      <c r="T95"/>
    </row>
    <row r="96" spans="2:20" ht="23.1" customHeight="1" x14ac:dyDescent="0.25">
      <c r="B96" s="47" t="s">
        <v>136</v>
      </c>
      <c r="C96" s="50">
        <v>1</v>
      </c>
      <c r="D96" s="50">
        <v>0</v>
      </c>
      <c r="E96" s="50">
        <v>0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2</v>
      </c>
      <c r="L96" s="50">
        <v>0</v>
      </c>
      <c r="M96" s="50">
        <v>0</v>
      </c>
      <c r="N96" s="50"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45" t="s">
        <v>137</v>
      </c>
      <c r="C97" s="50">
        <v>2</v>
      </c>
      <c r="D97" s="50">
        <v>0</v>
      </c>
      <c r="E97" s="50">
        <v>2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3</v>
      </c>
      <c r="L97" s="50">
        <v>0</v>
      </c>
      <c r="M97" s="50">
        <v>0</v>
      </c>
      <c r="N97" s="50">
        <v>0</v>
      </c>
      <c r="O97" s="15">
        <f t="shared" si="35"/>
        <v>7</v>
      </c>
      <c r="P97" s="15">
        <f t="shared" si="36"/>
        <v>7</v>
      </c>
      <c r="R97" s="8"/>
      <c r="T97"/>
    </row>
    <row r="98" spans="2:20" ht="23.1" customHeight="1" x14ac:dyDescent="0.25">
      <c r="B98" s="46" t="s">
        <v>138</v>
      </c>
      <c r="C98" s="50">
        <v>2</v>
      </c>
      <c r="D98" s="50">
        <v>0</v>
      </c>
      <c r="E98" s="50">
        <v>2</v>
      </c>
      <c r="F98" s="50">
        <v>0</v>
      </c>
      <c r="G98" s="50">
        <v>0</v>
      </c>
      <c r="H98" s="50">
        <v>0</v>
      </c>
      <c r="I98" s="50">
        <v>0</v>
      </c>
      <c r="J98" s="50">
        <v>2</v>
      </c>
      <c r="K98" s="50">
        <v>0</v>
      </c>
      <c r="L98" s="50">
        <v>0</v>
      </c>
      <c r="M98" s="50">
        <v>0</v>
      </c>
      <c r="N98" s="50">
        <v>0</v>
      </c>
      <c r="O98" s="15">
        <f t="shared" si="35"/>
        <v>6</v>
      </c>
      <c r="P98" s="15">
        <f t="shared" si="36"/>
        <v>6</v>
      </c>
      <c r="R98" s="8"/>
      <c r="T98"/>
    </row>
    <row r="99" spans="2:20" ht="23.1" customHeight="1" x14ac:dyDescent="0.25">
      <c r="B99" s="45" t="s">
        <v>139</v>
      </c>
      <c r="C99" s="50">
        <v>3</v>
      </c>
      <c r="D99" s="50">
        <v>0</v>
      </c>
      <c r="E99" s="50">
        <v>0</v>
      </c>
      <c r="F99" s="50">
        <v>0</v>
      </c>
      <c r="G99" s="50">
        <v>0</v>
      </c>
      <c r="H99" s="50">
        <v>2</v>
      </c>
      <c r="I99" s="50">
        <v>0</v>
      </c>
      <c r="J99" s="50">
        <v>0</v>
      </c>
      <c r="K99" s="50">
        <v>0</v>
      </c>
      <c r="L99" s="50">
        <v>2</v>
      </c>
      <c r="M99" s="50">
        <v>0</v>
      </c>
      <c r="N99" s="50">
        <v>0</v>
      </c>
      <c r="O99" s="15">
        <f t="shared" si="35"/>
        <v>7</v>
      </c>
      <c r="P99" s="15">
        <f t="shared" si="36"/>
        <v>7</v>
      </c>
      <c r="R99" s="8"/>
      <c r="T99"/>
    </row>
    <row r="100" spans="2:20" ht="23.1" customHeight="1" x14ac:dyDescent="0.25">
      <c r="B100" s="47" t="s">
        <v>140</v>
      </c>
      <c r="C100" s="50">
        <v>0</v>
      </c>
      <c r="D100" s="50">
        <v>2</v>
      </c>
      <c r="E100" s="50">
        <v>1</v>
      </c>
      <c r="F100" s="50">
        <v>0</v>
      </c>
      <c r="G100" s="50">
        <v>0</v>
      </c>
      <c r="H100" s="50">
        <v>0</v>
      </c>
      <c r="I100" s="50">
        <v>2</v>
      </c>
      <c r="J100" s="50">
        <v>0</v>
      </c>
      <c r="K100" s="50">
        <v>0</v>
      </c>
      <c r="L100" s="50">
        <v>2</v>
      </c>
      <c r="M100" s="50">
        <v>0</v>
      </c>
      <c r="N100" s="50">
        <v>0</v>
      </c>
      <c r="O100" s="15">
        <f t="shared" si="35"/>
        <v>7</v>
      </c>
      <c r="P100" s="15">
        <f t="shared" si="36"/>
        <v>7</v>
      </c>
      <c r="R100" s="8"/>
      <c r="T100"/>
    </row>
    <row r="101" spans="2:20" ht="23.1" customHeight="1" x14ac:dyDescent="0.25">
      <c r="B101" s="45" t="s">
        <v>141</v>
      </c>
      <c r="C101" s="50">
        <v>4</v>
      </c>
      <c r="D101" s="50">
        <v>2</v>
      </c>
      <c r="E101" s="50">
        <v>1</v>
      </c>
      <c r="F101" s="50">
        <v>0</v>
      </c>
      <c r="G101" s="50">
        <v>0</v>
      </c>
      <c r="H101" s="50">
        <v>0</v>
      </c>
      <c r="I101" s="50">
        <v>0</v>
      </c>
      <c r="J101" s="50">
        <v>2</v>
      </c>
      <c r="K101" s="50">
        <v>2</v>
      </c>
      <c r="L101" s="50">
        <v>0</v>
      </c>
      <c r="M101" s="50">
        <v>0</v>
      </c>
      <c r="N101" s="50">
        <v>0</v>
      </c>
      <c r="O101" s="15">
        <f t="shared" si="35"/>
        <v>11</v>
      </c>
      <c r="P101" s="15">
        <f t="shared" si="36"/>
        <v>11</v>
      </c>
      <c r="R101" s="8"/>
      <c r="T101"/>
    </row>
    <row r="102" spans="2:20" ht="23.1" customHeight="1" x14ac:dyDescent="0.25">
      <c r="B102" s="46" t="s">
        <v>142</v>
      </c>
      <c r="C102" s="50">
        <v>1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5</v>
      </c>
      <c r="N102" s="50">
        <v>0</v>
      </c>
      <c r="O102" s="15">
        <f t="shared" si="35"/>
        <v>1</v>
      </c>
      <c r="P102" s="15">
        <f t="shared" si="36"/>
        <v>6</v>
      </c>
      <c r="R102" s="8"/>
      <c r="T102"/>
    </row>
    <row r="103" spans="2:20" ht="23.1" customHeight="1" x14ac:dyDescent="0.25">
      <c r="B103" s="45" t="s">
        <v>143</v>
      </c>
      <c r="C103" s="50">
        <v>2</v>
      </c>
      <c r="D103" s="50">
        <v>0</v>
      </c>
      <c r="E103" s="50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0</v>
      </c>
      <c r="N103" s="50">
        <v>0</v>
      </c>
      <c r="O103" s="15">
        <f t="shared" si="35"/>
        <v>3</v>
      </c>
      <c r="P103" s="15">
        <f t="shared" si="36"/>
        <v>3</v>
      </c>
      <c r="R103" s="8"/>
      <c r="T103"/>
    </row>
    <row r="104" spans="2:20" ht="23.1" customHeight="1" x14ac:dyDescent="0.25">
      <c r="B104" s="47" t="s">
        <v>144</v>
      </c>
      <c r="C104" s="50">
        <v>1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2</v>
      </c>
      <c r="N104" s="50">
        <v>0</v>
      </c>
      <c r="O104" s="15">
        <f t="shared" si="35"/>
        <v>1</v>
      </c>
      <c r="P104" s="15">
        <f t="shared" si="36"/>
        <v>3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2</v>
      </c>
      <c r="E105" s="50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3</v>
      </c>
      <c r="N105" s="50">
        <v>0</v>
      </c>
      <c r="O105" s="15">
        <f t="shared" si="35"/>
        <v>5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357</v>
      </c>
      <c r="D106" s="16">
        <f t="shared" ref="D106:P106" si="37">SUM(D10:D105)</f>
        <v>158</v>
      </c>
      <c r="E106" s="16">
        <f t="shared" si="37"/>
        <v>89</v>
      </c>
      <c r="F106" s="16">
        <f t="shared" si="37"/>
        <v>11</v>
      </c>
      <c r="G106" s="16">
        <f t="shared" si="37"/>
        <v>3</v>
      </c>
      <c r="H106" s="16">
        <f t="shared" si="37"/>
        <v>4</v>
      </c>
      <c r="I106" s="16">
        <f t="shared" si="37"/>
        <v>124</v>
      </c>
      <c r="J106" s="16">
        <f t="shared" si="37"/>
        <v>43</v>
      </c>
      <c r="K106" s="16">
        <f t="shared" si="37"/>
        <v>32</v>
      </c>
      <c r="L106" s="16">
        <f t="shared" si="37"/>
        <v>31</v>
      </c>
      <c r="M106" s="16">
        <f t="shared" si="37"/>
        <v>378</v>
      </c>
      <c r="N106" s="16">
        <f t="shared" si="37"/>
        <v>1</v>
      </c>
      <c r="O106" s="16">
        <f t="shared" si="37"/>
        <v>853</v>
      </c>
      <c r="P106" s="16">
        <f t="shared" si="37"/>
        <v>1231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0.29000812347684807</v>
      </c>
      <c r="D107" s="43">
        <f t="shared" si="38"/>
        <v>0.12835093419983754</v>
      </c>
      <c r="E107" s="43">
        <f t="shared" si="38"/>
        <v>7.2298943948009745E-2</v>
      </c>
      <c r="F107" s="43">
        <f t="shared" si="38"/>
        <v>8.9358245329000819E-3</v>
      </c>
      <c r="G107" s="43">
        <f t="shared" si="38"/>
        <v>2.437043054427295E-3</v>
      </c>
      <c r="H107" s="43">
        <f t="shared" si="38"/>
        <v>3.249390739236393E-3</v>
      </c>
      <c r="I107" s="43">
        <f t="shared" si="38"/>
        <v>0.10073111291632819</v>
      </c>
      <c r="J107" s="43">
        <f t="shared" si="38"/>
        <v>3.4930950446791224E-2</v>
      </c>
      <c r="K107" s="43">
        <f t="shared" si="38"/>
        <v>2.5995125913891144E-2</v>
      </c>
      <c r="L107" s="43">
        <f t="shared" si="38"/>
        <v>2.5182778229082048E-2</v>
      </c>
      <c r="M107" s="43">
        <f t="shared" si="38"/>
        <v>0.30706742485783917</v>
      </c>
      <c r="N107" s="43">
        <f t="shared" si="38"/>
        <v>8.1234768480909826E-4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0.41852286049237986</v>
      </c>
      <c r="D108" s="44">
        <f t="shared" ref="D108:N108" si="39">D106/$O$106</f>
        <v>0.18522860492379836</v>
      </c>
      <c r="E108" s="44">
        <f t="shared" si="39"/>
        <v>0.10433763188745604</v>
      </c>
      <c r="F108" s="44">
        <f t="shared" si="39"/>
        <v>1.2895662368112544E-2</v>
      </c>
      <c r="G108" s="44">
        <f t="shared" si="39"/>
        <v>3.5169988276670576E-3</v>
      </c>
      <c r="H108" s="44">
        <f t="shared" si="39"/>
        <v>4.6893317702227429E-3</v>
      </c>
      <c r="I108" s="44">
        <f t="shared" si="39"/>
        <v>0.14536928487690504</v>
      </c>
      <c r="J108" s="44">
        <f t="shared" si="39"/>
        <v>5.0410316529894493E-2</v>
      </c>
      <c r="K108" s="44">
        <f t="shared" si="39"/>
        <v>3.7514654161781943E-2</v>
      </c>
      <c r="L108" s="44">
        <f t="shared" si="39"/>
        <v>3.6342321219226259E-2</v>
      </c>
      <c r="M108" s="44"/>
      <c r="N108" s="44">
        <f t="shared" si="39"/>
        <v>1.1723329425556857E-3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Lyantonde-Rushere'!C3:G3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'25.10 Lyantonde-Rushere'!G5:H5</f>
        <v>Kaguta road JTC</v>
      </c>
      <c r="H5" s="64"/>
      <c r="I5" s="14"/>
      <c r="J5" s="2" t="s">
        <v>5</v>
      </c>
      <c r="K5" s="63" t="str">
        <f>'25.10 Lyantonde-Rushere'!K5:L5</f>
        <v>Josephine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Lyantonde-Rushere'!D6:E6</f>
        <v>Lyantonde</v>
      </c>
      <c r="E6" s="64"/>
      <c r="F6" s="2" t="s">
        <v>2</v>
      </c>
      <c r="G6" s="63" t="str">
        <f>'25.10 Lyantonde-Rushere'!G6:H6</f>
        <v>Rushere</v>
      </c>
      <c r="H6" s="64"/>
      <c r="J6" s="2" t="s">
        <v>21</v>
      </c>
      <c r="K6" s="63" t="str">
        <f>'25.10 Lyantonde-Rushere'!K6:L6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2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6</v>
      </c>
      <c r="T10" s="17">
        <f t="shared" si="2"/>
        <v>2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3</v>
      </c>
      <c r="AA10" s="17">
        <f t="shared" si="2"/>
        <v>0</v>
      </c>
      <c r="AB10" s="17">
        <f t="shared" si="2"/>
        <v>0</v>
      </c>
      <c r="AC10" s="17">
        <f t="shared" si="2"/>
        <v>12</v>
      </c>
      <c r="AD10" s="17">
        <f t="shared" si="2"/>
        <v>0</v>
      </c>
      <c r="AE10" s="31">
        <f t="shared" si="2"/>
        <v>17</v>
      </c>
      <c r="AF10" s="31">
        <f t="shared" si="2"/>
        <v>29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2</v>
      </c>
      <c r="P11" s="15">
        <f t="shared" si="1"/>
        <v>4</v>
      </c>
      <c r="R11" s="1" t="s">
        <v>7</v>
      </c>
      <c r="S11" s="17">
        <f t="shared" ref="S11:AF11" si="3">SUM(C14:C17)</f>
        <v>7</v>
      </c>
      <c r="T11" s="17">
        <f t="shared" si="3"/>
        <v>2</v>
      </c>
      <c r="U11" s="17">
        <f t="shared" si="3"/>
        <v>4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2</v>
      </c>
      <c r="AA11" s="17">
        <f t="shared" si="3"/>
        <v>2</v>
      </c>
      <c r="AB11" s="17">
        <f t="shared" si="3"/>
        <v>1</v>
      </c>
      <c r="AC11" s="17">
        <f t="shared" si="3"/>
        <v>18</v>
      </c>
      <c r="AD11" s="17">
        <f t="shared" si="3"/>
        <v>0</v>
      </c>
      <c r="AE11" s="31">
        <f t="shared" si="3"/>
        <v>20</v>
      </c>
      <c r="AF11" s="31">
        <f t="shared" si="3"/>
        <v>38</v>
      </c>
    </row>
    <row r="12" spans="2:32" ht="23.1" customHeight="1" x14ac:dyDescent="0.25">
      <c r="B12" s="23" t="s">
        <v>39</v>
      </c>
      <c r="C12" s="50">
        <v>1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4</v>
      </c>
      <c r="P12" s="15">
        <f t="shared" si="1"/>
        <v>6</v>
      </c>
      <c r="R12" s="1" t="s">
        <v>8</v>
      </c>
      <c r="S12" s="17">
        <f t="shared" ref="S12:AF12" si="4">SUM(C18:C21)</f>
        <v>6</v>
      </c>
      <c r="T12" s="17">
        <f t="shared" si="4"/>
        <v>3</v>
      </c>
      <c r="U12" s="17">
        <f t="shared" si="4"/>
        <v>4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1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14</v>
      </c>
      <c r="AD12" s="17">
        <f t="shared" si="4"/>
        <v>2</v>
      </c>
      <c r="AE12" s="31">
        <f t="shared" si="4"/>
        <v>19</v>
      </c>
      <c r="AF12" s="31">
        <f t="shared" si="4"/>
        <v>33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1</v>
      </c>
      <c r="F13" s="50">
        <v>1</v>
      </c>
      <c r="G13" s="50">
        <v>0</v>
      </c>
      <c r="H13" s="50">
        <v>0</v>
      </c>
      <c r="I13" s="50">
        <v>1</v>
      </c>
      <c r="J13" s="50">
        <v>1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9</v>
      </c>
      <c r="P13" s="15">
        <f t="shared" si="1"/>
        <v>14</v>
      </c>
      <c r="R13" s="1" t="s">
        <v>9</v>
      </c>
      <c r="S13" s="17">
        <f t="shared" ref="S13:AF13" si="5">SUM(C22:C25)</f>
        <v>7</v>
      </c>
      <c r="T13" s="17">
        <f t="shared" si="5"/>
        <v>1</v>
      </c>
      <c r="U13" s="17">
        <f t="shared" si="5"/>
        <v>7</v>
      </c>
      <c r="V13" s="17">
        <f t="shared" si="5"/>
        <v>0</v>
      </c>
      <c r="W13" s="17">
        <f t="shared" si="5"/>
        <v>1</v>
      </c>
      <c r="X13" s="17">
        <f t="shared" si="5"/>
        <v>0</v>
      </c>
      <c r="Y13" s="17">
        <f t="shared" si="5"/>
        <v>3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16</v>
      </c>
      <c r="AD13" s="17">
        <f t="shared" si="5"/>
        <v>0</v>
      </c>
      <c r="AE13" s="31">
        <f t="shared" si="5"/>
        <v>20</v>
      </c>
      <c r="AF13" s="31">
        <f t="shared" si="5"/>
        <v>36</v>
      </c>
    </row>
    <row r="14" spans="2:32" ht="23.1" customHeight="1" x14ac:dyDescent="0.25">
      <c r="B14" s="23" t="s">
        <v>41</v>
      </c>
      <c r="C14" s="50">
        <v>3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5</v>
      </c>
      <c r="N14" s="50">
        <v>0</v>
      </c>
      <c r="O14" s="15">
        <f t="shared" si="0"/>
        <v>4</v>
      </c>
      <c r="P14" s="15">
        <f t="shared" si="1"/>
        <v>9</v>
      </c>
      <c r="R14" s="1" t="s">
        <v>10</v>
      </c>
      <c r="S14" s="17">
        <f t="shared" ref="S14:AF14" si="6">SUM(C26:C29)</f>
        <v>15</v>
      </c>
      <c r="T14" s="17">
        <f t="shared" si="6"/>
        <v>1</v>
      </c>
      <c r="U14" s="17">
        <f t="shared" si="6"/>
        <v>3</v>
      </c>
      <c r="V14" s="17">
        <f t="shared" si="6"/>
        <v>0</v>
      </c>
      <c r="W14" s="17">
        <f t="shared" si="6"/>
        <v>1</v>
      </c>
      <c r="X14" s="17">
        <f t="shared" si="6"/>
        <v>1</v>
      </c>
      <c r="Y14" s="17">
        <f t="shared" si="6"/>
        <v>6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30</v>
      </c>
      <c r="AD14" s="17">
        <f t="shared" si="6"/>
        <v>0</v>
      </c>
      <c r="AE14" s="31">
        <f t="shared" si="6"/>
        <v>29</v>
      </c>
      <c r="AF14" s="31">
        <f t="shared" si="6"/>
        <v>59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1</v>
      </c>
      <c r="M15" s="50">
        <v>2</v>
      </c>
      <c r="N15" s="50">
        <v>0</v>
      </c>
      <c r="O15" s="15">
        <f t="shared" si="0"/>
        <v>5</v>
      </c>
      <c r="P15" s="15">
        <f t="shared" si="1"/>
        <v>7</v>
      </c>
      <c r="R15" s="1" t="s">
        <v>11</v>
      </c>
      <c r="S15" s="17">
        <f t="shared" ref="S15:AF15" si="7">SUM(C30:C33)</f>
        <v>11</v>
      </c>
      <c r="T15" s="17">
        <f t="shared" si="7"/>
        <v>1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1</v>
      </c>
      <c r="AA15" s="17">
        <f t="shared" si="7"/>
        <v>2</v>
      </c>
      <c r="AB15" s="17">
        <f t="shared" si="7"/>
        <v>0</v>
      </c>
      <c r="AC15" s="17">
        <f t="shared" si="7"/>
        <v>10</v>
      </c>
      <c r="AD15" s="17">
        <f t="shared" si="7"/>
        <v>0</v>
      </c>
      <c r="AE15" s="31">
        <f t="shared" si="7"/>
        <v>18</v>
      </c>
      <c r="AF15" s="31">
        <f t="shared" si="7"/>
        <v>28</v>
      </c>
    </row>
    <row r="16" spans="2:32" ht="23.1" customHeight="1" x14ac:dyDescent="0.25">
      <c r="B16" s="23" t="s">
        <v>43</v>
      </c>
      <c r="C16" s="50">
        <v>0</v>
      </c>
      <c r="D16" s="50">
        <v>1</v>
      </c>
      <c r="E16" s="50">
        <v>1</v>
      </c>
      <c r="F16" s="50">
        <v>0</v>
      </c>
      <c r="G16" s="50">
        <v>0</v>
      </c>
      <c r="H16" s="50">
        <v>0</v>
      </c>
      <c r="I16" s="50">
        <v>0</v>
      </c>
      <c r="J16" s="50">
        <v>1</v>
      </c>
      <c r="K16" s="50">
        <v>1</v>
      </c>
      <c r="L16" s="50">
        <v>0</v>
      </c>
      <c r="M16" s="50">
        <v>8</v>
      </c>
      <c r="N16" s="50">
        <v>0</v>
      </c>
      <c r="O16" s="15">
        <f t="shared" si="0"/>
        <v>4</v>
      </c>
      <c r="P16" s="15">
        <f t="shared" si="1"/>
        <v>12</v>
      </c>
      <c r="R16" s="1" t="s">
        <v>12</v>
      </c>
      <c r="S16" s="17">
        <f t="shared" ref="S16:AF16" si="8">SUM(C34:C37)</f>
        <v>20</v>
      </c>
      <c r="T16" s="17">
        <f t="shared" si="8"/>
        <v>0</v>
      </c>
      <c r="U16" s="17">
        <f t="shared" si="8"/>
        <v>5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3</v>
      </c>
      <c r="AA16" s="17">
        <f t="shared" si="8"/>
        <v>1</v>
      </c>
      <c r="AB16" s="17">
        <f t="shared" si="8"/>
        <v>0</v>
      </c>
      <c r="AC16" s="17">
        <f t="shared" si="8"/>
        <v>23</v>
      </c>
      <c r="AD16" s="17">
        <f t="shared" si="8"/>
        <v>0</v>
      </c>
      <c r="AE16" s="31">
        <f t="shared" si="8"/>
        <v>30</v>
      </c>
      <c r="AF16" s="31">
        <f t="shared" si="8"/>
        <v>53</v>
      </c>
    </row>
    <row r="17" spans="2:32" ht="23.1" customHeight="1" x14ac:dyDescent="0.25">
      <c r="B17" s="23" t="s">
        <v>44</v>
      </c>
      <c r="C17" s="50">
        <v>3</v>
      </c>
      <c r="D17" s="50">
        <v>1</v>
      </c>
      <c r="E17" s="50">
        <v>1</v>
      </c>
      <c r="F17" s="50">
        <v>1</v>
      </c>
      <c r="G17" s="50">
        <v>0</v>
      </c>
      <c r="H17" s="50">
        <v>0</v>
      </c>
      <c r="I17" s="50">
        <v>0</v>
      </c>
      <c r="J17" s="50">
        <v>1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7</v>
      </c>
      <c r="P17" s="15">
        <f t="shared" si="1"/>
        <v>10</v>
      </c>
      <c r="R17" s="1" t="s">
        <v>13</v>
      </c>
      <c r="S17" s="17">
        <f t="shared" ref="S17:AF17" si="9">SUM(C38:C41)</f>
        <v>14</v>
      </c>
      <c r="T17" s="17">
        <f t="shared" si="9"/>
        <v>4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5</v>
      </c>
      <c r="AA17" s="17">
        <f t="shared" si="9"/>
        <v>4</v>
      </c>
      <c r="AB17" s="17">
        <f t="shared" si="9"/>
        <v>1</v>
      </c>
      <c r="AC17" s="17">
        <f t="shared" si="9"/>
        <v>18</v>
      </c>
      <c r="AD17" s="17">
        <f t="shared" si="9"/>
        <v>0</v>
      </c>
      <c r="AE17" s="31">
        <f t="shared" si="9"/>
        <v>33</v>
      </c>
      <c r="AF17" s="31">
        <f t="shared" si="9"/>
        <v>51</v>
      </c>
    </row>
    <row r="18" spans="2:32" ht="23.1" customHeight="1" x14ac:dyDescent="0.25">
      <c r="B18" s="23" t="s">
        <v>45</v>
      </c>
      <c r="C18" s="50">
        <v>0</v>
      </c>
      <c r="D18" s="50">
        <v>1</v>
      </c>
      <c r="E18" s="50">
        <v>2</v>
      </c>
      <c r="F18" s="50">
        <v>1</v>
      </c>
      <c r="G18" s="50">
        <v>0</v>
      </c>
      <c r="H18" s="50">
        <v>0</v>
      </c>
      <c r="I18" s="50">
        <v>1</v>
      </c>
      <c r="J18" s="50">
        <v>2</v>
      </c>
      <c r="K18" s="50">
        <v>0</v>
      </c>
      <c r="L18" s="50">
        <v>0</v>
      </c>
      <c r="M18" s="50">
        <v>3</v>
      </c>
      <c r="N18" s="50">
        <v>0</v>
      </c>
      <c r="O18" s="15">
        <f t="shared" si="0"/>
        <v>7</v>
      </c>
      <c r="P18" s="15">
        <f t="shared" si="1"/>
        <v>10</v>
      </c>
      <c r="R18" s="1" t="s">
        <v>14</v>
      </c>
      <c r="S18" s="17">
        <f t="shared" ref="S18:AF18" si="10">SUM(C42:C45)</f>
        <v>10</v>
      </c>
      <c r="T18" s="17">
        <f t="shared" si="10"/>
        <v>7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1</v>
      </c>
      <c r="Y18" s="17">
        <f t="shared" si="10"/>
        <v>1</v>
      </c>
      <c r="Z18" s="17">
        <f t="shared" si="10"/>
        <v>1</v>
      </c>
      <c r="AA18" s="17">
        <f t="shared" si="10"/>
        <v>1</v>
      </c>
      <c r="AB18" s="17">
        <f t="shared" si="10"/>
        <v>0</v>
      </c>
      <c r="AC18" s="17">
        <f t="shared" si="10"/>
        <v>23</v>
      </c>
      <c r="AD18" s="17">
        <f t="shared" si="10"/>
        <v>0</v>
      </c>
      <c r="AE18" s="31">
        <f t="shared" si="10"/>
        <v>21</v>
      </c>
      <c r="AF18" s="31">
        <f t="shared" si="10"/>
        <v>44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2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3</v>
      </c>
      <c r="N19" s="50">
        <v>0</v>
      </c>
      <c r="O19" s="15">
        <f t="shared" si="0"/>
        <v>3</v>
      </c>
      <c r="P19" s="15">
        <f t="shared" si="1"/>
        <v>6</v>
      </c>
      <c r="R19" s="1" t="s">
        <v>15</v>
      </c>
      <c r="S19" s="17">
        <f t="shared" ref="S19:AF19" si="11">SUM(C46:C49)</f>
        <v>11</v>
      </c>
      <c r="T19" s="17">
        <f t="shared" si="11"/>
        <v>2</v>
      </c>
      <c r="U19" s="17">
        <f t="shared" si="11"/>
        <v>2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5</v>
      </c>
      <c r="AA19" s="17">
        <f t="shared" si="11"/>
        <v>1</v>
      </c>
      <c r="AB19" s="17">
        <f t="shared" si="11"/>
        <v>0</v>
      </c>
      <c r="AC19" s="17">
        <f t="shared" si="11"/>
        <v>25</v>
      </c>
      <c r="AD19" s="17">
        <f t="shared" si="11"/>
        <v>0</v>
      </c>
      <c r="AE19" s="31">
        <f t="shared" si="11"/>
        <v>22</v>
      </c>
      <c r="AF19" s="31">
        <f t="shared" si="11"/>
        <v>47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6</v>
      </c>
      <c r="N20" s="50">
        <v>0</v>
      </c>
      <c r="O20" s="15">
        <f t="shared" si="0"/>
        <v>2</v>
      </c>
      <c r="P20" s="15">
        <f t="shared" si="1"/>
        <v>8</v>
      </c>
      <c r="R20" s="1" t="s">
        <v>16</v>
      </c>
      <c r="S20" s="17">
        <f t="shared" ref="S20:AF20" si="12">SUM(C50:C53)</f>
        <v>22</v>
      </c>
      <c r="T20" s="17">
        <f t="shared" si="12"/>
        <v>5</v>
      </c>
      <c r="U20" s="17">
        <f t="shared" si="12"/>
        <v>1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30</v>
      </c>
      <c r="AD20" s="17">
        <f t="shared" si="12"/>
        <v>0</v>
      </c>
      <c r="AE20" s="31">
        <f t="shared" si="12"/>
        <v>32</v>
      </c>
      <c r="AF20" s="31">
        <f t="shared" si="12"/>
        <v>62</v>
      </c>
    </row>
    <row r="21" spans="2:32" ht="23.1" customHeight="1" x14ac:dyDescent="0.25">
      <c r="B21" s="23" t="s">
        <v>48</v>
      </c>
      <c r="C21" s="50">
        <v>3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</v>
      </c>
      <c r="N21" s="50">
        <v>2</v>
      </c>
      <c r="O21" s="15">
        <f t="shared" si="0"/>
        <v>7</v>
      </c>
      <c r="P21" s="15">
        <f t="shared" si="1"/>
        <v>9</v>
      </c>
      <c r="R21" s="36" t="s">
        <v>20</v>
      </c>
      <c r="S21" s="34">
        <f t="shared" ref="S21:AF21" si="13">SUM(C54:C57)</f>
        <v>28</v>
      </c>
      <c r="T21" s="17">
        <f t="shared" si="13"/>
        <v>8</v>
      </c>
      <c r="U21" s="17">
        <f t="shared" si="13"/>
        <v>7</v>
      </c>
      <c r="V21" s="17">
        <f t="shared" si="13"/>
        <v>3</v>
      </c>
      <c r="W21" s="17">
        <f t="shared" si="13"/>
        <v>0</v>
      </c>
      <c r="X21" s="17">
        <f t="shared" si="13"/>
        <v>2</v>
      </c>
      <c r="Y21" s="17">
        <f t="shared" si="13"/>
        <v>2</v>
      </c>
      <c r="Z21" s="17">
        <f t="shared" si="13"/>
        <v>5</v>
      </c>
      <c r="AA21" s="17">
        <f t="shared" si="13"/>
        <v>2</v>
      </c>
      <c r="AB21" s="17">
        <f t="shared" si="13"/>
        <v>2</v>
      </c>
      <c r="AC21" s="17">
        <f t="shared" si="13"/>
        <v>28</v>
      </c>
      <c r="AD21" s="17">
        <f t="shared" si="13"/>
        <v>0</v>
      </c>
      <c r="AE21" s="31">
        <f t="shared" si="13"/>
        <v>59</v>
      </c>
      <c r="AF21" s="31">
        <f t="shared" si="13"/>
        <v>87</v>
      </c>
    </row>
    <row r="22" spans="2:32" ht="23.1" customHeight="1" x14ac:dyDescent="0.25">
      <c r="B22" s="23" t="s">
        <v>49</v>
      </c>
      <c r="C22" s="50">
        <v>2</v>
      </c>
      <c r="D22" s="50">
        <v>0</v>
      </c>
      <c r="E22" s="50">
        <v>3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3</v>
      </c>
      <c r="N22" s="50">
        <v>0</v>
      </c>
      <c r="O22" s="15">
        <f t="shared" si="0"/>
        <v>5</v>
      </c>
      <c r="P22" s="15">
        <f t="shared" si="1"/>
        <v>8</v>
      </c>
      <c r="R22" s="38" t="s">
        <v>90</v>
      </c>
      <c r="S22" s="39">
        <f>MAX(S10:S12)</f>
        <v>7</v>
      </c>
      <c r="T22" s="39">
        <f t="shared" ref="T22:AF22" si="14">MAX(T10:T12)</f>
        <v>3</v>
      </c>
      <c r="U22" s="39">
        <f t="shared" si="14"/>
        <v>4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3</v>
      </c>
      <c r="AA22" s="39">
        <f t="shared" si="14"/>
        <v>2</v>
      </c>
      <c r="AB22" s="39">
        <f t="shared" si="14"/>
        <v>1</v>
      </c>
      <c r="AC22" s="39">
        <f t="shared" si="14"/>
        <v>18</v>
      </c>
      <c r="AD22" s="39">
        <f t="shared" si="14"/>
        <v>2</v>
      </c>
      <c r="AE22" s="40">
        <f t="shared" si="14"/>
        <v>20</v>
      </c>
      <c r="AF22" s="40">
        <f t="shared" si="14"/>
        <v>38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2</v>
      </c>
      <c r="P23" s="15">
        <f t="shared" si="1"/>
        <v>5</v>
      </c>
      <c r="R23" s="38" t="s">
        <v>91</v>
      </c>
      <c r="S23" s="39">
        <f>MAX(S13:S18)</f>
        <v>20</v>
      </c>
      <c r="T23" s="39">
        <f t="shared" ref="T23:AF23" si="15">MAX(T13:T18)</f>
        <v>7</v>
      </c>
      <c r="U23" s="39">
        <f t="shared" si="15"/>
        <v>7</v>
      </c>
      <c r="V23" s="39">
        <f t="shared" si="15"/>
        <v>0</v>
      </c>
      <c r="W23" s="39">
        <f t="shared" si="15"/>
        <v>1</v>
      </c>
      <c r="X23" s="39">
        <f t="shared" si="15"/>
        <v>1</v>
      </c>
      <c r="Y23" s="39">
        <f t="shared" si="15"/>
        <v>6</v>
      </c>
      <c r="Z23" s="39">
        <f t="shared" si="15"/>
        <v>5</v>
      </c>
      <c r="AA23" s="39">
        <f t="shared" si="15"/>
        <v>4</v>
      </c>
      <c r="AB23" s="39">
        <f t="shared" si="15"/>
        <v>1</v>
      </c>
      <c r="AC23" s="39">
        <f t="shared" si="15"/>
        <v>30</v>
      </c>
      <c r="AD23" s="39">
        <f t="shared" si="15"/>
        <v>0</v>
      </c>
      <c r="AE23" s="40">
        <f t="shared" si="15"/>
        <v>33</v>
      </c>
      <c r="AF23" s="40">
        <f t="shared" si="15"/>
        <v>59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1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5</v>
      </c>
      <c r="N24" s="50">
        <v>0</v>
      </c>
      <c r="O24" s="15">
        <f t="shared" si="0"/>
        <v>3</v>
      </c>
      <c r="P24" s="15">
        <f t="shared" si="1"/>
        <v>8</v>
      </c>
      <c r="R24" s="38" t="s">
        <v>92</v>
      </c>
      <c r="S24" s="39">
        <f>MAX(S19:S21)</f>
        <v>28</v>
      </c>
      <c r="T24" s="39">
        <f t="shared" ref="T24:AF24" si="16">MAX(T19:T21)</f>
        <v>8</v>
      </c>
      <c r="U24" s="39">
        <f t="shared" si="16"/>
        <v>7</v>
      </c>
      <c r="V24" s="39">
        <f t="shared" si="16"/>
        <v>3</v>
      </c>
      <c r="W24" s="39">
        <f t="shared" si="16"/>
        <v>0</v>
      </c>
      <c r="X24" s="39">
        <f t="shared" si="16"/>
        <v>2</v>
      </c>
      <c r="Y24" s="39">
        <f t="shared" si="16"/>
        <v>2</v>
      </c>
      <c r="Z24" s="39">
        <f t="shared" si="16"/>
        <v>5</v>
      </c>
      <c r="AA24" s="39">
        <f t="shared" si="16"/>
        <v>2</v>
      </c>
      <c r="AB24" s="39">
        <f t="shared" si="16"/>
        <v>2</v>
      </c>
      <c r="AC24" s="39">
        <f t="shared" si="16"/>
        <v>30</v>
      </c>
      <c r="AD24" s="39">
        <f t="shared" si="16"/>
        <v>0</v>
      </c>
      <c r="AE24" s="40">
        <f t="shared" si="16"/>
        <v>59</v>
      </c>
      <c r="AF24" s="40">
        <f t="shared" si="16"/>
        <v>87</v>
      </c>
    </row>
    <row r="25" spans="2:32" ht="23.1" customHeight="1" x14ac:dyDescent="0.25">
      <c r="B25" s="23" t="s">
        <v>52</v>
      </c>
      <c r="C25" s="50">
        <v>5</v>
      </c>
      <c r="D25" s="50">
        <v>1</v>
      </c>
      <c r="E25" s="50">
        <v>3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10</v>
      </c>
      <c r="P25" s="15">
        <f t="shared" si="1"/>
        <v>15</v>
      </c>
      <c r="R25" s="37" t="s">
        <v>85</v>
      </c>
      <c r="S25" s="35">
        <f t="shared" ref="S25:AF25" si="17">SUM(S10:S12)</f>
        <v>19</v>
      </c>
      <c r="T25" s="16">
        <f t="shared" si="17"/>
        <v>7</v>
      </c>
      <c r="U25" s="16">
        <f t="shared" si="17"/>
        <v>10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5</v>
      </c>
      <c r="Z25" s="16">
        <f t="shared" si="17"/>
        <v>7</v>
      </c>
      <c r="AA25" s="16">
        <f t="shared" si="17"/>
        <v>2</v>
      </c>
      <c r="AB25" s="16">
        <f t="shared" si="17"/>
        <v>1</v>
      </c>
      <c r="AC25" s="16">
        <f t="shared" si="17"/>
        <v>44</v>
      </c>
      <c r="AD25" s="16">
        <f t="shared" si="17"/>
        <v>2</v>
      </c>
      <c r="AE25" s="32">
        <f t="shared" si="17"/>
        <v>56</v>
      </c>
      <c r="AF25" s="32">
        <f t="shared" si="17"/>
        <v>100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2</v>
      </c>
      <c r="F26" s="50">
        <v>0</v>
      </c>
      <c r="G26" s="50">
        <v>1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10</v>
      </c>
      <c r="N26" s="50">
        <v>0</v>
      </c>
      <c r="O26" s="15">
        <f t="shared" si="0"/>
        <v>7</v>
      </c>
      <c r="P26" s="15">
        <f t="shared" si="1"/>
        <v>17</v>
      </c>
      <c r="R26" s="28" t="s">
        <v>86</v>
      </c>
      <c r="S26" s="16">
        <f t="shared" ref="S26:AF26" si="18">SUM(S13:S18)</f>
        <v>77</v>
      </c>
      <c r="T26" s="16">
        <f t="shared" si="18"/>
        <v>14</v>
      </c>
      <c r="U26" s="16">
        <f t="shared" si="18"/>
        <v>19</v>
      </c>
      <c r="V26" s="16">
        <f t="shared" si="18"/>
        <v>0</v>
      </c>
      <c r="W26" s="16">
        <f t="shared" si="18"/>
        <v>2</v>
      </c>
      <c r="X26" s="16">
        <f t="shared" si="18"/>
        <v>2</v>
      </c>
      <c r="Y26" s="16">
        <f t="shared" si="18"/>
        <v>15</v>
      </c>
      <c r="Z26" s="16">
        <f t="shared" si="18"/>
        <v>13</v>
      </c>
      <c r="AA26" s="16">
        <f t="shared" si="18"/>
        <v>8</v>
      </c>
      <c r="AB26" s="16">
        <f t="shared" si="18"/>
        <v>1</v>
      </c>
      <c r="AC26" s="16">
        <f t="shared" si="18"/>
        <v>120</v>
      </c>
      <c r="AD26" s="16">
        <f t="shared" si="18"/>
        <v>0</v>
      </c>
      <c r="AE26" s="32">
        <f t="shared" si="18"/>
        <v>151</v>
      </c>
      <c r="AF26" s="32">
        <f t="shared" si="18"/>
        <v>271</v>
      </c>
    </row>
    <row r="27" spans="2:32" ht="23.1" customHeight="1" x14ac:dyDescent="0.25">
      <c r="B27" s="23" t="s">
        <v>54</v>
      </c>
      <c r="C27" s="50">
        <v>1</v>
      </c>
      <c r="D27" s="50">
        <v>1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9</v>
      </c>
      <c r="N27" s="50">
        <v>0</v>
      </c>
      <c r="O27" s="15">
        <f t="shared" si="0"/>
        <v>4</v>
      </c>
      <c r="P27" s="15">
        <f t="shared" si="1"/>
        <v>13</v>
      </c>
      <c r="R27" s="29" t="s">
        <v>87</v>
      </c>
      <c r="S27" s="16">
        <f t="shared" ref="S27:AF27" si="19">SUM(S19:S21)</f>
        <v>61</v>
      </c>
      <c r="T27" s="16">
        <f t="shared" si="19"/>
        <v>15</v>
      </c>
      <c r="U27" s="16">
        <f t="shared" si="19"/>
        <v>10</v>
      </c>
      <c r="V27" s="16">
        <f t="shared" si="19"/>
        <v>4</v>
      </c>
      <c r="W27" s="16">
        <f t="shared" si="19"/>
        <v>0</v>
      </c>
      <c r="X27" s="16">
        <f t="shared" si="19"/>
        <v>2</v>
      </c>
      <c r="Y27" s="16">
        <f t="shared" si="19"/>
        <v>5</v>
      </c>
      <c r="Z27" s="16">
        <f t="shared" si="19"/>
        <v>11</v>
      </c>
      <c r="AA27" s="16">
        <f t="shared" si="19"/>
        <v>3</v>
      </c>
      <c r="AB27" s="16">
        <f t="shared" si="19"/>
        <v>2</v>
      </c>
      <c r="AC27" s="16">
        <f t="shared" si="19"/>
        <v>83</v>
      </c>
      <c r="AD27" s="16">
        <f t="shared" si="19"/>
        <v>0</v>
      </c>
      <c r="AE27" s="32">
        <f t="shared" si="19"/>
        <v>113</v>
      </c>
      <c r="AF27" s="32">
        <f t="shared" si="19"/>
        <v>196</v>
      </c>
    </row>
    <row r="28" spans="2:32" ht="23.1" customHeight="1" x14ac:dyDescent="0.25">
      <c r="B28" s="23" t="s">
        <v>55</v>
      </c>
      <c r="C28" s="50">
        <v>5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9</v>
      </c>
      <c r="P28" s="15">
        <f t="shared" si="1"/>
        <v>13</v>
      </c>
      <c r="R28" s="5" t="s">
        <v>17</v>
      </c>
      <c r="S28" s="16">
        <f t="shared" ref="S28:AF28" si="20">SUM(S10:S21)</f>
        <v>157</v>
      </c>
      <c r="T28" s="16">
        <f t="shared" si="20"/>
        <v>36</v>
      </c>
      <c r="U28" s="16">
        <f t="shared" si="20"/>
        <v>39</v>
      </c>
      <c r="V28" s="16">
        <f t="shared" si="20"/>
        <v>7</v>
      </c>
      <c r="W28" s="16">
        <f t="shared" si="20"/>
        <v>2</v>
      </c>
      <c r="X28" s="16">
        <f t="shared" si="20"/>
        <v>4</v>
      </c>
      <c r="Y28" s="16">
        <f t="shared" si="20"/>
        <v>25</v>
      </c>
      <c r="Z28" s="16">
        <f t="shared" si="20"/>
        <v>31</v>
      </c>
      <c r="AA28" s="16">
        <f t="shared" si="20"/>
        <v>13</v>
      </c>
      <c r="AB28" s="16">
        <f t="shared" si="20"/>
        <v>4</v>
      </c>
      <c r="AC28" s="16">
        <f t="shared" si="20"/>
        <v>247</v>
      </c>
      <c r="AD28" s="16">
        <f t="shared" si="20"/>
        <v>2</v>
      </c>
      <c r="AE28" s="32">
        <f t="shared" si="20"/>
        <v>320</v>
      </c>
      <c r="AF28" s="32">
        <f t="shared" si="20"/>
        <v>567</v>
      </c>
    </row>
    <row r="29" spans="2:32" ht="23.1" customHeight="1" x14ac:dyDescent="0.25">
      <c r="B29" s="23" t="s">
        <v>56</v>
      </c>
      <c r="C29" s="50">
        <v>6</v>
      </c>
      <c r="D29" s="50">
        <v>0</v>
      </c>
      <c r="E29" s="50">
        <v>0</v>
      </c>
      <c r="F29" s="50">
        <v>0</v>
      </c>
      <c r="G29" s="50">
        <v>0</v>
      </c>
      <c r="H29" s="50">
        <v>1</v>
      </c>
      <c r="I29" s="50">
        <v>2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9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6</v>
      </c>
      <c r="P30" s="15">
        <f t="shared" si="1"/>
        <v>10</v>
      </c>
    </row>
    <row r="31" spans="2:32" ht="23.1" customHeight="1" x14ac:dyDescent="0.25">
      <c r="B31" s="24" t="s">
        <v>58</v>
      </c>
      <c r="C31" s="50">
        <v>5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1</v>
      </c>
      <c r="L31" s="50">
        <v>0</v>
      </c>
      <c r="M31" s="50">
        <v>0</v>
      </c>
      <c r="N31" s="50">
        <v>0</v>
      </c>
      <c r="O31" s="15">
        <f t="shared" si="0"/>
        <v>7</v>
      </c>
      <c r="P31" s="15">
        <f t="shared" si="1"/>
        <v>7</v>
      </c>
    </row>
    <row r="32" spans="2:32" ht="23.1" customHeight="1" x14ac:dyDescent="0.25">
      <c r="B32" s="24" t="s">
        <v>59</v>
      </c>
      <c r="C32" s="50">
        <v>0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4</v>
      </c>
      <c r="N32" s="50">
        <v>0</v>
      </c>
      <c r="O32" s="15">
        <f t="shared" si="0"/>
        <v>2</v>
      </c>
      <c r="P32" s="15">
        <f t="shared" si="1"/>
        <v>6</v>
      </c>
    </row>
    <row r="33" spans="2:20" ht="23.1" customHeight="1" x14ac:dyDescent="0.25">
      <c r="B33" s="23" t="s">
        <v>60</v>
      </c>
      <c r="C33" s="50">
        <v>2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1</v>
      </c>
      <c r="L33" s="50">
        <v>0</v>
      </c>
      <c r="M33" s="50">
        <v>2</v>
      </c>
      <c r="N33" s="50">
        <v>0</v>
      </c>
      <c r="O33" s="15">
        <f t="shared" si="0"/>
        <v>3</v>
      </c>
      <c r="P33" s="15">
        <f t="shared" si="1"/>
        <v>5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7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5</v>
      </c>
      <c r="P35" s="15">
        <f t="shared" si="1"/>
        <v>9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1</v>
      </c>
      <c r="L36" s="50">
        <v>0</v>
      </c>
      <c r="M36" s="50">
        <v>5</v>
      </c>
      <c r="N36" s="50">
        <v>0</v>
      </c>
      <c r="O36" s="15">
        <f t="shared" si="0"/>
        <v>8</v>
      </c>
      <c r="P36" s="15">
        <f t="shared" si="1"/>
        <v>13</v>
      </c>
    </row>
    <row r="37" spans="2:20" ht="23.1" customHeight="1" x14ac:dyDescent="0.25">
      <c r="B37" s="23" t="s">
        <v>64</v>
      </c>
      <c r="C37" s="50">
        <v>9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10</v>
      </c>
      <c r="P37" s="15">
        <f t="shared" si="1"/>
        <v>18</v>
      </c>
    </row>
    <row r="38" spans="2:20" ht="23.1" customHeight="1" x14ac:dyDescent="0.25">
      <c r="B38" s="24" t="s">
        <v>65</v>
      </c>
      <c r="C38" s="50">
        <v>6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3</v>
      </c>
      <c r="K38" s="50">
        <v>0</v>
      </c>
      <c r="L38" s="50">
        <v>1</v>
      </c>
      <c r="M38" s="50">
        <v>2</v>
      </c>
      <c r="N38" s="50">
        <v>0</v>
      </c>
      <c r="O38" s="15">
        <f t="shared" si="0"/>
        <v>11</v>
      </c>
      <c r="P38" s="15">
        <f t="shared" si="1"/>
        <v>13</v>
      </c>
    </row>
    <row r="39" spans="2:20" ht="23.1" customHeight="1" x14ac:dyDescent="0.25">
      <c r="B39" s="24" t="s">
        <v>66</v>
      </c>
      <c r="C39" s="50">
        <v>3</v>
      </c>
      <c r="D39" s="50">
        <v>1</v>
      </c>
      <c r="E39" s="50">
        <v>3</v>
      </c>
      <c r="F39" s="50">
        <v>0</v>
      </c>
      <c r="G39" s="50">
        <v>0</v>
      </c>
      <c r="H39" s="50">
        <v>0</v>
      </c>
      <c r="I39" s="50">
        <v>0</v>
      </c>
      <c r="J39" s="50">
        <v>1</v>
      </c>
      <c r="K39" s="50">
        <v>1</v>
      </c>
      <c r="L39" s="50">
        <v>0</v>
      </c>
      <c r="M39" s="50">
        <v>3</v>
      </c>
      <c r="N39" s="50">
        <v>0</v>
      </c>
      <c r="O39" s="15">
        <f t="shared" si="0"/>
        <v>9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2</v>
      </c>
      <c r="D40" s="50">
        <v>1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1</v>
      </c>
      <c r="L40" s="50">
        <v>0</v>
      </c>
      <c r="M40" s="50">
        <v>7</v>
      </c>
      <c r="N40" s="50">
        <v>0</v>
      </c>
      <c r="O40" s="15">
        <f t="shared" si="0"/>
        <v>5</v>
      </c>
      <c r="P40" s="15">
        <f t="shared" si="1"/>
        <v>12</v>
      </c>
    </row>
    <row r="41" spans="2:20" ht="23.1" customHeight="1" x14ac:dyDescent="0.25">
      <c r="B41" s="23" t="s">
        <v>68</v>
      </c>
      <c r="C41" s="50">
        <v>3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1</v>
      </c>
      <c r="K41" s="50">
        <v>2</v>
      </c>
      <c r="L41" s="50">
        <v>0</v>
      </c>
      <c r="M41" s="50">
        <v>6</v>
      </c>
      <c r="N41" s="50">
        <v>0</v>
      </c>
      <c r="O41" s="15">
        <f t="shared" si="0"/>
        <v>8</v>
      </c>
      <c r="P41" s="15">
        <f t="shared" si="1"/>
        <v>14</v>
      </c>
    </row>
    <row r="42" spans="2:20" ht="23.1" customHeight="1" x14ac:dyDescent="0.25">
      <c r="B42" s="24" t="s">
        <v>69</v>
      </c>
      <c r="C42" s="50">
        <v>0</v>
      </c>
      <c r="D42" s="50">
        <v>3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7</v>
      </c>
      <c r="N42" s="50">
        <v>0</v>
      </c>
      <c r="O42" s="15">
        <f t="shared" si="0"/>
        <v>4</v>
      </c>
      <c r="P42" s="15">
        <f t="shared" si="1"/>
        <v>11</v>
      </c>
    </row>
    <row r="43" spans="2:20" ht="23.1" customHeight="1" x14ac:dyDescent="0.25">
      <c r="B43" s="23" t="s">
        <v>70</v>
      </c>
      <c r="C43" s="50">
        <v>5</v>
      </c>
      <c r="D43" s="50">
        <v>4</v>
      </c>
      <c r="E43" s="50">
        <v>0</v>
      </c>
      <c r="F43" s="50">
        <v>0</v>
      </c>
      <c r="G43" s="50">
        <v>0</v>
      </c>
      <c r="H43" s="50">
        <v>1</v>
      </c>
      <c r="I43" s="50">
        <v>0</v>
      </c>
      <c r="J43" s="50">
        <v>0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10</v>
      </c>
      <c r="P43" s="15">
        <f t="shared" si="1"/>
        <v>17</v>
      </c>
    </row>
    <row r="44" spans="2:20" ht="23.1" customHeight="1" x14ac:dyDescent="0.25">
      <c r="B44" s="25" t="s">
        <v>71</v>
      </c>
      <c r="C44" s="50">
        <v>4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4</v>
      </c>
      <c r="N44" s="50">
        <v>0</v>
      </c>
      <c r="O44" s="15">
        <f t="shared" si="0"/>
        <v>4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1</v>
      </c>
      <c r="K45" s="50">
        <v>1</v>
      </c>
      <c r="L45" s="50">
        <v>0</v>
      </c>
      <c r="M45" s="50">
        <v>5</v>
      </c>
      <c r="N45" s="50">
        <v>0</v>
      </c>
      <c r="O45" s="15">
        <f t="shared" si="0"/>
        <v>3</v>
      </c>
      <c r="P45" s="15">
        <f t="shared" si="1"/>
        <v>8</v>
      </c>
    </row>
    <row r="46" spans="2:20" ht="23.1" customHeight="1" x14ac:dyDescent="0.25">
      <c r="B46" s="24" t="s">
        <v>73</v>
      </c>
      <c r="C46" s="50">
        <v>4</v>
      </c>
      <c r="D46" s="50">
        <v>1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2</v>
      </c>
      <c r="K46" s="50">
        <v>0</v>
      </c>
      <c r="L46" s="50">
        <v>0</v>
      </c>
      <c r="M46" s="50">
        <v>7</v>
      </c>
      <c r="N46" s="50">
        <v>0</v>
      </c>
      <c r="O46" s="15">
        <f t="shared" si="0"/>
        <v>9</v>
      </c>
      <c r="P46" s="15">
        <f t="shared" si="1"/>
        <v>16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2</v>
      </c>
      <c r="K47" s="50">
        <v>1</v>
      </c>
      <c r="L47" s="50">
        <v>0</v>
      </c>
      <c r="M47" s="50">
        <v>6</v>
      </c>
      <c r="N47" s="50">
        <v>0</v>
      </c>
      <c r="O47" s="15">
        <f t="shared" si="0"/>
        <v>7</v>
      </c>
      <c r="P47" s="15">
        <f t="shared" si="1"/>
        <v>13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1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7</v>
      </c>
      <c r="N48" s="50">
        <v>0</v>
      </c>
      <c r="O48" s="15">
        <f t="shared" si="0"/>
        <v>3</v>
      </c>
      <c r="P48" s="15">
        <f t="shared" si="1"/>
        <v>10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5</v>
      </c>
      <c r="N49" s="50">
        <v>0</v>
      </c>
      <c r="O49" s="15">
        <f t="shared" si="0"/>
        <v>3</v>
      </c>
      <c r="P49" s="15">
        <f t="shared" si="1"/>
        <v>8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6</v>
      </c>
      <c r="N50" s="50">
        <v>0</v>
      </c>
      <c r="O50" s="15">
        <f t="shared" si="0"/>
        <v>4</v>
      </c>
      <c r="P50" s="15">
        <f t="shared" si="1"/>
        <v>10</v>
      </c>
      <c r="R50" s="8"/>
      <c r="T50"/>
    </row>
    <row r="51" spans="2:20" ht="23.1" customHeight="1" x14ac:dyDescent="0.25">
      <c r="B51" s="24" t="s">
        <v>78</v>
      </c>
      <c r="C51" s="50">
        <v>6</v>
      </c>
      <c r="D51" s="50">
        <v>2</v>
      </c>
      <c r="E51" s="50">
        <v>0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9</v>
      </c>
      <c r="N51" s="50">
        <v>0</v>
      </c>
      <c r="O51" s="15">
        <f t="shared" si="0"/>
        <v>10</v>
      </c>
      <c r="P51" s="15">
        <f t="shared" si="1"/>
        <v>19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3</v>
      </c>
      <c r="E52" s="50">
        <v>1</v>
      </c>
      <c r="F52" s="50">
        <v>1</v>
      </c>
      <c r="G52" s="50">
        <v>0</v>
      </c>
      <c r="H52" s="50">
        <v>0</v>
      </c>
      <c r="I52" s="50">
        <v>0</v>
      </c>
      <c r="J52" s="50">
        <v>1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11</v>
      </c>
      <c r="P52" s="15">
        <f t="shared" si="1"/>
        <v>19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7</v>
      </c>
      <c r="P53" s="15">
        <f t="shared" si="1"/>
        <v>14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4</v>
      </c>
      <c r="F54" s="50">
        <v>1</v>
      </c>
      <c r="G54" s="50">
        <v>0</v>
      </c>
      <c r="H54" s="50">
        <v>1</v>
      </c>
      <c r="I54" s="50">
        <v>0</v>
      </c>
      <c r="J54" s="50">
        <v>2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11</v>
      </c>
      <c r="P54" s="15">
        <f t="shared" si="1"/>
        <v>18</v>
      </c>
      <c r="R54" s="8"/>
      <c r="T54"/>
    </row>
    <row r="55" spans="2:20" ht="23.1" customHeight="1" x14ac:dyDescent="0.25">
      <c r="B55" s="23" t="s">
        <v>82</v>
      </c>
      <c r="C55" s="50">
        <v>8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</v>
      </c>
      <c r="N55" s="50">
        <v>0</v>
      </c>
      <c r="O55" s="15">
        <f t="shared" si="0"/>
        <v>9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4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2</v>
      </c>
      <c r="K56" s="50">
        <v>2</v>
      </c>
      <c r="L56" s="50">
        <v>0</v>
      </c>
      <c r="M56" s="50">
        <v>7</v>
      </c>
      <c r="N56" s="50">
        <v>0</v>
      </c>
      <c r="O56" s="15">
        <f t="shared" si="0"/>
        <v>17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8</v>
      </c>
      <c r="D57" s="50">
        <v>3</v>
      </c>
      <c r="E57" s="50">
        <v>3</v>
      </c>
      <c r="F57" s="50">
        <v>2</v>
      </c>
      <c r="G57" s="50">
        <v>0</v>
      </c>
      <c r="H57" s="50">
        <v>1</v>
      </c>
      <c r="I57" s="50">
        <v>2</v>
      </c>
      <c r="J57" s="50">
        <v>1</v>
      </c>
      <c r="K57" s="50">
        <v>0</v>
      </c>
      <c r="L57" s="50">
        <v>2</v>
      </c>
      <c r="M57" s="50">
        <v>9</v>
      </c>
      <c r="N57" s="50">
        <v>0</v>
      </c>
      <c r="O57" s="15">
        <f t="shared" si="0"/>
        <v>22</v>
      </c>
      <c r="P57" s="15">
        <f t="shared" si="1"/>
        <v>31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157</v>
      </c>
      <c r="D58" s="16">
        <f t="shared" si="21"/>
        <v>36</v>
      </c>
      <c r="E58" s="16">
        <f t="shared" si="21"/>
        <v>39</v>
      </c>
      <c r="F58" s="16">
        <f t="shared" si="21"/>
        <v>7</v>
      </c>
      <c r="G58" s="16">
        <f t="shared" si="21"/>
        <v>2</v>
      </c>
      <c r="H58" s="16">
        <f t="shared" si="21"/>
        <v>4</v>
      </c>
      <c r="I58" s="16">
        <f t="shared" si="21"/>
        <v>25</v>
      </c>
      <c r="J58" s="16">
        <f t="shared" si="21"/>
        <v>31</v>
      </c>
      <c r="K58" s="16">
        <f t="shared" si="21"/>
        <v>13</v>
      </c>
      <c r="L58" s="16">
        <f t="shared" si="21"/>
        <v>4</v>
      </c>
      <c r="M58" s="16">
        <f t="shared" si="21"/>
        <v>247</v>
      </c>
      <c r="N58" s="16">
        <f t="shared" si="21"/>
        <v>2</v>
      </c>
      <c r="O58" s="16">
        <f t="shared" si="21"/>
        <v>320</v>
      </c>
      <c r="P58" s="16">
        <f t="shared" si="21"/>
        <v>567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0.27689594356261021</v>
      </c>
      <c r="D59" s="43">
        <f t="shared" si="22"/>
        <v>6.3492063492063489E-2</v>
      </c>
      <c r="E59" s="43">
        <f t="shared" si="22"/>
        <v>6.8783068783068779E-2</v>
      </c>
      <c r="F59" s="43">
        <f t="shared" si="22"/>
        <v>1.2345679012345678E-2</v>
      </c>
      <c r="G59" s="43">
        <f t="shared" si="22"/>
        <v>3.5273368606701938E-3</v>
      </c>
      <c r="H59" s="43">
        <f t="shared" si="22"/>
        <v>7.0546737213403876E-3</v>
      </c>
      <c r="I59" s="43">
        <f t="shared" si="22"/>
        <v>4.4091710758377423E-2</v>
      </c>
      <c r="J59" s="43">
        <f t="shared" si="22"/>
        <v>5.4673721340388004E-2</v>
      </c>
      <c r="K59" s="43">
        <f t="shared" si="22"/>
        <v>2.292768959435626E-2</v>
      </c>
      <c r="L59" s="43">
        <f t="shared" si="22"/>
        <v>7.0546737213403876E-3</v>
      </c>
      <c r="M59" s="43">
        <f t="shared" si="22"/>
        <v>0.43562610229276894</v>
      </c>
      <c r="N59" s="43">
        <f t="shared" si="22"/>
        <v>3.5273368606701938E-3</v>
      </c>
      <c r="R59" s="8"/>
      <c r="T59"/>
    </row>
    <row r="60" spans="2:20" ht="23.1" customHeight="1" x14ac:dyDescent="0.25">
      <c r="B60" s="42" t="s">
        <v>94</v>
      </c>
      <c r="C60" s="44">
        <f>C58/$O$58</f>
        <v>0.49062499999999998</v>
      </c>
      <c r="D60" s="44">
        <f t="shared" ref="D60:N60" si="23">D58/$O$58</f>
        <v>0.1125</v>
      </c>
      <c r="E60" s="44">
        <f t="shared" si="23"/>
        <v>0.121875</v>
      </c>
      <c r="F60" s="44">
        <f t="shared" si="23"/>
        <v>2.1874999999999999E-2</v>
      </c>
      <c r="G60" s="44">
        <f t="shared" si="23"/>
        <v>6.2500000000000003E-3</v>
      </c>
      <c r="H60" s="44">
        <f t="shared" si="23"/>
        <v>1.2500000000000001E-2</v>
      </c>
      <c r="I60" s="44">
        <f t="shared" si="23"/>
        <v>7.8125E-2</v>
      </c>
      <c r="J60" s="44">
        <f t="shared" si="23"/>
        <v>9.6875000000000003E-2</v>
      </c>
      <c r="K60" s="44">
        <f t="shared" si="23"/>
        <v>4.0625000000000001E-2</v>
      </c>
      <c r="L60" s="44">
        <f t="shared" si="23"/>
        <v>1.2500000000000001E-2</v>
      </c>
      <c r="M60" s="44"/>
      <c r="N60" s="44">
        <f t="shared" si="23"/>
        <v>6.2500000000000003E-3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topLeftCell="A2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Rushere-Lyantonde'!C3:G3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'29.10 Lyantonde-Rushere'!D5</f>
        <v>29.10.19</v>
      </c>
      <c r="E5" s="3"/>
      <c r="F5" s="41" t="s">
        <v>1</v>
      </c>
      <c r="G5" s="63" t="str">
        <f>'25.10 Lyantonde-Rushere'!G5:H5</f>
        <v>Kaguta road JTC</v>
      </c>
      <c r="H5" s="64"/>
      <c r="I5" s="14"/>
      <c r="J5" s="2" t="s">
        <v>5</v>
      </c>
      <c r="K5" s="63" t="s">
        <v>168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Rushere-Lyantonde'!D6:E6</f>
        <v>Rushere</v>
      </c>
      <c r="E6" s="64"/>
      <c r="F6" s="2" t="s">
        <v>2</v>
      </c>
      <c r="G6" s="63" t="str">
        <f>'25.10 Rushere-Lyantonde'!G6:H6</f>
        <v>Lyantonde</v>
      </c>
      <c r="H6" s="64"/>
      <c r="J6" s="2" t="s">
        <v>21</v>
      </c>
      <c r="K6" s="63" t="str">
        <f>'25.10 Lyantonde-Rushere'!K6:L6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1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7</v>
      </c>
      <c r="R10" s="1" t="s">
        <v>6</v>
      </c>
      <c r="S10" s="17">
        <f t="shared" ref="S10:AF10" si="2">SUM(C10:C13)</f>
        <v>11</v>
      </c>
      <c r="T10" s="17">
        <f t="shared" si="2"/>
        <v>2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2</v>
      </c>
      <c r="AB10" s="17">
        <f t="shared" si="2"/>
        <v>0</v>
      </c>
      <c r="AC10" s="17">
        <f t="shared" si="2"/>
        <v>10</v>
      </c>
      <c r="AD10" s="17">
        <f t="shared" si="2"/>
        <v>0</v>
      </c>
      <c r="AE10" s="31">
        <f t="shared" si="2"/>
        <v>17</v>
      </c>
      <c r="AF10" s="31">
        <f t="shared" si="2"/>
        <v>27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3</v>
      </c>
      <c r="N11" s="50">
        <v>0</v>
      </c>
      <c r="O11" s="15">
        <f t="shared" si="0"/>
        <v>2</v>
      </c>
      <c r="P11" s="15">
        <f t="shared" si="1"/>
        <v>5</v>
      </c>
      <c r="R11" s="1" t="s">
        <v>7</v>
      </c>
      <c r="S11" s="17">
        <f t="shared" ref="S11:AF11" si="3">SUM(C14:C17)</f>
        <v>6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1</v>
      </c>
      <c r="AB11" s="17">
        <f t="shared" si="3"/>
        <v>0</v>
      </c>
      <c r="AC11" s="17">
        <f t="shared" si="3"/>
        <v>14</v>
      </c>
      <c r="AD11" s="17">
        <f t="shared" si="3"/>
        <v>0</v>
      </c>
      <c r="AE11" s="31">
        <f t="shared" si="3"/>
        <v>8</v>
      </c>
      <c r="AF11" s="31">
        <f t="shared" si="3"/>
        <v>22</v>
      </c>
    </row>
    <row r="12" spans="2:32" ht="23.1" customHeight="1" x14ac:dyDescent="0.25">
      <c r="B12" s="23" t="s">
        <v>39</v>
      </c>
      <c r="C12" s="50">
        <v>4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1</v>
      </c>
      <c r="L12" s="50">
        <v>0</v>
      </c>
      <c r="M12" s="50">
        <v>0</v>
      </c>
      <c r="N12" s="50">
        <v>0</v>
      </c>
      <c r="O12" s="15">
        <f t="shared" si="0"/>
        <v>6</v>
      </c>
      <c r="P12" s="15">
        <f t="shared" si="1"/>
        <v>6</v>
      </c>
      <c r="R12" s="1" t="s">
        <v>8</v>
      </c>
      <c r="S12" s="17">
        <f t="shared" ref="S12:AF12" si="4">SUM(C18:C21)</f>
        <v>13</v>
      </c>
      <c r="T12" s="17">
        <f t="shared" si="4"/>
        <v>1</v>
      </c>
      <c r="U12" s="17">
        <f t="shared" si="4"/>
        <v>2</v>
      </c>
      <c r="V12" s="17">
        <f t="shared" si="4"/>
        <v>1</v>
      </c>
      <c r="W12" s="17">
        <f t="shared" si="4"/>
        <v>0</v>
      </c>
      <c r="X12" s="17">
        <f t="shared" si="4"/>
        <v>1</v>
      </c>
      <c r="Y12" s="17">
        <f t="shared" si="4"/>
        <v>1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16</v>
      </c>
      <c r="AD12" s="17">
        <f t="shared" si="4"/>
        <v>0</v>
      </c>
      <c r="AE12" s="31">
        <f t="shared" si="4"/>
        <v>20</v>
      </c>
      <c r="AF12" s="31">
        <f t="shared" si="4"/>
        <v>36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4</v>
      </c>
      <c r="N13" s="50">
        <v>0</v>
      </c>
      <c r="O13" s="15">
        <f t="shared" si="0"/>
        <v>5</v>
      </c>
      <c r="P13" s="15">
        <f t="shared" si="1"/>
        <v>9</v>
      </c>
      <c r="R13" s="1" t="s">
        <v>9</v>
      </c>
      <c r="S13" s="17">
        <f t="shared" ref="S13:AF13" si="5">SUM(C22:C25)</f>
        <v>7</v>
      </c>
      <c r="T13" s="17">
        <f t="shared" si="5"/>
        <v>0</v>
      </c>
      <c r="U13" s="17">
        <f t="shared" si="5"/>
        <v>2</v>
      </c>
      <c r="V13" s="17">
        <f t="shared" si="5"/>
        <v>0</v>
      </c>
      <c r="W13" s="17">
        <f t="shared" si="5"/>
        <v>2</v>
      </c>
      <c r="X13" s="17">
        <f t="shared" si="5"/>
        <v>0</v>
      </c>
      <c r="Y13" s="17">
        <f t="shared" si="5"/>
        <v>1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19</v>
      </c>
      <c r="AD13" s="17">
        <f t="shared" si="5"/>
        <v>0</v>
      </c>
      <c r="AE13" s="31">
        <f t="shared" si="5"/>
        <v>13</v>
      </c>
      <c r="AF13" s="31">
        <f t="shared" si="5"/>
        <v>32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4</v>
      </c>
      <c r="N14" s="50">
        <v>0</v>
      </c>
      <c r="O14" s="15">
        <f t="shared" si="0"/>
        <v>1</v>
      </c>
      <c r="P14" s="15">
        <f t="shared" si="1"/>
        <v>5</v>
      </c>
      <c r="R14" s="1" t="s">
        <v>10</v>
      </c>
      <c r="S14" s="17">
        <f t="shared" ref="S14:AF14" si="6">SUM(C26:C29)</f>
        <v>15</v>
      </c>
      <c r="T14" s="17">
        <f t="shared" si="6"/>
        <v>9</v>
      </c>
      <c r="U14" s="17">
        <f t="shared" si="6"/>
        <v>3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2</v>
      </c>
      <c r="AA14" s="17">
        <f t="shared" si="6"/>
        <v>0</v>
      </c>
      <c r="AB14" s="17">
        <f t="shared" si="6"/>
        <v>0</v>
      </c>
      <c r="AC14" s="17">
        <f t="shared" si="6"/>
        <v>26</v>
      </c>
      <c r="AD14" s="17">
        <f t="shared" si="6"/>
        <v>0</v>
      </c>
      <c r="AE14" s="31">
        <f t="shared" si="6"/>
        <v>31</v>
      </c>
      <c r="AF14" s="31">
        <f t="shared" si="6"/>
        <v>57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1</v>
      </c>
      <c r="P15" s="15">
        <f t="shared" si="1"/>
        <v>3</v>
      </c>
      <c r="R15" s="1" t="s">
        <v>11</v>
      </c>
      <c r="S15" s="17">
        <f t="shared" ref="S15:AF15" si="7">SUM(C30:C33)</f>
        <v>16</v>
      </c>
      <c r="T15" s="17">
        <f t="shared" si="7"/>
        <v>2</v>
      </c>
      <c r="U15" s="17">
        <f t="shared" si="7"/>
        <v>2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21</v>
      </c>
      <c r="AD15" s="17">
        <f t="shared" si="7"/>
        <v>0</v>
      </c>
      <c r="AE15" s="31">
        <f t="shared" si="7"/>
        <v>24</v>
      </c>
      <c r="AF15" s="31">
        <f t="shared" si="7"/>
        <v>45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1</v>
      </c>
      <c r="P16" s="15">
        <f t="shared" si="1"/>
        <v>6</v>
      </c>
      <c r="R16" s="1" t="s">
        <v>12</v>
      </c>
      <c r="S16" s="17">
        <f t="shared" ref="S16:AF16" si="8">SUM(C34:C37)</f>
        <v>28</v>
      </c>
      <c r="T16" s="17">
        <f t="shared" si="8"/>
        <v>1</v>
      </c>
      <c r="U16" s="17">
        <f t="shared" si="8"/>
        <v>2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22</v>
      </c>
      <c r="AD16" s="17">
        <f t="shared" si="8"/>
        <v>0</v>
      </c>
      <c r="AE16" s="31">
        <f t="shared" si="8"/>
        <v>36</v>
      </c>
      <c r="AF16" s="31">
        <f t="shared" si="8"/>
        <v>58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1</v>
      </c>
      <c r="L17" s="50">
        <v>0</v>
      </c>
      <c r="M17" s="50">
        <v>3</v>
      </c>
      <c r="N17" s="50">
        <v>0</v>
      </c>
      <c r="O17" s="15">
        <f t="shared" si="0"/>
        <v>5</v>
      </c>
      <c r="P17" s="15">
        <f t="shared" si="1"/>
        <v>8</v>
      </c>
      <c r="R17" s="1" t="s">
        <v>13</v>
      </c>
      <c r="S17" s="17">
        <f t="shared" ref="S17:AF17" si="9">SUM(C38:C41)</f>
        <v>11</v>
      </c>
      <c r="T17" s="17">
        <f t="shared" si="9"/>
        <v>3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1</v>
      </c>
      <c r="AA17" s="17">
        <f t="shared" si="9"/>
        <v>2</v>
      </c>
      <c r="AB17" s="17">
        <f t="shared" si="9"/>
        <v>1</v>
      </c>
      <c r="AC17" s="17">
        <f t="shared" si="9"/>
        <v>25</v>
      </c>
      <c r="AD17" s="17">
        <f t="shared" si="9"/>
        <v>0</v>
      </c>
      <c r="AE17" s="31">
        <f t="shared" si="9"/>
        <v>22</v>
      </c>
      <c r="AF17" s="31">
        <f t="shared" si="9"/>
        <v>47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5</v>
      </c>
      <c r="P18" s="15">
        <f t="shared" si="1"/>
        <v>5</v>
      </c>
      <c r="R18" s="1" t="s">
        <v>14</v>
      </c>
      <c r="S18" s="17">
        <f t="shared" ref="S18:AF18" si="10">SUM(C42:C45)</f>
        <v>10</v>
      </c>
      <c r="T18" s="17">
        <f t="shared" si="10"/>
        <v>4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2</v>
      </c>
      <c r="AA18" s="17">
        <f t="shared" si="10"/>
        <v>3</v>
      </c>
      <c r="AB18" s="17">
        <f t="shared" si="10"/>
        <v>1</v>
      </c>
      <c r="AC18" s="17">
        <f t="shared" si="10"/>
        <v>18</v>
      </c>
      <c r="AD18" s="17">
        <f t="shared" si="10"/>
        <v>0</v>
      </c>
      <c r="AE18" s="31">
        <f t="shared" si="10"/>
        <v>22</v>
      </c>
      <c r="AF18" s="31">
        <f t="shared" si="10"/>
        <v>40</v>
      </c>
    </row>
    <row r="19" spans="2:32" ht="23.1" customHeight="1" x14ac:dyDescent="0.25">
      <c r="B19" s="23" t="s">
        <v>46</v>
      </c>
      <c r="C19" s="50">
        <v>5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8</v>
      </c>
      <c r="N19" s="50">
        <v>0</v>
      </c>
      <c r="O19" s="15">
        <f t="shared" si="0"/>
        <v>5</v>
      </c>
      <c r="P19" s="15">
        <f t="shared" si="1"/>
        <v>13</v>
      </c>
      <c r="R19" s="1" t="s">
        <v>15</v>
      </c>
      <c r="S19" s="17">
        <f t="shared" ref="S19:AF19" si="11">SUM(C46:C49)</f>
        <v>13</v>
      </c>
      <c r="T19" s="17">
        <f t="shared" si="11"/>
        <v>2</v>
      </c>
      <c r="U19" s="17">
        <f t="shared" si="11"/>
        <v>2</v>
      </c>
      <c r="V19" s="17">
        <f t="shared" si="11"/>
        <v>1</v>
      </c>
      <c r="W19" s="17">
        <f t="shared" si="11"/>
        <v>1</v>
      </c>
      <c r="X19" s="17">
        <f t="shared" si="11"/>
        <v>0</v>
      </c>
      <c r="Y19" s="17">
        <f t="shared" si="11"/>
        <v>2</v>
      </c>
      <c r="Z19" s="17">
        <f t="shared" si="11"/>
        <v>11</v>
      </c>
      <c r="AA19" s="17">
        <f t="shared" si="11"/>
        <v>0</v>
      </c>
      <c r="AB19" s="17">
        <f t="shared" si="11"/>
        <v>0</v>
      </c>
      <c r="AC19" s="17">
        <f t="shared" si="11"/>
        <v>33</v>
      </c>
      <c r="AD19" s="17">
        <f t="shared" si="11"/>
        <v>0</v>
      </c>
      <c r="AE19" s="31">
        <f t="shared" si="11"/>
        <v>32</v>
      </c>
      <c r="AF19" s="31">
        <f t="shared" si="11"/>
        <v>65</v>
      </c>
    </row>
    <row r="20" spans="2:32" ht="23.1" customHeight="1" x14ac:dyDescent="0.25">
      <c r="B20" s="23" t="s">
        <v>47</v>
      </c>
      <c r="C20" s="50">
        <v>3</v>
      </c>
      <c r="D20" s="50">
        <v>0</v>
      </c>
      <c r="E20" s="50">
        <v>0</v>
      </c>
      <c r="F20" s="50">
        <v>0</v>
      </c>
      <c r="G20" s="50">
        <v>0</v>
      </c>
      <c r="H20" s="50">
        <v>1</v>
      </c>
      <c r="I20" s="50">
        <v>1</v>
      </c>
      <c r="J20" s="50">
        <v>0</v>
      </c>
      <c r="K20" s="50">
        <v>1</v>
      </c>
      <c r="L20" s="50">
        <v>0</v>
      </c>
      <c r="M20" s="50">
        <v>4</v>
      </c>
      <c r="N20" s="50">
        <v>0</v>
      </c>
      <c r="O20" s="15">
        <f t="shared" si="0"/>
        <v>6</v>
      </c>
      <c r="P20" s="15">
        <f t="shared" si="1"/>
        <v>10</v>
      </c>
      <c r="R20" s="1" t="s">
        <v>16</v>
      </c>
      <c r="S20" s="17">
        <f t="shared" ref="S20:AF20" si="12">SUM(C50:C53)</f>
        <v>16</v>
      </c>
      <c r="T20" s="17">
        <f t="shared" si="12"/>
        <v>8</v>
      </c>
      <c r="U20" s="17">
        <f t="shared" si="12"/>
        <v>5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5</v>
      </c>
      <c r="AA20" s="17">
        <f t="shared" si="12"/>
        <v>2</v>
      </c>
      <c r="AB20" s="17">
        <f t="shared" si="12"/>
        <v>0</v>
      </c>
      <c r="AC20" s="17">
        <f t="shared" si="12"/>
        <v>34</v>
      </c>
      <c r="AD20" s="17">
        <f t="shared" si="12"/>
        <v>0</v>
      </c>
      <c r="AE20" s="31">
        <f t="shared" si="12"/>
        <v>40</v>
      </c>
      <c r="AF20" s="31">
        <f t="shared" si="12"/>
        <v>74</v>
      </c>
    </row>
    <row r="21" spans="2:32" ht="23.1" customHeight="1" x14ac:dyDescent="0.25">
      <c r="B21" s="23" t="s">
        <v>48</v>
      </c>
      <c r="C21" s="50">
        <v>2</v>
      </c>
      <c r="D21" s="50">
        <v>1</v>
      </c>
      <c r="E21" s="50">
        <v>1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4</v>
      </c>
      <c r="P21" s="15">
        <f t="shared" si="1"/>
        <v>8</v>
      </c>
      <c r="R21" s="36" t="s">
        <v>20</v>
      </c>
      <c r="S21" s="34">
        <f t="shared" ref="S21:AF21" si="13">SUM(C54:C57)</f>
        <v>10</v>
      </c>
      <c r="T21" s="17">
        <f t="shared" si="13"/>
        <v>1</v>
      </c>
      <c r="U21" s="17">
        <f t="shared" si="13"/>
        <v>3</v>
      </c>
      <c r="V21" s="17">
        <f t="shared" si="13"/>
        <v>2</v>
      </c>
      <c r="W21" s="17">
        <f t="shared" si="13"/>
        <v>0</v>
      </c>
      <c r="X21" s="17">
        <f t="shared" si="13"/>
        <v>1</v>
      </c>
      <c r="Y21" s="17">
        <f t="shared" si="13"/>
        <v>2</v>
      </c>
      <c r="Z21" s="17">
        <f t="shared" si="13"/>
        <v>3</v>
      </c>
      <c r="AA21" s="17">
        <f t="shared" si="13"/>
        <v>1</v>
      </c>
      <c r="AB21" s="17">
        <f t="shared" si="13"/>
        <v>1</v>
      </c>
      <c r="AC21" s="17">
        <f t="shared" si="13"/>
        <v>22</v>
      </c>
      <c r="AD21" s="17">
        <f t="shared" si="13"/>
        <v>0</v>
      </c>
      <c r="AE21" s="31">
        <f t="shared" si="13"/>
        <v>24</v>
      </c>
      <c r="AF21" s="31">
        <f t="shared" si="13"/>
        <v>46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1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5</v>
      </c>
      <c r="N22" s="50">
        <v>0</v>
      </c>
      <c r="O22" s="15">
        <f t="shared" si="0"/>
        <v>2</v>
      </c>
      <c r="P22" s="15">
        <f t="shared" si="1"/>
        <v>7</v>
      </c>
      <c r="R22" s="38" t="s">
        <v>90</v>
      </c>
      <c r="S22" s="39">
        <f>MAX(S10:S12)</f>
        <v>13</v>
      </c>
      <c r="T22" s="39">
        <f t="shared" ref="T22:AF22" si="14">MAX(T10:T12)</f>
        <v>2</v>
      </c>
      <c r="U22" s="39">
        <f t="shared" si="14"/>
        <v>2</v>
      </c>
      <c r="V22" s="39">
        <f t="shared" si="14"/>
        <v>1</v>
      </c>
      <c r="W22" s="39">
        <f t="shared" si="14"/>
        <v>0</v>
      </c>
      <c r="X22" s="39">
        <f t="shared" si="14"/>
        <v>1</v>
      </c>
      <c r="Y22" s="39">
        <f t="shared" si="14"/>
        <v>1</v>
      </c>
      <c r="Z22" s="39">
        <f t="shared" si="14"/>
        <v>0</v>
      </c>
      <c r="AA22" s="39">
        <f t="shared" si="14"/>
        <v>2</v>
      </c>
      <c r="AB22" s="39">
        <f t="shared" si="14"/>
        <v>0</v>
      </c>
      <c r="AC22" s="39">
        <f t="shared" si="14"/>
        <v>16</v>
      </c>
      <c r="AD22" s="39">
        <f t="shared" si="14"/>
        <v>0</v>
      </c>
      <c r="AE22" s="40">
        <f t="shared" si="14"/>
        <v>20</v>
      </c>
      <c r="AF22" s="40">
        <f t="shared" si="14"/>
        <v>36</v>
      </c>
    </row>
    <row r="23" spans="2:32" ht="23.1" customHeight="1" x14ac:dyDescent="0.25">
      <c r="B23" s="23" t="s">
        <v>50</v>
      </c>
      <c r="C23" s="50">
        <v>4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4</v>
      </c>
      <c r="P23" s="15">
        <f t="shared" si="1"/>
        <v>9</v>
      </c>
      <c r="R23" s="38" t="s">
        <v>91</v>
      </c>
      <c r="S23" s="39">
        <f>MAX(S13:S18)</f>
        <v>28</v>
      </c>
      <c r="T23" s="39">
        <f t="shared" ref="T23:AF23" si="15">MAX(T13:T18)</f>
        <v>9</v>
      </c>
      <c r="U23" s="39">
        <f t="shared" si="15"/>
        <v>3</v>
      </c>
      <c r="V23" s="39">
        <f t="shared" si="15"/>
        <v>1</v>
      </c>
      <c r="W23" s="39">
        <f t="shared" si="15"/>
        <v>2</v>
      </c>
      <c r="X23" s="39">
        <f t="shared" si="15"/>
        <v>0</v>
      </c>
      <c r="Y23" s="39">
        <f t="shared" si="15"/>
        <v>4</v>
      </c>
      <c r="Z23" s="39">
        <f t="shared" si="15"/>
        <v>2</v>
      </c>
      <c r="AA23" s="39">
        <f t="shared" si="15"/>
        <v>3</v>
      </c>
      <c r="AB23" s="39">
        <f t="shared" si="15"/>
        <v>1</v>
      </c>
      <c r="AC23" s="39">
        <f t="shared" si="15"/>
        <v>26</v>
      </c>
      <c r="AD23" s="39">
        <f t="shared" si="15"/>
        <v>0</v>
      </c>
      <c r="AE23" s="40">
        <f t="shared" si="15"/>
        <v>36</v>
      </c>
      <c r="AF23" s="40">
        <f t="shared" si="15"/>
        <v>58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1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5</v>
      </c>
      <c r="N24" s="50">
        <v>0</v>
      </c>
      <c r="O24" s="15">
        <f t="shared" si="0"/>
        <v>3</v>
      </c>
      <c r="P24" s="15">
        <f t="shared" si="1"/>
        <v>8</v>
      </c>
      <c r="R24" s="38" t="s">
        <v>92</v>
      </c>
      <c r="S24" s="39">
        <f>MAX(S19:S21)</f>
        <v>16</v>
      </c>
      <c r="T24" s="39">
        <f t="shared" ref="T24:AF24" si="16">MAX(T19:T21)</f>
        <v>8</v>
      </c>
      <c r="U24" s="39">
        <f t="shared" si="16"/>
        <v>5</v>
      </c>
      <c r="V24" s="39">
        <f t="shared" si="16"/>
        <v>2</v>
      </c>
      <c r="W24" s="39">
        <f t="shared" si="16"/>
        <v>1</v>
      </c>
      <c r="X24" s="39">
        <f t="shared" si="16"/>
        <v>1</v>
      </c>
      <c r="Y24" s="39">
        <f t="shared" si="16"/>
        <v>2</v>
      </c>
      <c r="Z24" s="39">
        <f t="shared" si="16"/>
        <v>11</v>
      </c>
      <c r="AA24" s="39">
        <f t="shared" si="16"/>
        <v>2</v>
      </c>
      <c r="AB24" s="39">
        <f t="shared" si="16"/>
        <v>1</v>
      </c>
      <c r="AC24" s="39">
        <f t="shared" si="16"/>
        <v>34</v>
      </c>
      <c r="AD24" s="39">
        <f t="shared" si="16"/>
        <v>0</v>
      </c>
      <c r="AE24" s="40">
        <f t="shared" si="16"/>
        <v>40</v>
      </c>
      <c r="AF24" s="40">
        <f t="shared" si="16"/>
        <v>74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1</v>
      </c>
      <c r="K25" s="50">
        <v>0</v>
      </c>
      <c r="L25" s="50">
        <v>0</v>
      </c>
      <c r="M25" s="50">
        <v>4</v>
      </c>
      <c r="N25" s="50">
        <v>0</v>
      </c>
      <c r="O25" s="15">
        <f t="shared" si="0"/>
        <v>4</v>
      </c>
      <c r="P25" s="15">
        <f t="shared" si="1"/>
        <v>8</v>
      </c>
      <c r="R25" s="37" t="s">
        <v>85</v>
      </c>
      <c r="S25" s="35">
        <f t="shared" ref="S25:AF25" si="17">SUM(S10:S12)</f>
        <v>30</v>
      </c>
      <c r="T25" s="16">
        <f t="shared" si="17"/>
        <v>3</v>
      </c>
      <c r="U25" s="16">
        <f t="shared" si="17"/>
        <v>4</v>
      </c>
      <c r="V25" s="16">
        <f t="shared" si="17"/>
        <v>2</v>
      </c>
      <c r="W25" s="16">
        <f t="shared" si="17"/>
        <v>0</v>
      </c>
      <c r="X25" s="16">
        <f t="shared" si="17"/>
        <v>1</v>
      </c>
      <c r="Y25" s="16">
        <f t="shared" si="17"/>
        <v>1</v>
      </c>
      <c r="Z25" s="16">
        <f t="shared" si="17"/>
        <v>0</v>
      </c>
      <c r="AA25" s="16">
        <f t="shared" si="17"/>
        <v>4</v>
      </c>
      <c r="AB25" s="16">
        <f t="shared" si="17"/>
        <v>0</v>
      </c>
      <c r="AC25" s="16">
        <f t="shared" si="17"/>
        <v>40</v>
      </c>
      <c r="AD25" s="16">
        <f t="shared" si="17"/>
        <v>0</v>
      </c>
      <c r="AE25" s="32">
        <f t="shared" si="17"/>
        <v>45</v>
      </c>
      <c r="AF25" s="32">
        <f t="shared" si="17"/>
        <v>85</v>
      </c>
    </row>
    <row r="26" spans="2:32" ht="23.1" customHeight="1" x14ac:dyDescent="0.25">
      <c r="B26" s="23" t="s">
        <v>53</v>
      </c>
      <c r="C26" s="50">
        <v>2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7</v>
      </c>
      <c r="N26" s="50">
        <v>0</v>
      </c>
      <c r="O26" s="15">
        <f t="shared" si="0"/>
        <v>4</v>
      </c>
      <c r="P26" s="15">
        <f t="shared" si="1"/>
        <v>11</v>
      </c>
      <c r="R26" s="28" t="s">
        <v>86</v>
      </c>
      <c r="S26" s="16">
        <f t="shared" ref="S26:AF26" si="18">SUM(S13:S18)</f>
        <v>87</v>
      </c>
      <c r="T26" s="16">
        <f t="shared" si="18"/>
        <v>19</v>
      </c>
      <c r="U26" s="16">
        <f t="shared" si="18"/>
        <v>10</v>
      </c>
      <c r="V26" s="16">
        <f t="shared" si="18"/>
        <v>2</v>
      </c>
      <c r="W26" s="16">
        <f t="shared" si="18"/>
        <v>2</v>
      </c>
      <c r="X26" s="16">
        <f t="shared" si="18"/>
        <v>0</v>
      </c>
      <c r="Y26" s="16">
        <f t="shared" si="18"/>
        <v>11</v>
      </c>
      <c r="Z26" s="16">
        <f t="shared" si="18"/>
        <v>9</v>
      </c>
      <c r="AA26" s="16">
        <f t="shared" si="18"/>
        <v>6</v>
      </c>
      <c r="AB26" s="16">
        <f t="shared" si="18"/>
        <v>2</v>
      </c>
      <c r="AC26" s="16">
        <f t="shared" si="18"/>
        <v>131</v>
      </c>
      <c r="AD26" s="16">
        <f t="shared" si="18"/>
        <v>0</v>
      </c>
      <c r="AE26" s="32">
        <f t="shared" si="18"/>
        <v>148</v>
      </c>
      <c r="AF26" s="32">
        <f t="shared" si="18"/>
        <v>279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7</v>
      </c>
      <c r="N27" s="50">
        <v>0</v>
      </c>
      <c r="O27" s="15">
        <f t="shared" si="0"/>
        <v>1</v>
      </c>
      <c r="P27" s="15">
        <f t="shared" si="1"/>
        <v>8</v>
      </c>
      <c r="R27" s="29" t="s">
        <v>87</v>
      </c>
      <c r="S27" s="16">
        <f t="shared" ref="S27:AF27" si="19">SUM(S19:S21)</f>
        <v>39</v>
      </c>
      <c r="T27" s="16">
        <f t="shared" si="19"/>
        <v>11</v>
      </c>
      <c r="U27" s="16">
        <f t="shared" si="19"/>
        <v>10</v>
      </c>
      <c r="V27" s="16">
        <f t="shared" si="19"/>
        <v>5</v>
      </c>
      <c r="W27" s="16">
        <f t="shared" si="19"/>
        <v>1</v>
      </c>
      <c r="X27" s="16">
        <f t="shared" si="19"/>
        <v>1</v>
      </c>
      <c r="Y27" s="16">
        <f t="shared" si="19"/>
        <v>6</v>
      </c>
      <c r="Z27" s="16">
        <f t="shared" si="19"/>
        <v>19</v>
      </c>
      <c r="AA27" s="16">
        <f t="shared" si="19"/>
        <v>3</v>
      </c>
      <c r="AB27" s="16">
        <f t="shared" si="19"/>
        <v>1</v>
      </c>
      <c r="AC27" s="16">
        <f t="shared" si="19"/>
        <v>89</v>
      </c>
      <c r="AD27" s="16">
        <f t="shared" si="19"/>
        <v>0</v>
      </c>
      <c r="AE27" s="32">
        <f t="shared" si="19"/>
        <v>96</v>
      </c>
      <c r="AF27" s="32">
        <f t="shared" si="19"/>
        <v>185</v>
      </c>
    </row>
    <row r="28" spans="2:32" ht="23.1" customHeight="1" x14ac:dyDescent="0.25">
      <c r="B28" s="23" t="s">
        <v>55</v>
      </c>
      <c r="C28" s="50">
        <v>6</v>
      </c>
      <c r="D28" s="50">
        <v>4</v>
      </c>
      <c r="E28" s="50">
        <v>2</v>
      </c>
      <c r="F28" s="50">
        <v>0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14</v>
      </c>
      <c r="P28" s="15">
        <f t="shared" si="1"/>
        <v>18</v>
      </c>
      <c r="R28" s="5" t="s">
        <v>17</v>
      </c>
      <c r="S28" s="16">
        <f t="shared" ref="S28:AF28" si="20">SUM(S10:S21)</f>
        <v>156</v>
      </c>
      <c r="T28" s="16">
        <f t="shared" si="20"/>
        <v>33</v>
      </c>
      <c r="U28" s="16">
        <f t="shared" si="20"/>
        <v>24</v>
      </c>
      <c r="V28" s="16">
        <f t="shared" si="20"/>
        <v>9</v>
      </c>
      <c r="W28" s="16">
        <f t="shared" si="20"/>
        <v>3</v>
      </c>
      <c r="X28" s="16">
        <f t="shared" si="20"/>
        <v>2</v>
      </c>
      <c r="Y28" s="16">
        <f t="shared" si="20"/>
        <v>18</v>
      </c>
      <c r="Z28" s="16">
        <f t="shared" si="20"/>
        <v>28</v>
      </c>
      <c r="AA28" s="16">
        <f t="shared" si="20"/>
        <v>13</v>
      </c>
      <c r="AB28" s="16">
        <f t="shared" si="20"/>
        <v>3</v>
      </c>
      <c r="AC28" s="16">
        <f t="shared" si="20"/>
        <v>260</v>
      </c>
      <c r="AD28" s="16">
        <f t="shared" si="20"/>
        <v>0</v>
      </c>
      <c r="AE28" s="32">
        <f t="shared" si="20"/>
        <v>289</v>
      </c>
      <c r="AF28" s="32">
        <f t="shared" si="20"/>
        <v>549</v>
      </c>
    </row>
    <row r="29" spans="2:32" ht="23.1" customHeight="1" x14ac:dyDescent="0.25">
      <c r="B29" s="23" t="s">
        <v>56</v>
      </c>
      <c r="C29" s="50">
        <v>6</v>
      </c>
      <c r="D29" s="50">
        <v>4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12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4</v>
      </c>
      <c r="N30" s="50">
        <v>0</v>
      </c>
      <c r="O30" s="15">
        <f t="shared" si="0"/>
        <v>2</v>
      </c>
      <c r="P30" s="15">
        <f t="shared" si="1"/>
        <v>6</v>
      </c>
    </row>
    <row r="31" spans="2:32" ht="23.1" customHeight="1" x14ac:dyDescent="0.25">
      <c r="B31" s="24" t="s">
        <v>58</v>
      </c>
      <c r="C31" s="50">
        <v>7</v>
      </c>
      <c r="D31" s="50">
        <v>2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10</v>
      </c>
      <c r="P31" s="15">
        <f t="shared" si="1"/>
        <v>18</v>
      </c>
    </row>
    <row r="32" spans="2:32" ht="23.1" customHeight="1" x14ac:dyDescent="0.25">
      <c r="B32" s="24" t="s">
        <v>59</v>
      </c>
      <c r="C32" s="50">
        <v>6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8</v>
      </c>
      <c r="P32" s="15">
        <f t="shared" si="1"/>
        <v>13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4</v>
      </c>
      <c r="N33" s="50">
        <v>0</v>
      </c>
      <c r="O33" s="15">
        <f t="shared" si="0"/>
        <v>4</v>
      </c>
      <c r="P33" s="15">
        <f t="shared" si="1"/>
        <v>8</v>
      </c>
    </row>
    <row r="34" spans="2:20" ht="23.1" customHeight="1" x14ac:dyDescent="0.25">
      <c r="B34" s="24" t="s">
        <v>61</v>
      </c>
      <c r="C34" s="50">
        <v>10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1</v>
      </c>
      <c r="L34" s="50">
        <v>0</v>
      </c>
      <c r="M34" s="50">
        <v>6</v>
      </c>
      <c r="N34" s="50">
        <v>0</v>
      </c>
      <c r="O34" s="15">
        <f t="shared" si="0"/>
        <v>11</v>
      </c>
      <c r="P34" s="15">
        <f t="shared" si="1"/>
        <v>17</v>
      </c>
    </row>
    <row r="35" spans="2:20" ht="23.1" customHeight="1" x14ac:dyDescent="0.25">
      <c r="B35" s="24" t="s">
        <v>62</v>
      </c>
      <c r="C35" s="50">
        <v>6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4</v>
      </c>
      <c r="N35" s="50">
        <v>0</v>
      </c>
      <c r="O35" s="15">
        <f t="shared" si="0"/>
        <v>9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5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7</v>
      </c>
      <c r="N36" s="50">
        <v>0</v>
      </c>
      <c r="O36" s="15">
        <f t="shared" si="0"/>
        <v>7</v>
      </c>
      <c r="P36" s="15">
        <f t="shared" si="1"/>
        <v>14</v>
      </c>
    </row>
    <row r="37" spans="2:20" ht="23.1" customHeight="1" x14ac:dyDescent="0.25">
      <c r="B37" s="23" t="s">
        <v>64</v>
      </c>
      <c r="C37" s="50">
        <v>7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5</v>
      </c>
      <c r="N37" s="50">
        <v>0</v>
      </c>
      <c r="O37" s="15">
        <f t="shared" si="0"/>
        <v>9</v>
      </c>
      <c r="P37" s="15">
        <f t="shared" si="1"/>
        <v>14</v>
      </c>
    </row>
    <row r="38" spans="2:20" ht="23.1" customHeight="1" x14ac:dyDescent="0.25">
      <c r="B38" s="24" t="s">
        <v>65</v>
      </c>
      <c r="C38" s="50">
        <v>4</v>
      </c>
      <c r="D38" s="50">
        <v>2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1</v>
      </c>
      <c r="K38" s="50">
        <v>1</v>
      </c>
      <c r="L38" s="50">
        <v>0</v>
      </c>
      <c r="M38" s="50">
        <v>3</v>
      </c>
      <c r="N38" s="50">
        <v>0</v>
      </c>
      <c r="O38" s="15">
        <f t="shared" si="0"/>
        <v>10</v>
      </c>
      <c r="P38" s="15">
        <f t="shared" si="1"/>
        <v>13</v>
      </c>
    </row>
    <row r="39" spans="2:20" ht="23.1" customHeight="1" x14ac:dyDescent="0.25">
      <c r="B39" s="24" t="s">
        <v>66</v>
      </c>
      <c r="C39" s="50">
        <v>1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0</v>
      </c>
      <c r="M39" s="50">
        <v>6</v>
      </c>
      <c r="N39" s="50">
        <v>0</v>
      </c>
      <c r="O39" s="15">
        <f t="shared" si="0"/>
        <v>3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1</v>
      </c>
      <c r="M40" s="50">
        <v>5</v>
      </c>
      <c r="N40" s="50">
        <v>0</v>
      </c>
      <c r="O40" s="15">
        <f t="shared" si="0"/>
        <v>4</v>
      </c>
      <c r="P40" s="15">
        <f t="shared" si="1"/>
        <v>9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11</v>
      </c>
      <c r="N41" s="50">
        <v>0</v>
      </c>
      <c r="O41" s="15">
        <f t="shared" si="0"/>
        <v>5</v>
      </c>
      <c r="P41" s="15">
        <f t="shared" si="1"/>
        <v>16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2</v>
      </c>
      <c r="K42" s="50">
        <v>0</v>
      </c>
      <c r="L42" s="50">
        <v>1</v>
      </c>
      <c r="M42" s="50">
        <v>6</v>
      </c>
      <c r="N42" s="50">
        <v>0</v>
      </c>
      <c r="O42" s="15">
        <f t="shared" si="0"/>
        <v>6</v>
      </c>
      <c r="P42" s="15">
        <f t="shared" si="1"/>
        <v>12</v>
      </c>
    </row>
    <row r="43" spans="2:20" ht="23.1" customHeight="1" x14ac:dyDescent="0.25">
      <c r="B43" s="23" t="s">
        <v>70</v>
      </c>
      <c r="C43" s="50">
        <v>5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3</v>
      </c>
      <c r="N43" s="50">
        <v>0</v>
      </c>
      <c r="O43" s="15">
        <f t="shared" si="0"/>
        <v>6</v>
      </c>
      <c r="P43" s="15">
        <f t="shared" si="1"/>
        <v>9</v>
      </c>
    </row>
    <row r="44" spans="2:20" ht="23.1" customHeight="1" x14ac:dyDescent="0.25">
      <c r="B44" s="25" t="s">
        <v>71</v>
      </c>
      <c r="C44" s="50">
        <v>2</v>
      </c>
      <c r="D44" s="50">
        <v>3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2</v>
      </c>
      <c r="L44" s="50">
        <v>0</v>
      </c>
      <c r="M44" s="50">
        <v>5</v>
      </c>
      <c r="N44" s="50">
        <v>0</v>
      </c>
      <c r="O44" s="15">
        <f t="shared" si="0"/>
        <v>7</v>
      </c>
      <c r="P44" s="15">
        <f t="shared" si="1"/>
        <v>12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1</v>
      </c>
      <c r="L45" s="50">
        <v>0</v>
      </c>
      <c r="M45" s="50">
        <v>4</v>
      </c>
      <c r="N45" s="50">
        <v>0</v>
      </c>
      <c r="O45" s="15">
        <f t="shared" si="0"/>
        <v>3</v>
      </c>
      <c r="P45" s="15">
        <f t="shared" si="1"/>
        <v>7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2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3</v>
      </c>
      <c r="P46" s="15">
        <f t="shared" si="1"/>
        <v>11</v>
      </c>
      <c r="R46" s="8"/>
      <c r="T46"/>
    </row>
    <row r="47" spans="2:20" ht="23.1" customHeight="1" x14ac:dyDescent="0.25">
      <c r="B47" s="24" t="s">
        <v>74</v>
      </c>
      <c r="C47" s="50">
        <v>7</v>
      </c>
      <c r="D47" s="50">
        <v>2</v>
      </c>
      <c r="E47" s="50">
        <v>1</v>
      </c>
      <c r="F47" s="50">
        <v>0</v>
      </c>
      <c r="G47" s="50">
        <v>0</v>
      </c>
      <c r="H47" s="50">
        <v>0</v>
      </c>
      <c r="I47" s="50">
        <v>1</v>
      </c>
      <c r="J47" s="50">
        <v>4</v>
      </c>
      <c r="K47" s="50">
        <v>0</v>
      </c>
      <c r="L47" s="50">
        <v>0</v>
      </c>
      <c r="M47" s="50">
        <v>9</v>
      </c>
      <c r="N47" s="50">
        <v>0</v>
      </c>
      <c r="O47" s="15">
        <f t="shared" si="0"/>
        <v>15</v>
      </c>
      <c r="P47" s="15">
        <f t="shared" si="1"/>
        <v>24</v>
      </c>
      <c r="R47" s="8"/>
      <c r="T47"/>
    </row>
    <row r="48" spans="2:20" ht="23.1" customHeight="1" x14ac:dyDescent="0.25">
      <c r="B48" s="24" t="s">
        <v>75</v>
      </c>
      <c r="C48" s="50">
        <v>5</v>
      </c>
      <c r="D48" s="50">
        <v>0</v>
      </c>
      <c r="E48" s="50">
        <v>1</v>
      </c>
      <c r="F48" s="50">
        <v>1</v>
      </c>
      <c r="G48" s="50">
        <v>1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10</v>
      </c>
      <c r="N48" s="50">
        <v>0</v>
      </c>
      <c r="O48" s="15">
        <f t="shared" si="0"/>
        <v>9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4</v>
      </c>
      <c r="K49" s="50">
        <v>0</v>
      </c>
      <c r="L49" s="50">
        <v>0</v>
      </c>
      <c r="M49" s="50">
        <v>6</v>
      </c>
      <c r="N49" s="50">
        <v>0</v>
      </c>
      <c r="O49" s="15">
        <f t="shared" si="0"/>
        <v>5</v>
      </c>
      <c r="P49" s="15">
        <f t="shared" si="1"/>
        <v>11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3</v>
      </c>
      <c r="E50" s="50">
        <v>1</v>
      </c>
      <c r="F50" s="50">
        <v>0</v>
      </c>
      <c r="G50" s="50">
        <v>0</v>
      </c>
      <c r="H50" s="50">
        <v>0</v>
      </c>
      <c r="I50" s="50">
        <v>1</v>
      </c>
      <c r="J50" s="50">
        <v>3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13</v>
      </c>
      <c r="P50" s="15">
        <f t="shared" si="1"/>
        <v>21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3</v>
      </c>
      <c r="E51" s="50">
        <v>2</v>
      </c>
      <c r="F51" s="50">
        <v>2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12</v>
      </c>
      <c r="N51" s="50">
        <v>0</v>
      </c>
      <c r="O51" s="15">
        <f t="shared" si="0"/>
        <v>15</v>
      </c>
      <c r="P51" s="15">
        <f t="shared" si="1"/>
        <v>27</v>
      </c>
      <c r="R51" s="8"/>
      <c r="T51"/>
    </row>
    <row r="52" spans="2:20" ht="23.1" customHeight="1" x14ac:dyDescent="0.25">
      <c r="B52" s="24" t="s">
        <v>79</v>
      </c>
      <c r="C52" s="50">
        <v>3</v>
      </c>
      <c r="D52" s="50">
        <v>1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7</v>
      </c>
      <c r="N52" s="50">
        <v>0</v>
      </c>
      <c r="O52" s="15">
        <f t="shared" si="0"/>
        <v>5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1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2</v>
      </c>
      <c r="K53" s="50">
        <v>2</v>
      </c>
      <c r="L53" s="50">
        <v>0</v>
      </c>
      <c r="M53" s="50">
        <v>7</v>
      </c>
      <c r="N53" s="50">
        <v>0</v>
      </c>
      <c r="O53" s="15">
        <f t="shared" si="0"/>
        <v>7</v>
      </c>
      <c r="P53" s="15">
        <f t="shared" si="1"/>
        <v>14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1</v>
      </c>
      <c r="F54" s="50">
        <v>1</v>
      </c>
      <c r="G54" s="50">
        <v>0</v>
      </c>
      <c r="H54" s="50">
        <v>1</v>
      </c>
      <c r="I54" s="50">
        <v>1</v>
      </c>
      <c r="J54" s="50">
        <v>0</v>
      </c>
      <c r="K54" s="50">
        <v>0</v>
      </c>
      <c r="L54" s="50">
        <v>0</v>
      </c>
      <c r="M54" s="50">
        <v>9</v>
      </c>
      <c r="N54" s="50">
        <v>0</v>
      </c>
      <c r="O54" s="15">
        <f t="shared" si="0"/>
        <v>7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1</v>
      </c>
      <c r="G55" s="50">
        <v>0</v>
      </c>
      <c r="H55" s="50">
        <v>0</v>
      </c>
      <c r="I55" s="50">
        <v>0</v>
      </c>
      <c r="J55" s="50">
        <v>1</v>
      </c>
      <c r="K55" s="50">
        <v>0</v>
      </c>
      <c r="L55" s="50">
        <v>0</v>
      </c>
      <c r="M55" s="50">
        <v>8</v>
      </c>
      <c r="N55" s="50">
        <v>0</v>
      </c>
      <c r="O55" s="15">
        <f t="shared" si="0"/>
        <v>2</v>
      </c>
      <c r="P55" s="15">
        <f t="shared" si="1"/>
        <v>10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4</v>
      </c>
      <c r="P56" s="15">
        <f t="shared" si="1"/>
        <v>7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1</v>
      </c>
      <c r="E57" s="50">
        <v>1</v>
      </c>
      <c r="F57" s="50">
        <v>0</v>
      </c>
      <c r="G57" s="50">
        <v>0</v>
      </c>
      <c r="H57" s="50">
        <v>0</v>
      </c>
      <c r="I57" s="50">
        <v>1</v>
      </c>
      <c r="J57" s="50">
        <v>2</v>
      </c>
      <c r="K57" s="50">
        <v>1</v>
      </c>
      <c r="L57" s="50">
        <v>1</v>
      </c>
      <c r="M57" s="50">
        <v>2</v>
      </c>
      <c r="N57" s="50">
        <v>0</v>
      </c>
      <c r="O57" s="15">
        <f t="shared" si="0"/>
        <v>11</v>
      </c>
      <c r="P57" s="15">
        <f t="shared" si="1"/>
        <v>13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156</v>
      </c>
      <c r="D58" s="16">
        <f t="shared" si="21"/>
        <v>33</v>
      </c>
      <c r="E58" s="16">
        <f t="shared" si="21"/>
        <v>24</v>
      </c>
      <c r="F58" s="16">
        <f t="shared" si="21"/>
        <v>9</v>
      </c>
      <c r="G58" s="16">
        <f t="shared" si="21"/>
        <v>3</v>
      </c>
      <c r="H58" s="16">
        <f t="shared" si="21"/>
        <v>2</v>
      </c>
      <c r="I58" s="16">
        <f t="shared" si="21"/>
        <v>18</v>
      </c>
      <c r="J58" s="16">
        <f t="shared" si="21"/>
        <v>28</v>
      </c>
      <c r="K58" s="16">
        <f t="shared" si="21"/>
        <v>13</v>
      </c>
      <c r="L58" s="16">
        <f t="shared" si="21"/>
        <v>3</v>
      </c>
      <c r="M58" s="16">
        <f t="shared" si="21"/>
        <v>260</v>
      </c>
      <c r="N58" s="16">
        <f t="shared" si="21"/>
        <v>0</v>
      </c>
      <c r="O58" s="16">
        <f t="shared" si="21"/>
        <v>289</v>
      </c>
      <c r="P58" s="16">
        <f t="shared" si="21"/>
        <v>549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0.28415300546448086</v>
      </c>
      <c r="D59" s="43">
        <f t="shared" si="22"/>
        <v>6.0109289617486336E-2</v>
      </c>
      <c r="E59" s="43">
        <f t="shared" si="22"/>
        <v>4.3715846994535519E-2</v>
      </c>
      <c r="F59" s="43">
        <f t="shared" si="22"/>
        <v>1.6393442622950821E-2</v>
      </c>
      <c r="G59" s="43">
        <f t="shared" si="22"/>
        <v>5.4644808743169399E-3</v>
      </c>
      <c r="H59" s="43">
        <f t="shared" si="22"/>
        <v>3.6429872495446266E-3</v>
      </c>
      <c r="I59" s="43">
        <f t="shared" si="22"/>
        <v>3.2786885245901641E-2</v>
      </c>
      <c r="J59" s="43">
        <f t="shared" si="22"/>
        <v>5.1001821493624776E-2</v>
      </c>
      <c r="K59" s="43">
        <f t="shared" si="22"/>
        <v>2.3679417122040074E-2</v>
      </c>
      <c r="L59" s="43">
        <f t="shared" si="22"/>
        <v>5.4644808743169399E-3</v>
      </c>
      <c r="M59" s="43">
        <f t="shared" si="22"/>
        <v>0.47358834244080145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0.53979238754325265</v>
      </c>
      <c r="D60" s="44">
        <f t="shared" ref="D60:N60" si="23">D58/$O$58</f>
        <v>0.11418685121107267</v>
      </c>
      <c r="E60" s="44">
        <f t="shared" si="23"/>
        <v>8.3044982698961933E-2</v>
      </c>
      <c r="F60" s="44">
        <f t="shared" si="23"/>
        <v>3.1141868512110725E-2</v>
      </c>
      <c r="G60" s="44">
        <f t="shared" si="23"/>
        <v>1.0380622837370242E-2</v>
      </c>
      <c r="H60" s="44">
        <f t="shared" si="23"/>
        <v>6.920415224913495E-3</v>
      </c>
      <c r="I60" s="44">
        <f t="shared" si="23"/>
        <v>6.228373702422145E-2</v>
      </c>
      <c r="J60" s="44">
        <f t="shared" si="23"/>
        <v>9.6885813148788927E-2</v>
      </c>
      <c r="K60" s="44">
        <f t="shared" si="23"/>
        <v>4.4982698961937718E-2</v>
      </c>
      <c r="L60" s="44">
        <f t="shared" si="23"/>
        <v>1.0380622837370242E-2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F126"/>
  <sheetViews>
    <sheetView view="pageBreakPreview" topLeftCell="A5" zoomScale="60" workbookViewId="0">
      <selection activeCell="C54" sqref="C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Lyantonde-Rushere'!C3:G3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'29.10 Rushere-Lyantonde'!G5:H5</f>
        <v>Kaguta road JTC</v>
      </c>
      <c r="H5" s="64"/>
      <c r="I5" s="14"/>
      <c r="J5" s="2" t="s">
        <v>5</v>
      </c>
      <c r="K5" s="63" t="s">
        <v>167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Lyantonde-Rushere'!D6:E6</f>
        <v>Lyantonde</v>
      </c>
      <c r="E6" s="64"/>
      <c r="F6" s="2" t="s">
        <v>2</v>
      </c>
      <c r="G6" s="63" t="str">
        <f>'25.10 Lyantonde-Rushere'!G6:H6</f>
        <v>Rushere</v>
      </c>
      <c r="H6" s="64"/>
      <c r="J6" s="2" t="s">
        <v>21</v>
      </c>
      <c r="K6" s="63" t="str">
        <f>'29.10 Rushere-Lyantonde'!K6:L6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1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2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13</v>
      </c>
      <c r="T10" s="17">
        <f t="shared" si="2"/>
        <v>6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2</v>
      </c>
      <c r="AA10" s="17">
        <f t="shared" si="2"/>
        <v>5</v>
      </c>
      <c r="AB10" s="17">
        <f t="shared" si="2"/>
        <v>2</v>
      </c>
      <c r="AC10" s="17">
        <f t="shared" si="2"/>
        <v>23</v>
      </c>
      <c r="AD10" s="17">
        <f t="shared" si="2"/>
        <v>0</v>
      </c>
      <c r="AE10" s="31">
        <f t="shared" si="2"/>
        <v>32</v>
      </c>
      <c r="AF10" s="31">
        <f t="shared" si="2"/>
        <v>55</v>
      </c>
    </row>
    <row r="11" spans="2:32" s="6" customFormat="1" ht="23.1" customHeight="1" x14ac:dyDescent="0.25">
      <c r="B11" s="23" t="s">
        <v>38</v>
      </c>
      <c r="C11" s="50">
        <v>3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2</v>
      </c>
      <c r="L11" s="50">
        <v>1</v>
      </c>
      <c r="M11" s="50">
        <v>5</v>
      </c>
      <c r="N11" s="50">
        <v>0</v>
      </c>
      <c r="O11" s="15">
        <f t="shared" si="0"/>
        <v>6</v>
      </c>
      <c r="P11" s="15">
        <f t="shared" si="1"/>
        <v>11</v>
      </c>
      <c r="R11" s="1" t="s">
        <v>7</v>
      </c>
      <c r="S11" s="17">
        <f t="shared" ref="S11:AF11" si="3">SUM(C14:C17)</f>
        <v>7</v>
      </c>
      <c r="T11" s="17">
        <f t="shared" si="3"/>
        <v>1</v>
      </c>
      <c r="U11" s="17">
        <f t="shared" si="3"/>
        <v>3</v>
      </c>
      <c r="V11" s="17">
        <f t="shared" si="3"/>
        <v>3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1</v>
      </c>
      <c r="AA11" s="17">
        <f t="shared" si="3"/>
        <v>1</v>
      </c>
      <c r="AB11" s="17">
        <f t="shared" si="3"/>
        <v>1</v>
      </c>
      <c r="AC11" s="17">
        <f t="shared" si="3"/>
        <v>21</v>
      </c>
      <c r="AD11" s="17">
        <f t="shared" si="3"/>
        <v>0</v>
      </c>
      <c r="AE11" s="31">
        <f t="shared" si="3"/>
        <v>17</v>
      </c>
      <c r="AF11" s="31">
        <f t="shared" si="3"/>
        <v>38</v>
      </c>
    </row>
    <row r="12" spans="2:32" ht="23.1" customHeight="1" x14ac:dyDescent="0.25">
      <c r="B12" s="23" t="s">
        <v>39</v>
      </c>
      <c r="C12" s="50">
        <v>5</v>
      </c>
      <c r="D12" s="50">
        <v>3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3</v>
      </c>
      <c r="L12" s="50">
        <v>0</v>
      </c>
      <c r="M12" s="50">
        <v>8</v>
      </c>
      <c r="N12" s="50">
        <v>0</v>
      </c>
      <c r="O12" s="15">
        <f t="shared" si="0"/>
        <v>13</v>
      </c>
      <c r="P12" s="15">
        <f t="shared" si="1"/>
        <v>21</v>
      </c>
      <c r="R12" s="1" t="s">
        <v>8</v>
      </c>
      <c r="S12" s="17">
        <f t="shared" ref="S12:AF12" si="4">SUM(C18:C21)</f>
        <v>10</v>
      </c>
      <c r="T12" s="17">
        <f t="shared" si="4"/>
        <v>2</v>
      </c>
      <c r="U12" s="17">
        <f t="shared" si="4"/>
        <v>6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24</v>
      </c>
      <c r="AD12" s="17">
        <f t="shared" si="4"/>
        <v>0</v>
      </c>
      <c r="AE12" s="31">
        <f t="shared" si="4"/>
        <v>20</v>
      </c>
      <c r="AF12" s="31">
        <f t="shared" si="4"/>
        <v>44</v>
      </c>
    </row>
    <row r="13" spans="2:32" ht="23.1" customHeight="1" x14ac:dyDescent="0.25">
      <c r="B13" s="23" t="s">
        <v>40</v>
      </c>
      <c r="C13" s="50">
        <v>3</v>
      </c>
      <c r="D13" s="50">
        <v>2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1</v>
      </c>
      <c r="M13" s="50">
        <v>4</v>
      </c>
      <c r="N13" s="50">
        <v>0</v>
      </c>
      <c r="O13" s="15">
        <f t="shared" si="0"/>
        <v>6</v>
      </c>
      <c r="P13" s="15">
        <f t="shared" si="1"/>
        <v>10</v>
      </c>
      <c r="R13" s="1" t="s">
        <v>9</v>
      </c>
      <c r="S13" s="17">
        <f t="shared" ref="S13:AF13" si="5">SUM(C22:C25)</f>
        <v>13</v>
      </c>
      <c r="T13" s="17">
        <f t="shared" si="5"/>
        <v>3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21</v>
      </c>
      <c r="AD13" s="17">
        <f t="shared" si="5"/>
        <v>0</v>
      </c>
      <c r="AE13" s="31">
        <f t="shared" si="5"/>
        <v>25</v>
      </c>
      <c r="AF13" s="31">
        <f t="shared" si="5"/>
        <v>46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1</v>
      </c>
      <c r="M14" s="50">
        <v>6</v>
      </c>
      <c r="N14" s="50">
        <v>0</v>
      </c>
      <c r="O14" s="15">
        <f t="shared" si="0"/>
        <v>3</v>
      </c>
      <c r="P14" s="15">
        <f t="shared" si="1"/>
        <v>9</v>
      </c>
      <c r="R14" s="1" t="s">
        <v>10</v>
      </c>
      <c r="S14" s="17">
        <f t="shared" ref="S14:AF14" si="6">SUM(C26:C29)</f>
        <v>13</v>
      </c>
      <c r="T14" s="17">
        <f t="shared" si="6"/>
        <v>6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2</v>
      </c>
      <c r="AA14" s="17">
        <f t="shared" si="6"/>
        <v>1</v>
      </c>
      <c r="AB14" s="17">
        <f t="shared" si="6"/>
        <v>0</v>
      </c>
      <c r="AC14" s="17">
        <f t="shared" si="6"/>
        <v>27</v>
      </c>
      <c r="AD14" s="17">
        <f t="shared" si="6"/>
        <v>0</v>
      </c>
      <c r="AE14" s="31">
        <f t="shared" si="6"/>
        <v>29</v>
      </c>
      <c r="AF14" s="31">
        <f t="shared" si="6"/>
        <v>56</v>
      </c>
    </row>
    <row r="15" spans="2:32" ht="23.1" customHeight="1" x14ac:dyDescent="0.25">
      <c r="B15" s="23" t="s">
        <v>42</v>
      </c>
      <c r="C15" s="50">
        <v>0</v>
      </c>
      <c r="D15" s="50">
        <v>1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1</v>
      </c>
      <c r="K15" s="50">
        <v>0</v>
      </c>
      <c r="L15" s="50">
        <v>0</v>
      </c>
      <c r="M15" s="50">
        <v>3</v>
      </c>
      <c r="N15" s="50">
        <v>0</v>
      </c>
      <c r="O15" s="15">
        <f t="shared" si="0"/>
        <v>3</v>
      </c>
      <c r="P15" s="15">
        <f t="shared" si="1"/>
        <v>6</v>
      </c>
      <c r="R15" s="1" t="s">
        <v>11</v>
      </c>
      <c r="S15" s="17">
        <f t="shared" ref="S15:AF15" si="7">SUM(C30:C33)</f>
        <v>13</v>
      </c>
      <c r="T15" s="17">
        <f t="shared" si="7"/>
        <v>1</v>
      </c>
      <c r="U15" s="17">
        <f t="shared" si="7"/>
        <v>0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3</v>
      </c>
      <c r="Z15" s="17">
        <f t="shared" si="7"/>
        <v>9</v>
      </c>
      <c r="AA15" s="17">
        <f t="shared" si="7"/>
        <v>1</v>
      </c>
      <c r="AB15" s="17">
        <f t="shared" si="7"/>
        <v>0</v>
      </c>
      <c r="AC15" s="17">
        <f t="shared" si="7"/>
        <v>53</v>
      </c>
      <c r="AD15" s="17">
        <f t="shared" si="7"/>
        <v>0</v>
      </c>
      <c r="AE15" s="31">
        <f t="shared" si="7"/>
        <v>27</v>
      </c>
      <c r="AF15" s="31">
        <f t="shared" si="7"/>
        <v>80</v>
      </c>
    </row>
    <row r="16" spans="2:32" ht="23.1" customHeight="1" x14ac:dyDescent="0.25">
      <c r="B16" s="23" t="s">
        <v>43</v>
      </c>
      <c r="C16" s="50">
        <v>4</v>
      </c>
      <c r="D16" s="50">
        <v>0</v>
      </c>
      <c r="E16" s="50">
        <v>2</v>
      </c>
      <c r="F16" s="50">
        <v>2</v>
      </c>
      <c r="G16" s="50">
        <v>0</v>
      </c>
      <c r="H16" s="50">
        <v>0</v>
      </c>
      <c r="I16" s="50">
        <v>0</v>
      </c>
      <c r="J16" s="50">
        <v>0</v>
      </c>
      <c r="K16" s="50">
        <v>1</v>
      </c>
      <c r="L16" s="50">
        <v>0</v>
      </c>
      <c r="M16" s="50">
        <v>7</v>
      </c>
      <c r="N16" s="50">
        <v>0</v>
      </c>
      <c r="O16" s="15">
        <f t="shared" si="0"/>
        <v>9</v>
      </c>
      <c r="P16" s="15">
        <f t="shared" si="1"/>
        <v>16</v>
      </c>
      <c r="R16" s="1" t="s">
        <v>12</v>
      </c>
      <c r="S16" s="17">
        <f t="shared" ref="S16:AF16" si="8">SUM(C34:C37)</f>
        <v>16</v>
      </c>
      <c r="T16" s="17">
        <f t="shared" si="8"/>
        <v>3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6</v>
      </c>
      <c r="AA16" s="17">
        <f t="shared" si="8"/>
        <v>0</v>
      </c>
      <c r="AB16" s="17">
        <f t="shared" si="8"/>
        <v>0</v>
      </c>
      <c r="AC16" s="17">
        <f t="shared" si="8"/>
        <v>22</v>
      </c>
      <c r="AD16" s="17">
        <f t="shared" si="8"/>
        <v>0</v>
      </c>
      <c r="AE16" s="31">
        <f t="shared" si="8"/>
        <v>28</v>
      </c>
      <c r="AF16" s="31">
        <f t="shared" si="8"/>
        <v>50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5</v>
      </c>
      <c r="N17" s="50">
        <v>0</v>
      </c>
      <c r="O17" s="15">
        <f t="shared" si="0"/>
        <v>2</v>
      </c>
      <c r="P17" s="15">
        <f t="shared" si="1"/>
        <v>7</v>
      </c>
      <c r="R17" s="1" t="s">
        <v>13</v>
      </c>
      <c r="S17" s="17">
        <f t="shared" ref="S17:AF17" si="9">SUM(C38:C41)</f>
        <v>14</v>
      </c>
      <c r="T17" s="17">
        <f t="shared" si="9"/>
        <v>3</v>
      </c>
      <c r="U17" s="17">
        <f t="shared" si="9"/>
        <v>2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2</v>
      </c>
      <c r="Z17" s="17">
        <f t="shared" si="9"/>
        <v>4</v>
      </c>
      <c r="AA17" s="17">
        <f t="shared" si="9"/>
        <v>0</v>
      </c>
      <c r="AB17" s="17">
        <f t="shared" si="9"/>
        <v>1</v>
      </c>
      <c r="AC17" s="17">
        <f t="shared" si="9"/>
        <v>20</v>
      </c>
      <c r="AD17" s="17">
        <f t="shared" si="9"/>
        <v>0</v>
      </c>
      <c r="AE17" s="31">
        <f t="shared" si="9"/>
        <v>27</v>
      </c>
      <c r="AF17" s="31">
        <f t="shared" si="9"/>
        <v>47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9</v>
      </c>
      <c r="N18" s="50">
        <v>0</v>
      </c>
      <c r="O18" s="15">
        <f t="shared" si="0"/>
        <v>2</v>
      </c>
      <c r="P18" s="15">
        <f t="shared" si="1"/>
        <v>11</v>
      </c>
      <c r="R18" s="1" t="s">
        <v>14</v>
      </c>
      <c r="S18" s="17">
        <f t="shared" ref="S18:AF18" si="10">SUM(C42:C45)</f>
        <v>13</v>
      </c>
      <c r="T18" s="17">
        <f t="shared" si="10"/>
        <v>3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3</v>
      </c>
      <c r="AA18" s="17">
        <f t="shared" si="10"/>
        <v>1</v>
      </c>
      <c r="AB18" s="17">
        <f t="shared" si="10"/>
        <v>0</v>
      </c>
      <c r="AC18" s="17">
        <f t="shared" si="10"/>
        <v>26</v>
      </c>
      <c r="AD18" s="17">
        <f t="shared" si="10"/>
        <v>0</v>
      </c>
      <c r="AE18" s="31">
        <f t="shared" si="10"/>
        <v>28</v>
      </c>
      <c r="AF18" s="31">
        <f t="shared" si="10"/>
        <v>54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4</v>
      </c>
      <c r="N19" s="50">
        <v>0</v>
      </c>
      <c r="O19" s="15">
        <f t="shared" si="0"/>
        <v>3</v>
      </c>
      <c r="P19" s="15">
        <f t="shared" si="1"/>
        <v>7</v>
      </c>
      <c r="R19" s="1" t="s">
        <v>15</v>
      </c>
      <c r="S19" s="17">
        <f t="shared" ref="S19:AF19" si="11">SUM(C46:C49)</f>
        <v>19</v>
      </c>
      <c r="T19" s="17">
        <f t="shared" si="11"/>
        <v>6</v>
      </c>
      <c r="U19" s="17">
        <f t="shared" si="11"/>
        <v>6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4</v>
      </c>
      <c r="AA19" s="17">
        <f t="shared" si="11"/>
        <v>0</v>
      </c>
      <c r="AB19" s="17">
        <f t="shared" si="11"/>
        <v>3</v>
      </c>
      <c r="AC19" s="17">
        <f t="shared" si="11"/>
        <v>33</v>
      </c>
      <c r="AD19" s="17">
        <f t="shared" si="11"/>
        <v>0</v>
      </c>
      <c r="AE19" s="31">
        <f t="shared" si="11"/>
        <v>44</v>
      </c>
      <c r="AF19" s="31">
        <f t="shared" si="11"/>
        <v>77</v>
      </c>
    </row>
    <row r="20" spans="2:32" ht="23.1" customHeight="1" x14ac:dyDescent="0.25">
      <c r="B20" s="23" t="s">
        <v>47</v>
      </c>
      <c r="C20" s="50">
        <v>2</v>
      </c>
      <c r="D20" s="50">
        <v>1</v>
      </c>
      <c r="E20" s="50">
        <v>1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4</v>
      </c>
      <c r="P20" s="15">
        <f t="shared" si="1"/>
        <v>11</v>
      </c>
      <c r="R20" s="1" t="s">
        <v>16</v>
      </c>
      <c r="S20" s="17">
        <f t="shared" ref="S20:AF20" si="12">SUM(C50:C53)</f>
        <v>22</v>
      </c>
      <c r="T20" s="17">
        <f t="shared" si="12"/>
        <v>10</v>
      </c>
      <c r="U20" s="17">
        <f t="shared" si="12"/>
        <v>6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11</v>
      </c>
      <c r="AA20" s="17">
        <f t="shared" si="12"/>
        <v>2</v>
      </c>
      <c r="AB20" s="17">
        <f t="shared" si="12"/>
        <v>4</v>
      </c>
      <c r="AC20" s="17">
        <f t="shared" si="12"/>
        <v>32</v>
      </c>
      <c r="AD20" s="17">
        <f t="shared" si="12"/>
        <v>0</v>
      </c>
      <c r="AE20" s="31">
        <f t="shared" si="12"/>
        <v>59</v>
      </c>
      <c r="AF20" s="31">
        <f t="shared" si="12"/>
        <v>91</v>
      </c>
    </row>
    <row r="21" spans="2:32" ht="23.1" customHeight="1" x14ac:dyDescent="0.25">
      <c r="B21" s="23" t="s">
        <v>48</v>
      </c>
      <c r="C21" s="50">
        <v>6</v>
      </c>
      <c r="D21" s="50">
        <v>1</v>
      </c>
      <c r="E21" s="50">
        <v>3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4</v>
      </c>
      <c r="N21" s="50">
        <v>0</v>
      </c>
      <c r="O21" s="15">
        <f t="shared" si="0"/>
        <v>11</v>
      </c>
      <c r="P21" s="15">
        <f t="shared" si="1"/>
        <v>15</v>
      </c>
      <c r="R21" s="36" t="s">
        <v>20</v>
      </c>
      <c r="S21" s="34">
        <f t="shared" ref="S21:AF21" si="13">SUM(C54:C57)</f>
        <v>23</v>
      </c>
      <c r="T21" s="17">
        <f t="shared" si="13"/>
        <v>8</v>
      </c>
      <c r="U21" s="17">
        <f t="shared" si="13"/>
        <v>8</v>
      </c>
      <c r="V21" s="17">
        <f t="shared" si="13"/>
        <v>2</v>
      </c>
      <c r="W21" s="17">
        <f t="shared" si="13"/>
        <v>0</v>
      </c>
      <c r="X21" s="17">
        <f t="shared" si="13"/>
        <v>1</v>
      </c>
      <c r="Y21" s="17">
        <f t="shared" si="13"/>
        <v>5</v>
      </c>
      <c r="Z21" s="17">
        <f t="shared" si="13"/>
        <v>9</v>
      </c>
      <c r="AA21" s="17">
        <f t="shared" si="13"/>
        <v>3</v>
      </c>
      <c r="AB21" s="17">
        <f t="shared" si="13"/>
        <v>5</v>
      </c>
      <c r="AC21" s="17">
        <f t="shared" si="13"/>
        <v>29</v>
      </c>
      <c r="AD21" s="17">
        <f t="shared" si="13"/>
        <v>0</v>
      </c>
      <c r="AE21" s="31">
        <f t="shared" si="13"/>
        <v>64</v>
      </c>
      <c r="AF21" s="31">
        <f t="shared" si="13"/>
        <v>93</v>
      </c>
    </row>
    <row r="22" spans="2:32" ht="23.1" customHeight="1" x14ac:dyDescent="0.25">
      <c r="B22" s="23" t="s">
        <v>49</v>
      </c>
      <c r="C22" s="50">
        <v>3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4</v>
      </c>
      <c r="J22" s="50">
        <v>0</v>
      </c>
      <c r="K22" s="50">
        <v>0</v>
      </c>
      <c r="L22" s="50">
        <v>0</v>
      </c>
      <c r="M22" s="50">
        <v>7</v>
      </c>
      <c r="N22" s="50">
        <v>0</v>
      </c>
      <c r="O22" s="15">
        <f t="shared" si="0"/>
        <v>8</v>
      </c>
      <c r="P22" s="15">
        <f t="shared" si="1"/>
        <v>15</v>
      </c>
      <c r="R22" s="38" t="s">
        <v>90</v>
      </c>
      <c r="S22" s="39">
        <f>MAX(S10:S12)</f>
        <v>13</v>
      </c>
      <c r="T22" s="39">
        <f t="shared" ref="T22:AF22" si="14">MAX(T10:T12)</f>
        <v>6</v>
      </c>
      <c r="U22" s="39">
        <f t="shared" si="14"/>
        <v>6</v>
      </c>
      <c r="V22" s="39">
        <f t="shared" si="14"/>
        <v>3</v>
      </c>
      <c r="W22" s="39">
        <f t="shared" si="14"/>
        <v>0</v>
      </c>
      <c r="X22" s="39">
        <f t="shared" si="14"/>
        <v>0</v>
      </c>
      <c r="Y22" s="39">
        <f t="shared" si="14"/>
        <v>2</v>
      </c>
      <c r="Z22" s="39">
        <f t="shared" si="14"/>
        <v>2</v>
      </c>
      <c r="AA22" s="39">
        <f t="shared" si="14"/>
        <v>5</v>
      </c>
      <c r="AB22" s="39">
        <f t="shared" si="14"/>
        <v>2</v>
      </c>
      <c r="AC22" s="39">
        <f t="shared" si="14"/>
        <v>24</v>
      </c>
      <c r="AD22" s="39">
        <f t="shared" si="14"/>
        <v>0</v>
      </c>
      <c r="AE22" s="40">
        <f t="shared" si="14"/>
        <v>32</v>
      </c>
      <c r="AF22" s="40">
        <f t="shared" si="14"/>
        <v>55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4</v>
      </c>
      <c r="P23" s="15">
        <f t="shared" si="1"/>
        <v>9</v>
      </c>
      <c r="R23" s="38" t="s">
        <v>91</v>
      </c>
      <c r="S23" s="39">
        <f>MAX(S13:S18)</f>
        <v>16</v>
      </c>
      <c r="T23" s="39">
        <f t="shared" ref="T23:AF23" si="15">MAX(T13:T18)</f>
        <v>6</v>
      </c>
      <c r="U23" s="39">
        <f t="shared" si="15"/>
        <v>2</v>
      </c>
      <c r="V23" s="39">
        <f t="shared" si="15"/>
        <v>1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9</v>
      </c>
      <c r="AA23" s="39">
        <f t="shared" si="15"/>
        <v>1</v>
      </c>
      <c r="AB23" s="39">
        <f t="shared" si="15"/>
        <v>1</v>
      </c>
      <c r="AC23" s="39">
        <f t="shared" si="15"/>
        <v>53</v>
      </c>
      <c r="AD23" s="39">
        <f t="shared" si="15"/>
        <v>0</v>
      </c>
      <c r="AE23" s="40">
        <f t="shared" si="15"/>
        <v>29</v>
      </c>
      <c r="AF23" s="40">
        <f t="shared" si="15"/>
        <v>80</v>
      </c>
    </row>
    <row r="24" spans="2:32" ht="23.1" customHeight="1" x14ac:dyDescent="0.25">
      <c r="B24" s="23" t="s">
        <v>51</v>
      </c>
      <c r="C24" s="50">
        <v>4</v>
      </c>
      <c r="D24" s="50">
        <v>1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4</v>
      </c>
      <c r="N24" s="50">
        <v>0</v>
      </c>
      <c r="O24" s="15">
        <f t="shared" si="0"/>
        <v>6</v>
      </c>
      <c r="P24" s="15">
        <f t="shared" si="1"/>
        <v>10</v>
      </c>
      <c r="R24" s="38" t="s">
        <v>92</v>
      </c>
      <c r="S24" s="39">
        <f>MAX(S19:S21)</f>
        <v>23</v>
      </c>
      <c r="T24" s="39">
        <f t="shared" ref="T24:AF24" si="16">MAX(T19:T21)</f>
        <v>10</v>
      </c>
      <c r="U24" s="39">
        <f t="shared" si="16"/>
        <v>8</v>
      </c>
      <c r="V24" s="39">
        <f t="shared" si="16"/>
        <v>2</v>
      </c>
      <c r="W24" s="39">
        <f t="shared" si="16"/>
        <v>0</v>
      </c>
      <c r="X24" s="39">
        <f t="shared" si="16"/>
        <v>1</v>
      </c>
      <c r="Y24" s="39">
        <f t="shared" si="16"/>
        <v>5</v>
      </c>
      <c r="Z24" s="39">
        <f t="shared" si="16"/>
        <v>11</v>
      </c>
      <c r="AA24" s="39">
        <f t="shared" si="16"/>
        <v>3</v>
      </c>
      <c r="AB24" s="39">
        <f t="shared" si="16"/>
        <v>5</v>
      </c>
      <c r="AC24" s="39">
        <f t="shared" si="16"/>
        <v>33</v>
      </c>
      <c r="AD24" s="39">
        <f t="shared" si="16"/>
        <v>0</v>
      </c>
      <c r="AE24" s="40">
        <f t="shared" si="16"/>
        <v>64</v>
      </c>
      <c r="AF24" s="40">
        <f t="shared" si="16"/>
        <v>93</v>
      </c>
    </row>
    <row r="25" spans="2:32" ht="23.1" customHeight="1" x14ac:dyDescent="0.25">
      <c r="B25" s="23" t="s">
        <v>52</v>
      </c>
      <c r="C25" s="50">
        <v>4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2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7</v>
      </c>
      <c r="P25" s="15">
        <f t="shared" si="1"/>
        <v>12</v>
      </c>
      <c r="R25" s="37" t="s">
        <v>85</v>
      </c>
      <c r="S25" s="35">
        <f t="shared" ref="S25:AF25" si="17">SUM(S10:S12)</f>
        <v>30</v>
      </c>
      <c r="T25" s="16">
        <f t="shared" si="17"/>
        <v>9</v>
      </c>
      <c r="U25" s="16">
        <f t="shared" si="17"/>
        <v>11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4</v>
      </c>
      <c r="Z25" s="16">
        <f t="shared" si="17"/>
        <v>3</v>
      </c>
      <c r="AA25" s="16">
        <f t="shared" si="17"/>
        <v>6</v>
      </c>
      <c r="AB25" s="16">
        <f t="shared" si="17"/>
        <v>3</v>
      </c>
      <c r="AC25" s="16">
        <f t="shared" si="17"/>
        <v>68</v>
      </c>
      <c r="AD25" s="16">
        <f t="shared" si="17"/>
        <v>0</v>
      </c>
      <c r="AE25" s="32">
        <f t="shared" si="17"/>
        <v>69</v>
      </c>
      <c r="AF25" s="32">
        <f t="shared" si="17"/>
        <v>137</v>
      </c>
    </row>
    <row r="26" spans="2:32" ht="23.1" customHeight="1" x14ac:dyDescent="0.25">
      <c r="B26" s="23" t="s">
        <v>53</v>
      </c>
      <c r="C26" s="50">
        <v>3</v>
      </c>
      <c r="D26" s="50">
        <v>4</v>
      </c>
      <c r="E26" s="50">
        <v>1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1</v>
      </c>
      <c r="L26" s="50">
        <v>0</v>
      </c>
      <c r="M26" s="50">
        <v>8</v>
      </c>
      <c r="N26" s="50">
        <v>0</v>
      </c>
      <c r="O26" s="15">
        <f t="shared" si="0"/>
        <v>10</v>
      </c>
      <c r="P26" s="15">
        <f t="shared" si="1"/>
        <v>18</v>
      </c>
      <c r="R26" s="28" t="s">
        <v>86</v>
      </c>
      <c r="S26" s="16">
        <f t="shared" ref="S26:AF26" si="18">SUM(S13:S18)</f>
        <v>82</v>
      </c>
      <c r="T26" s="16">
        <f t="shared" si="18"/>
        <v>19</v>
      </c>
      <c r="U26" s="16">
        <f t="shared" si="18"/>
        <v>8</v>
      </c>
      <c r="V26" s="16">
        <f t="shared" si="18"/>
        <v>2</v>
      </c>
      <c r="W26" s="16">
        <f t="shared" si="18"/>
        <v>0</v>
      </c>
      <c r="X26" s="16">
        <f t="shared" si="18"/>
        <v>0</v>
      </c>
      <c r="Y26" s="16">
        <f t="shared" si="18"/>
        <v>23</v>
      </c>
      <c r="Z26" s="16">
        <f t="shared" si="18"/>
        <v>26</v>
      </c>
      <c r="AA26" s="16">
        <f t="shared" si="18"/>
        <v>3</v>
      </c>
      <c r="AB26" s="16">
        <f t="shared" si="18"/>
        <v>1</v>
      </c>
      <c r="AC26" s="16">
        <f t="shared" si="18"/>
        <v>169</v>
      </c>
      <c r="AD26" s="16">
        <f t="shared" si="18"/>
        <v>0</v>
      </c>
      <c r="AE26" s="32">
        <f t="shared" si="18"/>
        <v>164</v>
      </c>
      <c r="AF26" s="32">
        <f t="shared" si="18"/>
        <v>333</v>
      </c>
    </row>
    <row r="27" spans="2:32" ht="23.1" customHeight="1" x14ac:dyDescent="0.25">
      <c r="B27" s="23" t="s">
        <v>54</v>
      </c>
      <c r="C27" s="50">
        <v>3</v>
      </c>
      <c r="D27" s="50">
        <v>2</v>
      </c>
      <c r="E27" s="50">
        <v>1</v>
      </c>
      <c r="F27" s="50">
        <v>0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9</v>
      </c>
      <c r="P27" s="15">
        <f t="shared" si="1"/>
        <v>15</v>
      </c>
      <c r="R27" s="29" t="s">
        <v>87</v>
      </c>
      <c r="S27" s="16">
        <f t="shared" ref="S27:AF27" si="19">SUM(S19:S21)</f>
        <v>64</v>
      </c>
      <c r="T27" s="16">
        <f t="shared" si="19"/>
        <v>24</v>
      </c>
      <c r="U27" s="16">
        <f t="shared" si="19"/>
        <v>20</v>
      </c>
      <c r="V27" s="16">
        <f t="shared" si="19"/>
        <v>5</v>
      </c>
      <c r="W27" s="16">
        <f t="shared" si="19"/>
        <v>0</v>
      </c>
      <c r="X27" s="16">
        <f t="shared" si="19"/>
        <v>1</v>
      </c>
      <c r="Y27" s="16">
        <f t="shared" si="19"/>
        <v>12</v>
      </c>
      <c r="Z27" s="16">
        <f t="shared" si="19"/>
        <v>24</v>
      </c>
      <c r="AA27" s="16">
        <f t="shared" si="19"/>
        <v>5</v>
      </c>
      <c r="AB27" s="16">
        <f t="shared" si="19"/>
        <v>12</v>
      </c>
      <c r="AC27" s="16">
        <f t="shared" si="19"/>
        <v>94</v>
      </c>
      <c r="AD27" s="16">
        <f t="shared" si="19"/>
        <v>0</v>
      </c>
      <c r="AE27" s="32">
        <f t="shared" si="19"/>
        <v>167</v>
      </c>
      <c r="AF27" s="32">
        <f t="shared" si="19"/>
        <v>261</v>
      </c>
    </row>
    <row r="28" spans="2:32" ht="23.1" customHeight="1" x14ac:dyDescent="0.25">
      <c r="B28" s="23" t="s">
        <v>55</v>
      </c>
      <c r="C28" s="50">
        <v>4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4</v>
      </c>
      <c r="N28" s="50">
        <v>0</v>
      </c>
      <c r="O28" s="15">
        <f t="shared" si="0"/>
        <v>5</v>
      </c>
      <c r="P28" s="15">
        <f t="shared" si="1"/>
        <v>9</v>
      </c>
      <c r="R28" s="5" t="s">
        <v>17</v>
      </c>
      <c r="S28" s="16">
        <f t="shared" ref="S28:AF28" si="20">SUM(S10:S21)</f>
        <v>176</v>
      </c>
      <c r="T28" s="16">
        <f t="shared" si="20"/>
        <v>52</v>
      </c>
      <c r="U28" s="16">
        <f t="shared" si="20"/>
        <v>39</v>
      </c>
      <c r="V28" s="16">
        <f t="shared" si="20"/>
        <v>10</v>
      </c>
      <c r="W28" s="16">
        <f t="shared" si="20"/>
        <v>0</v>
      </c>
      <c r="X28" s="16">
        <f t="shared" si="20"/>
        <v>1</v>
      </c>
      <c r="Y28" s="16">
        <f t="shared" si="20"/>
        <v>39</v>
      </c>
      <c r="Z28" s="16">
        <f t="shared" si="20"/>
        <v>53</v>
      </c>
      <c r="AA28" s="16">
        <f t="shared" si="20"/>
        <v>14</v>
      </c>
      <c r="AB28" s="16">
        <f t="shared" si="20"/>
        <v>16</v>
      </c>
      <c r="AC28" s="16">
        <f t="shared" si="20"/>
        <v>331</v>
      </c>
      <c r="AD28" s="16">
        <f t="shared" si="20"/>
        <v>0</v>
      </c>
      <c r="AE28" s="32">
        <f t="shared" si="20"/>
        <v>400</v>
      </c>
      <c r="AF28" s="32">
        <f t="shared" si="20"/>
        <v>731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5</v>
      </c>
      <c r="P29" s="15">
        <f t="shared" si="1"/>
        <v>14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1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3</v>
      </c>
      <c r="P30" s="15">
        <f t="shared" si="1"/>
        <v>22</v>
      </c>
    </row>
    <row r="31" spans="2:32" ht="23.1" customHeight="1" x14ac:dyDescent="0.25">
      <c r="B31" s="24" t="s">
        <v>58</v>
      </c>
      <c r="C31" s="50">
        <v>6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8</v>
      </c>
      <c r="P31" s="15">
        <f t="shared" si="1"/>
        <v>22</v>
      </c>
    </row>
    <row r="32" spans="2:32" ht="23.1" customHeight="1" x14ac:dyDescent="0.25">
      <c r="B32" s="24" t="s">
        <v>59</v>
      </c>
      <c r="C32" s="50">
        <v>2</v>
      </c>
      <c r="D32" s="50">
        <v>1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3</v>
      </c>
      <c r="K32" s="50">
        <v>0</v>
      </c>
      <c r="L32" s="50">
        <v>0</v>
      </c>
      <c r="M32" s="50">
        <v>9</v>
      </c>
      <c r="N32" s="50">
        <v>0</v>
      </c>
      <c r="O32" s="15">
        <f t="shared" si="0"/>
        <v>7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3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5</v>
      </c>
      <c r="K33" s="50">
        <v>1</v>
      </c>
      <c r="L33" s="50">
        <v>0</v>
      </c>
      <c r="M33" s="50">
        <v>11</v>
      </c>
      <c r="N33" s="50">
        <v>0</v>
      </c>
      <c r="O33" s="15">
        <f t="shared" si="0"/>
        <v>9</v>
      </c>
      <c r="P33" s="15">
        <f t="shared" si="1"/>
        <v>20</v>
      </c>
    </row>
    <row r="34" spans="2:20" ht="23.1" customHeight="1" x14ac:dyDescent="0.25">
      <c r="B34" s="24" t="s">
        <v>61</v>
      </c>
      <c r="C34" s="50">
        <v>4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4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5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1</v>
      </c>
      <c r="K35" s="50">
        <v>0</v>
      </c>
      <c r="L35" s="50">
        <v>0</v>
      </c>
      <c r="M35" s="50">
        <v>6</v>
      </c>
      <c r="N35" s="50">
        <v>0</v>
      </c>
      <c r="O35" s="15">
        <f t="shared" si="0"/>
        <v>6</v>
      </c>
      <c r="P35" s="15">
        <f t="shared" si="1"/>
        <v>12</v>
      </c>
    </row>
    <row r="36" spans="2:20" ht="23.1" customHeight="1" x14ac:dyDescent="0.25">
      <c r="B36" s="24" t="s">
        <v>63</v>
      </c>
      <c r="C36" s="50">
        <v>3</v>
      </c>
      <c r="D36" s="50">
        <v>2</v>
      </c>
      <c r="E36" s="50">
        <v>1</v>
      </c>
      <c r="F36" s="50">
        <v>1</v>
      </c>
      <c r="G36" s="50">
        <v>0</v>
      </c>
      <c r="H36" s="50">
        <v>0</v>
      </c>
      <c r="I36" s="50">
        <v>0</v>
      </c>
      <c r="J36" s="50">
        <v>3</v>
      </c>
      <c r="K36" s="50">
        <v>0</v>
      </c>
      <c r="L36" s="50">
        <v>0</v>
      </c>
      <c r="M36" s="50">
        <v>5</v>
      </c>
      <c r="N36" s="50">
        <v>0</v>
      </c>
      <c r="O36" s="15">
        <f t="shared" si="0"/>
        <v>10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4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2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8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2</v>
      </c>
      <c r="K38" s="50">
        <v>0</v>
      </c>
      <c r="L38" s="50">
        <v>0</v>
      </c>
      <c r="M38" s="50">
        <v>1</v>
      </c>
      <c r="N38" s="50">
        <v>0</v>
      </c>
      <c r="O38" s="15">
        <f t="shared" si="0"/>
        <v>5</v>
      </c>
      <c r="P38" s="15">
        <f t="shared" si="1"/>
        <v>6</v>
      </c>
    </row>
    <row r="39" spans="2:20" ht="23.1" customHeight="1" x14ac:dyDescent="0.25">
      <c r="B39" s="24" t="s">
        <v>66</v>
      </c>
      <c r="C39" s="50">
        <v>3</v>
      </c>
      <c r="D39" s="50">
        <v>1</v>
      </c>
      <c r="E39" s="50">
        <v>1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5</v>
      </c>
      <c r="P39" s="15">
        <f t="shared" si="1"/>
        <v>7</v>
      </c>
    </row>
    <row r="40" spans="2:20" ht="23.1" customHeight="1" x14ac:dyDescent="0.25">
      <c r="B40" s="24" t="s">
        <v>67</v>
      </c>
      <c r="C40" s="50">
        <v>2</v>
      </c>
      <c r="D40" s="50">
        <v>1</v>
      </c>
      <c r="E40" s="50">
        <v>1</v>
      </c>
      <c r="F40" s="50">
        <v>1</v>
      </c>
      <c r="G40" s="50">
        <v>0</v>
      </c>
      <c r="H40" s="50">
        <v>0</v>
      </c>
      <c r="I40" s="50">
        <v>1</v>
      </c>
      <c r="J40" s="50">
        <v>1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7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7</v>
      </c>
      <c r="D41" s="50">
        <v>1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1</v>
      </c>
      <c r="M41" s="50">
        <v>8</v>
      </c>
      <c r="N41" s="50">
        <v>0</v>
      </c>
      <c r="O41" s="15">
        <f t="shared" si="0"/>
        <v>10</v>
      </c>
      <c r="P41" s="15">
        <f t="shared" si="1"/>
        <v>18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4</v>
      </c>
      <c r="P42" s="15">
        <f t="shared" si="1"/>
        <v>14</v>
      </c>
    </row>
    <row r="43" spans="2:20" ht="23.1" customHeight="1" x14ac:dyDescent="0.25">
      <c r="B43" s="23" t="s">
        <v>70</v>
      </c>
      <c r="C43" s="50">
        <v>3</v>
      </c>
      <c r="D43" s="50">
        <v>2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1</v>
      </c>
      <c r="K43" s="50">
        <v>0</v>
      </c>
      <c r="L43" s="50">
        <v>0</v>
      </c>
      <c r="M43" s="50">
        <v>3</v>
      </c>
      <c r="N43" s="50">
        <v>0</v>
      </c>
      <c r="O43" s="15">
        <f t="shared" si="0"/>
        <v>8</v>
      </c>
      <c r="P43" s="15">
        <f t="shared" si="1"/>
        <v>11</v>
      </c>
    </row>
    <row r="44" spans="2:20" ht="23.1" customHeight="1" x14ac:dyDescent="0.25">
      <c r="B44" s="25" t="s">
        <v>71</v>
      </c>
      <c r="C44" s="50">
        <v>4</v>
      </c>
      <c r="D44" s="50">
        <v>1</v>
      </c>
      <c r="E44" s="50">
        <v>2</v>
      </c>
      <c r="F44" s="50">
        <v>0</v>
      </c>
      <c r="G44" s="50">
        <v>0</v>
      </c>
      <c r="H44" s="50">
        <v>0</v>
      </c>
      <c r="I44" s="50">
        <v>1</v>
      </c>
      <c r="J44" s="50">
        <v>2</v>
      </c>
      <c r="K44" s="50">
        <v>0</v>
      </c>
      <c r="L44" s="50">
        <v>0</v>
      </c>
      <c r="M44" s="50">
        <v>6</v>
      </c>
      <c r="N44" s="50">
        <v>0</v>
      </c>
      <c r="O44" s="15">
        <f t="shared" si="0"/>
        <v>10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1</v>
      </c>
      <c r="L45" s="50">
        <v>0</v>
      </c>
      <c r="M45" s="50">
        <v>7</v>
      </c>
      <c r="N45" s="50">
        <v>0</v>
      </c>
      <c r="O45" s="15">
        <f t="shared" si="0"/>
        <v>6</v>
      </c>
      <c r="P45" s="15">
        <f t="shared" si="1"/>
        <v>13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7</v>
      </c>
      <c r="N46" s="50">
        <v>0</v>
      </c>
      <c r="O46" s="15">
        <f t="shared" si="0"/>
        <v>6</v>
      </c>
      <c r="P46" s="15">
        <f t="shared" si="1"/>
        <v>13</v>
      </c>
      <c r="R46" s="8"/>
      <c r="T46"/>
    </row>
    <row r="47" spans="2:20" ht="23.1" customHeight="1" x14ac:dyDescent="0.25">
      <c r="B47" s="24" t="s">
        <v>74</v>
      </c>
      <c r="C47" s="50">
        <v>5</v>
      </c>
      <c r="D47" s="50">
        <v>3</v>
      </c>
      <c r="E47" s="50">
        <v>3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13</v>
      </c>
      <c r="P47" s="15">
        <f t="shared" si="1"/>
        <v>21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2</v>
      </c>
      <c r="J48" s="50">
        <v>3</v>
      </c>
      <c r="K48" s="50">
        <v>0</v>
      </c>
      <c r="L48" s="50">
        <v>3</v>
      </c>
      <c r="M48" s="50">
        <v>9</v>
      </c>
      <c r="N48" s="50">
        <v>0</v>
      </c>
      <c r="O48" s="15">
        <f t="shared" si="0"/>
        <v>14</v>
      </c>
      <c r="P48" s="15">
        <f t="shared" si="1"/>
        <v>23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3</v>
      </c>
      <c r="E49" s="50">
        <v>1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9</v>
      </c>
      <c r="N49" s="50">
        <v>0</v>
      </c>
      <c r="O49" s="15">
        <f t="shared" si="0"/>
        <v>11</v>
      </c>
      <c r="P49" s="15">
        <f t="shared" si="1"/>
        <v>20</v>
      </c>
      <c r="R49" s="8"/>
      <c r="T49"/>
    </row>
    <row r="50" spans="2:20" ht="23.1" customHeight="1" x14ac:dyDescent="0.25">
      <c r="B50" s="24" t="s">
        <v>77</v>
      </c>
      <c r="C50" s="50">
        <v>4</v>
      </c>
      <c r="D50" s="50">
        <v>2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3</v>
      </c>
      <c r="K50" s="50">
        <v>0</v>
      </c>
      <c r="L50" s="50">
        <v>2</v>
      </c>
      <c r="M50" s="50">
        <v>7</v>
      </c>
      <c r="N50" s="50">
        <v>0</v>
      </c>
      <c r="O50" s="15">
        <f t="shared" si="0"/>
        <v>13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7</v>
      </c>
      <c r="D51" s="50">
        <v>3</v>
      </c>
      <c r="E51" s="50">
        <v>3</v>
      </c>
      <c r="F51" s="50">
        <v>0</v>
      </c>
      <c r="G51" s="50">
        <v>0</v>
      </c>
      <c r="H51" s="50">
        <v>0</v>
      </c>
      <c r="I51" s="50">
        <v>0</v>
      </c>
      <c r="J51" s="50">
        <v>3</v>
      </c>
      <c r="K51" s="50">
        <v>2</v>
      </c>
      <c r="L51" s="50">
        <v>0</v>
      </c>
      <c r="M51" s="50">
        <v>8</v>
      </c>
      <c r="N51" s="50">
        <v>0</v>
      </c>
      <c r="O51" s="15">
        <f t="shared" si="0"/>
        <v>18</v>
      </c>
      <c r="P51" s="15">
        <f t="shared" si="1"/>
        <v>26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2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2</v>
      </c>
      <c r="K52" s="50">
        <v>0</v>
      </c>
      <c r="L52" s="50">
        <v>2</v>
      </c>
      <c r="M52" s="50">
        <v>9</v>
      </c>
      <c r="N52" s="50">
        <v>0</v>
      </c>
      <c r="O52" s="15">
        <f t="shared" si="0"/>
        <v>12</v>
      </c>
      <c r="P52" s="15">
        <f t="shared" si="1"/>
        <v>21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3</v>
      </c>
      <c r="E53" s="50">
        <v>2</v>
      </c>
      <c r="F53" s="50">
        <v>2</v>
      </c>
      <c r="G53" s="50">
        <v>0</v>
      </c>
      <c r="H53" s="50">
        <v>0</v>
      </c>
      <c r="I53" s="50">
        <v>0</v>
      </c>
      <c r="J53" s="50">
        <v>3</v>
      </c>
      <c r="K53" s="50">
        <v>0</v>
      </c>
      <c r="L53" s="50">
        <v>0</v>
      </c>
      <c r="M53" s="50">
        <v>8</v>
      </c>
      <c r="N53" s="50">
        <v>0</v>
      </c>
      <c r="O53" s="15">
        <f t="shared" si="0"/>
        <v>16</v>
      </c>
      <c r="P53" s="15">
        <f t="shared" si="1"/>
        <v>24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4</v>
      </c>
      <c r="E54" s="50">
        <v>3</v>
      </c>
      <c r="F54" s="50">
        <v>0</v>
      </c>
      <c r="G54" s="50">
        <v>0</v>
      </c>
      <c r="H54" s="50">
        <v>0</v>
      </c>
      <c r="I54" s="50">
        <v>3</v>
      </c>
      <c r="J54" s="50">
        <v>0</v>
      </c>
      <c r="K54" s="50">
        <v>1</v>
      </c>
      <c r="L54" s="50">
        <v>0</v>
      </c>
      <c r="M54" s="50">
        <v>8</v>
      </c>
      <c r="N54" s="50">
        <v>0</v>
      </c>
      <c r="O54" s="15">
        <f t="shared" si="0"/>
        <v>16</v>
      </c>
      <c r="P54" s="15">
        <f t="shared" si="1"/>
        <v>24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1</v>
      </c>
      <c r="E55" s="50">
        <v>2</v>
      </c>
      <c r="F55" s="50">
        <v>2</v>
      </c>
      <c r="G55" s="50">
        <v>0</v>
      </c>
      <c r="H55" s="50">
        <v>0</v>
      </c>
      <c r="I55" s="50">
        <v>0</v>
      </c>
      <c r="J55" s="50">
        <v>5</v>
      </c>
      <c r="K55" s="50">
        <v>1</v>
      </c>
      <c r="L55" s="50">
        <v>0</v>
      </c>
      <c r="M55" s="50">
        <v>6</v>
      </c>
      <c r="N55" s="50">
        <v>0</v>
      </c>
      <c r="O55" s="15">
        <f t="shared" si="0"/>
        <v>15</v>
      </c>
      <c r="P55" s="15">
        <f t="shared" si="1"/>
        <v>21</v>
      </c>
      <c r="R55" s="8"/>
      <c r="T55"/>
    </row>
    <row r="56" spans="2:20" ht="23.1" customHeight="1" x14ac:dyDescent="0.25">
      <c r="B56" s="23" t="s">
        <v>83</v>
      </c>
      <c r="C56" s="50">
        <v>7</v>
      </c>
      <c r="D56" s="50">
        <v>2</v>
      </c>
      <c r="E56" s="50">
        <v>2</v>
      </c>
      <c r="F56" s="50">
        <v>0</v>
      </c>
      <c r="G56" s="50">
        <v>0</v>
      </c>
      <c r="H56" s="50">
        <v>1</v>
      </c>
      <c r="I56" s="50">
        <v>0</v>
      </c>
      <c r="J56" s="50">
        <v>3</v>
      </c>
      <c r="K56" s="50">
        <v>1</v>
      </c>
      <c r="L56" s="50">
        <v>2</v>
      </c>
      <c r="M56" s="50">
        <v>6</v>
      </c>
      <c r="N56" s="50">
        <v>0</v>
      </c>
      <c r="O56" s="15">
        <f t="shared" si="0"/>
        <v>18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7</v>
      </c>
      <c r="D57" s="50">
        <v>1</v>
      </c>
      <c r="E57" s="50">
        <v>1</v>
      </c>
      <c r="F57" s="50">
        <v>0</v>
      </c>
      <c r="G57" s="50">
        <v>0</v>
      </c>
      <c r="H57" s="50">
        <v>0</v>
      </c>
      <c r="I57" s="50">
        <v>2</v>
      </c>
      <c r="J57" s="50">
        <v>1</v>
      </c>
      <c r="K57" s="50">
        <v>0</v>
      </c>
      <c r="L57" s="50">
        <v>3</v>
      </c>
      <c r="M57" s="50">
        <v>9</v>
      </c>
      <c r="N57" s="50">
        <v>0</v>
      </c>
      <c r="O57" s="15">
        <f t="shared" si="0"/>
        <v>15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176</v>
      </c>
      <c r="D58" s="16">
        <f t="shared" si="21"/>
        <v>52</v>
      </c>
      <c r="E58" s="16">
        <f t="shared" si="21"/>
        <v>39</v>
      </c>
      <c r="F58" s="16">
        <f t="shared" si="21"/>
        <v>10</v>
      </c>
      <c r="G58" s="16">
        <f t="shared" si="21"/>
        <v>0</v>
      </c>
      <c r="H58" s="16">
        <f t="shared" si="21"/>
        <v>1</v>
      </c>
      <c r="I58" s="16">
        <f t="shared" si="21"/>
        <v>39</v>
      </c>
      <c r="J58" s="16">
        <f t="shared" si="21"/>
        <v>53</v>
      </c>
      <c r="K58" s="16">
        <f t="shared" si="21"/>
        <v>14</v>
      </c>
      <c r="L58" s="16">
        <f t="shared" si="21"/>
        <v>16</v>
      </c>
      <c r="M58" s="16">
        <f t="shared" si="21"/>
        <v>331</v>
      </c>
      <c r="N58" s="16">
        <f t="shared" si="21"/>
        <v>0</v>
      </c>
      <c r="O58" s="16">
        <f t="shared" si="21"/>
        <v>400</v>
      </c>
      <c r="P58" s="16">
        <f t="shared" si="21"/>
        <v>731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0.24076607387140903</v>
      </c>
      <c r="D59" s="43">
        <f t="shared" si="22"/>
        <v>7.1135430916552667E-2</v>
      </c>
      <c r="E59" s="43">
        <f t="shared" si="22"/>
        <v>5.33515731874145E-2</v>
      </c>
      <c r="F59" s="43">
        <f t="shared" si="22"/>
        <v>1.3679890560875513E-2</v>
      </c>
      <c r="G59" s="43">
        <f t="shared" si="22"/>
        <v>0</v>
      </c>
      <c r="H59" s="43">
        <f t="shared" si="22"/>
        <v>1.3679890560875513E-3</v>
      </c>
      <c r="I59" s="43">
        <f t="shared" si="22"/>
        <v>5.33515731874145E-2</v>
      </c>
      <c r="J59" s="43">
        <f t="shared" si="22"/>
        <v>7.2503419972640218E-2</v>
      </c>
      <c r="K59" s="43">
        <f t="shared" si="22"/>
        <v>1.9151846785225718E-2</v>
      </c>
      <c r="L59" s="43">
        <f t="shared" si="22"/>
        <v>2.188782489740082E-2</v>
      </c>
      <c r="M59" s="43">
        <f t="shared" si="22"/>
        <v>0.45280437756497949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0.44</v>
      </c>
      <c r="D60" s="44">
        <f t="shared" ref="D60:N60" si="23">D58/$O$58</f>
        <v>0.13</v>
      </c>
      <c r="E60" s="44">
        <f t="shared" si="23"/>
        <v>9.7500000000000003E-2</v>
      </c>
      <c r="F60" s="44">
        <f t="shared" si="23"/>
        <v>2.5000000000000001E-2</v>
      </c>
      <c r="G60" s="44">
        <f t="shared" si="23"/>
        <v>0</v>
      </c>
      <c r="H60" s="44">
        <f t="shared" si="23"/>
        <v>2.5000000000000001E-3</v>
      </c>
      <c r="I60" s="44">
        <f t="shared" si="23"/>
        <v>9.7500000000000003E-2</v>
      </c>
      <c r="J60" s="44">
        <f t="shared" si="23"/>
        <v>0.13250000000000001</v>
      </c>
      <c r="K60" s="44">
        <f t="shared" si="23"/>
        <v>3.5000000000000003E-2</v>
      </c>
      <c r="L60" s="44">
        <f t="shared" si="23"/>
        <v>0.04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Rushere-Lyantonde'!C3:G3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'30.10 Lyantonde-Rushere'!D5</f>
        <v>30.10.19</v>
      </c>
      <c r="E5" s="3"/>
      <c r="F5" s="41" t="s">
        <v>1</v>
      </c>
      <c r="G5" s="63" t="str">
        <f>'30.10 Lyantonde-Rushere'!G5:H5</f>
        <v>Kaguta road JTC</v>
      </c>
      <c r="H5" s="64"/>
      <c r="I5" s="14"/>
      <c r="J5" s="2" t="s">
        <v>5</v>
      </c>
      <c r="K5" s="63" t="s">
        <v>168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Rushere-Lyantonde'!D6:E6</f>
        <v>Rushere</v>
      </c>
      <c r="E6" s="64"/>
      <c r="F6" s="2" t="s">
        <v>2</v>
      </c>
      <c r="G6" s="63" t="str">
        <f>'25.10 Rushere-Lyantonde'!G6:H6</f>
        <v>Lyantonde</v>
      </c>
      <c r="H6" s="64"/>
      <c r="J6" s="2" t="s">
        <v>21</v>
      </c>
      <c r="K6" s="63" t="str">
        <f>'30.10 Lyantonde-Rushere'!K6:L6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2</v>
      </c>
      <c r="E10" s="50">
        <v>1</v>
      </c>
      <c r="F10" s="50">
        <v>2</v>
      </c>
      <c r="G10" s="50">
        <v>0</v>
      </c>
      <c r="H10" s="50">
        <v>0</v>
      </c>
      <c r="I10" s="50">
        <v>1</v>
      </c>
      <c r="J10" s="50">
        <v>3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11</v>
      </c>
      <c r="P10" s="15">
        <f t="shared" ref="P10:P57" si="1">SUM(C10:N10)</f>
        <v>18</v>
      </c>
      <c r="R10" s="1" t="s">
        <v>6</v>
      </c>
      <c r="S10" s="17">
        <f t="shared" ref="S10:AF10" si="2">SUM(C10:C13)</f>
        <v>10</v>
      </c>
      <c r="T10" s="17">
        <f t="shared" si="2"/>
        <v>7</v>
      </c>
      <c r="U10" s="17">
        <f t="shared" si="2"/>
        <v>2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5</v>
      </c>
      <c r="Z10" s="17">
        <f t="shared" si="2"/>
        <v>5</v>
      </c>
      <c r="AA10" s="17">
        <f t="shared" si="2"/>
        <v>3</v>
      </c>
      <c r="AB10" s="17">
        <f t="shared" si="2"/>
        <v>0</v>
      </c>
      <c r="AC10" s="17">
        <f t="shared" si="2"/>
        <v>26</v>
      </c>
      <c r="AD10" s="17">
        <f t="shared" si="2"/>
        <v>0</v>
      </c>
      <c r="AE10" s="31">
        <f t="shared" si="2"/>
        <v>35</v>
      </c>
      <c r="AF10" s="31">
        <f t="shared" si="2"/>
        <v>61</v>
      </c>
    </row>
    <row r="11" spans="2:32" s="6" customFormat="1" ht="23.1" customHeight="1" x14ac:dyDescent="0.25">
      <c r="B11" s="23" t="s">
        <v>38</v>
      </c>
      <c r="C11" s="50">
        <v>2</v>
      </c>
      <c r="D11" s="50">
        <v>1</v>
      </c>
      <c r="E11" s="50">
        <v>0</v>
      </c>
      <c r="F11" s="50">
        <v>1</v>
      </c>
      <c r="G11" s="50">
        <v>0</v>
      </c>
      <c r="H11" s="50">
        <v>0</v>
      </c>
      <c r="I11" s="50">
        <v>2</v>
      </c>
      <c r="J11" s="50">
        <v>0</v>
      </c>
      <c r="K11" s="50">
        <v>2</v>
      </c>
      <c r="L11" s="50">
        <v>0</v>
      </c>
      <c r="M11" s="50">
        <v>5</v>
      </c>
      <c r="N11" s="50">
        <v>0</v>
      </c>
      <c r="O11" s="15">
        <f t="shared" si="0"/>
        <v>8</v>
      </c>
      <c r="P11" s="15">
        <f t="shared" si="1"/>
        <v>13</v>
      </c>
      <c r="R11" s="1" t="s">
        <v>7</v>
      </c>
      <c r="S11" s="17">
        <f t="shared" ref="S11:AF11" si="3">SUM(C14:C17)</f>
        <v>39</v>
      </c>
      <c r="T11" s="17">
        <f t="shared" si="3"/>
        <v>7</v>
      </c>
      <c r="U11" s="17">
        <f t="shared" si="3"/>
        <v>3</v>
      </c>
      <c r="V11" s="17">
        <f t="shared" si="3"/>
        <v>1</v>
      </c>
      <c r="W11" s="17">
        <f t="shared" si="3"/>
        <v>0</v>
      </c>
      <c r="X11" s="17">
        <f t="shared" si="3"/>
        <v>2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27</v>
      </c>
      <c r="AD11" s="17">
        <f t="shared" si="3"/>
        <v>0</v>
      </c>
      <c r="AE11" s="31">
        <f t="shared" si="3"/>
        <v>59</v>
      </c>
      <c r="AF11" s="31">
        <f t="shared" si="3"/>
        <v>86</v>
      </c>
    </row>
    <row r="12" spans="2:32" ht="23.1" customHeight="1" x14ac:dyDescent="0.25">
      <c r="B12" s="23" t="s">
        <v>39</v>
      </c>
      <c r="C12" s="50">
        <v>4</v>
      </c>
      <c r="D12" s="50">
        <v>2</v>
      </c>
      <c r="E12" s="50">
        <v>0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1</v>
      </c>
      <c r="L12" s="50">
        <v>0</v>
      </c>
      <c r="M12" s="50">
        <v>7</v>
      </c>
      <c r="N12" s="50">
        <v>0</v>
      </c>
      <c r="O12" s="15">
        <f t="shared" si="0"/>
        <v>9</v>
      </c>
      <c r="P12" s="15">
        <f t="shared" si="1"/>
        <v>16</v>
      </c>
      <c r="R12" s="1" t="s">
        <v>8</v>
      </c>
      <c r="S12" s="17">
        <f t="shared" ref="S12:AF12" si="4">SUM(C18:C21)</f>
        <v>6</v>
      </c>
      <c r="T12" s="17">
        <f t="shared" si="4"/>
        <v>4</v>
      </c>
      <c r="U12" s="17">
        <f t="shared" si="4"/>
        <v>0</v>
      </c>
      <c r="V12" s="17">
        <f t="shared" si="4"/>
        <v>2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1</v>
      </c>
      <c r="AA12" s="17">
        <f t="shared" si="4"/>
        <v>1</v>
      </c>
      <c r="AB12" s="17">
        <f t="shared" si="4"/>
        <v>0</v>
      </c>
      <c r="AC12" s="17">
        <f t="shared" si="4"/>
        <v>25</v>
      </c>
      <c r="AD12" s="17">
        <f t="shared" si="4"/>
        <v>0</v>
      </c>
      <c r="AE12" s="31">
        <f t="shared" si="4"/>
        <v>15</v>
      </c>
      <c r="AF12" s="31">
        <f t="shared" si="4"/>
        <v>40</v>
      </c>
    </row>
    <row r="13" spans="2:32" ht="23.1" customHeight="1" x14ac:dyDescent="0.25">
      <c r="B13" s="23" t="s">
        <v>40</v>
      </c>
      <c r="C13" s="50">
        <v>2</v>
      </c>
      <c r="D13" s="50">
        <v>2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2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7</v>
      </c>
      <c r="P13" s="15">
        <f t="shared" si="1"/>
        <v>14</v>
      </c>
      <c r="R13" s="1" t="s">
        <v>9</v>
      </c>
      <c r="S13" s="17">
        <f t="shared" ref="S13:AF13" si="5">SUM(C22:C25)</f>
        <v>14</v>
      </c>
      <c r="T13" s="17">
        <f t="shared" si="5"/>
        <v>2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1</v>
      </c>
      <c r="Y13" s="17">
        <f t="shared" si="5"/>
        <v>1</v>
      </c>
      <c r="Z13" s="17">
        <f t="shared" si="5"/>
        <v>3</v>
      </c>
      <c r="AA13" s="17">
        <f t="shared" si="5"/>
        <v>2</v>
      </c>
      <c r="AB13" s="17">
        <f t="shared" si="5"/>
        <v>0</v>
      </c>
      <c r="AC13" s="17">
        <f t="shared" si="5"/>
        <v>22</v>
      </c>
      <c r="AD13" s="17">
        <f t="shared" si="5"/>
        <v>0</v>
      </c>
      <c r="AE13" s="31">
        <f t="shared" si="5"/>
        <v>26</v>
      </c>
      <c r="AF13" s="31">
        <f t="shared" si="5"/>
        <v>48</v>
      </c>
    </row>
    <row r="14" spans="2:32" ht="23.1" customHeight="1" x14ac:dyDescent="0.25">
      <c r="B14" s="23" t="s">
        <v>41</v>
      </c>
      <c r="C14" s="50">
        <v>12</v>
      </c>
      <c r="D14" s="50">
        <v>3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17</v>
      </c>
      <c r="P14" s="15">
        <f t="shared" si="1"/>
        <v>25</v>
      </c>
      <c r="R14" s="1" t="s">
        <v>10</v>
      </c>
      <c r="S14" s="17">
        <f t="shared" ref="S14:AF14" si="6">SUM(C26:C29)</f>
        <v>11</v>
      </c>
      <c r="T14" s="17">
        <f t="shared" si="6"/>
        <v>1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3</v>
      </c>
      <c r="AB14" s="17">
        <f t="shared" si="6"/>
        <v>0</v>
      </c>
      <c r="AC14" s="17">
        <f t="shared" si="6"/>
        <v>32</v>
      </c>
      <c r="AD14" s="17">
        <f t="shared" si="6"/>
        <v>0</v>
      </c>
      <c r="AE14" s="31">
        <f t="shared" si="6"/>
        <v>19</v>
      </c>
      <c r="AF14" s="31">
        <f t="shared" si="6"/>
        <v>51</v>
      </c>
    </row>
    <row r="15" spans="2:32" ht="23.1" customHeight="1" x14ac:dyDescent="0.25">
      <c r="B15" s="23" t="s">
        <v>42</v>
      </c>
      <c r="C15" s="50">
        <v>9</v>
      </c>
      <c r="D15" s="50">
        <v>1</v>
      </c>
      <c r="E15" s="50">
        <v>0</v>
      </c>
      <c r="F15" s="50">
        <v>1</v>
      </c>
      <c r="G15" s="50">
        <v>0</v>
      </c>
      <c r="H15" s="50">
        <v>2</v>
      </c>
      <c r="I15" s="50">
        <v>3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16</v>
      </c>
      <c r="P15" s="15">
        <f t="shared" si="1"/>
        <v>24</v>
      </c>
      <c r="R15" s="1" t="s">
        <v>11</v>
      </c>
      <c r="S15" s="17">
        <f t="shared" ref="S15:AF15" si="7">SUM(C30:C33)</f>
        <v>16</v>
      </c>
      <c r="T15" s="17">
        <f t="shared" si="7"/>
        <v>8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1</v>
      </c>
      <c r="AA15" s="17">
        <f t="shared" si="7"/>
        <v>1</v>
      </c>
      <c r="AB15" s="17">
        <f t="shared" si="7"/>
        <v>0</v>
      </c>
      <c r="AC15" s="17">
        <f t="shared" si="7"/>
        <v>35</v>
      </c>
      <c r="AD15" s="17">
        <f t="shared" si="7"/>
        <v>0</v>
      </c>
      <c r="AE15" s="31">
        <f t="shared" si="7"/>
        <v>28</v>
      </c>
      <c r="AF15" s="31">
        <f t="shared" si="7"/>
        <v>63</v>
      </c>
    </row>
    <row r="16" spans="2:32" ht="23.1" customHeight="1" x14ac:dyDescent="0.25">
      <c r="B16" s="23" t="s">
        <v>43</v>
      </c>
      <c r="C16" s="50">
        <v>8</v>
      </c>
      <c r="D16" s="50">
        <v>1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4</v>
      </c>
      <c r="N16" s="50">
        <v>0</v>
      </c>
      <c r="O16" s="15">
        <f t="shared" si="0"/>
        <v>10</v>
      </c>
      <c r="P16" s="15">
        <f t="shared" si="1"/>
        <v>14</v>
      </c>
      <c r="R16" s="1" t="s">
        <v>12</v>
      </c>
      <c r="S16" s="17">
        <f t="shared" ref="S16:AF16" si="8">SUM(C34:C37)</f>
        <v>11</v>
      </c>
      <c r="T16" s="17">
        <f t="shared" si="8"/>
        <v>5</v>
      </c>
      <c r="U16" s="17">
        <f t="shared" si="8"/>
        <v>2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2</v>
      </c>
      <c r="Z16" s="17">
        <f t="shared" si="8"/>
        <v>5</v>
      </c>
      <c r="AA16" s="17">
        <f t="shared" si="8"/>
        <v>3</v>
      </c>
      <c r="AB16" s="17">
        <f t="shared" si="8"/>
        <v>0</v>
      </c>
      <c r="AC16" s="17">
        <f t="shared" si="8"/>
        <v>16</v>
      </c>
      <c r="AD16" s="17">
        <f t="shared" si="8"/>
        <v>0</v>
      </c>
      <c r="AE16" s="31">
        <f t="shared" si="8"/>
        <v>28</v>
      </c>
      <c r="AF16" s="31">
        <f t="shared" si="8"/>
        <v>44</v>
      </c>
    </row>
    <row r="17" spans="2:32" ht="23.1" customHeight="1" x14ac:dyDescent="0.25">
      <c r="B17" s="23" t="s">
        <v>44</v>
      </c>
      <c r="C17" s="50">
        <v>10</v>
      </c>
      <c r="D17" s="50">
        <v>2</v>
      </c>
      <c r="E17" s="50">
        <v>1</v>
      </c>
      <c r="F17" s="50">
        <v>0</v>
      </c>
      <c r="G17" s="50">
        <v>0</v>
      </c>
      <c r="H17" s="50">
        <v>0</v>
      </c>
      <c r="I17" s="50">
        <v>3</v>
      </c>
      <c r="J17" s="50">
        <v>0</v>
      </c>
      <c r="K17" s="50">
        <v>0</v>
      </c>
      <c r="L17" s="50">
        <v>0</v>
      </c>
      <c r="M17" s="50">
        <v>7</v>
      </c>
      <c r="N17" s="50">
        <v>0</v>
      </c>
      <c r="O17" s="15">
        <f t="shared" si="0"/>
        <v>16</v>
      </c>
      <c r="P17" s="15">
        <f t="shared" si="1"/>
        <v>23</v>
      </c>
      <c r="R17" s="1" t="s">
        <v>13</v>
      </c>
      <c r="S17" s="17">
        <f t="shared" ref="S17:AF17" si="9">SUM(C38:C41)</f>
        <v>22</v>
      </c>
      <c r="T17" s="17">
        <f t="shared" si="9"/>
        <v>4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4</v>
      </c>
      <c r="Z17" s="17">
        <f t="shared" si="9"/>
        <v>3</v>
      </c>
      <c r="AA17" s="17">
        <f t="shared" si="9"/>
        <v>1</v>
      </c>
      <c r="AB17" s="17">
        <f t="shared" si="9"/>
        <v>0</v>
      </c>
      <c r="AC17" s="17">
        <f t="shared" si="9"/>
        <v>16</v>
      </c>
      <c r="AD17" s="17">
        <f t="shared" si="9"/>
        <v>0</v>
      </c>
      <c r="AE17" s="31">
        <f t="shared" si="9"/>
        <v>37</v>
      </c>
      <c r="AF17" s="31">
        <f t="shared" si="9"/>
        <v>53</v>
      </c>
    </row>
    <row r="18" spans="2:32" ht="23.1" customHeight="1" x14ac:dyDescent="0.25">
      <c r="B18" s="23" t="s">
        <v>45</v>
      </c>
      <c r="C18" s="50">
        <v>0</v>
      </c>
      <c r="D18" s="50">
        <v>1</v>
      </c>
      <c r="E18" s="50">
        <v>0</v>
      </c>
      <c r="F18" s="50">
        <v>2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3</v>
      </c>
      <c r="P18" s="15">
        <f t="shared" si="1"/>
        <v>8</v>
      </c>
      <c r="R18" s="1" t="s">
        <v>14</v>
      </c>
      <c r="S18" s="17">
        <f t="shared" ref="S18:AF18" si="10">SUM(C42:C45)</f>
        <v>12</v>
      </c>
      <c r="T18" s="17">
        <f t="shared" si="10"/>
        <v>1</v>
      </c>
      <c r="U18" s="17">
        <f t="shared" si="10"/>
        <v>0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2</v>
      </c>
      <c r="Z18" s="17">
        <f t="shared" si="10"/>
        <v>6</v>
      </c>
      <c r="AA18" s="17">
        <f t="shared" si="10"/>
        <v>0</v>
      </c>
      <c r="AB18" s="17">
        <f t="shared" si="10"/>
        <v>0</v>
      </c>
      <c r="AC18" s="17">
        <f t="shared" si="10"/>
        <v>19</v>
      </c>
      <c r="AD18" s="17">
        <f t="shared" si="10"/>
        <v>0</v>
      </c>
      <c r="AE18" s="31">
        <f t="shared" si="10"/>
        <v>21</v>
      </c>
      <c r="AF18" s="31">
        <f t="shared" si="10"/>
        <v>40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1</v>
      </c>
      <c r="I19" s="50">
        <v>0</v>
      </c>
      <c r="J19" s="50">
        <v>1</v>
      </c>
      <c r="K19" s="50">
        <v>1</v>
      </c>
      <c r="L19" s="50">
        <v>0</v>
      </c>
      <c r="M19" s="50">
        <v>7</v>
      </c>
      <c r="N19" s="50">
        <v>0</v>
      </c>
      <c r="O19" s="15">
        <f t="shared" si="0"/>
        <v>4</v>
      </c>
      <c r="P19" s="15">
        <f t="shared" si="1"/>
        <v>11</v>
      </c>
      <c r="R19" s="1" t="s">
        <v>15</v>
      </c>
      <c r="S19" s="17">
        <f t="shared" ref="S19:AF19" si="11">SUM(C46:C49)</f>
        <v>8</v>
      </c>
      <c r="T19" s="17">
        <f t="shared" si="11"/>
        <v>0</v>
      </c>
      <c r="U19" s="17">
        <f t="shared" si="11"/>
        <v>3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9</v>
      </c>
      <c r="AA19" s="17">
        <f t="shared" si="11"/>
        <v>2</v>
      </c>
      <c r="AB19" s="17">
        <f t="shared" si="11"/>
        <v>0</v>
      </c>
      <c r="AC19" s="17">
        <f t="shared" si="11"/>
        <v>22</v>
      </c>
      <c r="AD19" s="17">
        <f t="shared" si="11"/>
        <v>0</v>
      </c>
      <c r="AE19" s="31">
        <f t="shared" si="11"/>
        <v>28</v>
      </c>
      <c r="AF19" s="31">
        <f t="shared" si="11"/>
        <v>50</v>
      </c>
    </row>
    <row r="20" spans="2:32" ht="23.1" customHeight="1" x14ac:dyDescent="0.25">
      <c r="B20" s="23" t="s">
        <v>47</v>
      </c>
      <c r="C20" s="50">
        <v>3</v>
      </c>
      <c r="D20" s="50">
        <v>1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8</v>
      </c>
      <c r="N20" s="50">
        <v>0</v>
      </c>
      <c r="O20" s="15">
        <f t="shared" si="0"/>
        <v>4</v>
      </c>
      <c r="P20" s="15">
        <f t="shared" si="1"/>
        <v>12</v>
      </c>
      <c r="R20" s="1" t="s">
        <v>16</v>
      </c>
      <c r="S20" s="17">
        <f t="shared" ref="S20:AF20" si="12">SUM(C50:C53)</f>
        <v>22</v>
      </c>
      <c r="T20" s="17">
        <f t="shared" si="12"/>
        <v>6</v>
      </c>
      <c r="U20" s="17">
        <f t="shared" si="12"/>
        <v>6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12</v>
      </c>
      <c r="Z20" s="17">
        <f t="shared" si="12"/>
        <v>4</v>
      </c>
      <c r="AA20" s="17">
        <f t="shared" si="12"/>
        <v>3</v>
      </c>
      <c r="AB20" s="17">
        <f t="shared" si="12"/>
        <v>2</v>
      </c>
      <c r="AC20" s="17">
        <f t="shared" si="12"/>
        <v>23</v>
      </c>
      <c r="AD20" s="17">
        <f t="shared" si="12"/>
        <v>0</v>
      </c>
      <c r="AE20" s="31">
        <f t="shared" si="12"/>
        <v>55</v>
      </c>
      <c r="AF20" s="31">
        <f t="shared" si="12"/>
        <v>78</v>
      </c>
    </row>
    <row r="21" spans="2:32" ht="23.1" customHeight="1" x14ac:dyDescent="0.25">
      <c r="B21" s="23" t="s">
        <v>48</v>
      </c>
      <c r="C21" s="50">
        <v>2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5</v>
      </c>
      <c r="N21" s="50">
        <v>0</v>
      </c>
      <c r="O21" s="15">
        <f t="shared" si="0"/>
        <v>4</v>
      </c>
      <c r="P21" s="15">
        <f t="shared" si="1"/>
        <v>9</v>
      </c>
      <c r="R21" s="36" t="s">
        <v>20</v>
      </c>
      <c r="S21" s="34">
        <f t="shared" ref="S21:AF21" si="13">SUM(C54:C57)</f>
        <v>13</v>
      </c>
      <c r="T21" s="17">
        <f t="shared" si="13"/>
        <v>5</v>
      </c>
      <c r="U21" s="17">
        <f t="shared" si="13"/>
        <v>5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1</v>
      </c>
      <c r="AA21" s="17">
        <f t="shared" si="13"/>
        <v>1</v>
      </c>
      <c r="AB21" s="17">
        <f t="shared" si="13"/>
        <v>3</v>
      </c>
      <c r="AC21" s="17">
        <f t="shared" si="13"/>
        <v>26</v>
      </c>
      <c r="AD21" s="17">
        <f t="shared" si="13"/>
        <v>0</v>
      </c>
      <c r="AE21" s="31">
        <f t="shared" si="13"/>
        <v>35</v>
      </c>
      <c r="AF21" s="31">
        <f t="shared" si="13"/>
        <v>61</v>
      </c>
    </row>
    <row r="22" spans="2:32" ht="23.1" customHeight="1" x14ac:dyDescent="0.25">
      <c r="B22" s="23" t="s">
        <v>49</v>
      </c>
      <c r="C22" s="50">
        <v>6</v>
      </c>
      <c r="D22" s="50">
        <v>1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1</v>
      </c>
      <c r="K22" s="50">
        <v>1</v>
      </c>
      <c r="L22" s="50">
        <v>0</v>
      </c>
      <c r="M22" s="50">
        <v>4</v>
      </c>
      <c r="N22" s="50">
        <v>0</v>
      </c>
      <c r="O22" s="15">
        <f t="shared" si="0"/>
        <v>11</v>
      </c>
      <c r="P22" s="15">
        <f t="shared" si="1"/>
        <v>15</v>
      </c>
      <c r="R22" s="38" t="s">
        <v>90</v>
      </c>
      <c r="S22" s="39">
        <f>MAX(S10:S12)</f>
        <v>39</v>
      </c>
      <c r="T22" s="39">
        <f t="shared" ref="T22:AF22" si="14">MAX(T10:T12)</f>
        <v>7</v>
      </c>
      <c r="U22" s="39">
        <f t="shared" si="14"/>
        <v>3</v>
      </c>
      <c r="V22" s="39">
        <f t="shared" si="14"/>
        <v>3</v>
      </c>
      <c r="W22" s="39">
        <f t="shared" si="14"/>
        <v>0</v>
      </c>
      <c r="X22" s="39">
        <f t="shared" si="14"/>
        <v>2</v>
      </c>
      <c r="Y22" s="39">
        <f t="shared" si="14"/>
        <v>7</v>
      </c>
      <c r="Z22" s="39">
        <f t="shared" si="14"/>
        <v>5</v>
      </c>
      <c r="AA22" s="39">
        <f t="shared" si="14"/>
        <v>3</v>
      </c>
      <c r="AB22" s="39">
        <f t="shared" si="14"/>
        <v>0</v>
      </c>
      <c r="AC22" s="39">
        <f t="shared" si="14"/>
        <v>27</v>
      </c>
      <c r="AD22" s="39">
        <f t="shared" si="14"/>
        <v>0</v>
      </c>
      <c r="AE22" s="40">
        <f t="shared" si="14"/>
        <v>59</v>
      </c>
      <c r="AF22" s="40">
        <f t="shared" si="14"/>
        <v>86</v>
      </c>
    </row>
    <row r="23" spans="2:32" ht="23.1" customHeight="1" x14ac:dyDescent="0.25">
      <c r="B23" s="23" t="s">
        <v>50</v>
      </c>
      <c r="C23" s="50">
        <v>3</v>
      </c>
      <c r="D23" s="50">
        <v>0</v>
      </c>
      <c r="E23" s="50">
        <v>2</v>
      </c>
      <c r="F23" s="50">
        <v>0</v>
      </c>
      <c r="G23" s="50">
        <v>0</v>
      </c>
      <c r="H23" s="50">
        <v>1</v>
      </c>
      <c r="I23" s="50">
        <v>0</v>
      </c>
      <c r="J23" s="50">
        <v>1</v>
      </c>
      <c r="K23" s="50">
        <v>0</v>
      </c>
      <c r="L23" s="50">
        <v>0</v>
      </c>
      <c r="M23" s="50">
        <v>5</v>
      </c>
      <c r="N23" s="50">
        <v>0</v>
      </c>
      <c r="O23" s="15">
        <f t="shared" si="0"/>
        <v>7</v>
      </c>
      <c r="P23" s="15">
        <f t="shared" si="1"/>
        <v>12</v>
      </c>
      <c r="R23" s="38" t="s">
        <v>91</v>
      </c>
      <c r="S23" s="39">
        <f>MAX(S13:S18)</f>
        <v>22</v>
      </c>
      <c r="T23" s="39">
        <f t="shared" ref="T23:AF23" si="15">MAX(T13:T18)</f>
        <v>8</v>
      </c>
      <c r="U23" s="39">
        <f t="shared" si="15"/>
        <v>3</v>
      </c>
      <c r="V23" s="39">
        <f t="shared" si="15"/>
        <v>1</v>
      </c>
      <c r="W23" s="39">
        <f t="shared" si="15"/>
        <v>0</v>
      </c>
      <c r="X23" s="39">
        <f t="shared" si="15"/>
        <v>1</v>
      </c>
      <c r="Y23" s="39">
        <f t="shared" si="15"/>
        <v>4</v>
      </c>
      <c r="Z23" s="39">
        <f t="shared" si="15"/>
        <v>6</v>
      </c>
      <c r="AA23" s="39">
        <f t="shared" si="15"/>
        <v>3</v>
      </c>
      <c r="AB23" s="39">
        <f t="shared" si="15"/>
        <v>0</v>
      </c>
      <c r="AC23" s="39">
        <f t="shared" si="15"/>
        <v>35</v>
      </c>
      <c r="AD23" s="39">
        <f t="shared" si="15"/>
        <v>0</v>
      </c>
      <c r="AE23" s="40">
        <f t="shared" si="15"/>
        <v>37</v>
      </c>
      <c r="AF23" s="40">
        <f t="shared" si="15"/>
        <v>63</v>
      </c>
    </row>
    <row r="24" spans="2:32" ht="23.1" customHeight="1" x14ac:dyDescent="0.25">
      <c r="B24" s="23" t="s">
        <v>51</v>
      </c>
      <c r="C24" s="50">
        <v>3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4</v>
      </c>
      <c r="P24" s="15">
        <f t="shared" si="1"/>
        <v>10</v>
      </c>
      <c r="R24" s="38" t="s">
        <v>92</v>
      </c>
      <c r="S24" s="39">
        <f>MAX(S19:S21)</f>
        <v>22</v>
      </c>
      <c r="T24" s="39">
        <f t="shared" ref="T24:AF24" si="16">MAX(T19:T21)</f>
        <v>6</v>
      </c>
      <c r="U24" s="39">
        <f t="shared" si="16"/>
        <v>6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12</v>
      </c>
      <c r="Z24" s="39">
        <f t="shared" si="16"/>
        <v>9</v>
      </c>
      <c r="AA24" s="39">
        <f t="shared" si="16"/>
        <v>3</v>
      </c>
      <c r="AB24" s="39">
        <f t="shared" si="16"/>
        <v>3</v>
      </c>
      <c r="AC24" s="39">
        <f t="shared" si="16"/>
        <v>26</v>
      </c>
      <c r="AD24" s="39">
        <f t="shared" si="16"/>
        <v>0</v>
      </c>
      <c r="AE24" s="40">
        <f t="shared" si="16"/>
        <v>55</v>
      </c>
      <c r="AF24" s="40">
        <f t="shared" si="16"/>
        <v>78</v>
      </c>
    </row>
    <row r="25" spans="2:32" ht="23.1" customHeight="1" x14ac:dyDescent="0.25">
      <c r="B25" s="23" t="s">
        <v>52</v>
      </c>
      <c r="C25" s="50">
        <v>2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1</v>
      </c>
      <c r="L25" s="50">
        <v>0</v>
      </c>
      <c r="M25" s="50">
        <v>7</v>
      </c>
      <c r="N25" s="50">
        <v>0</v>
      </c>
      <c r="O25" s="15">
        <f t="shared" si="0"/>
        <v>4</v>
      </c>
      <c r="P25" s="15">
        <f t="shared" si="1"/>
        <v>11</v>
      </c>
      <c r="R25" s="37" t="s">
        <v>85</v>
      </c>
      <c r="S25" s="35">
        <f t="shared" ref="S25:AF25" si="17">SUM(S10:S12)</f>
        <v>55</v>
      </c>
      <c r="T25" s="16">
        <f t="shared" si="17"/>
        <v>18</v>
      </c>
      <c r="U25" s="16">
        <f t="shared" si="17"/>
        <v>5</v>
      </c>
      <c r="V25" s="16">
        <f t="shared" si="17"/>
        <v>6</v>
      </c>
      <c r="W25" s="16">
        <f t="shared" si="17"/>
        <v>0</v>
      </c>
      <c r="X25" s="16">
        <f t="shared" si="17"/>
        <v>3</v>
      </c>
      <c r="Y25" s="16">
        <f t="shared" si="17"/>
        <v>12</v>
      </c>
      <c r="Z25" s="16">
        <f t="shared" si="17"/>
        <v>6</v>
      </c>
      <c r="AA25" s="16">
        <f t="shared" si="17"/>
        <v>4</v>
      </c>
      <c r="AB25" s="16">
        <f t="shared" si="17"/>
        <v>0</v>
      </c>
      <c r="AC25" s="16">
        <f t="shared" si="17"/>
        <v>78</v>
      </c>
      <c r="AD25" s="16">
        <f t="shared" si="17"/>
        <v>0</v>
      </c>
      <c r="AE25" s="32">
        <f t="shared" si="17"/>
        <v>109</v>
      </c>
      <c r="AF25" s="32">
        <f t="shared" si="17"/>
        <v>187</v>
      </c>
    </row>
    <row r="26" spans="2:32" ht="23.1" customHeight="1" x14ac:dyDescent="0.25">
      <c r="B26" s="23" t="s">
        <v>53</v>
      </c>
      <c r="C26" s="50">
        <v>6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2</v>
      </c>
      <c r="L26" s="50">
        <v>0</v>
      </c>
      <c r="M26" s="50">
        <v>8</v>
      </c>
      <c r="N26" s="50">
        <v>0</v>
      </c>
      <c r="O26" s="15">
        <f t="shared" si="0"/>
        <v>8</v>
      </c>
      <c r="P26" s="15">
        <f t="shared" si="1"/>
        <v>16</v>
      </c>
      <c r="R26" s="28" t="s">
        <v>86</v>
      </c>
      <c r="S26" s="16">
        <f t="shared" ref="S26:AF26" si="18">SUM(S13:S18)</f>
        <v>86</v>
      </c>
      <c r="T26" s="16">
        <f t="shared" si="18"/>
        <v>21</v>
      </c>
      <c r="U26" s="16">
        <f t="shared" si="18"/>
        <v>10</v>
      </c>
      <c r="V26" s="16">
        <f t="shared" si="18"/>
        <v>2</v>
      </c>
      <c r="W26" s="16">
        <f t="shared" si="18"/>
        <v>0</v>
      </c>
      <c r="X26" s="16">
        <f t="shared" si="18"/>
        <v>1</v>
      </c>
      <c r="Y26" s="16">
        <f t="shared" si="18"/>
        <v>11</v>
      </c>
      <c r="Z26" s="16">
        <f t="shared" si="18"/>
        <v>18</v>
      </c>
      <c r="AA26" s="16">
        <f t="shared" si="18"/>
        <v>10</v>
      </c>
      <c r="AB26" s="16">
        <f t="shared" si="18"/>
        <v>0</v>
      </c>
      <c r="AC26" s="16">
        <f t="shared" si="18"/>
        <v>140</v>
      </c>
      <c r="AD26" s="16">
        <f t="shared" si="18"/>
        <v>0</v>
      </c>
      <c r="AE26" s="32">
        <f t="shared" si="18"/>
        <v>159</v>
      </c>
      <c r="AF26" s="32">
        <f t="shared" si="18"/>
        <v>299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1</v>
      </c>
      <c r="L27" s="50">
        <v>0</v>
      </c>
      <c r="M27" s="50">
        <v>7</v>
      </c>
      <c r="N27" s="50">
        <v>0</v>
      </c>
      <c r="O27" s="15">
        <f t="shared" si="0"/>
        <v>2</v>
      </c>
      <c r="P27" s="15">
        <f t="shared" si="1"/>
        <v>9</v>
      </c>
      <c r="R27" s="29" t="s">
        <v>87</v>
      </c>
      <c r="S27" s="16">
        <f t="shared" ref="S27:AF27" si="19">SUM(S19:S21)</f>
        <v>43</v>
      </c>
      <c r="T27" s="16">
        <f t="shared" si="19"/>
        <v>11</v>
      </c>
      <c r="U27" s="16">
        <f t="shared" si="19"/>
        <v>14</v>
      </c>
      <c r="V27" s="16">
        <f t="shared" si="19"/>
        <v>1</v>
      </c>
      <c r="W27" s="16">
        <f t="shared" si="19"/>
        <v>0</v>
      </c>
      <c r="X27" s="16">
        <f t="shared" si="19"/>
        <v>0</v>
      </c>
      <c r="Y27" s="16">
        <f t="shared" si="19"/>
        <v>24</v>
      </c>
      <c r="Z27" s="16">
        <f t="shared" si="19"/>
        <v>14</v>
      </c>
      <c r="AA27" s="16">
        <f t="shared" si="19"/>
        <v>6</v>
      </c>
      <c r="AB27" s="16">
        <f t="shared" si="19"/>
        <v>5</v>
      </c>
      <c r="AC27" s="16">
        <f t="shared" si="19"/>
        <v>71</v>
      </c>
      <c r="AD27" s="16">
        <f t="shared" si="19"/>
        <v>0</v>
      </c>
      <c r="AE27" s="32">
        <f t="shared" si="19"/>
        <v>118</v>
      </c>
      <c r="AF27" s="32">
        <f t="shared" si="19"/>
        <v>189</v>
      </c>
    </row>
    <row r="28" spans="2:32" ht="23.1" customHeight="1" x14ac:dyDescent="0.25">
      <c r="B28" s="23" t="s">
        <v>55</v>
      </c>
      <c r="C28" s="50">
        <v>1</v>
      </c>
      <c r="D28" s="50">
        <v>1</v>
      </c>
      <c r="E28" s="50">
        <v>1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7</v>
      </c>
      <c r="N28" s="50">
        <v>0</v>
      </c>
      <c r="O28" s="15">
        <f t="shared" si="0"/>
        <v>3</v>
      </c>
      <c r="P28" s="15">
        <f t="shared" si="1"/>
        <v>10</v>
      </c>
      <c r="R28" s="5" t="s">
        <v>17</v>
      </c>
      <c r="S28" s="16">
        <f t="shared" ref="S28:AF28" si="20">SUM(S10:S21)</f>
        <v>184</v>
      </c>
      <c r="T28" s="16">
        <f t="shared" si="20"/>
        <v>50</v>
      </c>
      <c r="U28" s="16">
        <f t="shared" si="20"/>
        <v>29</v>
      </c>
      <c r="V28" s="16">
        <f t="shared" si="20"/>
        <v>9</v>
      </c>
      <c r="W28" s="16">
        <f t="shared" si="20"/>
        <v>0</v>
      </c>
      <c r="X28" s="16">
        <f t="shared" si="20"/>
        <v>4</v>
      </c>
      <c r="Y28" s="16">
        <f t="shared" si="20"/>
        <v>47</v>
      </c>
      <c r="Z28" s="16">
        <f t="shared" si="20"/>
        <v>38</v>
      </c>
      <c r="AA28" s="16">
        <f t="shared" si="20"/>
        <v>20</v>
      </c>
      <c r="AB28" s="16">
        <f t="shared" si="20"/>
        <v>5</v>
      </c>
      <c r="AC28" s="16">
        <f t="shared" si="20"/>
        <v>289</v>
      </c>
      <c r="AD28" s="16">
        <f t="shared" si="20"/>
        <v>0</v>
      </c>
      <c r="AE28" s="32">
        <f t="shared" si="20"/>
        <v>386</v>
      </c>
      <c r="AF28" s="32">
        <f t="shared" si="20"/>
        <v>675</v>
      </c>
    </row>
    <row r="29" spans="2:32" ht="23.1" customHeight="1" x14ac:dyDescent="0.25">
      <c r="B29" s="23" t="s">
        <v>56</v>
      </c>
      <c r="C29" s="50">
        <v>4</v>
      </c>
      <c r="D29" s="50">
        <v>0</v>
      </c>
      <c r="E29" s="50">
        <v>1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10</v>
      </c>
      <c r="N29" s="50">
        <v>0</v>
      </c>
      <c r="O29" s="15">
        <f t="shared" si="0"/>
        <v>6</v>
      </c>
      <c r="P29" s="15">
        <f t="shared" si="1"/>
        <v>16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3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5</v>
      </c>
      <c r="P30" s="15">
        <f t="shared" si="1"/>
        <v>14</v>
      </c>
    </row>
    <row r="31" spans="2:32" ht="23.1" customHeight="1" x14ac:dyDescent="0.25">
      <c r="B31" s="24" t="s">
        <v>58</v>
      </c>
      <c r="C31" s="50">
        <v>4</v>
      </c>
      <c r="D31" s="50">
        <v>1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6</v>
      </c>
      <c r="P31" s="15">
        <f t="shared" si="1"/>
        <v>14</v>
      </c>
    </row>
    <row r="32" spans="2:32" ht="23.1" customHeight="1" x14ac:dyDescent="0.25">
      <c r="B32" s="24" t="s">
        <v>59</v>
      </c>
      <c r="C32" s="50">
        <v>5</v>
      </c>
      <c r="D32" s="50">
        <v>1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1</v>
      </c>
      <c r="L32" s="50">
        <v>0</v>
      </c>
      <c r="M32" s="50">
        <v>8</v>
      </c>
      <c r="N32" s="50">
        <v>0</v>
      </c>
      <c r="O32" s="15">
        <f t="shared" si="0"/>
        <v>8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5</v>
      </c>
      <c r="D33" s="50">
        <v>3</v>
      </c>
      <c r="E33" s="50">
        <v>0</v>
      </c>
      <c r="F33" s="50">
        <v>0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9</v>
      </c>
      <c r="P33" s="15">
        <f t="shared" si="1"/>
        <v>19</v>
      </c>
    </row>
    <row r="34" spans="2:20" ht="23.1" customHeight="1" x14ac:dyDescent="0.25">
      <c r="B34" s="24" t="s">
        <v>61</v>
      </c>
      <c r="C34" s="50">
        <v>3</v>
      </c>
      <c r="D34" s="50">
        <v>3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6</v>
      </c>
      <c r="N34" s="50">
        <v>0</v>
      </c>
      <c r="O34" s="15">
        <f t="shared" si="0"/>
        <v>8</v>
      </c>
      <c r="P34" s="15">
        <f t="shared" si="1"/>
        <v>14</v>
      </c>
    </row>
    <row r="35" spans="2:20" ht="23.1" customHeight="1" x14ac:dyDescent="0.25">
      <c r="B35" s="24" t="s">
        <v>62</v>
      </c>
      <c r="C35" s="50">
        <v>3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2</v>
      </c>
      <c r="K35" s="50">
        <v>2</v>
      </c>
      <c r="L35" s="50">
        <v>0</v>
      </c>
      <c r="M35" s="50">
        <v>3</v>
      </c>
      <c r="N35" s="50">
        <v>0</v>
      </c>
      <c r="O35" s="15">
        <f t="shared" si="0"/>
        <v>8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1</v>
      </c>
      <c r="K36" s="50">
        <v>1</v>
      </c>
      <c r="L36" s="50">
        <v>0</v>
      </c>
      <c r="M36" s="50">
        <v>5</v>
      </c>
      <c r="N36" s="50">
        <v>0</v>
      </c>
      <c r="O36" s="15">
        <f t="shared" si="0"/>
        <v>6</v>
      </c>
      <c r="P36" s="15">
        <f t="shared" si="1"/>
        <v>11</v>
      </c>
    </row>
    <row r="37" spans="2:20" ht="23.1" customHeight="1" x14ac:dyDescent="0.25">
      <c r="B37" s="23" t="s">
        <v>64</v>
      </c>
      <c r="C37" s="50">
        <v>2</v>
      </c>
      <c r="D37" s="50">
        <v>2</v>
      </c>
      <c r="E37" s="50">
        <v>0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2</v>
      </c>
      <c r="N37" s="50">
        <v>0</v>
      </c>
      <c r="O37" s="15">
        <f t="shared" si="0"/>
        <v>6</v>
      </c>
      <c r="P37" s="15">
        <f t="shared" si="1"/>
        <v>8</v>
      </c>
    </row>
    <row r="38" spans="2:20" ht="23.1" customHeight="1" x14ac:dyDescent="0.25">
      <c r="B38" s="24" t="s">
        <v>65</v>
      </c>
      <c r="C38" s="50">
        <v>5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3</v>
      </c>
      <c r="N38" s="50">
        <v>0</v>
      </c>
      <c r="O38" s="15">
        <f t="shared" si="0"/>
        <v>7</v>
      </c>
      <c r="P38" s="15">
        <f t="shared" si="1"/>
        <v>10</v>
      </c>
    </row>
    <row r="39" spans="2:20" ht="23.1" customHeight="1" x14ac:dyDescent="0.25">
      <c r="B39" s="24" t="s">
        <v>66</v>
      </c>
      <c r="C39" s="50">
        <v>3</v>
      </c>
      <c r="D39" s="50">
        <v>2</v>
      </c>
      <c r="E39" s="50">
        <v>0</v>
      </c>
      <c r="F39" s="50">
        <v>0</v>
      </c>
      <c r="G39" s="50">
        <v>0</v>
      </c>
      <c r="H39" s="50">
        <v>0</v>
      </c>
      <c r="I39" s="50">
        <v>2</v>
      </c>
      <c r="J39" s="50">
        <v>1</v>
      </c>
      <c r="K39" s="50">
        <v>0</v>
      </c>
      <c r="L39" s="50">
        <v>0</v>
      </c>
      <c r="M39" s="50">
        <v>2</v>
      </c>
      <c r="N39" s="50">
        <v>0</v>
      </c>
      <c r="O39" s="15">
        <f t="shared" si="0"/>
        <v>8</v>
      </c>
      <c r="P39" s="15">
        <f t="shared" si="1"/>
        <v>10</v>
      </c>
    </row>
    <row r="40" spans="2:20" ht="23.1" customHeight="1" x14ac:dyDescent="0.25">
      <c r="B40" s="24" t="s">
        <v>67</v>
      </c>
      <c r="C40" s="50">
        <v>10</v>
      </c>
      <c r="D40" s="50">
        <v>1</v>
      </c>
      <c r="E40" s="50">
        <v>2</v>
      </c>
      <c r="F40" s="50">
        <v>0</v>
      </c>
      <c r="G40" s="50">
        <v>0</v>
      </c>
      <c r="H40" s="50">
        <v>0</v>
      </c>
      <c r="I40" s="50">
        <v>0</v>
      </c>
      <c r="J40" s="50">
        <v>2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15</v>
      </c>
      <c r="P40" s="15">
        <f t="shared" si="1"/>
        <v>23</v>
      </c>
    </row>
    <row r="41" spans="2:20" ht="23.1" customHeight="1" x14ac:dyDescent="0.25">
      <c r="B41" s="23" t="s">
        <v>68</v>
      </c>
      <c r="C41" s="50">
        <v>4</v>
      </c>
      <c r="D41" s="50">
        <v>1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1</v>
      </c>
      <c r="L41" s="50">
        <v>0</v>
      </c>
      <c r="M41" s="50">
        <v>3</v>
      </c>
      <c r="N41" s="50">
        <v>0</v>
      </c>
      <c r="O41" s="15">
        <f t="shared" si="0"/>
        <v>7</v>
      </c>
      <c r="P41" s="15">
        <f t="shared" si="1"/>
        <v>10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5</v>
      </c>
      <c r="N42" s="50">
        <v>0</v>
      </c>
      <c r="O42" s="15">
        <f t="shared" si="0"/>
        <v>1</v>
      </c>
      <c r="P42" s="15">
        <f t="shared" si="1"/>
        <v>6</v>
      </c>
    </row>
    <row r="43" spans="2:20" ht="23.1" customHeight="1" x14ac:dyDescent="0.25">
      <c r="B43" s="23" t="s">
        <v>70</v>
      </c>
      <c r="C43" s="50">
        <v>3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3</v>
      </c>
      <c r="K43" s="50">
        <v>0</v>
      </c>
      <c r="L43" s="50">
        <v>0</v>
      </c>
      <c r="M43" s="50">
        <v>4</v>
      </c>
      <c r="N43" s="50">
        <v>0</v>
      </c>
      <c r="O43" s="15">
        <f t="shared" si="0"/>
        <v>8</v>
      </c>
      <c r="P43" s="15">
        <f t="shared" si="1"/>
        <v>12</v>
      </c>
    </row>
    <row r="44" spans="2:20" ht="23.1" customHeight="1" x14ac:dyDescent="0.25">
      <c r="B44" s="25" t="s">
        <v>71</v>
      </c>
      <c r="C44" s="50">
        <v>5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3</v>
      </c>
      <c r="K44" s="50">
        <v>0</v>
      </c>
      <c r="L44" s="50">
        <v>0</v>
      </c>
      <c r="M44" s="50">
        <v>5</v>
      </c>
      <c r="N44" s="50">
        <v>0</v>
      </c>
      <c r="O44" s="15">
        <f t="shared" si="0"/>
        <v>8</v>
      </c>
      <c r="P44" s="15">
        <f t="shared" si="1"/>
        <v>13</v>
      </c>
    </row>
    <row r="45" spans="2:20" ht="23.1" customHeight="1" x14ac:dyDescent="0.25">
      <c r="B45" s="23" t="s">
        <v>72</v>
      </c>
      <c r="C45" s="50">
        <v>4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4</v>
      </c>
      <c r="P45" s="15">
        <f t="shared" si="1"/>
        <v>9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2</v>
      </c>
      <c r="K46" s="50">
        <v>0</v>
      </c>
      <c r="L46" s="50">
        <v>0</v>
      </c>
      <c r="M46" s="50">
        <v>5</v>
      </c>
      <c r="N46" s="50">
        <v>0</v>
      </c>
      <c r="O46" s="15">
        <f t="shared" si="0"/>
        <v>6</v>
      </c>
      <c r="P46" s="15">
        <f t="shared" si="1"/>
        <v>11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1</v>
      </c>
      <c r="G47" s="50">
        <v>0</v>
      </c>
      <c r="H47" s="50">
        <v>0</v>
      </c>
      <c r="I47" s="50">
        <v>0</v>
      </c>
      <c r="J47" s="50">
        <v>2</v>
      </c>
      <c r="K47" s="50">
        <v>0</v>
      </c>
      <c r="L47" s="50">
        <v>0</v>
      </c>
      <c r="M47" s="50">
        <v>7</v>
      </c>
      <c r="N47" s="50">
        <v>0</v>
      </c>
      <c r="O47" s="15">
        <f t="shared" si="0"/>
        <v>5</v>
      </c>
      <c r="P47" s="15">
        <f t="shared" si="1"/>
        <v>12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2</v>
      </c>
      <c r="F48" s="50">
        <v>0</v>
      </c>
      <c r="G48" s="50">
        <v>0</v>
      </c>
      <c r="H48" s="50">
        <v>0</v>
      </c>
      <c r="I48" s="50">
        <v>2</v>
      </c>
      <c r="J48" s="50">
        <v>4</v>
      </c>
      <c r="K48" s="50">
        <v>1</v>
      </c>
      <c r="L48" s="50">
        <v>0</v>
      </c>
      <c r="M48" s="50">
        <v>4</v>
      </c>
      <c r="N48" s="50">
        <v>0</v>
      </c>
      <c r="O48" s="15">
        <f t="shared" si="0"/>
        <v>10</v>
      </c>
      <c r="P48" s="15">
        <f t="shared" si="1"/>
        <v>14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2</v>
      </c>
      <c r="J49" s="50">
        <v>1</v>
      </c>
      <c r="K49" s="50">
        <v>1</v>
      </c>
      <c r="L49" s="50">
        <v>0</v>
      </c>
      <c r="M49" s="50">
        <v>6</v>
      </c>
      <c r="N49" s="50">
        <v>0</v>
      </c>
      <c r="O49" s="15">
        <f t="shared" si="0"/>
        <v>7</v>
      </c>
      <c r="P49" s="15">
        <f t="shared" si="1"/>
        <v>13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1</v>
      </c>
      <c r="L50" s="50">
        <v>0</v>
      </c>
      <c r="M50" s="50">
        <v>4</v>
      </c>
      <c r="N50" s="50">
        <v>0</v>
      </c>
      <c r="O50" s="15">
        <f t="shared" si="0"/>
        <v>3</v>
      </c>
      <c r="P50" s="15">
        <f t="shared" si="1"/>
        <v>7</v>
      </c>
      <c r="R50" s="8"/>
      <c r="T50"/>
    </row>
    <row r="51" spans="2:20" ht="23.1" customHeight="1" x14ac:dyDescent="0.25">
      <c r="B51" s="24" t="s">
        <v>78</v>
      </c>
      <c r="C51" s="50">
        <v>5</v>
      </c>
      <c r="D51" s="50">
        <v>3</v>
      </c>
      <c r="E51" s="50">
        <v>4</v>
      </c>
      <c r="F51" s="50">
        <v>0</v>
      </c>
      <c r="G51" s="50">
        <v>0</v>
      </c>
      <c r="H51" s="50">
        <v>0</v>
      </c>
      <c r="I51" s="50">
        <v>2</v>
      </c>
      <c r="J51" s="50">
        <v>2</v>
      </c>
      <c r="K51" s="50">
        <v>2</v>
      </c>
      <c r="L51" s="50">
        <v>0</v>
      </c>
      <c r="M51" s="50">
        <v>4</v>
      </c>
      <c r="N51" s="50">
        <v>0</v>
      </c>
      <c r="O51" s="15">
        <f t="shared" si="0"/>
        <v>18</v>
      </c>
      <c r="P51" s="15">
        <f t="shared" si="1"/>
        <v>22</v>
      </c>
      <c r="R51" s="8"/>
      <c r="T51"/>
    </row>
    <row r="52" spans="2:20" ht="23.1" customHeight="1" x14ac:dyDescent="0.25">
      <c r="B52" s="24" t="s">
        <v>79</v>
      </c>
      <c r="C52" s="50">
        <v>9</v>
      </c>
      <c r="D52" s="50">
        <v>3</v>
      </c>
      <c r="E52" s="50">
        <v>2</v>
      </c>
      <c r="F52" s="50">
        <v>0</v>
      </c>
      <c r="G52" s="50">
        <v>0</v>
      </c>
      <c r="H52" s="50">
        <v>0</v>
      </c>
      <c r="I52" s="50">
        <v>3</v>
      </c>
      <c r="J52" s="50">
        <v>1</v>
      </c>
      <c r="K52" s="50">
        <v>0</v>
      </c>
      <c r="L52" s="50">
        <v>2</v>
      </c>
      <c r="M52" s="50">
        <v>8</v>
      </c>
      <c r="N52" s="50">
        <v>0</v>
      </c>
      <c r="O52" s="15">
        <f t="shared" si="0"/>
        <v>20</v>
      </c>
      <c r="P52" s="15">
        <f t="shared" si="1"/>
        <v>28</v>
      </c>
      <c r="R52" s="8"/>
      <c r="T52"/>
    </row>
    <row r="53" spans="2:20" ht="23.1" customHeight="1" x14ac:dyDescent="0.25">
      <c r="B53" s="23" t="s">
        <v>80</v>
      </c>
      <c r="C53" s="50">
        <v>7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7</v>
      </c>
      <c r="J53" s="50">
        <v>0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14</v>
      </c>
      <c r="P53" s="15">
        <f t="shared" si="1"/>
        <v>21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2</v>
      </c>
      <c r="E54" s="50">
        <v>2</v>
      </c>
      <c r="F54" s="50">
        <v>0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7</v>
      </c>
      <c r="N54" s="50">
        <v>0</v>
      </c>
      <c r="O54" s="15">
        <f t="shared" si="0"/>
        <v>9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5</v>
      </c>
      <c r="D55" s="50">
        <v>2</v>
      </c>
      <c r="E55" s="50">
        <v>3</v>
      </c>
      <c r="F55" s="50">
        <v>0</v>
      </c>
      <c r="G55" s="50">
        <v>0</v>
      </c>
      <c r="H55" s="50">
        <v>0</v>
      </c>
      <c r="I55" s="50">
        <v>4</v>
      </c>
      <c r="J55" s="50">
        <v>0</v>
      </c>
      <c r="K55" s="50">
        <v>0</v>
      </c>
      <c r="L55" s="50">
        <v>2</v>
      </c>
      <c r="M55" s="50">
        <v>10</v>
      </c>
      <c r="N55" s="50">
        <v>0</v>
      </c>
      <c r="O55" s="15">
        <f t="shared" si="0"/>
        <v>16</v>
      </c>
      <c r="P55" s="15">
        <f t="shared" si="1"/>
        <v>26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3</v>
      </c>
      <c r="N56" s="50">
        <v>0</v>
      </c>
      <c r="O56" s="15">
        <f t="shared" si="0"/>
        <v>5</v>
      </c>
      <c r="P56" s="15">
        <f t="shared" si="1"/>
        <v>8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1</v>
      </c>
      <c r="M57" s="50">
        <v>6</v>
      </c>
      <c r="N57" s="50">
        <v>0</v>
      </c>
      <c r="O57" s="15">
        <f t="shared" si="0"/>
        <v>5</v>
      </c>
      <c r="P57" s="15">
        <f t="shared" si="1"/>
        <v>11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184</v>
      </c>
      <c r="D58" s="16">
        <f t="shared" si="21"/>
        <v>50</v>
      </c>
      <c r="E58" s="16">
        <f t="shared" si="21"/>
        <v>29</v>
      </c>
      <c r="F58" s="16">
        <f t="shared" si="21"/>
        <v>9</v>
      </c>
      <c r="G58" s="16">
        <f t="shared" si="21"/>
        <v>0</v>
      </c>
      <c r="H58" s="16">
        <f t="shared" si="21"/>
        <v>4</v>
      </c>
      <c r="I58" s="16">
        <f t="shared" si="21"/>
        <v>47</v>
      </c>
      <c r="J58" s="16">
        <f t="shared" si="21"/>
        <v>38</v>
      </c>
      <c r="K58" s="16">
        <f t="shared" si="21"/>
        <v>20</v>
      </c>
      <c r="L58" s="16">
        <f t="shared" si="21"/>
        <v>5</v>
      </c>
      <c r="M58" s="16">
        <f t="shared" si="21"/>
        <v>289</v>
      </c>
      <c r="N58" s="16">
        <f t="shared" si="21"/>
        <v>0</v>
      </c>
      <c r="O58" s="16">
        <f t="shared" si="21"/>
        <v>386</v>
      </c>
      <c r="P58" s="16">
        <f t="shared" si="21"/>
        <v>675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0.27259259259259261</v>
      </c>
      <c r="D59" s="43">
        <f t="shared" si="22"/>
        <v>7.407407407407407E-2</v>
      </c>
      <c r="E59" s="43">
        <f t="shared" si="22"/>
        <v>4.296296296296296E-2</v>
      </c>
      <c r="F59" s="43">
        <f t="shared" si="22"/>
        <v>1.3333333333333334E-2</v>
      </c>
      <c r="G59" s="43">
        <f t="shared" si="22"/>
        <v>0</v>
      </c>
      <c r="H59" s="43">
        <f t="shared" si="22"/>
        <v>5.9259259259259256E-3</v>
      </c>
      <c r="I59" s="43">
        <f t="shared" si="22"/>
        <v>6.9629629629629625E-2</v>
      </c>
      <c r="J59" s="43">
        <f t="shared" si="22"/>
        <v>5.6296296296296296E-2</v>
      </c>
      <c r="K59" s="43">
        <f t="shared" si="22"/>
        <v>2.9629629629629631E-2</v>
      </c>
      <c r="L59" s="43">
        <f t="shared" si="22"/>
        <v>7.4074074074074077E-3</v>
      </c>
      <c r="M59" s="43">
        <f t="shared" si="22"/>
        <v>0.42814814814814817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0.47668393782383417</v>
      </c>
      <c r="D60" s="44">
        <f t="shared" ref="D60:N60" si="23">D58/$O$58</f>
        <v>0.12953367875647667</v>
      </c>
      <c r="E60" s="44">
        <f t="shared" si="23"/>
        <v>7.512953367875648E-2</v>
      </c>
      <c r="F60" s="44">
        <f t="shared" si="23"/>
        <v>2.3316062176165803E-2</v>
      </c>
      <c r="G60" s="44">
        <f t="shared" si="23"/>
        <v>0</v>
      </c>
      <c r="H60" s="44">
        <f t="shared" si="23"/>
        <v>1.0362694300518135E-2</v>
      </c>
      <c r="I60" s="44">
        <f t="shared" si="23"/>
        <v>0.12176165803108809</v>
      </c>
      <c r="J60" s="44">
        <f t="shared" si="23"/>
        <v>9.8445595854922283E-2</v>
      </c>
      <c r="K60" s="44">
        <f t="shared" si="23"/>
        <v>5.181347150259067E-2</v>
      </c>
      <c r="L60" s="44">
        <f t="shared" si="23"/>
        <v>1.2953367875647668E-2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F126"/>
  <sheetViews>
    <sheetView view="pageBreakPreview" topLeftCell="A5" zoomScale="60" workbookViewId="0">
      <selection activeCell="D42" sqref="D4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Lyantonde-Rushere'!C3:G3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176</v>
      </c>
      <c r="E5" s="3"/>
      <c r="F5" s="41" t="s">
        <v>1</v>
      </c>
      <c r="G5" s="63" t="str">
        <f>'28.10 Rushere-Lyantonde-24h'!G5:H5</f>
        <v>Kaguta road JTC</v>
      </c>
      <c r="H5" s="64"/>
      <c r="I5" s="14"/>
      <c r="J5" s="2" t="s">
        <v>5</v>
      </c>
      <c r="K5" s="63" t="s">
        <v>167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Lyantonde-Rushere'!D6:E6</f>
        <v>Lyantonde</v>
      </c>
      <c r="E6" s="64"/>
      <c r="F6" s="2" t="s">
        <v>2</v>
      </c>
      <c r="G6" s="63" t="str">
        <f>'25.10 Lyantonde-Rushere'!G6:H6</f>
        <v>Rushere</v>
      </c>
      <c r="H6" s="64"/>
      <c r="J6" s="2" t="s">
        <v>21</v>
      </c>
      <c r="K6" s="63" t="str">
        <f>'28.10 Rushere-Lyantonde-24h'!K6:L6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3</v>
      </c>
      <c r="K10" s="50">
        <v>1</v>
      </c>
      <c r="L10" s="50">
        <v>0</v>
      </c>
      <c r="M10" s="50">
        <v>8</v>
      </c>
      <c r="N10" s="50">
        <v>0</v>
      </c>
      <c r="O10" s="15">
        <f t="shared" ref="O10:O57" si="0">SUM(C10:L10,N10)</f>
        <v>7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9</v>
      </c>
      <c r="T10" s="17">
        <f t="shared" si="2"/>
        <v>1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9</v>
      </c>
      <c r="AA10" s="17">
        <f t="shared" si="2"/>
        <v>1</v>
      </c>
      <c r="AB10" s="17">
        <f t="shared" si="2"/>
        <v>0</v>
      </c>
      <c r="AC10" s="17">
        <f t="shared" si="2"/>
        <v>18</v>
      </c>
      <c r="AD10" s="17">
        <f t="shared" si="2"/>
        <v>0</v>
      </c>
      <c r="AE10" s="31">
        <f t="shared" si="2"/>
        <v>23</v>
      </c>
      <c r="AF10" s="31">
        <f t="shared" si="2"/>
        <v>41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3</v>
      </c>
      <c r="K11" s="50">
        <v>0</v>
      </c>
      <c r="L11" s="50">
        <v>0</v>
      </c>
      <c r="M11" s="50">
        <v>2</v>
      </c>
      <c r="N11" s="50">
        <v>0</v>
      </c>
      <c r="O11" s="15">
        <f t="shared" si="0"/>
        <v>5</v>
      </c>
      <c r="P11" s="15">
        <f t="shared" si="1"/>
        <v>7</v>
      </c>
      <c r="R11" s="1" t="s">
        <v>7</v>
      </c>
      <c r="S11" s="17">
        <f t="shared" ref="S11:AF11" si="3">SUM(C14:C17)</f>
        <v>9</v>
      </c>
      <c r="T11" s="17">
        <f t="shared" si="3"/>
        <v>2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1</v>
      </c>
      <c r="Y11" s="17">
        <f t="shared" si="3"/>
        <v>4</v>
      </c>
      <c r="Z11" s="17">
        <f t="shared" si="3"/>
        <v>1</v>
      </c>
      <c r="AA11" s="17">
        <f t="shared" si="3"/>
        <v>1</v>
      </c>
      <c r="AB11" s="17">
        <f t="shared" si="3"/>
        <v>1</v>
      </c>
      <c r="AC11" s="17">
        <f t="shared" si="3"/>
        <v>17</v>
      </c>
      <c r="AD11" s="17">
        <f t="shared" si="3"/>
        <v>0</v>
      </c>
      <c r="AE11" s="31">
        <f t="shared" si="3"/>
        <v>22</v>
      </c>
      <c r="AF11" s="31">
        <f t="shared" si="3"/>
        <v>39</v>
      </c>
    </row>
    <row r="12" spans="2:32" ht="23.1" customHeight="1" x14ac:dyDescent="0.25">
      <c r="B12" s="23" t="s">
        <v>39</v>
      </c>
      <c r="C12" s="50">
        <v>2</v>
      </c>
      <c r="D12" s="50">
        <v>1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3</v>
      </c>
      <c r="K12" s="50">
        <v>0</v>
      </c>
      <c r="L12" s="50">
        <v>0</v>
      </c>
      <c r="M12" s="50">
        <v>3</v>
      </c>
      <c r="N12" s="50">
        <v>0</v>
      </c>
      <c r="O12" s="15">
        <f t="shared" si="0"/>
        <v>7</v>
      </c>
      <c r="P12" s="15">
        <f t="shared" si="1"/>
        <v>10</v>
      </c>
      <c r="R12" s="1" t="s">
        <v>8</v>
      </c>
      <c r="S12" s="17">
        <f t="shared" ref="S12:AF12" si="4">SUM(C18:C21)</f>
        <v>12</v>
      </c>
      <c r="T12" s="17">
        <f t="shared" si="4"/>
        <v>2</v>
      </c>
      <c r="U12" s="17">
        <f t="shared" si="4"/>
        <v>4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25</v>
      </c>
      <c r="AD12" s="17">
        <f t="shared" si="4"/>
        <v>0</v>
      </c>
      <c r="AE12" s="31">
        <f t="shared" si="4"/>
        <v>23</v>
      </c>
      <c r="AF12" s="31">
        <f t="shared" si="4"/>
        <v>48</v>
      </c>
    </row>
    <row r="13" spans="2:32" ht="23.1" customHeight="1" x14ac:dyDescent="0.25">
      <c r="B13" s="23" t="s">
        <v>40</v>
      </c>
      <c r="C13" s="50">
        <v>3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5</v>
      </c>
      <c r="N13" s="50">
        <v>0</v>
      </c>
      <c r="O13" s="15">
        <f t="shared" si="0"/>
        <v>4</v>
      </c>
      <c r="P13" s="15">
        <f t="shared" si="1"/>
        <v>9</v>
      </c>
      <c r="R13" s="1" t="s">
        <v>9</v>
      </c>
      <c r="S13" s="17">
        <f t="shared" ref="S13:AF13" si="5">SUM(C22:C25)</f>
        <v>8</v>
      </c>
      <c r="T13" s="17">
        <f t="shared" si="5"/>
        <v>1</v>
      </c>
      <c r="U13" s="17">
        <f t="shared" si="5"/>
        <v>1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3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13</v>
      </c>
      <c r="AD13" s="17">
        <f t="shared" si="5"/>
        <v>0</v>
      </c>
      <c r="AE13" s="31">
        <f t="shared" si="5"/>
        <v>17</v>
      </c>
      <c r="AF13" s="31">
        <f t="shared" si="5"/>
        <v>30</v>
      </c>
    </row>
    <row r="14" spans="2:32" ht="23.1" customHeight="1" x14ac:dyDescent="0.25">
      <c r="B14" s="23" t="s">
        <v>41</v>
      </c>
      <c r="C14" s="50">
        <v>0</v>
      </c>
      <c r="D14" s="50">
        <v>1</v>
      </c>
      <c r="E14" s="50">
        <v>1</v>
      </c>
      <c r="F14" s="50">
        <v>0</v>
      </c>
      <c r="G14" s="50">
        <v>0</v>
      </c>
      <c r="H14" s="50">
        <v>1</v>
      </c>
      <c r="I14" s="50">
        <v>0</v>
      </c>
      <c r="J14" s="50">
        <v>0</v>
      </c>
      <c r="K14" s="50">
        <v>1</v>
      </c>
      <c r="L14" s="50">
        <v>1</v>
      </c>
      <c r="M14" s="50">
        <v>6</v>
      </c>
      <c r="N14" s="50">
        <v>0</v>
      </c>
      <c r="O14" s="15">
        <f t="shared" si="0"/>
        <v>5</v>
      </c>
      <c r="P14" s="15">
        <f t="shared" si="1"/>
        <v>11</v>
      </c>
      <c r="R14" s="1" t="s">
        <v>10</v>
      </c>
      <c r="S14" s="17">
        <f t="shared" ref="S14:AF14" si="6">SUM(C26:C29)</f>
        <v>15</v>
      </c>
      <c r="T14" s="17">
        <f t="shared" si="6"/>
        <v>3</v>
      </c>
      <c r="U14" s="17">
        <f t="shared" si="6"/>
        <v>6</v>
      </c>
      <c r="V14" s="17">
        <f t="shared" si="6"/>
        <v>2</v>
      </c>
      <c r="W14" s="17">
        <f t="shared" si="6"/>
        <v>2</v>
      </c>
      <c r="X14" s="17">
        <f t="shared" si="6"/>
        <v>0</v>
      </c>
      <c r="Y14" s="17">
        <f t="shared" si="6"/>
        <v>2</v>
      </c>
      <c r="Z14" s="17">
        <f t="shared" si="6"/>
        <v>7</v>
      </c>
      <c r="AA14" s="17">
        <f t="shared" si="6"/>
        <v>2</v>
      </c>
      <c r="AB14" s="17">
        <f t="shared" si="6"/>
        <v>0</v>
      </c>
      <c r="AC14" s="17">
        <f t="shared" si="6"/>
        <v>63</v>
      </c>
      <c r="AD14" s="17">
        <f t="shared" si="6"/>
        <v>0</v>
      </c>
      <c r="AE14" s="31">
        <f t="shared" si="6"/>
        <v>39</v>
      </c>
      <c r="AF14" s="31">
        <f t="shared" si="6"/>
        <v>102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6</v>
      </c>
      <c r="N15" s="50">
        <v>0</v>
      </c>
      <c r="O15" s="15">
        <f t="shared" si="0"/>
        <v>3</v>
      </c>
      <c r="P15" s="15">
        <f t="shared" si="1"/>
        <v>9</v>
      </c>
      <c r="R15" s="1" t="s">
        <v>11</v>
      </c>
      <c r="S15" s="17">
        <f t="shared" ref="S15:AF15" si="7">SUM(C30:C33)</f>
        <v>13</v>
      </c>
      <c r="T15" s="17">
        <f t="shared" si="7"/>
        <v>3</v>
      </c>
      <c r="U15" s="17">
        <f t="shared" si="7"/>
        <v>3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</v>
      </c>
      <c r="Z15" s="17">
        <f t="shared" si="7"/>
        <v>6</v>
      </c>
      <c r="AA15" s="17">
        <f t="shared" si="7"/>
        <v>1</v>
      </c>
      <c r="AB15" s="17">
        <f t="shared" si="7"/>
        <v>0</v>
      </c>
      <c r="AC15" s="17">
        <f t="shared" si="7"/>
        <v>16</v>
      </c>
      <c r="AD15" s="17">
        <f t="shared" si="7"/>
        <v>0</v>
      </c>
      <c r="AE15" s="31">
        <f t="shared" si="7"/>
        <v>28</v>
      </c>
      <c r="AF15" s="31">
        <f t="shared" si="7"/>
        <v>44</v>
      </c>
    </row>
    <row r="16" spans="2:32" ht="23.1" customHeight="1" x14ac:dyDescent="0.25">
      <c r="B16" s="23" t="s">
        <v>43</v>
      </c>
      <c r="C16" s="50">
        <v>4</v>
      </c>
      <c r="D16" s="50">
        <v>1</v>
      </c>
      <c r="E16" s="50">
        <v>1</v>
      </c>
      <c r="F16" s="50">
        <v>0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3</v>
      </c>
      <c r="N16" s="50">
        <v>0</v>
      </c>
      <c r="O16" s="15">
        <f t="shared" si="0"/>
        <v>8</v>
      </c>
      <c r="P16" s="15">
        <f t="shared" si="1"/>
        <v>11</v>
      </c>
      <c r="R16" s="1" t="s">
        <v>12</v>
      </c>
      <c r="S16" s="17">
        <f t="shared" ref="S16:AF16" si="8">SUM(C34:C37)</f>
        <v>9</v>
      </c>
      <c r="T16" s="17">
        <f t="shared" si="8"/>
        <v>3</v>
      </c>
      <c r="U16" s="17">
        <f t="shared" si="8"/>
        <v>3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1</v>
      </c>
      <c r="Z16" s="17">
        <f t="shared" si="8"/>
        <v>5</v>
      </c>
      <c r="AA16" s="17">
        <f t="shared" si="8"/>
        <v>1</v>
      </c>
      <c r="AB16" s="17">
        <f t="shared" si="8"/>
        <v>0</v>
      </c>
      <c r="AC16" s="17">
        <f t="shared" si="8"/>
        <v>30</v>
      </c>
      <c r="AD16" s="17">
        <f t="shared" si="8"/>
        <v>0</v>
      </c>
      <c r="AE16" s="31">
        <f t="shared" si="8"/>
        <v>22</v>
      </c>
      <c r="AF16" s="31">
        <f t="shared" si="8"/>
        <v>52</v>
      </c>
    </row>
    <row r="17" spans="2:32" ht="23.1" customHeight="1" x14ac:dyDescent="0.25">
      <c r="B17" s="23" t="s">
        <v>44</v>
      </c>
      <c r="C17" s="50">
        <v>4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2</v>
      </c>
      <c r="N17" s="50">
        <v>0</v>
      </c>
      <c r="O17" s="15">
        <f t="shared" si="0"/>
        <v>6</v>
      </c>
      <c r="P17" s="15">
        <f t="shared" si="1"/>
        <v>8</v>
      </c>
      <c r="R17" s="1" t="s">
        <v>13</v>
      </c>
      <c r="S17" s="17">
        <f t="shared" ref="S17:AF17" si="9">SUM(C38:C41)</f>
        <v>22</v>
      </c>
      <c r="T17" s="17">
        <f t="shared" si="9"/>
        <v>2</v>
      </c>
      <c r="U17" s="17">
        <f t="shared" si="9"/>
        <v>4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4</v>
      </c>
      <c r="AA17" s="17">
        <f t="shared" si="9"/>
        <v>0</v>
      </c>
      <c r="AB17" s="17">
        <f t="shared" si="9"/>
        <v>0</v>
      </c>
      <c r="AC17" s="17">
        <f t="shared" si="9"/>
        <v>18</v>
      </c>
      <c r="AD17" s="17">
        <f t="shared" si="9"/>
        <v>0</v>
      </c>
      <c r="AE17" s="31">
        <f t="shared" si="9"/>
        <v>32</v>
      </c>
      <c r="AF17" s="31">
        <f t="shared" si="9"/>
        <v>50</v>
      </c>
    </row>
    <row r="18" spans="2:32" ht="23.1" customHeight="1" x14ac:dyDescent="0.25">
      <c r="B18" s="23" t="s">
        <v>45</v>
      </c>
      <c r="C18" s="50">
        <v>4</v>
      </c>
      <c r="D18" s="50">
        <v>1</v>
      </c>
      <c r="E18" s="50">
        <v>1</v>
      </c>
      <c r="F18" s="50">
        <v>0</v>
      </c>
      <c r="G18" s="50">
        <v>0</v>
      </c>
      <c r="H18" s="50">
        <v>0</v>
      </c>
      <c r="I18" s="50">
        <v>2</v>
      </c>
      <c r="J18" s="50">
        <v>1</v>
      </c>
      <c r="K18" s="50">
        <v>0</v>
      </c>
      <c r="L18" s="50">
        <v>0</v>
      </c>
      <c r="M18" s="50">
        <v>5</v>
      </c>
      <c r="N18" s="50">
        <v>0</v>
      </c>
      <c r="O18" s="15">
        <f t="shared" si="0"/>
        <v>9</v>
      </c>
      <c r="P18" s="15">
        <f t="shared" si="1"/>
        <v>14</v>
      </c>
      <c r="R18" s="1" t="s">
        <v>14</v>
      </c>
      <c r="S18" s="17">
        <f t="shared" ref="S18:AF18" si="10">SUM(C42:C45)</f>
        <v>11</v>
      </c>
      <c r="T18" s="17">
        <f t="shared" si="10"/>
        <v>4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1</v>
      </c>
      <c r="Y18" s="17">
        <f t="shared" si="10"/>
        <v>6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29</v>
      </c>
      <c r="AD18" s="17">
        <f t="shared" si="10"/>
        <v>0</v>
      </c>
      <c r="AE18" s="31">
        <f t="shared" si="10"/>
        <v>26</v>
      </c>
      <c r="AF18" s="31">
        <f t="shared" si="10"/>
        <v>55</v>
      </c>
    </row>
    <row r="19" spans="2:32" ht="23.1" customHeight="1" x14ac:dyDescent="0.25">
      <c r="B19" s="23" t="s">
        <v>46</v>
      </c>
      <c r="C19" s="50">
        <v>2</v>
      </c>
      <c r="D19" s="50">
        <v>1</v>
      </c>
      <c r="E19" s="50">
        <v>3</v>
      </c>
      <c r="F19" s="50">
        <v>0</v>
      </c>
      <c r="G19" s="50">
        <v>0</v>
      </c>
      <c r="H19" s="50">
        <v>0</v>
      </c>
      <c r="I19" s="50">
        <v>0</v>
      </c>
      <c r="J19" s="50">
        <v>2</v>
      </c>
      <c r="K19" s="50">
        <v>0</v>
      </c>
      <c r="L19" s="50">
        <v>0</v>
      </c>
      <c r="M19" s="50">
        <v>7</v>
      </c>
      <c r="N19" s="50">
        <v>0</v>
      </c>
      <c r="O19" s="15">
        <f t="shared" si="0"/>
        <v>8</v>
      </c>
      <c r="P19" s="15">
        <f t="shared" si="1"/>
        <v>15</v>
      </c>
      <c r="R19" s="1" t="s">
        <v>15</v>
      </c>
      <c r="S19" s="17">
        <f t="shared" ref="S19:AF19" si="11">SUM(C46:C49)</f>
        <v>16</v>
      </c>
      <c r="T19" s="17">
        <f t="shared" si="11"/>
        <v>1</v>
      </c>
      <c r="U19" s="17">
        <f t="shared" si="11"/>
        <v>0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1</v>
      </c>
      <c r="Z19" s="17">
        <f t="shared" si="11"/>
        <v>3</v>
      </c>
      <c r="AA19" s="17">
        <f t="shared" si="11"/>
        <v>1</v>
      </c>
      <c r="AB19" s="17">
        <f t="shared" si="11"/>
        <v>0</v>
      </c>
      <c r="AC19" s="17">
        <f t="shared" si="11"/>
        <v>16</v>
      </c>
      <c r="AD19" s="17">
        <f t="shared" si="11"/>
        <v>0</v>
      </c>
      <c r="AE19" s="31">
        <f t="shared" si="11"/>
        <v>22</v>
      </c>
      <c r="AF19" s="31">
        <f t="shared" si="11"/>
        <v>38</v>
      </c>
    </row>
    <row r="20" spans="2:32" ht="23.1" customHeight="1" x14ac:dyDescent="0.25">
      <c r="B20" s="23" t="s">
        <v>47</v>
      </c>
      <c r="C20" s="50">
        <v>4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7</v>
      </c>
      <c r="N20" s="50">
        <v>0</v>
      </c>
      <c r="O20" s="15">
        <f t="shared" si="0"/>
        <v>4</v>
      </c>
      <c r="P20" s="15">
        <f t="shared" si="1"/>
        <v>11</v>
      </c>
      <c r="R20" s="1" t="s">
        <v>16</v>
      </c>
      <c r="S20" s="17">
        <f t="shared" ref="S20:AF20" si="12">SUM(C50:C53)</f>
        <v>17</v>
      </c>
      <c r="T20" s="17">
        <f t="shared" si="12"/>
        <v>3</v>
      </c>
      <c r="U20" s="17">
        <f t="shared" si="12"/>
        <v>3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3</v>
      </c>
      <c r="AA20" s="17">
        <f t="shared" si="12"/>
        <v>2</v>
      </c>
      <c r="AB20" s="17">
        <f t="shared" si="12"/>
        <v>0</v>
      </c>
      <c r="AC20" s="17">
        <f t="shared" si="12"/>
        <v>23</v>
      </c>
      <c r="AD20" s="17">
        <f t="shared" si="12"/>
        <v>0</v>
      </c>
      <c r="AE20" s="31">
        <f t="shared" si="12"/>
        <v>34</v>
      </c>
      <c r="AF20" s="31">
        <f t="shared" si="12"/>
        <v>57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6</v>
      </c>
      <c r="N21" s="50">
        <v>0</v>
      </c>
      <c r="O21" s="15">
        <f t="shared" si="0"/>
        <v>2</v>
      </c>
      <c r="P21" s="15">
        <f t="shared" si="1"/>
        <v>8</v>
      </c>
      <c r="R21" s="36" t="s">
        <v>20</v>
      </c>
      <c r="S21" s="34">
        <f t="shared" ref="S21:AF21" si="13">SUM(C54:C57)</f>
        <v>27</v>
      </c>
      <c r="T21" s="17">
        <f t="shared" si="13"/>
        <v>9</v>
      </c>
      <c r="U21" s="17">
        <f t="shared" si="13"/>
        <v>1</v>
      </c>
      <c r="V21" s="17">
        <f t="shared" si="13"/>
        <v>1</v>
      </c>
      <c r="W21" s="17">
        <f t="shared" si="13"/>
        <v>0</v>
      </c>
      <c r="X21" s="17">
        <f t="shared" si="13"/>
        <v>1</v>
      </c>
      <c r="Y21" s="17">
        <f t="shared" si="13"/>
        <v>0</v>
      </c>
      <c r="Z21" s="17">
        <f t="shared" si="13"/>
        <v>2</v>
      </c>
      <c r="AA21" s="17">
        <f t="shared" si="13"/>
        <v>0</v>
      </c>
      <c r="AB21" s="17">
        <f t="shared" si="13"/>
        <v>0</v>
      </c>
      <c r="AC21" s="17">
        <f t="shared" si="13"/>
        <v>35</v>
      </c>
      <c r="AD21" s="17">
        <f t="shared" si="13"/>
        <v>0</v>
      </c>
      <c r="AE21" s="31">
        <f t="shared" si="13"/>
        <v>41</v>
      </c>
      <c r="AF21" s="31">
        <f t="shared" si="13"/>
        <v>76</v>
      </c>
    </row>
    <row r="22" spans="2:32" ht="23.1" customHeight="1" x14ac:dyDescent="0.25">
      <c r="B22" s="23" t="s">
        <v>49</v>
      </c>
      <c r="C22" s="50">
        <v>5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6</v>
      </c>
      <c r="N22" s="50">
        <v>0</v>
      </c>
      <c r="O22" s="15">
        <f t="shared" si="0"/>
        <v>6</v>
      </c>
      <c r="P22" s="15">
        <f t="shared" si="1"/>
        <v>12</v>
      </c>
      <c r="R22" s="38" t="s">
        <v>90</v>
      </c>
      <c r="S22" s="39">
        <f>MAX(S10:S12)</f>
        <v>12</v>
      </c>
      <c r="T22" s="39">
        <f t="shared" ref="T22:AF22" si="14">MAX(T10:T12)</f>
        <v>2</v>
      </c>
      <c r="U22" s="39">
        <f t="shared" si="14"/>
        <v>4</v>
      </c>
      <c r="V22" s="39">
        <f t="shared" si="14"/>
        <v>1</v>
      </c>
      <c r="W22" s="39">
        <f t="shared" si="14"/>
        <v>0</v>
      </c>
      <c r="X22" s="39">
        <f t="shared" si="14"/>
        <v>1</v>
      </c>
      <c r="Y22" s="39">
        <f t="shared" si="14"/>
        <v>4</v>
      </c>
      <c r="Z22" s="39">
        <f t="shared" si="14"/>
        <v>9</v>
      </c>
      <c r="AA22" s="39">
        <f t="shared" si="14"/>
        <v>1</v>
      </c>
      <c r="AB22" s="39">
        <f t="shared" si="14"/>
        <v>1</v>
      </c>
      <c r="AC22" s="39">
        <f t="shared" si="14"/>
        <v>25</v>
      </c>
      <c r="AD22" s="39">
        <f t="shared" si="14"/>
        <v>0</v>
      </c>
      <c r="AE22" s="40">
        <f t="shared" si="14"/>
        <v>23</v>
      </c>
      <c r="AF22" s="40">
        <f t="shared" si="14"/>
        <v>48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3</v>
      </c>
      <c r="J23" s="50">
        <v>1</v>
      </c>
      <c r="K23" s="50">
        <v>0</v>
      </c>
      <c r="L23" s="50">
        <v>0</v>
      </c>
      <c r="M23" s="50">
        <v>2</v>
      </c>
      <c r="N23" s="50">
        <v>0</v>
      </c>
      <c r="O23" s="15">
        <f t="shared" si="0"/>
        <v>6</v>
      </c>
      <c r="P23" s="15">
        <f t="shared" si="1"/>
        <v>8</v>
      </c>
      <c r="R23" s="38" t="s">
        <v>91</v>
      </c>
      <c r="S23" s="39">
        <f>MAX(S13:S18)</f>
        <v>22</v>
      </c>
      <c r="T23" s="39">
        <f t="shared" ref="T23:AF23" si="15">MAX(T13:T18)</f>
        <v>4</v>
      </c>
      <c r="U23" s="39">
        <f t="shared" si="15"/>
        <v>6</v>
      </c>
      <c r="V23" s="39">
        <f t="shared" si="15"/>
        <v>2</v>
      </c>
      <c r="W23" s="39">
        <f t="shared" si="15"/>
        <v>2</v>
      </c>
      <c r="X23" s="39">
        <f t="shared" si="15"/>
        <v>1</v>
      </c>
      <c r="Y23" s="39">
        <f t="shared" si="15"/>
        <v>6</v>
      </c>
      <c r="Z23" s="39">
        <f t="shared" si="15"/>
        <v>7</v>
      </c>
      <c r="AA23" s="39">
        <f t="shared" si="15"/>
        <v>2</v>
      </c>
      <c r="AB23" s="39">
        <f t="shared" si="15"/>
        <v>0</v>
      </c>
      <c r="AC23" s="39">
        <f t="shared" si="15"/>
        <v>63</v>
      </c>
      <c r="AD23" s="39">
        <f t="shared" si="15"/>
        <v>0</v>
      </c>
      <c r="AE23" s="40">
        <f t="shared" si="15"/>
        <v>39</v>
      </c>
      <c r="AF23" s="40">
        <f t="shared" si="15"/>
        <v>102</v>
      </c>
    </row>
    <row r="24" spans="2:32" ht="23.1" customHeight="1" x14ac:dyDescent="0.25">
      <c r="B24" s="23" t="s">
        <v>51</v>
      </c>
      <c r="C24" s="50">
        <v>2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2</v>
      </c>
      <c r="N24" s="50">
        <v>0</v>
      </c>
      <c r="O24" s="15">
        <f t="shared" si="0"/>
        <v>2</v>
      </c>
      <c r="P24" s="15">
        <f t="shared" si="1"/>
        <v>4</v>
      </c>
      <c r="R24" s="38" t="s">
        <v>92</v>
      </c>
      <c r="S24" s="39">
        <f>MAX(S19:S21)</f>
        <v>27</v>
      </c>
      <c r="T24" s="39">
        <f t="shared" ref="T24:AF24" si="16">MAX(T19:T21)</f>
        <v>9</v>
      </c>
      <c r="U24" s="39">
        <f t="shared" si="16"/>
        <v>3</v>
      </c>
      <c r="V24" s="39">
        <f t="shared" si="16"/>
        <v>1</v>
      </c>
      <c r="W24" s="39">
        <f t="shared" si="16"/>
        <v>0</v>
      </c>
      <c r="X24" s="39">
        <f t="shared" si="16"/>
        <v>1</v>
      </c>
      <c r="Y24" s="39">
        <f t="shared" si="16"/>
        <v>5</v>
      </c>
      <c r="Z24" s="39">
        <f t="shared" si="16"/>
        <v>3</v>
      </c>
      <c r="AA24" s="39">
        <f t="shared" si="16"/>
        <v>2</v>
      </c>
      <c r="AB24" s="39">
        <f t="shared" si="16"/>
        <v>0</v>
      </c>
      <c r="AC24" s="39">
        <f t="shared" si="16"/>
        <v>35</v>
      </c>
      <c r="AD24" s="39">
        <f t="shared" si="16"/>
        <v>0</v>
      </c>
      <c r="AE24" s="40">
        <f t="shared" si="16"/>
        <v>41</v>
      </c>
      <c r="AF24" s="40">
        <f t="shared" si="16"/>
        <v>76</v>
      </c>
    </row>
    <row r="25" spans="2:32" ht="23.1" customHeight="1" x14ac:dyDescent="0.25">
      <c r="B25" s="23" t="s">
        <v>52</v>
      </c>
      <c r="C25" s="50">
        <v>0</v>
      </c>
      <c r="D25" s="50">
        <v>1</v>
      </c>
      <c r="E25" s="50">
        <v>0</v>
      </c>
      <c r="F25" s="50">
        <v>2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3</v>
      </c>
      <c r="N25" s="50">
        <v>0</v>
      </c>
      <c r="O25" s="15">
        <f t="shared" si="0"/>
        <v>3</v>
      </c>
      <c r="P25" s="15">
        <f t="shared" si="1"/>
        <v>6</v>
      </c>
      <c r="R25" s="37" t="s">
        <v>85</v>
      </c>
      <c r="S25" s="35">
        <f t="shared" ref="S25:AF25" si="17">SUM(S10:S12)</f>
        <v>30</v>
      </c>
      <c r="T25" s="16">
        <f t="shared" si="17"/>
        <v>5</v>
      </c>
      <c r="U25" s="16">
        <f t="shared" si="17"/>
        <v>7</v>
      </c>
      <c r="V25" s="16">
        <f t="shared" si="17"/>
        <v>1</v>
      </c>
      <c r="W25" s="16">
        <f t="shared" si="17"/>
        <v>0</v>
      </c>
      <c r="X25" s="16">
        <f t="shared" si="17"/>
        <v>1</v>
      </c>
      <c r="Y25" s="16">
        <f t="shared" si="17"/>
        <v>8</v>
      </c>
      <c r="Z25" s="16">
        <f t="shared" si="17"/>
        <v>13</v>
      </c>
      <c r="AA25" s="16">
        <f t="shared" si="17"/>
        <v>2</v>
      </c>
      <c r="AB25" s="16">
        <f t="shared" si="17"/>
        <v>1</v>
      </c>
      <c r="AC25" s="16">
        <f t="shared" si="17"/>
        <v>60</v>
      </c>
      <c r="AD25" s="16">
        <f t="shared" si="17"/>
        <v>0</v>
      </c>
      <c r="AE25" s="32">
        <f t="shared" si="17"/>
        <v>68</v>
      </c>
      <c r="AF25" s="32">
        <f t="shared" si="17"/>
        <v>128</v>
      </c>
    </row>
    <row r="26" spans="2:32" ht="23.1" customHeight="1" x14ac:dyDescent="0.25">
      <c r="B26" s="23" t="s">
        <v>53</v>
      </c>
      <c r="C26" s="50">
        <v>2</v>
      </c>
      <c r="D26" s="50">
        <v>1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1</v>
      </c>
      <c r="L26" s="50">
        <v>0</v>
      </c>
      <c r="M26" s="50">
        <v>6</v>
      </c>
      <c r="N26" s="50">
        <v>0</v>
      </c>
      <c r="O26" s="15">
        <f t="shared" si="0"/>
        <v>5</v>
      </c>
      <c r="P26" s="15">
        <f t="shared" si="1"/>
        <v>11</v>
      </c>
      <c r="R26" s="28" t="s">
        <v>86</v>
      </c>
      <c r="S26" s="16">
        <f t="shared" ref="S26:AF26" si="18">SUM(S13:S18)</f>
        <v>78</v>
      </c>
      <c r="T26" s="16">
        <f t="shared" si="18"/>
        <v>16</v>
      </c>
      <c r="U26" s="16">
        <f t="shared" si="18"/>
        <v>19</v>
      </c>
      <c r="V26" s="16">
        <f t="shared" si="18"/>
        <v>6</v>
      </c>
      <c r="W26" s="16">
        <f t="shared" si="18"/>
        <v>2</v>
      </c>
      <c r="X26" s="16">
        <f t="shared" si="18"/>
        <v>1</v>
      </c>
      <c r="Y26" s="16">
        <f t="shared" si="18"/>
        <v>13</v>
      </c>
      <c r="Z26" s="16">
        <f t="shared" si="18"/>
        <v>25</v>
      </c>
      <c r="AA26" s="16">
        <f t="shared" si="18"/>
        <v>4</v>
      </c>
      <c r="AB26" s="16">
        <f t="shared" si="18"/>
        <v>0</v>
      </c>
      <c r="AC26" s="16">
        <f t="shared" si="18"/>
        <v>169</v>
      </c>
      <c r="AD26" s="16">
        <f t="shared" si="18"/>
        <v>0</v>
      </c>
      <c r="AE26" s="32">
        <f t="shared" si="18"/>
        <v>164</v>
      </c>
      <c r="AF26" s="32">
        <f t="shared" si="18"/>
        <v>333</v>
      </c>
    </row>
    <row r="27" spans="2:32" ht="23.1" customHeight="1" x14ac:dyDescent="0.25">
      <c r="B27" s="23" t="s">
        <v>54</v>
      </c>
      <c r="C27" s="50">
        <v>4</v>
      </c>
      <c r="D27" s="50">
        <v>1</v>
      </c>
      <c r="E27" s="50">
        <v>2</v>
      </c>
      <c r="F27" s="50">
        <v>1</v>
      </c>
      <c r="G27" s="50">
        <v>0</v>
      </c>
      <c r="H27" s="50">
        <v>0</v>
      </c>
      <c r="I27" s="50">
        <v>0</v>
      </c>
      <c r="J27" s="50">
        <v>2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10</v>
      </c>
      <c r="P27" s="15">
        <f t="shared" si="1"/>
        <v>28</v>
      </c>
      <c r="R27" s="29" t="s">
        <v>87</v>
      </c>
      <c r="S27" s="16">
        <f t="shared" ref="S27:AF27" si="19">SUM(S19:S21)</f>
        <v>60</v>
      </c>
      <c r="T27" s="16">
        <f t="shared" si="19"/>
        <v>13</v>
      </c>
      <c r="U27" s="16">
        <f t="shared" si="19"/>
        <v>4</v>
      </c>
      <c r="V27" s="16">
        <f t="shared" si="19"/>
        <v>2</v>
      </c>
      <c r="W27" s="16">
        <f t="shared" si="19"/>
        <v>0</v>
      </c>
      <c r="X27" s="16">
        <f t="shared" si="19"/>
        <v>1</v>
      </c>
      <c r="Y27" s="16">
        <f t="shared" si="19"/>
        <v>6</v>
      </c>
      <c r="Z27" s="16">
        <f t="shared" si="19"/>
        <v>8</v>
      </c>
      <c r="AA27" s="16">
        <f t="shared" si="19"/>
        <v>3</v>
      </c>
      <c r="AB27" s="16">
        <f t="shared" si="19"/>
        <v>0</v>
      </c>
      <c r="AC27" s="16">
        <f t="shared" si="19"/>
        <v>74</v>
      </c>
      <c r="AD27" s="16">
        <f t="shared" si="19"/>
        <v>0</v>
      </c>
      <c r="AE27" s="32">
        <f t="shared" si="19"/>
        <v>97</v>
      </c>
      <c r="AF27" s="32">
        <f t="shared" si="19"/>
        <v>171</v>
      </c>
    </row>
    <row r="28" spans="2:32" ht="23.1" customHeight="1" x14ac:dyDescent="0.25">
      <c r="B28" s="23" t="s">
        <v>55</v>
      </c>
      <c r="C28" s="50">
        <v>4</v>
      </c>
      <c r="D28" s="50">
        <v>1</v>
      </c>
      <c r="E28" s="50">
        <v>2</v>
      </c>
      <c r="F28" s="50">
        <v>1</v>
      </c>
      <c r="G28" s="50">
        <v>0</v>
      </c>
      <c r="H28" s="50">
        <v>0</v>
      </c>
      <c r="I28" s="50">
        <v>0</v>
      </c>
      <c r="J28" s="50">
        <v>3</v>
      </c>
      <c r="K28" s="50">
        <v>1</v>
      </c>
      <c r="L28" s="50">
        <v>0</v>
      </c>
      <c r="M28" s="50">
        <v>31</v>
      </c>
      <c r="N28" s="50">
        <v>0</v>
      </c>
      <c r="O28" s="15">
        <f t="shared" si="0"/>
        <v>12</v>
      </c>
      <c r="P28" s="15">
        <f t="shared" si="1"/>
        <v>43</v>
      </c>
      <c r="R28" s="5" t="s">
        <v>17</v>
      </c>
      <c r="S28" s="16">
        <f t="shared" ref="S28:AF28" si="20">SUM(S10:S21)</f>
        <v>168</v>
      </c>
      <c r="T28" s="16">
        <f t="shared" si="20"/>
        <v>34</v>
      </c>
      <c r="U28" s="16">
        <f t="shared" si="20"/>
        <v>30</v>
      </c>
      <c r="V28" s="16">
        <f t="shared" si="20"/>
        <v>9</v>
      </c>
      <c r="W28" s="16">
        <f t="shared" si="20"/>
        <v>2</v>
      </c>
      <c r="X28" s="16">
        <f t="shared" si="20"/>
        <v>3</v>
      </c>
      <c r="Y28" s="16">
        <f t="shared" si="20"/>
        <v>27</v>
      </c>
      <c r="Z28" s="16">
        <f t="shared" si="20"/>
        <v>46</v>
      </c>
      <c r="AA28" s="16">
        <f t="shared" si="20"/>
        <v>9</v>
      </c>
      <c r="AB28" s="16">
        <f t="shared" si="20"/>
        <v>1</v>
      </c>
      <c r="AC28" s="16">
        <f t="shared" si="20"/>
        <v>303</v>
      </c>
      <c r="AD28" s="16">
        <f t="shared" si="20"/>
        <v>0</v>
      </c>
      <c r="AE28" s="32">
        <f t="shared" si="20"/>
        <v>329</v>
      </c>
      <c r="AF28" s="32">
        <f t="shared" si="20"/>
        <v>632</v>
      </c>
    </row>
    <row r="29" spans="2:32" ht="23.1" customHeight="1" x14ac:dyDescent="0.25">
      <c r="B29" s="23" t="s">
        <v>56</v>
      </c>
      <c r="C29" s="50">
        <v>5</v>
      </c>
      <c r="D29" s="50">
        <v>0</v>
      </c>
      <c r="E29" s="50">
        <v>2</v>
      </c>
      <c r="F29" s="50">
        <v>0</v>
      </c>
      <c r="G29" s="50">
        <v>2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8</v>
      </c>
      <c r="N29" s="50">
        <v>0</v>
      </c>
      <c r="O29" s="15">
        <f t="shared" si="0"/>
        <v>12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5</v>
      </c>
      <c r="P30" s="15">
        <f t="shared" si="1"/>
        <v>6</v>
      </c>
    </row>
    <row r="31" spans="2:32" ht="23.1" customHeight="1" x14ac:dyDescent="0.25">
      <c r="B31" s="24" t="s">
        <v>58</v>
      </c>
      <c r="C31" s="50">
        <v>4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5</v>
      </c>
      <c r="N31" s="50">
        <v>0</v>
      </c>
      <c r="O31" s="15">
        <f t="shared" si="0"/>
        <v>6</v>
      </c>
      <c r="P31" s="15">
        <f t="shared" si="1"/>
        <v>11</v>
      </c>
    </row>
    <row r="32" spans="2:32" ht="23.1" customHeight="1" x14ac:dyDescent="0.25">
      <c r="B32" s="24" t="s">
        <v>59</v>
      </c>
      <c r="C32" s="50">
        <v>3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2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5</v>
      </c>
      <c r="P32" s="15">
        <f t="shared" si="1"/>
        <v>10</v>
      </c>
    </row>
    <row r="33" spans="2:20" ht="23.1" customHeight="1" x14ac:dyDescent="0.25">
      <c r="B33" s="23" t="s">
        <v>60</v>
      </c>
      <c r="C33" s="50">
        <v>4</v>
      </c>
      <c r="D33" s="50">
        <v>3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3</v>
      </c>
      <c r="K33" s="50">
        <v>1</v>
      </c>
      <c r="L33" s="50">
        <v>0</v>
      </c>
      <c r="M33" s="50">
        <v>5</v>
      </c>
      <c r="N33" s="50">
        <v>0</v>
      </c>
      <c r="O33" s="15">
        <f t="shared" si="0"/>
        <v>12</v>
      </c>
      <c r="P33" s="15">
        <f t="shared" si="1"/>
        <v>17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1</v>
      </c>
      <c r="L34" s="50">
        <v>0</v>
      </c>
      <c r="M34" s="50">
        <v>9</v>
      </c>
      <c r="N34" s="50">
        <v>0</v>
      </c>
      <c r="O34" s="15">
        <f t="shared" si="0"/>
        <v>3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4</v>
      </c>
      <c r="D35" s="50">
        <v>1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2</v>
      </c>
      <c r="K35" s="50">
        <v>0</v>
      </c>
      <c r="L35" s="50">
        <v>0</v>
      </c>
      <c r="M35" s="50">
        <v>5</v>
      </c>
      <c r="N35" s="50">
        <v>0</v>
      </c>
      <c r="O35" s="15">
        <f t="shared" si="0"/>
        <v>8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2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4</v>
      </c>
      <c r="P36" s="15">
        <f t="shared" si="1"/>
        <v>12</v>
      </c>
    </row>
    <row r="37" spans="2:20" ht="23.1" customHeight="1" x14ac:dyDescent="0.25">
      <c r="B37" s="23" t="s">
        <v>64</v>
      </c>
      <c r="C37" s="50">
        <v>3</v>
      </c>
      <c r="D37" s="50">
        <v>2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2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7</v>
      </c>
      <c r="P37" s="15">
        <f t="shared" si="1"/>
        <v>15</v>
      </c>
    </row>
    <row r="38" spans="2:20" ht="23.1" customHeight="1" x14ac:dyDescent="0.25">
      <c r="B38" s="24" t="s">
        <v>65</v>
      </c>
      <c r="C38" s="50">
        <v>4</v>
      </c>
      <c r="D38" s="50">
        <v>1</v>
      </c>
      <c r="E38" s="50">
        <v>3</v>
      </c>
      <c r="F38" s="50">
        <v>0</v>
      </c>
      <c r="G38" s="50">
        <v>0</v>
      </c>
      <c r="H38" s="50">
        <v>0</v>
      </c>
      <c r="I38" s="50">
        <v>0</v>
      </c>
      <c r="J38" s="50">
        <v>3</v>
      </c>
      <c r="K38" s="50">
        <v>0</v>
      </c>
      <c r="L38" s="50">
        <v>0</v>
      </c>
      <c r="M38" s="50">
        <v>6</v>
      </c>
      <c r="N38" s="50">
        <v>0</v>
      </c>
      <c r="O38" s="15">
        <f t="shared" si="0"/>
        <v>11</v>
      </c>
      <c r="P38" s="15">
        <f t="shared" si="1"/>
        <v>17</v>
      </c>
    </row>
    <row r="39" spans="2:20" ht="23.1" customHeight="1" x14ac:dyDescent="0.25">
      <c r="B39" s="24" t="s">
        <v>66</v>
      </c>
      <c r="C39" s="50">
        <v>8</v>
      </c>
      <c r="D39" s="50">
        <v>1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3</v>
      </c>
      <c r="N39" s="50">
        <v>0</v>
      </c>
      <c r="O39" s="15">
        <f t="shared" si="0"/>
        <v>9</v>
      </c>
      <c r="P39" s="15">
        <f t="shared" si="1"/>
        <v>12</v>
      </c>
    </row>
    <row r="40" spans="2:20" ht="23.1" customHeight="1" x14ac:dyDescent="0.25">
      <c r="B40" s="24" t="s">
        <v>67</v>
      </c>
      <c r="C40" s="50">
        <v>3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1</v>
      </c>
      <c r="K40" s="50">
        <v>0</v>
      </c>
      <c r="L40" s="50">
        <v>0</v>
      </c>
      <c r="M40" s="50">
        <v>4</v>
      </c>
      <c r="N40" s="50">
        <v>0</v>
      </c>
      <c r="O40" s="15">
        <f t="shared" si="0"/>
        <v>5</v>
      </c>
      <c r="P40" s="15">
        <f t="shared" si="1"/>
        <v>9</v>
      </c>
    </row>
    <row r="41" spans="2:20" ht="23.1" customHeight="1" x14ac:dyDescent="0.25">
      <c r="B41" s="23" t="s">
        <v>68</v>
      </c>
      <c r="C41" s="50">
        <v>7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5</v>
      </c>
      <c r="N41" s="50">
        <v>0</v>
      </c>
      <c r="O41" s="15">
        <f t="shared" si="0"/>
        <v>7</v>
      </c>
      <c r="P41" s="15">
        <f t="shared" si="1"/>
        <v>12</v>
      </c>
    </row>
    <row r="42" spans="2:20" ht="23.1" customHeight="1" x14ac:dyDescent="0.25">
      <c r="B42" s="24" t="s">
        <v>69</v>
      </c>
      <c r="C42" s="50">
        <v>4</v>
      </c>
      <c r="D42" s="50">
        <v>1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7</v>
      </c>
      <c r="P42" s="15">
        <f t="shared" si="1"/>
        <v>13</v>
      </c>
    </row>
    <row r="43" spans="2:20" ht="23.1" customHeight="1" x14ac:dyDescent="0.25">
      <c r="B43" s="23" t="s">
        <v>70</v>
      </c>
      <c r="C43" s="50">
        <v>4</v>
      </c>
      <c r="D43" s="50">
        <v>1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6</v>
      </c>
      <c r="P43" s="15">
        <f t="shared" si="1"/>
        <v>14</v>
      </c>
    </row>
    <row r="44" spans="2:20" ht="23.1" customHeight="1" x14ac:dyDescent="0.25">
      <c r="B44" s="25" t="s">
        <v>71</v>
      </c>
      <c r="C44" s="50">
        <v>1</v>
      </c>
      <c r="D44" s="50">
        <v>2</v>
      </c>
      <c r="E44" s="50">
        <v>1</v>
      </c>
      <c r="F44" s="50">
        <v>0</v>
      </c>
      <c r="G44" s="50">
        <v>0</v>
      </c>
      <c r="H44" s="50">
        <v>1</v>
      </c>
      <c r="I44" s="50">
        <v>3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8</v>
      </c>
      <c r="P44" s="15">
        <f t="shared" si="1"/>
        <v>18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1</v>
      </c>
      <c r="G45" s="50">
        <v>0</v>
      </c>
      <c r="H45" s="50">
        <v>0</v>
      </c>
      <c r="I45" s="50">
        <v>1</v>
      </c>
      <c r="J45" s="50">
        <v>1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5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3</v>
      </c>
      <c r="N46" s="50">
        <v>0</v>
      </c>
      <c r="O46" s="15">
        <f t="shared" si="0"/>
        <v>2</v>
      </c>
      <c r="P46" s="15">
        <f t="shared" si="1"/>
        <v>5</v>
      </c>
      <c r="R46" s="8"/>
      <c r="T46"/>
    </row>
    <row r="47" spans="2:20" ht="23.1" customHeight="1" x14ac:dyDescent="0.25">
      <c r="B47" s="24" t="s">
        <v>74</v>
      </c>
      <c r="C47" s="50">
        <v>4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5</v>
      </c>
      <c r="N47" s="50">
        <v>0</v>
      </c>
      <c r="O47" s="15">
        <f t="shared" si="0"/>
        <v>7</v>
      </c>
      <c r="P47" s="15">
        <f t="shared" si="1"/>
        <v>12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1</v>
      </c>
      <c r="K48" s="50">
        <v>0</v>
      </c>
      <c r="L48" s="50">
        <v>0</v>
      </c>
      <c r="M48" s="50">
        <v>4</v>
      </c>
      <c r="N48" s="50">
        <v>0</v>
      </c>
      <c r="O48" s="15">
        <f t="shared" si="0"/>
        <v>7</v>
      </c>
      <c r="P48" s="15">
        <f t="shared" si="1"/>
        <v>11</v>
      </c>
      <c r="R48" s="8"/>
      <c r="T48"/>
    </row>
    <row r="49" spans="2:20" ht="23.1" customHeight="1" x14ac:dyDescent="0.25">
      <c r="B49" s="23" t="s">
        <v>76</v>
      </c>
      <c r="C49" s="50">
        <v>4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1</v>
      </c>
      <c r="K49" s="50">
        <v>1</v>
      </c>
      <c r="L49" s="50">
        <v>0</v>
      </c>
      <c r="M49" s="50">
        <v>4</v>
      </c>
      <c r="N49" s="50">
        <v>0</v>
      </c>
      <c r="O49" s="15">
        <f t="shared" si="0"/>
        <v>6</v>
      </c>
      <c r="P49" s="15">
        <f t="shared" si="1"/>
        <v>10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4</v>
      </c>
      <c r="N50" s="50">
        <v>0</v>
      </c>
      <c r="O50" s="15">
        <f t="shared" si="0"/>
        <v>5</v>
      </c>
      <c r="P50" s="15">
        <f t="shared" si="1"/>
        <v>9</v>
      </c>
      <c r="R50" s="8"/>
      <c r="T50"/>
    </row>
    <row r="51" spans="2:20" ht="23.1" customHeight="1" x14ac:dyDescent="0.25">
      <c r="B51" s="24" t="s">
        <v>78</v>
      </c>
      <c r="C51" s="50">
        <v>3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1</v>
      </c>
      <c r="K51" s="50">
        <v>0</v>
      </c>
      <c r="L51" s="50">
        <v>0</v>
      </c>
      <c r="M51" s="50">
        <v>6</v>
      </c>
      <c r="N51" s="50">
        <v>0</v>
      </c>
      <c r="O51" s="15">
        <f t="shared" si="0"/>
        <v>4</v>
      </c>
      <c r="P51" s="15">
        <f t="shared" si="1"/>
        <v>10</v>
      </c>
      <c r="R51" s="8"/>
      <c r="T51"/>
    </row>
    <row r="52" spans="2:20" ht="23.1" customHeight="1" x14ac:dyDescent="0.25">
      <c r="B52" s="24" t="s">
        <v>79</v>
      </c>
      <c r="C52" s="50">
        <v>5</v>
      </c>
      <c r="D52" s="50">
        <v>2</v>
      </c>
      <c r="E52" s="50">
        <v>1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5</v>
      </c>
      <c r="N52" s="50">
        <v>0</v>
      </c>
      <c r="O52" s="15">
        <f t="shared" si="0"/>
        <v>10</v>
      </c>
      <c r="P52" s="15">
        <f t="shared" si="1"/>
        <v>15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1</v>
      </c>
      <c r="E53" s="50">
        <v>2</v>
      </c>
      <c r="F53" s="50">
        <v>1</v>
      </c>
      <c r="G53" s="50">
        <v>0</v>
      </c>
      <c r="H53" s="50">
        <v>0</v>
      </c>
      <c r="I53" s="50">
        <v>2</v>
      </c>
      <c r="J53" s="50">
        <v>1</v>
      </c>
      <c r="K53" s="50">
        <v>2</v>
      </c>
      <c r="L53" s="50">
        <v>0</v>
      </c>
      <c r="M53" s="50">
        <v>8</v>
      </c>
      <c r="N53" s="50">
        <v>0</v>
      </c>
      <c r="O53" s="15">
        <f t="shared" si="0"/>
        <v>15</v>
      </c>
      <c r="P53" s="15">
        <f t="shared" si="1"/>
        <v>23</v>
      </c>
      <c r="R53" s="8"/>
      <c r="T53"/>
    </row>
    <row r="54" spans="2:20" ht="23.1" customHeight="1" x14ac:dyDescent="0.25">
      <c r="B54" s="23" t="s">
        <v>81</v>
      </c>
      <c r="C54" s="50">
        <v>5</v>
      </c>
      <c r="D54" s="50">
        <v>2</v>
      </c>
      <c r="E54" s="50">
        <v>0</v>
      </c>
      <c r="F54" s="50">
        <v>0</v>
      </c>
      <c r="G54" s="50">
        <v>0</v>
      </c>
      <c r="H54" s="50">
        <v>1</v>
      </c>
      <c r="I54" s="50">
        <v>0</v>
      </c>
      <c r="J54" s="50">
        <v>1</v>
      </c>
      <c r="K54" s="50">
        <v>0</v>
      </c>
      <c r="L54" s="50">
        <v>0</v>
      </c>
      <c r="M54" s="50">
        <v>8</v>
      </c>
      <c r="N54" s="50">
        <v>0</v>
      </c>
      <c r="O54" s="15">
        <f t="shared" si="0"/>
        <v>9</v>
      </c>
      <c r="P54" s="15">
        <f t="shared" si="1"/>
        <v>17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8</v>
      </c>
      <c r="N55" s="50">
        <v>0</v>
      </c>
      <c r="O55" s="15">
        <f t="shared" si="0"/>
        <v>4</v>
      </c>
      <c r="P55" s="15">
        <f t="shared" si="1"/>
        <v>12</v>
      </c>
      <c r="R55" s="8"/>
      <c r="T55"/>
    </row>
    <row r="56" spans="2:20" ht="23.1" customHeight="1" x14ac:dyDescent="0.25">
      <c r="B56" s="23" t="s">
        <v>83</v>
      </c>
      <c r="C56" s="50">
        <v>9</v>
      </c>
      <c r="D56" s="50">
        <v>4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9</v>
      </c>
      <c r="N56" s="50">
        <v>0</v>
      </c>
      <c r="O56" s="15">
        <f t="shared" si="0"/>
        <v>13</v>
      </c>
      <c r="P56" s="15">
        <f t="shared" si="1"/>
        <v>22</v>
      </c>
      <c r="R56" s="8"/>
      <c r="T56"/>
    </row>
    <row r="57" spans="2:20" ht="23.1" customHeight="1" x14ac:dyDescent="0.25">
      <c r="B57" s="23" t="s">
        <v>84</v>
      </c>
      <c r="C57" s="50">
        <v>9</v>
      </c>
      <c r="D57" s="50">
        <v>3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1</v>
      </c>
      <c r="K57" s="50">
        <v>0</v>
      </c>
      <c r="L57" s="50">
        <v>0</v>
      </c>
      <c r="M57" s="50">
        <v>10</v>
      </c>
      <c r="N57" s="50">
        <v>0</v>
      </c>
      <c r="O57" s="15">
        <f t="shared" si="0"/>
        <v>15</v>
      </c>
      <c r="P57" s="15">
        <f t="shared" si="1"/>
        <v>25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168</v>
      </c>
      <c r="D58" s="16">
        <f t="shared" si="21"/>
        <v>34</v>
      </c>
      <c r="E58" s="16">
        <f t="shared" si="21"/>
        <v>30</v>
      </c>
      <c r="F58" s="16">
        <f t="shared" si="21"/>
        <v>9</v>
      </c>
      <c r="G58" s="16">
        <f t="shared" si="21"/>
        <v>2</v>
      </c>
      <c r="H58" s="16">
        <f t="shared" si="21"/>
        <v>3</v>
      </c>
      <c r="I58" s="16">
        <f t="shared" si="21"/>
        <v>27</v>
      </c>
      <c r="J58" s="16">
        <f t="shared" si="21"/>
        <v>46</v>
      </c>
      <c r="K58" s="16">
        <f t="shared" si="21"/>
        <v>9</v>
      </c>
      <c r="L58" s="16">
        <f t="shared" si="21"/>
        <v>1</v>
      </c>
      <c r="M58" s="16">
        <f t="shared" si="21"/>
        <v>303</v>
      </c>
      <c r="N58" s="16">
        <f t="shared" si="21"/>
        <v>0</v>
      </c>
      <c r="O58" s="16">
        <f t="shared" si="21"/>
        <v>329</v>
      </c>
      <c r="P58" s="16">
        <f t="shared" si="21"/>
        <v>632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0.26582278481012656</v>
      </c>
      <c r="D59" s="43">
        <f t="shared" si="22"/>
        <v>5.3797468354430382E-2</v>
      </c>
      <c r="E59" s="43">
        <f t="shared" si="22"/>
        <v>4.746835443037975E-2</v>
      </c>
      <c r="F59" s="43">
        <f t="shared" si="22"/>
        <v>1.4240506329113924E-2</v>
      </c>
      <c r="G59" s="43">
        <f t="shared" si="22"/>
        <v>3.1645569620253164E-3</v>
      </c>
      <c r="H59" s="43">
        <f t="shared" si="22"/>
        <v>4.7468354430379748E-3</v>
      </c>
      <c r="I59" s="43">
        <f t="shared" si="22"/>
        <v>4.2721518987341771E-2</v>
      </c>
      <c r="J59" s="43">
        <f t="shared" si="22"/>
        <v>7.2784810126582278E-2</v>
      </c>
      <c r="K59" s="43">
        <f t="shared" si="22"/>
        <v>1.4240506329113924E-2</v>
      </c>
      <c r="L59" s="43">
        <f t="shared" si="22"/>
        <v>1.5822784810126582E-3</v>
      </c>
      <c r="M59" s="43">
        <f t="shared" si="22"/>
        <v>0.47943037974683544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0.51063829787234039</v>
      </c>
      <c r="D60" s="44">
        <f t="shared" ref="D60:N60" si="23">D58/$O$58</f>
        <v>0.10334346504559271</v>
      </c>
      <c r="E60" s="44">
        <f t="shared" si="23"/>
        <v>9.1185410334346503E-2</v>
      </c>
      <c r="F60" s="44">
        <f t="shared" si="23"/>
        <v>2.7355623100303952E-2</v>
      </c>
      <c r="G60" s="44">
        <f t="shared" si="23"/>
        <v>6.0790273556231003E-3</v>
      </c>
      <c r="H60" s="44">
        <f t="shared" si="23"/>
        <v>9.11854103343465E-3</v>
      </c>
      <c r="I60" s="44">
        <f t="shared" si="23"/>
        <v>8.2066869300911852E-2</v>
      </c>
      <c r="J60" s="44">
        <f t="shared" si="23"/>
        <v>0.1398176291793313</v>
      </c>
      <c r="K60" s="44">
        <f t="shared" si="23"/>
        <v>2.7355623100303952E-2</v>
      </c>
      <c r="L60" s="44">
        <f t="shared" si="23"/>
        <v>3.0395136778115501E-3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'25.10 Rushere-Lyantonde'!C3:G3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'31.10 Lyantonde-Rushere'!D5</f>
        <v>31.10.19</v>
      </c>
      <c r="E5" s="3"/>
      <c r="F5" s="41" t="s">
        <v>1</v>
      </c>
      <c r="G5" s="63" t="str">
        <f>'31.10 Lyantonde-Rushere'!G5:H5</f>
        <v>Kaguta road JTC</v>
      </c>
      <c r="H5" s="64"/>
      <c r="I5" s="14"/>
      <c r="J5" s="2" t="s">
        <v>5</v>
      </c>
      <c r="K5" s="63" t="s">
        <v>168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'25.10 Rushere-Lyantonde'!D6:E6</f>
        <v>Rushere</v>
      </c>
      <c r="E6" s="64"/>
      <c r="F6" s="2" t="s">
        <v>2</v>
      </c>
      <c r="G6" s="63" t="str">
        <f>'25.10 Rushere-Lyantonde'!G6:H6</f>
        <v>Lyantonde</v>
      </c>
      <c r="H6" s="64"/>
      <c r="J6" s="2" t="s">
        <v>21</v>
      </c>
      <c r="K6" s="63" t="str">
        <f>'31.10 Lyantonde-Rushere'!K6:L6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3</v>
      </c>
      <c r="D10" s="50">
        <v>1</v>
      </c>
      <c r="E10" s="50">
        <v>2</v>
      </c>
      <c r="F10" s="50">
        <v>1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4</v>
      </c>
      <c r="N10" s="50">
        <v>0</v>
      </c>
      <c r="O10" s="15">
        <f t="shared" ref="O10:O57" si="0">SUM(C10:L10,N10)</f>
        <v>8</v>
      </c>
      <c r="P10" s="15">
        <f t="shared" ref="P10:P57" si="1">SUM(C10:N10)</f>
        <v>12</v>
      </c>
      <c r="R10" s="1" t="s">
        <v>6</v>
      </c>
      <c r="S10" s="17">
        <f t="shared" ref="S10:AF10" si="2">SUM(C10:C13)</f>
        <v>14</v>
      </c>
      <c r="T10" s="17">
        <f t="shared" si="2"/>
        <v>4</v>
      </c>
      <c r="U10" s="17">
        <f t="shared" si="2"/>
        <v>5</v>
      </c>
      <c r="V10" s="17">
        <f t="shared" si="2"/>
        <v>4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2</v>
      </c>
      <c r="AA10" s="17">
        <f t="shared" si="2"/>
        <v>0</v>
      </c>
      <c r="AB10" s="17">
        <f t="shared" si="2"/>
        <v>1</v>
      </c>
      <c r="AC10" s="17">
        <f t="shared" si="2"/>
        <v>13</v>
      </c>
      <c r="AD10" s="17">
        <f t="shared" si="2"/>
        <v>0</v>
      </c>
      <c r="AE10" s="31">
        <f t="shared" si="2"/>
        <v>31</v>
      </c>
      <c r="AF10" s="31">
        <f t="shared" si="2"/>
        <v>44</v>
      </c>
    </row>
    <row r="11" spans="2:32" s="6" customFormat="1" ht="23.1" customHeight="1" x14ac:dyDescent="0.25">
      <c r="B11" s="23" t="s">
        <v>38</v>
      </c>
      <c r="C11" s="50">
        <v>4</v>
      </c>
      <c r="D11" s="50">
        <v>2</v>
      </c>
      <c r="E11" s="50">
        <v>0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8</v>
      </c>
      <c r="P11" s="15">
        <f t="shared" si="1"/>
        <v>11</v>
      </c>
      <c r="R11" s="1" t="s">
        <v>7</v>
      </c>
      <c r="S11" s="17">
        <f t="shared" ref="S11:AF11" si="3">SUM(C14:C17)</f>
        <v>11</v>
      </c>
      <c r="T11" s="17">
        <f t="shared" si="3"/>
        <v>3</v>
      </c>
      <c r="U11" s="17">
        <f t="shared" si="3"/>
        <v>2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2</v>
      </c>
      <c r="AA11" s="17">
        <f t="shared" si="3"/>
        <v>0</v>
      </c>
      <c r="AB11" s="17">
        <f t="shared" si="3"/>
        <v>0</v>
      </c>
      <c r="AC11" s="17">
        <f t="shared" si="3"/>
        <v>13</v>
      </c>
      <c r="AD11" s="17">
        <f t="shared" si="3"/>
        <v>0</v>
      </c>
      <c r="AE11" s="31">
        <f t="shared" si="3"/>
        <v>20</v>
      </c>
      <c r="AF11" s="31">
        <f t="shared" si="3"/>
        <v>33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1</v>
      </c>
      <c r="K12" s="50">
        <v>0</v>
      </c>
      <c r="L12" s="50">
        <v>0</v>
      </c>
      <c r="M12" s="50">
        <v>2</v>
      </c>
      <c r="N12" s="50">
        <v>0</v>
      </c>
      <c r="O12" s="15">
        <f t="shared" si="0"/>
        <v>5</v>
      </c>
      <c r="P12" s="15">
        <f t="shared" si="1"/>
        <v>7</v>
      </c>
      <c r="R12" s="1" t="s">
        <v>8</v>
      </c>
      <c r="S12" s="17">
        <f t="shared" ref="S12:AF12" si="4">SUM(C18:C21)</f>
        <v>9</v>
      </c>
      <c r="T12" s="17">
        <f t="shared" si="4"/>
        <v>2</v>
      </c>
      <c r="U12" s="17">
        <f t="shared" si="4"/>
        <v>3</v>
      </c>
      <c r="V12" s="17">
        <f t="shared" si="4"/>
        <v>1</v>
      </c>
      <c r="W12" s="17">
        <f t="shared" si="4"/>
        <v>0</v>
      </c>
      <c r="X12" s="17">
        <f t="shared" si="4"/>
        <v>1</v>
      </c>
      <c r="Y12" s="17">
        <f t="shared" si="4"/>
        <v>0</v>
      </c>
      <c r="Z12" s="17">
        <f t="shared" si="4"/>
        <v>0</v>
      </c>
      <c r="AA12" s="17">
        <f t="shared" si="4"/>
        <v>1</v>
      </c>
      <c r="AB12" s="17">
        <f t="shared" si="4"/>
        <v>0</v>
      </c>
      <c r="AC12" s="17">
        <f t="shared" si="4"/>
        <v>24</v>
      </c>
      <c r="AD12" s="17">
        <f t="shared" si="4"/>
        <v>0</v>
      </c>
      <c r="AE12" s="31">
        <f t="shared" si="4"/>
        <v>17</v>
      </c>
      <c r="AF12" s="31">
        <f t="shared" si="4"/>
        <v>41</v>
      </c>
    </row>
    <row r="13" spans="2:32" ht="23.1" customHeight="1" x14ac:dyDescent="0.25">
      <c r="B13" s="23" t="s">
        <v>40</v>
      </c>
      <c r="C13" s="50">
        <v>4</v>
      </c>
      <c r="D13" s="50">
        <v>1</v>
      </c>
      <c r="E13" s="50">
        <v>2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1</v>
      </c>
      <c r="M13" s="50">
        <v>4</v>
      </c>
      <c r="N13" s="50">
        <v>0</v>
      </c>
      <c r="O13" s="15">
        <f t="shared" si="0"/>
        <v>10</v>
      </c>
      <c r="P13" s="15">
        <f t="shared" si="1"/>
        <v>14</v>
      </c>
      <c r="R13" s="1" t="s">
        <v>9</v>
      </c>
      <c r="S13" s="17">
        <f t="shared" ref="S13:AF13" si="5">SUM(C22:C25)</f>
        <v>16</v>
      </c>
      <c r="T13" s="17">
        <f t="shared" si="5"/>
        <v>4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1</v>
      </c>
      <c r="Y13" s="17">
        <f t="shared" si="5"/>
        <v>2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25</v>
      </c>
      <c r="AD13" s="17">
        <f t="shared" si="5"/>
        <v>0</v>
      </c>
      <c r="AE13" s="31">
        <f t="shared" si="5"/>
        <v>27</v>
      </c>
      <c r="AF13" s="31">
        <f t="shared" si="5"/>
        <v>52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2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3</v>
      </c>
      <c r="N14" s="50">
        <v>0</v>
      </c>
      <c r="O14" s="15">
        <f t="shared" si="0"/>
        <v>4</v>
      </c>
      <c r="P14" s="15">
        <f t="shared" si="1"/>
        <v>7</v>
      </c>
      <c r="R14" s="1" t="s">
        <v>10</v>
      </c>
      <c r="S14" s="17">
        <f t="shared" ref="S14:AF14" si="6">SUM(C26:C29)</f>
        <v>10</v>
      </c>
      <c r="T14" s="17">
        <f t="shared" si="6"/>
        <v>2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0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29</v>
      </c>
      <c r="AD14" s="17">
        <f t="shared" si="6"/>
        <v>0</v>
      </c>
      <c r="AE14" s="31">
        <f t="shared" si="6"/>
        <v>15</v>
      </c>
      <c r="AF14" s="31">
        <f t="shared" si="6"/>
        <v>44</v>
      </c>
    </row>
    <row r="15" spans="2:32" ht="23.1" customHeight="1" x14ac:dyDescent="0.25">
      <c r="B15" s="23" t="s">
        <v>42</v>
      </c>
      <c r="C15" s="50">
        <v>3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2</v>
      </c>
      <c r="N15" s="50">
        <v>0</v>
      </c>
      <c r="O15" s="15">
        <f t="shared" si="0"/>
        <v>3</v>
      </c>
      <c r="P15" s="15">
        <f t="shared" si="1"/>
        <v>5</v>
      </c>
      <c r="R15" s="1" t="s">
        <v>11</v>
      </c>
      <c r="S15" s="17">
        <f t="shared" ref="S15:AF15" si="7">SUM(C30:C33)</f>
        <v>20</v>
      </c>
      <c r="T15" s="17">
        <f t="shared" si="7"/>
        <v>4</v>
      </c>
      <c r="U15" s="17">
        <f t="shared" si="7"/>
        <v>2</v>
      </c>
      <c r="V15" s="17">
        <f t="shared" si="7"/>
        <v>3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2</v>
      </c>
      <c r="AA15" s="17">
        <f t="shared" si="7"/>
        <v>0</v>
      </c>
      <c r="AB15" s="17">
        <f t="shared" si="7"/>
        <v>0</v>
      </c>
      <c r="AC15" s="17">
        <f t="shared" si="7"/>
        <v>26</v>
      </c>
      <c r="AD15" s="17">
        <f t="shared" si="7"/>
        <v>0</v>
      </c>
      <c r="AE15" s="31">
        <f t="shared" si="7"/>
        <v>33</v>
      </c>
      <c r="AF15" s="31">
        <f t="shared" si="7"/>
        <v>59</v>
      </c>
    </row>
    <row r="16" spans="2:32" ht="23.1" customHeight="1" x14ac:dyDescent="0.25">
      <c r="B16" s="23" t="s">
        <v>43</v>
      </c>
      <c r="C16" s="50">
        <v>4</v>
      </c>
      <c r="D16" s="50">
        <v>2</v>
      </c>
      <c r="E16" s="50">
        <v>0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5</v>
      </c>
      <c r="N16" s="50">
        <v>0</v>
      </c>
      <c r="O16" s="15">
        <f t="shared" si="0"/>
        <v>8</v>
      </c>
      <c r="P16" s="15">
        <f t="shared" si="1"/>
        <v>13</v>
      </c>
      <c r="R16" s="1" t="s">
        <v>12</v>
      </c>
      <c r="S16" s="17">
        <f t="shared" ref="S16:AF16" si="8">SUM(C34:C37)</f>
        <v>11</v>
      </c>
      <c r="T16" s="17">
        <f t="shared" si="8"/>
        <v>2</v>
      </c>
      <c r="U16" s="17">
        <f t="shared" si="8"/>
        <v>2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20</v>
      </c>
      <c r="AD16" s="17">
        <f t="shared" si="8"/>
        <v>0</v>
      </c>
      <c r="AE16" s="31">
        <f t="shared" si="8"/>
        <v>16</v>
      </c>
      <c r="AF16" s="31">
        <f t="shared" si="8"/>
        <v>36</v>
      </c>
    </row>
    <row r="17" spans="2:32" ht="23.1" customHeight="1" x14ac:dyDescent="0.25">
      <c r="B17" s="23" t="s">
        <v>44</v>
      </c>
      <c r="C17" s="50">
        <v>2</v>
      </c>
      <c r="D17" s="50">
        <v>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2</v>
      </c>
      <c r="K17" s="50">
        <v>0</v>
      </c>
      <c r="L17" s="50">
        <v>0</v>
      </c>
      <c r="M17" s="50">
        <v>3</v>
      </c>
      <c r="N17" s="50">
        <v>0</v>
      </c>
      <c r="O17" s="15">
        <f t="shared" si="0"/>
        <v>5</v>
      </c>
      <c r="P17" s="15">
        <f t="shared" si="1"/>
        <v>8</v>
      </c>
      <c r="R17" s="1" t="s">
        <v>13</v>
      </c>
      <c r="S17" s="17">
        <f t="shared" ref="S17:AF17" si="9">SUM(C38:C41)</f>
        <v>17</v>
      </c>
      <c r="T17" s="17">
        <f t="shared" si="9"/>
        <v>4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4</v>
      </c>
      <c r="AB17" s="17">
        <f t="shared" si="9"/>
        <v>1</v>
      </c>
      <c r="AC17" s="17">
        <f t="shared" si="9"/>
        <v>43</v>
      </c>
      <c r="AD17" s="17">
        <f t="shared" si="9"/>
        <v>0</v>
      </c>
      <c r="AE17" s="31">
        <f t="shared" si="9"/>
        <v>29</v>
      </c>
      <c r="AF17" s="31">
        <f t="shared" si="9"/>
        <v>72</v>
      </c>
    </row>
    <row r="18" spans="2:32" ht="23.1" customHeight="1" x14ac:dyDescent="0.25">
      <c r="B18" s="23" t="s">
        <v>45</v>
      </c>
      <c r="C18" s="50">
        <v>3</v>
      </c>
      <c r="D18" s="50">
        <v>0</v>
      </c>
      <c r="E18" s="50">
        <v>2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1</v>
      </c>
      <c r="L18" s="50">
        <v>0</v>
      </c>
      <c r="M18" s="50">
        <v>8</v>
      </c>
      <c r="N18" s="50">
        <v>0</v>
      </c>
      <c r="O18" s="15">
        <f t="shared" si="0"/>
        <v>6</v>
      </c>
      <c r="P18" s="15">
        <f t="shared" si="1"/>
        <v>14</v>
      </c>
      <c r="R18" s="1" t="s">
        <v>14</v>
      </c>
      <c r="S18" s="17">
        <f t="shared" ref="S18:AF18" si="10">SUM(C42:C45)</f>
        <v>15</v>
      </c>
      <c r="T18" s="17">
        <f t="shared" si="10"/>
        <v>4</v>
      </c>
      <c r="U18" s="17">
        <f t="shared" si="10"/>
        <v>3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30</v>
      </c>
      <c r="AD18" s="17">
        <f t="shared" si="10"/>
        <v>0</v>
      </c>
      <c r="AE18" s="31">
        <f t="shared" si="10"/>
        <v>28</v>
      </c>
      <c r="AF18" s="31">
        <f t="shared" si="10"/>
        <v>58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1</v>
      </c>
      <c r="I19" s="50">
        <v>0</v>
      </c>
      <c r="J19" s="50">
        <v>0</v>
      </c>
      <c r="K19" s="50">
        <v>0</v>
      </c>
      <c r="L19" s="50">
        <v>0</v>
      </c>
      <c r="M19" s="50">
        <v>7</v>
      </c>
      <c r="N19" s="50">
        <v>0</v>
      </c>
      <c r="O19" s="15">
        <f t="shared" si="0"/>
        <v>2</v>
      </c>
      <c r="P19" s="15">
        <f t="shared" si="1"/>
        <v>9</v>
      </c>
      <c r="R19" s="1" t="s">
        <v>15</v>
      </c>
      <c r="S19" s="17">
        <f t="shared" ref="S19:AF19" si="11">SUM(C46:C49)</f>
        <v>21</v>
      </c>
      <c r="T19" s="17">
        <f t="shared" si="11"/>
        <v>3</v>
      </c>
      <c r="U19" s="17">
        <f t="shared" si="11"/>
        <v>3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4</v>
      </c>
      <c r="AA19" s="17">
        <f t="shared" si="11"/>
        <v>3</v>
      </c>
      <c r="AB19" s="17">
        <f t="shared" si="11"/>
        <v>2</v>
      </c>
      <c r="AC19" s="17">
        <f t="shared" si="11"/>
        <v>56</v>
      </c>
      <c r="AD19" s="17">
        <f t="shared" si="11"/>
        <v>0</v>
      </c>
      <c r="AE19" s="31">
        <f t="shared" si="11"/>
        <v>38</v>
      </c>
      <c r="AF19" s="31">
        <f t="shared" si="11"/>
        <v>94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2</v>
      </c>
      <c r="N20" s="50">
        <v>0</v>
      </c>
      <c r="O20" s="15">
        <f t="shared" si="0"/>
        <v>4</v>
      </c>
      <c r="P20" s="15">
        <f t="shared" si="1"/>
        <v>6</v>
      </c>
      <c r="R20" s="1" t="s">
        <v>16</v>
      </c>
      <c r="S20" s="17">
        <f t="shared" ref="S20:AF20" si="12">SUM(C50:C53)</f>
        <v>15</v>
      </c>
      <c r="T20" s="17">
        <f t="shared" si="12"/>
        <v>4</v>
      </c>
      <c r="U20" s="17">
        <f t="shared" si="12"/>
        <v>2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4</v>
      </c>
      <c r="AA20" s="17">
        <f t="shared" si="12"/>
        <v>6</v>
      </c>
      <c r="AB20" s="17">
        <f t="shared" si="12"/>
        <v>0</v>
      </c>
      <c r="AC20" s="17">
        <f t="shared" si="12"/>
        <v>29</v>
      </c>
      <c r="AD20" s="17">
        <f t="shared" si="12"/>
        <v>0</v>
      </c>
      <c r="AE20" s="31">
        <f t="shared" si="12"/>
        <v>37</v>
      </c>
      <c r="AF20" s="31">
        <f t="shared" si="12"/>
        <v>66</v>
      </c>
    </row>
    <row r="21" spans="2:32" ht="23.1" customHeight="1" x14ac:dyDescent="0.25">
      <c r="B21" s="23" t="s">
        <v>48</v>
      </c>
      <c r="C21" s="50">
        <v>3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7</v>
      </c>
      <c r="N21" s="50">
        <v>0</v>
      </c>
      <c r="O21" s="15">
        <f t="shared" si="0"/>
        <v>5</v>
      </c>
      <c r="P21" s="15">
        <f t="shared" si="1"/>
        <v>12</v>
      </c>
      <c r="R21" s="36" t="s">
        <v>20</v>
      </c>
      <c r="S21" s="34">
        <f t="shared" ref="S21:AF21" si="13">SUM(C54:C57)</f>
        <v>17</v>
      </c>
      <c r="T21" s="17">
        <f t="shared" si="13"/>
        <v>8</v>
      </c>
      <c r="U21" s="17">
        <f t="shared" si="13"/>
        <v>5</v>
      </c>
      <c r="V21" s="17">
        <f t="shared" si="13"/>
        <v>1</v>
      </c>
      <c r="W21" s="17">
        <f t="shared" si="13"/>
        <v>0</v>
      </c>
      <c r="X21" s="17">
        <f t="shared" si="13"/>
        <v>1</v>
      </c>
      <c r="Y21" s="17">
        <f t="shared" si="13"/>
        <v>5</v>
      </c>
      <c r="Z21" s="17">
        <f t="shared" si="13"/>
        <v>4</v>
      </c>
      <c r="AA21" s="17">
        <f t="shared" si="13"/>
        <v>3</v>
      </c>
      <c r="AB21" s="17">
        <f t="shared" si="13"/>
        <v>0</v>
      </c>
      <c r="AC21" s="17">
        <f t="shared" si="13"/>
        <v>31</v>
      </c>
      <c r="AD21" s="17">
        <f t="shared" si="13"/>
        <v>0</v>
      </c>
      <c r="AE21" s="31">
        <f t="shared" si="13"/>
        <v>44</v>
      </c>
      <c r="AF21" s="31">
        <f t="shared" si="13"/>
        <v>75</v>
      </c>
    </row>
    <row r="22" spans="2:32" ht="23.1" customHeight="1" x14ac:dyDescent="0.25">
      <c r="B22" s="23" t="s">
        <v>49</v>
      </c>
      <c r="C22" s="50">
        <v>5</v>
      </c>
      <c r="D22" s="50">
        <v>1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7</v>
      </c>
      <c r="P22" s="15">
        <f t="shared" si="1"/>
        <v>17</v>
      </c>
      <c r="R22" s="38" t="s">
        <v>90</v>
      </c>
      <c r="S22" s="39">
        <f>MAX(S10:S12)</f>
        <v>14</v>
      </c>
      <c r="T22" s="39">
        <f t="shared" ref="T22:AF22" si="14">MAX(T10:T12)</f>
        <v>4</v>
      </c>
      <c r="U22" s="39">
        <f t="shared" si="14"/>
        <v>5</v>
      </c>
      <c r="V22" s="39">
        <f t="shared" si="14"/>
        <v>4</v>
      </c>
      <c r="W22" s="39">
        <f t="shared" si="14"/>
        <v>0</v>
      </c>
      <c r="X22" s="39">
        <f t="shared" si="14"/>
        <v>1</v>
      </c>
      <c r="Y22" s="39">
        <f t="shared" si="14"/>
        <v>2</v>
      </c>
      <c r="Z22" s="39">
        <f t="shared" si="14"/>
        <v>2</v>
      </c>
      <c r="AA22" s="39">
        <f t="shared" si="14"/>
        <v>1</v>
      </c>
      <c r="AB22" s="39">
        <f t="shared" si="14"/>
        <v>1</v>
      </c>
      <c r="AC22" s="39">
        <f t="shared" si="14"/>
        <v>24</v>
      </c>
      <c r="AD22" s="39">
        <f t="shared" si="14"/>
        <v>0</v>
      </c>
      <c r="AE22" s="40">
        <f t="shared" si="14"/>
        <v>31</v>
      </c>
      <c r="AF22" s="40">
        <f t="shared" si="14"/>
        <v>44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2</v>
      </c>
      <c r="J23" s="50">
        <v>1</v>
      </c>
      <c r="K23" s="50">
        <v>0</v>
      </c>
      <c r="L23" s="50">
        <v>0</v>
      </c>
      <c r="M23" s="50">
        <v>3</v>
      </c>
      <c r="N23" s="50">
        <v>0</v>
      </c>
      <c r="O23" s="15">
        <f t="shared" si="0"/>
        <v>5</v>
      </c>
      <c r="P23" s="15">
        <f t="shared" si="1"/>
        <v>8</v>
      </c>
      <c r="R23" s="38" t="s">
        <v>91</v>
      </c>
      <c r="S23" s="39">
        <f>MAX(S13:S18)</f>
        <v>20</v>
      </c>
      <c r="T23" s="39">
        <f t="shared" ref="T23:AF23" si="15">MAX(T13:T18)</f>
        <v>4</v>
      </c>
      <c r="U23" s="39">
        <f t="shared" si="15"/>
        <v>3</v>
      </c>
      <c r="V23" s="39">
        <f t="shared" si="15"/>
        <v>3</v>
      </c>
      <c r="W23" s="39">
        <f t="shared" si="15"/>
        <v>0</v>
      </c>
      <c r="X23" s="39">
        <f t="shared" si="15"/>
        <v>1</v>
      </c>
      <c r="Y23" s="39">
        <f t="shared" si="15"/>
        <v>2</v>
      </c>
      <c r="Z23" s="39">
        <f t="shared" si="15"/>
        <v>4</v>
      </c>
      <c r="AA23" s="39">
        <f t="shared" si="15"/>
        <v>4</v>
      </c>
      <c r="AB23" s="39">
        <f t="shared" si="15"/>
        <v>1</v>
      </c>
      <c r="AC23" s="39">
        <f t="shared" si="15"/>
        <v>43</v>
      </c>
      <c r="AD23" s="39">
        <f t="shared" si="15"/>
        <v>0</v>
      </c>
      <c r="AE23" s="40">
        <f t="shared" si="15"/>
        <v>33</v>
      </c>
      <c r="AF23" s="40">
        <f t="shared" si="15"/>
        <v>72</v>
      </c>
    </row>
    <row r="24" spans="2:32" ht="23.1" customHeight="1" x14ac:dyDescent="0.25">
      <c r="B24" s="23" t="s">
        <v>51</v>
      </c>
      <c r="C24" s="50">
        <v>3</v>
      </c>
      <c r="D24" s="50">
        <v>2</v>
      </c>
      <c r="E24" s="50">
        <v>2</v>
      </c>
      <c r="F24" s="50">
        <v>0</v>
      </c>
      <c r="G24" s="50">
        <v>0</v>
      </c>
      <c r="H24" s="50">
        <v>1</v>
      </c>
      <c r="I24" s="50">
        <v>0</v>
      </c>
      <c r="J24" s="50">
        <v>0</v>
      </c>
      <c r="K24" s="50">
        <v>0</v>
      </c>
      <c r="L24" s="50">
        <v>0</v>
      </c>
      <c r="M24" s="50">
        <v>6</v>
      </c>
      <c r="N24" s="50">
        <v>0</v>
      </c>
      <c r="O24" s="15">
        <f t="shared" si="0"/>
        <v>8</v>
      </c>
      <c r="P24" s="15">
        <f t="shared" si="1"/>
        <v>14</v>
      </c>
      <c r="R24" s="38" t="s">
        <v>92</v>
      </c>
      <c r="S24" s="39">
        <f>MAX(S19:S21)</f>
        <v>21</v>
      </c>
      <c r="T24" s="39">
        <f t="shared" ref="T24:AF24" si="16">MAX(T19:T21)</f>
        <v>8</v>
      </c>
      <c r="U24" s="39">
        <f t="shared" si="16"/>
        <v>5</v>
      </c>
      <c r="V24" s="39">
        <f t="shared" si="16"/>
        <v>1</v>
      </c>
      <c r="W24" s="39">
        <f t="shared" si="16"/>
        <v>0</v>
      </c>
      <c r="X24" s="39">
        <f t="shared" si="16"/>
        <v>1</v>
      </c>
      <c r="Y24" s="39">
        <f t="shared" si="16"/>
        <v>6</v>
      </c>
      <c r="Z24" s="39">
        <f t="shared" si="16"/>
        <v>4</v>
      </c>
      <c r="AA24" s="39">
        <f t="shared" si="16"/>
        <v>6</v>
      </c>
      <c r="AB24" s="39">
        <f t="shared" si="16"/>
        <v>2</v>
      </c>
      <c r="AC24" s="39">
        <f t="shared" si="16"/>
        <v>56</v>
      </c>
      <c r="AD24" s="39">
        <f t="shared" si="16"/>
        <v>0</v>
      </c>
      <c r="AE24" s="40">
        <f t="shared" si="16"/>
        <v>44</v>
      </c>
      <c r="AF24" s="40">
        <f t="shared" si="16"/>
        <v>94</v>
      </c>
    </row>
    <row r="25" spans="2:32" ht="23.1" customHeight="1" x14ac:dyDescent="0.25">
      <c r="B25" s="23" t="s">
        <v>52</v>
      </c>
      <c r="C25" s="50">
        <v>6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7</v>
      </c>
      <c r="P25" s="15">
        <f t="shared" si="1"/>
        <v>13</v>
      </c>
      <c r="R25" s="37" t="s">
        <v>85</v>
      </c>
      <c r="S25" s="35">
        <f t="shared" ref="S25:AF25" si="17">SUM(S10:S12)</f>
        <v>34</v>
      </c>
      <c r="T25" s="16">
        <f t="shared" si="17"/>
        <v>9</v>
      </c>
      <c r="U25" s="16">
        <f t="shared" si="17"/>
        <v>10</v>
      </c>
      <c r="V25" s="16">
        <f t="shared" si="17"/>
        <v>5</v>
      </c>
      <c r="W25" s="16">
        <f t="shared" si="17"/>
        <v>0</v>
      </c>
      <c r="X25" s="16">
        <f t="shared" si="17"/>
        <v>1</v>
      </c>
      <c r="Y25" s="16">
        <f t="shared" si="17"/>
        <v>3</v>
      </c>
      <c r="Z25" s="16">
        <f t="shared" si="17"/>
        <v>4</v>
      </c>
      <c r="AA25" s="16">
        <f t="shared" si="17"/>
        <v>1</v>
      </c>
      <c r="AB25" s="16">
        <f t="shared" si="17"/>
        <v>1</v>
      </c>
      <c r="AC25" s="16">
        <f t="shared" si="17"/>
        <v>50</v>
      </c>
      <c r="AD25" s="16">
        <f t="shared" si="17"/>
        <v>0</v>
      </c>
      <c r="AE25" s="32">
        <f t="shared" si="17"/>
        <v>68</v>
      </c>
      <c r="AF25" s="32">
        <f t="shared" si="17"/>
        <v>118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3</v>
      </c>
      <c r="P26" s="15">
        <f t="shared" si="1"/>
        <v>11</v>
      </c>
      <c r="R26" s="28" t="s">
        <v>86</v>
      </c>
      <c r="S26" s="16">
        <f t="shared" ref="S26:AF26" si="18">SUM(S13:S18)</f>
        <v>89</v>
      </c>
      <c r="T26" s="16">
        <f t="shared" si="18"/>
        <v>20</v>
      </c>
      <c r="U26" s="16">
        <f t="shared" si="18"/>
        <v>13</v>
      </c>
      <c r="V26" s="16">
        <f t="shared" si="18"/>
        <v>5</v>
      </c>
      <c r="W26" s="16">
        <f t="shared" si="18"/>
        <v>0</v>
      </c>
      <c r="X26" s="16">
        <f t="shared" si="18"/>
        <v>1</v>
      </c>
      <c r="Y26" s="16">
        <f t="shared" si="18"/>
        <v>6</v>
      </c>
      <c r="Z26" s="16">
        <f t="shared" si="18"/>
        <v>9</v>
      </c>
      <c r="AA26" s="16">
        <f t="shared" si="18"/>
        <v>4</v>
      </c>
      <c r="AB26" s="16">
        <f t="shared" si="18"/>
        <v>1</v>
      </c>
      <c r="AC26" s="16">
        <f t="shared" si="18"/>
        <v>173</v>
      </c>
      <c r="AD26" s="16">
        <f t="shared" si="18"/>
        <v>0</v>
      </c>
      <c r="AE26" s="32">
        <f t="shared" si="18"/>
        <v>148</v>
      </c>
      <c r="AF26" s="32">
        <f t="shared" si="18"/>
        <v>321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6</v>
      </c>
      <c r="N27" s="50">
        <v>0</v>
      </c>
      <c r="O27" s="15">
        <f t="shared" si="0"/>
        <v>4</v>
      </c>
      <c r="P27" s="15">
        <f t="shared" si="1"/>
        <v>10</v>
      </c>
      <c r="R27" s="29" t="s">
        <v>87</v>
      </c>
      <c r="S27" s="16">
        <f t="shared" ref="S27:AF27" si="19">SUM(S19:S21)</f>
        <v>53</v>
      </c>
      <c r="T27" s="16">
        <f t="shared" si="19"/>
        <v>15</v>
      </c>
      <c r="U27" s="16">
        <f t="shared" si="19"/>
        <v>10</v>
      </c>
      <c r="V27" s="16">
        <f t="shared" si="19"/>
        <v>1</v>
      </c>
      <c r="W27" s="16">
        <f t="shared" si="19"/>
        <v>0</v>
      </c>
      <c r="X27" s="16">
        <f t="shared" si="19"/>
        <v>1</v>
      </c>
      <c r="Y27" s="16">
        <f t="shared" si="19"/>
        <v>13</v>
      </c>
      <c r="Z27" s="16">
        <f t="shared" si="19"/>
        <v>12</v>
      </c>
      <c r="AA27" s="16">
        <f t="shared" si="19"/>
        <v>12</v>
      </c>
      <c r="AB27" s="16">
        <f t="shared" si="19"/>
        <v>2</v>
      </c>
      <c r="AC27" s="16">
        <f t="shared" si="19"/>
        <v>116</v>
      </c>
      <c r="AD27" s="16">
        <f t="shared" si="19"/>
        <v>0</v>
      </c>
      <c r="AE27" s="32">
        <f t="shared" si="19"/>
        <v>119</v>
      </c>
      <c r="AF27" s="32">
        <f t="shared" si="19"/>
        <v>235</v>
      </c>
    </row>
    <row r="28" spans="2:32" ht="23.1" customHeight="1" x14ac:dyDescent="0.25">
      <c r="B28" s="23" t="s">
        <v>55</v>
      </c>
      <c r="C28" s="50">
        <v>2</v>
      </c>
      <c r="D28" s="50">
        <v>1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3</v>
      </c>
      <c r="P28" s="15">
        <f t="shared" si="1"/>
        <v>15</v>
      </c>
      <c r="R28" s="5" t="s">
        <v>17</v>
      </c>
      <c r="S28" s="16">
        <f t="shared" ref="S28:AF28" si="20">SUM(S10:S21)</f>
        <v>176</v>
      </c>
      <c r="T28" s="16">
        <f t="shared" si="20"/>
        <v>44</v>
      </c>
      <c r="U28" s="16">
        <f t="shared" si="20"/>
        <v>33</v>
      </c>
      <c r="V28" s="16">
        <f t="shared" si="20"/>
        <v>11</v>
      </c>
      <c r="W28" s="16">
        <f t="shared" si="20"/>
        <v>0</v>
      </c>
      <c r="X28" s="16">
        <f t="shared" si="20"/>
        <v>3</v>
      </c>
      <c r="Y28" s="16">
        <f t="shared" si="20"/>
        <v>22</v>
      </c>
      <c r="Z28" s="16">
        <f t="shared" si="20"/>
        <v>25</v>
      </c>
      <c r="AA28" s="16">
        <f t="shared" si="20"/>
        <v>17</v>
      </c>
      <c r="AB28" s="16">
        <f t="shared" si="20"/>
        <v>4</v>
      </c>
      <c r="AC28" s="16">
        <f t="shared" si="20"/>
        <v>339</v>
      </c>
      <c r="AD28" s="16">
        <f t="shared" si="20"/>
        <v>0</v>
      </c>
      <c r="AE28" s="32">
        <f t="shared" si="20"/>
        <v>335</v>
      </c>
      <c r="AF28" s="32">
        <f t="shared" si="20"/>
        <v>674</v>
      </c>
    </row>
    <row r="29" spans="2:32" ht="23.1" customHeight="1" x14ac:dyDescent="0.25">
      <c r="B29" s="23" t="s">
        <v>56</v>
      </c>
      <c r="C29" s="50">
        <v>3</v>
      </c>
      <c r="D29" s="50">
        <v>1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3</v>
      </c>
      <c r="N29" s="50">
        <v>0</v>
      </c>
      <c r="O29" s="15">
        <f t="shared" si="0"/>
        <v>5</v>
      </c>
      <c r="P29" s="15">
        <f t="shared" si="1"/>
        <v>8</v>
      </c>
      <c r="R29"/>
      <c r="S29" s="20"/>
      <c r="T29" s="19"/>
    </row>
    <row r="30" spans="2:32" ht="23.1" customHeight="1" x14ac:dyDescent="0.25">
      <c r="B30" s="23" t="s">
        <v>57</v>
      </c>
      <c r="C30" s="50">
        <v>4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</v>
      </c>
      <c r="N30" s="50">
        <v>0</v>
      </c>
      <c r="O30" s="15">
        <f t="shared" si="0"/>
        <v>6</v>
      </c>
      <c r="P30" s="15">
        <f t="shared" si="1"/>
        <v>7</v>
      </c>
    </row>
    <row r="31" spans="2:32" ht="23.1" customHeight="1" x14ac:dyDescent="0.25">
      <c r="B31" s="24" t="s">
        <v>58</v>
      </c>
      <c r="C31" s="50">
        <v>8</v>
      </c>
      <c r="D31" s="50">
        <v>1</v>
      </c>
      <c r="E31" s="50">
        <v>1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8</v>
      </c>
      <c r="N31" s="50">
        <v>0</v>
      </c>
      <c r="O31" s="15">
        <f t="shared" si="0"/>
        <v>10</v>
      </c>
      <c r="P31" s="15">
        <f t="shared" si="1"/>
        <v>18</v>
      </c>
    </row>
    <row r="32" spans="2:32" ht="23.1" customHeight="1" x14ac:dyDescent="0.25">
      <c r="B32" s="24" t="s">
        <v>59</v>
      </c>
      <c r="C32" s="50">
        <v>5</v>
      </c>
      <c r="D32" s="50">
        <v>1</v>
      </c>
      <c r="E32" s="50">
        <v>0</v>
      </c>
      <c r="F32" s="50">
        <v>2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5</v>
      </c>
      <c r="N32" s="50">
        <v>0</v>
      </c>
      <c r="O32" s="15">
        <f t="shared" si="0"/>
        <v>9</v>
      </c>
      <c r="P32" s="15">
        <f t="shared" si="1"/>
        <v>14</v>
      </c>
    </row>
    <row r="33" spans="2:20" ht="23.1" customHeight="1" x14ac:dyDescent="0.25">
      <c r="B33" s="23" t="s">
        <v>60</v>
      </c>
      <c r="C33" s="50">
        <v>3</v>
      </c>
      <c r="D33" s="50">
        <v>2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8</v>
      </c>
      <c r="P33" s="15">
        <f t="shared" si="1"/>
        <v>20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4</v>
      </c>
      <c r="N34" s="50">
        <v>0</v>
      </c>
      <c r="O34" s="15">
        <f t="shared" si="0"/>
        <v>2</v>
      </c>
      <c r="P34" s="15">
        <f t="shared" si="1"/>
        <v>6</v>
      </c>
    </row>
    <row r="35" spans="2:20" ht="23.1" customHeight="1" x14ac:dyDescent="0.25">
      <c r="B35" s="24" t="s">
        <v>62</v>
      </c>
      <c r="C35" s="50">
        <v>6</v>
      </c>
      <c r="D35" s="50">
        <v>1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5</v>
      </c>
      <c r="N35" s="50">
        <v>0</v>
      </c>
      <c r="O35" s="15">
        <f t="shared" si="0"/>
        <v>8</v>
      </c>
      <c r="P35" s="15">
        <f t="shared" si="1"/>
        <v>13</v>
      </c>
    </row>
    <row r="36" spans="2:20" ht="23.1" customHeight="1" x14ac:dyDescent="0.25">
      <c r="B36" s="24" t="s">
        <v>63</v>
      </c>
      <c r="C36" s="50">
        <v>4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5</v>
      </c>
      <c r="P36" s="15">
        <f t="shared" si="1"/>
        <v>13</v>
      </c>
    </row>
    <row r="37" spans="2:20" ht="23.1" customHeight="1" x14ac:dyDescent="0.25">
      <c r="B37" s="23" t="s">
        <v>64</v>
      </c>
      <c r="C37" s="50">
        <v>0</v>
      </c>
      <c r="D37" s="50">
        <v>1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3</v>
      </c>
      <c r="N37" s="50">
        <v>0</v>
      </c>
      <c r="O37" s="15">
        <f t="shared" si="0"/>
        <v>1</v>
      </c>
      <c r="P37" s="15">
        <f t="shared" si="1"/>
        <v>4</v>
      </c>
    </row>
    <row r="38" spans="2:20" ht="23.1" customHeight="1" x14ac:dyDescent="0.25">
      <c r="B38" s="24" t="s">
        <v>65</v>
      </c>
      <c r="C38" s="50">
        <v>4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1</v>
      </c>
      <c r="L38" s="50">
        <v>0</v>
      </c>
      <c r="M38" s="50">
        <v>15</v>
      </c>
      <c r="N38" s="50">
        <v>0</v>
      </c>
      <c r="O38" s="15">
        <f t="shared" si="0"/>
        <v>6</v>
      </c>
      <c r="P38" s="15">
        <f t="shared" si="1"/>
        <v>21</v>
      </c>
    </row>
    <row r="39" spans="2:20" ht="23.1" customHeight="1" x14ac:dyDescent="0.25">
      <c r="B39" s="24" t="s">
        <v>66</v>
      </c>
      <c r="C39" s="50">
        <v>5</v>
      </c>
      <c r="D39" s="50">
        <v>3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1</v>
      </c>
      <c r="L39" s="50">
        <v>1</v>
      </c>
      <c r="M39" s="50">
        <v>8</v>
      </c>
      <c r="N39" s="50">
        <v>0</v>
      </c>
      <c r="O39" s="15">
        <f t="shared" si="0"/>
        <v>10</v>
      </c>
      <c r="P39" s="15">
        <f t="shared" si="1"/>
        <v>18</v>
      </c>
    </row>
    <row r="40" spans="2:20" ht="23.1" customHeight="1" x14ac:dyDescent="0.25">
      <c r="B40" s="24" t="s">
        <v>67</v>
      </c>
      <c r="C40" s="50">
        <v>4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5</v>
      </c>
      <c r="P40" s="15">
        <f t="shared" si="1"/>
        <v>13</v>
      </c>
    </row>
    <row r="41" spans="2:20" ht="23.1" customHeight="1" x14ac:dyDescent="0.25">
      <c r="B41" s="23" t="s">
        <v>68</v>
      </c>
      <c r="C41" s="50">
        <v>4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2</v>
      </c>
      <c r="L41" s="50">
        <v>0</v>
      </c>
      <c r="M41" s="50">
        <v>12</v>
      </c>
      <c r="N41" s="50">
        <v>0</v>
      </c>
      <c r="O41" s="15">
        <f t="shared" si="0"/>
        <v>8</v>
      </c>
      <c r="P41" s="15">
        <f t="shared" si="1"/>
        <v>20</v>
      </c>
    </row>
    <row r="42" spans="2:20" ht="23.1" customHeight="1" x14ac:dyDescent="0.25">
      <c r="B42" s="24" t="s">
        <v>69</v>
      </c>
      <c r="C42" s="50">
        <v>10</v>
      </c>
      <c r="D42" s="50">
        <v>2</v>
      </c>
      <c r="E42" s="50">
        <v>0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6</v>
      </c>
      <c r="N42" s="50">
        <v>0</v>
      </c>
      <c r="O42" s="15">
        <f t="shared" si="0"/>
        <v>12</v>
      </c>
      <c r="P42" s="15">
        <f t="shared" si="1"/>
        <v>18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2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7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1</v>
      </c>
      <c r="K44" s="50">
        <v>0</v>
      </c>
      <c r="L44" s="50">
        <v>0</v>
      </c>
      <c r="M44" s="50">
        <v>11</v>
      </c>
      <c r="N44" s="50">
        <v>0</v>
      </c>
      <c r="O44" s="15">
        <f t="shared" si="0"/>
        <v>4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0</v>
      </c>
      <c r="D45" s="50">
        <v>2</v>
      </c>
      <c r="E45" s="50">
        <v>2</v>
      </c>
      <c r="F45" s="50">
        <v>0</v>
      </c>
      <c r="G45" s="50">
        <v>0</v>
      </c>
      <c r="H45" s="50">
        <v>0</v>
      </c>
      <c r="I45" s="50">
        <v>0</v>
      </c>
      <c r="J45" s="50">
        <v>1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5</v>
      </c>
      <c r="P45" s="15">
        <f t="shared" si="1"/>
        <v>10</v>
      </c>
    </row>
    <row r="46" spans="2:20" ht="23.1" customHeight="1" x14ac:dyDescent="0.25">
      <c r="B46" s="24" t="s">
        <v>73</v>
      </c>
      <c r="C46" s="50">
        <v>7</v>
      </c>
      <c r="D46" s="50">
        <v>1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1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10</v>
      </c>
      <c r="P46" s="15">
        <f t="shared" si="1"/>
        <v>20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2</v>
      </c>
      <c r="E47" s="50">
        <v>0</v>
      </c>
      <c r="F47" s="50">
        <v>0</v>
      </c>
      <c r="G47" s="50">
        <v>0</v>
      </c>
      <c r="H47" s="50">
        <v>0</v>
      </c>
      <c r="I47" s="50">
        <v>1</v>
      </c>
      <c r="J47" s="50">
        <v>2</v>
      </c>
      <c r="K47" s="50">
        <v>1</v>
      </c>
      <c r="L47" s="50">
        <v>2</v>
      </c>
      <c r="M47" s="50">
        <v>20</v>
      </c>
      <c r="N47" s="50">
        <v>0</v>
      </c>
      <c r="O47" s="15">
        <f t="shared" si="0"/>
        <v>11</v>
      </c>
      <c r="P47" s="15">
        <f t="shared" si="1"/>
        <v>31</v>
      </c>
      <c r="R47" s="8"/>
      <c r="T47"/>
    </row>
    <row r="48" spans="2:20" ht="23.1" customHeight="1" x14ac:dyDescent="0.25">
      <c r="B48" s="24" t="s">
        <v>75</v>
      </c>
      <c r="C48" s="50">
        <v>6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1</v>
      </c>
      <c r="K48" s="50">
        <v>1</v>
      </c>
      <c r="L48" s="50">
        <v>0</v>
      </c>
      <c r="M48" s="50">
        <v>19</v>
      </c>
      <c r="N48" s="50">
        <v>0</v>
      </c>
      <c r="O48" s="15">
        <f t="shared" si="0"/>
        <v>9</v>
      </c>
      <c r="P48" s="15">
        <f t="shared" si="1"/>
        <v>28</v>
      </c>
      <c r="R48" s="8"/>
      <c r="T48"/>
    </row>
    <row r="49" spans="2:20" ht="23.1" customHeight="1" x14ac:dyDescent="0.25">
      <c r="B49" s="23" t="s">
        <v>76</v>
      </c>
      <c r="C49" s="50">
        <v>5</v>
      </c>
      <c r="D49" s="50">
        <v>0</v>
      </c>
      <c r="E49" s="50">
        <v>2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1</v>
      </c>
      <c r="L49" s="50">
        <v>0</v>
      </c>
      <c r="M49" s="50">
        <v>7</v>
      </c>
      <c r="N49" s="50">
        <v>0</v>
      </c>
      <c r="O49" s="15">
        <f t="shared" si="0"/>
        <v>8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5</v>
      </c>
      <c r="D50" s="50">
        <v>4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3</v>
      </c>
      <c r="L50" s="50">
        <v>0</v>
      </c>
      <c r="M50" s="50">
        <v>7</v>
      </c>
      <c r="N50" s="50">
        <v>0</v>
      </c>
      <c r="O50" s="15">
        <f t="shared" si="0"/>
        <v>13</v>
      </c>
      <c r="P50" s="15">
        <f t="shared" si="1"/>
        <v>20</v>
      </c>
      <c r="R50" s="8"/>
      <c r="T50"/>
    </row>
    <row r="51" spans="2:20" ht="23.1" customHeight="1" x14ac:dyDescent="0.25">
      <c r="B51" s="24" t="s">
        <v>78</v>
      </c>
      <c r="C51" s="50">
        <v>2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2</v>
      </c>
      <c r="J51" s="50">
        <v>1</v>
      </c>
      <c r="K51" s="50">
        <v>2</v>
      </c>
      <c r="L51" s="50">
        <v>0</v>
      </c>
      <c r="M51" s="50">
        <v>9</v>
      </c>
      <c r="N51" s="50">
        <v>0</v>
      </c>
      <c r="O51" s="15">
        <f t="shared" si="0"/>
        <v>7</v>
      </c>
      <c r="P51" s="15">
        <f t="shared" si="1"/>
        <v>16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2</v>
      </c>
      <c r="F52" s="50">
        <v>0</v>
      </c>
      <c r="G52" s="50">
        <v>0</v>
      </c>
      <c r="H52" s="50">
        <v>0</v>
      </c>
      <c r="I52" s="50">
        <v>2</v>
      </c>
      <c r="J52" s="50">
        <v>1</v>
      </c>
      <c r="K52" s="50">
        <v>1</v>
      </c>
      <c r="L52" s="50">
        <v>0</v>
      </c>
      <c r="M52" s="50">
        <v>6</v>
      </c>
      <c r="N52" s="50">
        <v>0</v>
      </c>
      <c r="O52" s="15">
        <f t="shared" si="0"/>
        <v>8</v>
      </c>
      <c r="P52" s="15">
        <f t="shared" si="1"/>
        <v>14</v>
      </c>
      <c r="R52" s="8"/>
      <c r="T52"/>
    </row>
    <row r="53" spans="2:20" ht="23.1" customHeight="1" x14ac:dyDescent="0.25">
      <c r="B53" s="23" t="s">
        <v>80</v>
      </c>
      <c r="C53" s="50">
        <v>6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1</v>
      </c>
      <c r="J53" s="50">
        <v>2</v>
      </c>
      <c r="K53" s="50">
        <v>0</v>
      </c>
      <c r="L53" s="50">
        <v>0</v>
      </c>
      <c r="M53" s="50">
        <v>7</v>
      </c>
      <c r="N53" s="50">
        <v>0</v>
      </c>
      <c r="O53" s="15">
        <f t="shared" si="0"/>
        <v>9</v>
      </c>
      <c r="P53" s="15">
        <f t="shared" si="1"/>
        <v>16</v>
      </c>
      <c r="R53" s="8"/>
      <c r="T53"/>
    </row>
    <row r="54" spans="2:20" ht="23.1" customHeight="1" x14ac:dyDescent="0.25">
      <c r="B54" s="23" t="s">
        <v>81</v>
      </c>
      <c r="C54" s="50">
        <v>7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1</v>
      </c>
      <c r="J54" s="50">
        <v>2</v>
      </c>
      <c r="K54" s="50">
        <v>1</v>
      </c>
      <c r="L54" s="50">
        <v>0</v>
      </c>
      <c r="M54" s="50">
        <v>7</v>
      </c>
      <c r="N54" s="50">
        <v>0</v>
      </c>
      <c r="O54" s="15">
        <f t="shared" si="0"/>
        <v>13</v>
      </c>
      <c r="P54" s="15">
        <f t="shared" si="1"/>
        <v>20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6</v>
      </c>
      <c r="E55" s="50">
        <v>1</v>
      </c>
      <c r="F55" s="50">
        <v>0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10</v>
      </c>
      <c r="N55" s="50">
        <v>0</v>
      </c>
      <c r="O55" s="15">
        <f t="shared" si="0"/>
        <v>12</v>
      </c>
      <c r="P55" s="15">
        <f t="shared" si="1"/>
        <v>22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2</v>
      </c>
      <c r="E56" s="50">
        <v>2</v>
      </c>
      <c r="F56" s="50">
        <v>0</v>
      </c>
      <c r="G56" s="50">
        <v>0</v>
      </c>
      <c r="H56" s="50">
        <v>0</v>
      </c>
      <c r="I56" s="50">
        <v>2</v>
      </c>
      <c r="J56" s="50">
        <v>1</v>
      </c>
      <c r="K56" s="50">
        <v>2</v>
      </c>
      <c r="L56" s="50">
        <v>0</v>
      </c>
      <c r="M56" s="50">
        <v>11</v>
      </c>
      <c r="N56" s="50">
        <v>0</v>
      </c>
      <c r="O56" s="15">
        <f t="shared" si="0"/>
        <v>13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1</v>
      </c>
      <c r="F57" s="50">
        <v>0</v>
      </c>
      <c r="G57" s="50">
        <v>0</v>
      </c>
      <c r="H57" s="50">
        <v>1</v>
      </c>
      <c r="I57" s="50">
        <v>0</v>
      </c>
      <c r="J57" s="50">
        <v>0</v>
      </c>
      <c r="K57" s="50">
        <v>0</v>
      </c>
      <c r="L57" s="50">
        <v>0</v>
      </c>
      <c r="M57" s="50">
        <v>3</v>
      </c>
      <c r="N57" s="50">
        <v>0</v>
      </c>
      <c r="O57" s="15">
        <f t="shared" si="0"/>
        <v>6</v>
      </c>
      <c r="P57" s="15">
        <f t="shared" si="1"/>
        <v>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176</v>
      </c>
      <c r="D58" s="16">
        <f t="shared" si="21"/>
        <v>44</v>
      </c>
      <c r="E58" s="16">
        <f t="shared" si="21"/>
        <v>33</v>
      </c>
      <c r="F58" s="16">
        <f t="shared" si="21"/>
        <v>11</v>
      </c>
      <c r="G58" s="16">
        <f t="shared" si="21"/>
        <v>0</v>
      </c>
      <c r="H58" s="16">
        <f t="shared" si="21"/>
        <v>3</v>
      </c>
      <c r="I58" s="16">
        <f t="shared" si="21"/>
        <v>22</v>
      </c>
      <c r="J58" s="16">
        <f t="shared" si="21"/>
        <v>25</v>
      </c>
      <c r="K58" s="16">
        <f t="shared" si="21"/>
        <v>17</v>
      </c>
      <c r="L58" s="16">
        <f t="shared" si="21"/>
        <v>4</v>
      </c>
      <c r="M58" s="16">
        <f t="shared" si="21"/>
        <v>339</v>
      </c>
      <c r="N58" s="16">
        <f t="shared" si="21"/>
        <v>0</v>
      </c>
      <c r="O58" s="16">
        <f t="shared" si="21"/>
        <v>335</v>
      </c>
      <c r="P58" s="16">
        <f t="shared" si="21"/>
        <v>674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0.26112759643916916</v>
      </c>
      <c r="D59" s="43">
        <f t="shared" si="22"/>
        <v>6.5281899109792291E-2</v>
      </c>
      <c r="E59" s="43">
        <f t="shared" si="22"/>
        <v>4.8961424332344211E-2</v>
      </c>
      <c r="F59" s="43">
        <f t="shared" si="22"/>
        <v>1.6320474777448073E-2</v>
      </c>
      <c r="G59" s="43">
        <f t="shared" si="22"/>
        <v>0</v>
      </c>
      <c r="H59" s="43">
        <f t="shared" si="22"/>
        <v>4.4510385756676559E-3</v>
      </c>
      <c r="I59" s="43">
        <f t="shared" si="22"/>
        <v>3.2640949554896145E-2</v>
      </c>
      <c r="J59" s="43">
        <f t="shared" si="22"/>
        <v>3.7091988130563795E-2</v>
      </c>
      <c r="K59" s="43">
        <f t="shared" si="22"/>
        <v>2.5222551928783383E-2</v>
      </c>
      <c r="L59" s="43">
        <f t="shared" si="22"/>
        <v>5.9347181008902079E-3</v>
      </c>
      <c r="M59" s="43">
        <f t="shared" si="22"/>
        <v>0.5029673590504451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0.52537313432835819</v>
      </c>
      <c r="D60" s="44">
        <f t="shared" ref="D60:N60" si="23">D58/$O$58</f>
        <v>0.13134328358208955</v>
      </c>
      <c r="E60" s="44">
        <f t="shared" si="23"/>
        <v>9.8507462686567168E-2</v>
      </c>
      <c r="F60" s="44">
        <f t="shared" si="23"/>
        <v>3.2835820895522387E-2</v>
      </c>
      <c r="G60" s="44">
        <f t="shared" si="23"/>
        <v>0</v>
      </c>
      <c r="H60" s="44">
        <f t="shared" si="23"/>
        <v>8.9552238805970154E-3</v>
      </c>
      <c r="I60" s="44">
        <f t="shared" si="23"/>
        <v>6.5671641791044774E-2</v>
      </c>
      <c r="J60" s="44">
        <f t="shared" si="23"/>
        <v>7.4626865671641784E-2</v>
      </c>
      <c r="K60" s="44">
        <f t="shared" si="23"/>
        <v>5.0746268656716415E-2</v>
      </c>
      <c r="L60" s="44">
        <f t="shared" si="23"/>
        <v>1.1940298507462687E-2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view="pageBreakPreview" topLeftCell="K46" zoomScale="60" workbookViewId="0">
      <selection activeCell="AD57" sqref="A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'31.10 Rushere-Lyantonde'!C3:G3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'31.10 Lyantonde-Rushere'!G5:H5</f>
        <v>Kaguta road JTC</v>
      </c>
      <c r="H5" s="64"/>
      <c r="I5" s="14"/>
      <c r="J5" s="2" t="s">
        <v>5</v>
      </c>
      <c r="K5" s="63" t="s">
        <v>178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'31.10 Lyantonde-Rushere'!D6:E6</f>
        <v>Lyantonde</v>
      </c>
      <c r="E6" s="64"/>
      <c r="F6" s="2" t="s">
        <v>2</v>
      </c>
      <c r="G6" s="63" t="str">
        <f>'31.10 Lyantonde-Rushere'!G6:H6</f>
        <v>Rushere</v>
      </c>
      <c r="H6" s="64"/>
      <c r="J6" s="2" t="s">
        <v>21</v>
      </c>
      <c r="K6" s="63" t="str">
        <f>'31.10 Lyantonde-Rushere'!K6:L6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Lyantonde-Rushere'!C10,'26.10 Lyantonde-Rushere-24hr'!C10,'27.10 Lyantonde-Rushere'!C10,'28.10 Lyantonde-Rushere-24h'!C10,'29.10 Lyantonde-Rushere'!C10,'30.10 Lyantonde-Rushere'!C10,'31.10 Lyantonde-Rushere'!C10)</f>
        <v>1.8571428571428572</v>
      </c>
      <c r="D10" s="49">
        <f>AVERAGE('25.10 Lyantonde-Rushere'!D10,'26.10 Lyantonde-Rushere-24hr'!D10,'27.10 Lyantonde-Rushere'!D10,'28.10 Lyantonde-Rushere-24h'!D10,'29.10 Lyantonde-Rushere'!D10,'30.10 Lyantonde-Rushere'!D10,'31.10 Lyantonde-Rushere'!D10)</f>
        <v>0.8571428571428571</v>
      </c>
      <c r="E10" s="49">
        <f>AVERAGE('25.10 Lyantonde-Rushere'!E10,'26.10 Lyantonde-Rushere-24hr'!E10,'27.10 Lyantonde-Rushere'!E10,'28.10 Lyantonde-Rushere-24h'!E10,'29.10 Lyantonde-Rushere'!E10,'30.10 Lyantonde-Rushere'!E10,'31.10 Lyantonde-Rushere'!E10)</f>
        <v>0.7142857142857143</v>
      </c>
      <c r="F10" s="49">
        <f>AVERAGE('25.10 Lyantonde-Rushere'!F10,'26.10 Lyantonde-Rushere-24hr'!F10,'27.10 Lyantonde-Rushere'!F10,'28.10 Lyantonde-Rushere-24h'!F10,'29.10 Lyantonde-Rushere'!F10,'30.10 Lyantonde-Rushere'!F10,'31.10 Lyantonde-Rushere'!F10)</f>
        <v>0.2857142857142857</v>
      </c>
      <c r="G10" s="49">
        <f>AVERAGE('25.10 Lyantonde-Rushere'!G10,'26.10 Lyantonde-Rushere-24hr'!G10,'27.10 Lyantonde-Rushere'!G10,'28.10 Lyantonde-Rushere-24h'!G10,'29.10 Lyantonde-Rushere'!G10,'30.10 Lyantonde-Rushere'!G10,'31.10 Lyantonde-Rushere'!G10)</f>
        <v>0</v>
      </c>
      <c r="H10" s="49">
        <f>AVERAGE('25.10 Lyantonde-Rushere'!H10,'26.10 Lyantonde-Rushere-24hr'!H10,'27.10 Lyantonde-Rushere'!H10,'28.10 Lyantonde-Rushere-24h'!H10,'29.10 Lyantonde-Rushere'!H10,'30.10 Lyantonde-Rushere'!H10,'31.10 Lyantonde-Rushere'!H10)</f>
        <v>0</v>
      </c>
      <c r="I10" s="49">
        <f>AVERAGE('25.10 Lyantonde-Rushere'!I10,'26.10 Lyantonde-Rushere-24hr'!I10,'27.10 Lyantonde-Rushere'!I10,'28.10 Lyantonde-Rushere-24h'!I10,'29.10 Lyantonde-Rushere'!I10,'30.10 Lyantonde-Rushere'!I10,'31.10 Lyantonde-Rushere'!I10)</f>
        <v>0.7142857142857143</v>
      </c>
      <c r="J10" s="49">
        <f>AVERAGE('25.10 Lyantonde-Rushere'!J10,'26.10 Lyantonde-Rushere-24hr'!J10,'27.10 Lyantonde-Rushere'!J10,'28.10 Lyantonde-Rushere-24h'!J10,'29.10 Lyantonde-Rushere'!J10,'30.10 Lyantonde-Rushere'!J10,'31.10 Lyantonde-Rushere'!J10)</f>
        <v>1</v>
      </c>
      <c r="K10" s="49">
        <f>AVERAGE('25.10 Lyantonde-Rushere'!K10,'26.10 Lyantonde-Rushere-24hr'!K10,'27.10 Lyantonde-Rushere'!K10,'28.10 Lyantonde-Rushere-24h'!K10,'29.10 Lyantonde-Rushere'!K10,'30.10 Lyantonde-Rushere'!K10,'31.10 Lyantonde-Rushere'!K10)</f>
        <v>0.2857142857142857</v>
      </c>
      <c r="L10" s="49">
        <f>AVERAGE('25.10 Lyantonde-Rushere'!L10,'26.10 Lyantonde-Rushere-24hr'!L10,'27.10 Lyantonde-Rushere'!L10,'28.10 Lyantonde-Rushere-24h'!L10,'29.10 Lyantonde-Rushere'!L10,'30.10 Lyantonde-Rushere'!L10,'31.10 Lyantonde-Rushere'!L10)</f>
        <v>0.14285714285714285</v>
      </c>
      <c r="M10" s="49">
        <f>AVERAGE('25.10 Lyantonde-Rushere'!M10,'26.10 Lyantonde-Rushere-24hr'!M10,'27.10 Lyantonde-Rushere'!M10,'28.10 Lyantonde-Rushere-24h'!M10,'29.10 Lyantonde-Rushere'!M10,'30.10 Lyantonde-Rushere'!M10,'31.10 Lyantonde-Rushere'!M10)</f>
        <v>4.8571428571428568</v>
      </c>
      <c r="N10" s="49">
        <f>AVERAGE('25.10 Lyantonde-Rushere'!N10,'26.10 Lyantonde-Rushere-24hr'!N10,'27.10 Lyantonde-Rushere'!N10,'28.10 Lyantonde-Rushere-24h'!N10,'29.10 Lyantonde-Rushere'!N10,'30.10 Lyantonde-Rushere'!N10,'31.10 Lyantonde-Rushere'!N10)</f>
        <v>0</v>
      </c>
      <c r="O10" s="15">
        <f t="shared" ref="O10:O73" si="0">SUM(C10:L10,N10)</f>
        <v>5.8571428571428577</v>
      </c>
      <c r="P10" s="15">
        <f t="shared" ref="P10:P73" si="1">SUM(C10:N10)</f>
        <v>10.714285714285715</v>
      </c>
      <c r="R10" s="1" t="s">
        <v>6</v>
      </c>
      <c r="S10" s="17">
        <f t="shared" ref="S10:AF10" si="2">SUM(C10:C13)</f>
        <v>10</v>
      </c>
      <c r="T10" s="17">
        <f t="shared" si="2"/>
        <v>3.5714285714285716</v>
      </c>
      <c r="U10" s="17">
        <f t="shared" si="2"/>
        <v>1.857142857142857</v>
      </c>
      <c r="V10" s="17">
        <f t="shared" si="2"/>
        <v>0.71428571428571419</v>
      </c>
      <c r="W10" s="17">
        <f t="shared" si="2"/>
        <v>0</v>
      </c>
      <c r="X10" s="17">
        <f t="shared" si="2"/>
        <v>0</v>
      </c>
      <c r="Y10" s="17">
        <f t="shared" si="2"/>
        <v>1.7142857142857142</v>
      </c>
      <c r="Z10" s="17">
        <f t="shared" si="2"/>
        <v>2.7142857142857144</v>
      </c>
      <c r="AA10" s="17">
        <f t="shared" si="2"/>
        <v>1.5714285714285714</v>
      </c>
      <c r="AB10" s="17">
        <f t="shared" si="2"/>
        <v>0.71428571428571419</v>
      </c>
      <c r="AC10" s="17">
        <f t="shared" si="2"/>
        <v>17.285714285714285</v>
      </c>
      <c r="AD10" s="17">
        <f t="shared" si="2"/>
        <v>0.2857142857142857</v>
      </c>
      <c r="AE10" s="31">
        <f t="shared" si="2"/>
        <v>23.142857142857146</v>
      </c>
      <c r="AF10" s="31">
        <f t="shared" si="2"/>
        <v>40.428571428571431</v>
      </c>
    </row>
    <row r="11" spans="2:32" s="6" customFormat="1" ht="23.1" customHeight="1" x14ac:dyDescent="0.25">
      <c r="B11" s="23" t="s">
        <v>38</v>
      </c>
      <c r="C11" s="49">
        <f>AVERAGE('25.10 Lyantonde-Rushere'!C11,'26.10 Lyantonde-Rushere-24hr'!C11,'27.10 Lyantonde-Rushere'!C11,'28.10 Lyantonde-Rushere-24h'!C11,'29.10 Lyantonde-Rushere'!C11,'30.10 Lyantonde-Rushere'!C11,'31.10 Lyantonde-Rushere'!C11)</f>
        <v>2.7142857142857144</v>
      </c>
      <c r="D11" s="49">
        <f>AVERAGE('25.10 Lyantonde-Rushere'!D11,'26.10 Lyantonde-Rushere-24hr'!D11,'27.10 Lyantonde-Rushere'!D11,'28.10 Lyantonde-Rushere-24h'!D11,'29.10 Lyantonde-Rushere'!D11,'30.10 Lyantonde-Rushere'!D11,'31.10 Lyantonde-Rushere'!D11)</f>
        <v>0.2857142857142857</v>
      </c>
      <c r="E11" s="49">
        <f>AVERAGE('25.10 Lyantonde-Rushere'!E11,'26.10 Lyantonde-Rushere-24hr'!E11,'27.10 Lyantonde-Rushere'!E11,'28.10 Lyantonde-Rushere-24h'!E11,'29.10 Lyantonde-Rushere'!E11,'30.10 Lyantonde-Rushere'!E11,'31.10 Lyantonde-Rushere'!E11)</f>
        <v>0.5714285714285714</v>
      </c>
      <c r="F11" s="49">
        <f>AVERAGE('25.10 Lyantonde-Rushere'!F11,'26.10 Lyantonde-Rushere-24hr'!F11,'27.10 Lyantonde-Rushere'!F11,'28.10 Lyantonde-Rushere-24h'!F11,'29.10 Lyantonde-Rushere'!F11,'30.10 Lyantonde-Rushere'!F11,'31.10 Lyantonde-Rushere'!F11)</f>
        <v>0.14285714285714285</v>
      </c>
      <c r="G11" s="49">
        <f>AVERAGE('25.10 Lyantonde-Rushere'!G11,'26.10 Lyantonde-Rushere-24hr'!G11,'27.10 Lyantonde-Rushere'!G11,'28.10 Lyantonde-Rushere-24h'!G11,'29.10 Lyantonde-Rushere'!G11,'30.10 Lyantonde-Rushere'!G11,'31.10 Lyantonde-Rushere'!G11)</f>
        <v>0</v>
      </c>
      <c r="H11" s="49">
        <f>AVERAGE('25.10 Lyantonde-Rushere'!H11,'26.10 Lyantonde-Rushere-24hr'!H11,'27.10 Lyantonde-Rushere'!H11,'28.10 Lyantonde-Rushere-24h'!H11,'29.10 Lyantonde-Rushere'!H11,'30.10 Lyantonde-Rushere'!H11,'31.10 Lyantonde-Rushere'!H11)</f>
        <v>0</v>
      </c>
      <c r="I11" s="49">
        <f>AVERAGE('25.10 Lyantonde-Rushere'!I11,'26.10 Lyantonde-Rushere-24hr'!I11,'27.10 Lyantonde-Rushere'!I11,'28.10 Lyantonde-Rushere-24h'!I11,'29.10 Lyantonde-Rushere'!I11,'30.10 Lyantonde-Rushere'!I11,'31.10 Lyantonde-Rushere'!I11)</f>
        <v>0</v>
      </c>
      <c r="J11" s="49">
        <f>AVERAGE('25.10 Lyantonde-Rushere'!J11,'26.10 Lyantonde-Rushere-24hr'!J11,'27.10 Lyantonde-Rushere'!J11,'28.10 Lyantonde-Rushere-24h'!J11,'29.10 Lyantonde-Rushere'!J11,'30.10 Lyantonde-Rushere'!J11,'31.10 Lyantonde-Rushere'!J11)</f>
        <v>0.7142857142857143</v>
      </c>
      <c r="K11" s="49">
        <f>AVERAGE('25.10 Lyantonde-Rushere'!K11,'26.10 Lyantonde-Rushere-24hr'!K11,'27.10 Lyantonde-Rushere'!K11,'28.10 Lyantonde-Rushere-24h'!K11,'29.10 Lyantonde-Rushere'!K11,'30.10 Lyantonde-Rushere'!K11,'31.10 Lyantonde-Rushere'!K11)</f>
        <v>0.8571428571428571</v>
      </c>
      <c r="L11" s="49">
        <f>AVERAGE('25.10 Lyantonde-Rushere'!L11,'26.10 Lyantonde-Rushere-24hr'!L11,'27.10 Lyantonde-Rushere'!L11,'28.10 Lyantonde-Rushere-24h'!L11,'29.10 Lyantonde-Rushere'!L11,'30.10 Lyantonde-Rushere'!L11,'31.10 Lyantonde-Rushere'!L11)</f>
        <v>0.2857142857142857</v>
      </c>
      <c r="M11" s="49">
        <f>AVERAGE('25.10 Lyantonde-Rushere'!M11,'26.10 Lyantonde-Rushere-24hr'!M11,'27.10 Lyantonde-Rushere'!M11,'28.10 Lyantonde-Rushere-24h'!M11,'29.10 Lyantonde-Rushere'!M11,'30.10 Lyantonde-Rushere'!M11,'31.10 Lyantonde-Rushere'!M11)</f>
        <v>3.4285714285714284</v>
      </c>
      <c r="N11" s="49">
        <f>AVERAGE('25.10 Lyantonde-Rushere'!N11,'26.10 Lyantonde-Rushere-24hr'!N11,'27.10 Lyantonde-Rushere'!N11,'28.10 Lyantonde-Rushere-24h'!N11,'29.10 Lyantonde-Rushere'!N11,'30.10 Lyantonde-Rushere'!N11,'31.10 Lyantonde-Rushere'!N11)</f>
        <v>0</v>
      </c>
      <c r="O11" s="15">
        <f t="shared" si="0"/>
        <v>5.5714285714285703</v>
      </c>
      <c r="P11" s="15">
        <f t="shared" si="1"/>
        <v>8.9999999999999982</v>
      </c>
      <c r="R11" s="1" t="s">
        <v>7</v>
      </c>
      <c r="S11" s="17">
        <f t="shared" ref="S11:AF11" si="3">SUM(C14:C17)</f>
        <v>8.1428571428571423</v>
      </c>
      <c r="T11" s="17">
        <f t="shared" si="3"/>
        <v>2.4285714285714284</v>
      </c>
      <c r="U11" s="17">
        <f t="shared" si="3"/>
        <v>1.7142857142857142</v>
      </c>
      <c r="V11" s="17">
        <f t="shared" si="3"/>
        <v>0.99999999999999989</v>
      </c>
      <c r="W11" s="17">
        <f t="shared" si="3"/>
        <v>0</v>
      </c>
      <c r="X11" s="17">
        <f t="shared" si="3"/>
        <v>0.14285714285714285</v>
      </c>
      <c r="Y11" s="17">
        <f t="shared" si="3"/>
        <v>1.2857142857142856</v>
      </c>
      <c r="Z11" s="17">
        <f t="shared" si="3"/>
        <v>1.2857142857142856</v>
      </c>
      <c r="AA11" s="17">
        <f t="shared" si="3"/>
        <v>1</v>
      </c>
      <c r="AB11" s="17">
        <f t="shared" si="3"/>
        <v>1.4285714285714284</v>
      </c>
      <c r="AC11" s="17">
        <f t="shared" si="3"/>
        <v>16.142857142857142</v>
      </c>
      <c r="AD11" s="17">
        <f t="shared" si="3"/>
        <v>0</v>
      </c>
      <c r="AE11" s="31">
        <f t="shared" si="3"/>
        <v>18.428571428571427</v>
      </c>
      <c r="AF11" s="31">
        <f t="shared" si="3"/>
        <v>34.571428571428569</v>
      </c>
    </row>
    <row r="12" spans="2:32" ht="23.1" customHeight="1" x14ac:dyDescent="0.25">
      <c r="B12" s="23" t="s">
        <v>39</v>
      </c>
      <c r="C12" s="49">
        <f>AVERAGE('25.10 Lyantonde-Rushere'!C12,'26.10 Lyantonde-Rushere-24hr'!C12,'27.10 Lyantonde-Rushere'!C12,'28.10 Lyantonde-Rushere-24h'!C12,'29.10 Lyantonde-Rushere'!C12,'30.10 Lyantonde-Rushere'!C12,'31.10 Lyantonde-Rushere'!C12)</f>
        <v>2.5714285714285716</v>
      </c>
      <c r="D12" s="49">
        <f>AVERAGE('25.10 Lyantonde-Rushere'!D12,'26.10 Lyantonde-Rushere-24hr'!D12,'27.10 Lyantonde-Rushere'!D12,'28.10 Lyantonde-Rushere-24h'!D12,'29.10 Lyantonde-Rushere'!D12,'30.10 Lyantonde-Rushere'!D12,'31.10 Lyantonde-Rushere'!D12)</f>
        <v>1.2857142857142858</v>
      </c>
      <c r="E12" s="49">
        <f>AVERAGE('25.10 Lyantonde-Rushere'!E12,'26.10 Lyantonde-Rushere-24hr'!E12,'27.10 Lyantonde-Rushere'!E12,'28.10 Lyantonde-Rushere-24h'!E12,'29.10 Lyantonde-Rushere'!E12,'30.10 Lyantonde-Rushere'!E12,'31.10 Lyantonde-Rushere'!E12)</f>
        <v>0.42857142857142855</v>
      </c>
      <c r="F12" s="49">
        <f>AVERAGE('25.10 Lyantonde-Rushere'!F12,'26.10 Lyantonde-Rushere-24hr'!F12,'27.10 Lyantonde-Rushere'!F12,'28.10 Lyantonde-Rushere-24h'!F12,'29.10 Lyantonde-Rushere'!F12,'30.10 Lyantonde-Rushere'!F12,'31.10 Lyantonde-Rushere'!F12)</f>
        <v>0.14285714285714285</v>
      </c>
      <c r="G12" s="49">
        <f>AVERAGE('25.10 Lyantonde-Rushere'!G12,'26.10 Lyantonde-Rushere-24hr'!G12,'27.10 Lyantonde-Rushere'!G12,'28.10 Lyantonde-Rushere-24h'!G12,'29.10 Lyantonde-Rushere'!G12,'30.10 Lyantonde-Rushere'!G12,'31.10 Lyantonde-Rushere'!G12)</f>
        <v>0</v>
      </c>
      <c r="H12" s="49">
        <f>AVERAGE('25.10 Lyantonde-Rushere'!H12,'26.10 Lyantonde-Rushere-24hr'!H12,'27.10 Lyantonde-Rushere'!H12,'28.10 Lyantonde-Rushere-24h'!H12,'29.10 Lyantonde-Rushere'!H12,'30.10 Lyantonde-Rushere'!H12,'31.10 Lyantonde-Rushere'!H12)</f>
        <v>0</v>
      </c>
      <c r="I12" s="49">
        <f>AVERAGE('25.10 Lyantonde-Rushere'!I12,'26.10 Lyantonde-Rushere-24hr'!I12,'27.10 Lyantonde-Rushere'!I12,'28.10 Lyantonde-Rushere-24h'!I12,'29.10 Lyantonde-Rushere'!I12,'30.10 Lyantonde-Rushere'!I12,'31.10 Lyantonde-Rushere'!I12)</f>
        <v>0.5714285714285714</v>
      </c>
      <c r="J12" s="49">
        <f>AVERAGE('25.10 Lyantonde-Rushere'!J12,'26.10 Lyantonde-Rushere-24hr'!J12,'27.10 Lyantonde-Rushere'!J12,'28.10 Lyantonde-Rushere-24h'!J12,'29.10 Lyantonde-Rushere'!J12,'30.10 Lyantonde-Rushere'!J12,'31.10 Lyantonde-Rushere'!J12)</f>
        <v>0.7142857142857143</v>
      </c>
      <c r="K12" s="49">
        <f>AVERAGE('25.10 Lyantonde-Rushere'!K12,'26.10 Lyantonde-Rushere-24hr'!K12,'27.10 Lyantonde-Rushere'!K12,'28.10 Lyantonde-Rushere-24h'!K12,'29.10 Lyantonde-Rushere'!K12,'30.10 Lyantonde-Rushere'!K12,'31.10 Lyantonde-Rushere'!K12)</f>
        <v>0.42857142857142855</v>
      </c>
      <c r="L12" s="49">
        <f>AVERAGE('25.10 Lyantonde-Rushere'!L12,'26.10 Lyantonde-Rushere-24hr'!L12,'27.10 Lyantonde-Rushere'!L12,'28.10 Lyantonde-Rushere-24h'!L12,'29.10 Lyantonde-Rushere'!L12,'30.10 Lyantonde-Rushere'!L12,'31.10 Lyantonde-Rushere'!L12)</f>
        <v>0</v>
      </c>
      <c r="M12" s="49">
        <f>AVERAGE('25.10 Lyantonde-Rushere'!M12,'26.10 Lyantonde-Rushere-24hr'!M12,'27.10 Lyantonde-Rushere'!M12,'28.10 Lyantonde-Rushere-24h'!M12,'29.10 Lyantonde-Rushere'!M12,'30.10 Lyantonde-Rushere'!M12,'31.10 Lyantonde-Rushere'!M12)</f>
        <v>4.8571428571428568</v>
      </c>
      <c r="N12" s="49">
        <f>AVERAGE('25.10 Lyantonde-Rushere'!N12,'26.10 Lyantonde-Rushere-24hr'!N12,'27.10 Lyantonde-Rushere'!N12,'28.10 Lyantonde-Rushere-24h'!N12,'29.10 Lyantonde-Rushere'!N12,'30.10 Lyantonde-Rushere'!N12,'31.10 Lyantonde-Rushere'!N12)</f>
        <v>0.2857142857142857</v>
      </c>
      <c r="O12" s="15">
        <f t="shared" si="0"/>
        <v>6.4285714285714297</v>
      </c>
      <c r="P12" s="15">
        <f t="shared" si="1"/>
        <v>11.285714285714286</v>
      </c>
      <c r="R12" s="1" t="s">
        <v>8</v>
      </c>
      <c r="S12" s="17">
        <f t="shared" ref="S12:AF12" si="4">SUM(C18:C21)</f>
        <v>10.428571428571427</v>
      </c>
      <c r="T12" s="17">
        <f t="shared" si="4"/>
        <v>6.2857142857142847</v>
      </c>
      <c r="U12" s="17">
        <f t="shared" si="4"/>
        <v>3.2857142857142856</v>
      </c>
      <c r="V12" s="17">
        <f t="shared" si="4"/>
        <v>0.8571428571428571</v>
      </c>
      <c r="W12" s="17">
        <f t="shared" si="4"/>
        <v>0</v>
      </c>
      <c r="X12" s="17">
        <f t="shared" si="4"/>
        <v>0.14285714285714285</v>
      </c>
      <c r="Y12" s="17">
        <f t="shared" si="4"/>
        <v>1.1428571428571428</v>
      </c>
      <c r="Z12" s="17">
        <f t="shared" si="4"/>
        <v>1.1428571428571428</v>
      </c>
      <c r="AA12" s="17">
        <f t="shared" si="4"/>
        <v>0.5714285714285714</v>
      </c>
      <c r="AB12" s="17">
        <f t="shared" si="4"/>
        <v>0.14285714285714285</v>
      </c>
      <c r="AC12" s="17">
        <f t="shared" si="4"/>
        <v>20.142857142857142</v>
      </c>
      <c r="AD12" s="17">
        <f t="shared" si="4"/>
        <v>0.2857142857142857</v>
      </c>
      <c r="AE12" s="31">
        <f t="shared" si="4"/>
        <v>24.285714285714288</v>
      </c>
      <c r="AF12" s="31">
        <f t="shared" si="4"/>
        <v>44.428571428571431</v>
      </c>
    </row>
    <row r="13" spans="2:32" ht="23.1" customHeight="1" x14ac:dyDescent="0.25">
      <c r="B13" s="23" t="s">
        <v>40</v>
      </c>
      <c r="C13" s="49">
        <f>AVERAGE('25.10 Lyantonde-Rushere'!C13,'26.10 Lyantonde-Rushere-24hr'!C13,'27.10 Lyantonde-Rushere'!C13,'28.10 Lyantonde-Rushere-24h'!C13,'29.10 Lyantonde-Rushere'!C13,'30.10 Lyantonde-Rushere'!C13,'31.10 Lyantonde-Rushere'!C13)</f>
        <v>2.8571428571428572</v>
      </c>
      <c r="D13" s="49">
        <f>AVERAGE('25.10 Lyantonde-Rushere'!D13,'26.10 Lyantonde-Rushere-24hr'!D13,'27.10 Lyantonde-Rushere'!D13,'28.10 Lyantonde-Rushere-24h'!D13,'29.10 Lyantonde-Rushere'!D13,'30.10 Lyantonde-Rushere'!D13,'31.10 Lyantonde-Rushere'!D13)</f>
        <v>1.1428571428571428</v>
      </c>
      <c r="E13" s="49">
        <f>AVERAGE('25.10 Lyantonde-Rushere'!E13,'26.10 Lyantonde-Rushere-24hr'!E13,'27.10 Lyantonde-Rushere'!E13,'28.10 Lyantonde-Rushere-24h'!E13,'29.10 Lyantonde-Rushere'!E13,'30.10 Lyantonde-Rushere'!E13,'31.10 Lyantonde-Rushere'!E13)</f>
        <v>0.14285714285714285</v>
      </c>
      <c r="F13" s="49">
        <f>AVERAGE('25.10 Lyantonde-Rushere'!F13,'26.10 Lyantonde-Rushere-24hr'!F13,'27.10 Lyantonde-Rushere'!F13,'28.10 Lyantonde-Rushere-24h'!F13,'29.10 Lyantonde-Rushere'!F13,'30.10 Lyantonde-Rushere'!F13,'31.10 Lyantonde-Rushere'!F13)</f>
        <v>0.14285714285714285</v>
      </c>
      <c r="G13" s="49">
        <f>AVERAGE('25.10 Lyantonde-Rushere'!G13,'26.10 Lyantonde-Rushere-24hr'!G13,'27.10 Lyantonde-Rushere'!G13,'28.10 Lyantonde-Rushere-24h'!G13,'29.10 Lyantonde-Rushere'!G13,'30.10 Lyantonde-Rushere'!G13,'31.10 Lyantonde-Rushere'!G13)</f>
        <v>0</v>
      </c>
      <c r="H13" s="49">
        <f>AVERAGE('25.10 Lyantonde-Rushere'!H13,'26.10 Lyantonde-Rushere-24hr'!H13,'27.10 Lyantonde-Rushere'!H13,'28.10 Lyantonde-Rushere-24h'!H13,'29.10 Lyantonde-Rushere'!H13,'30.10 Lyantonde-Rushere'!H13,'31.10 Lyantonde-Rushere'!H13)</f>
        <v>0</v>
      </c>
      <c r="I13" s="49">
        <f>AVERAGE('25.10 Lyantonde-Rushere'!I13,'26.10 Lyantonde-Rushere-24hr'!I13,'27.10 Lyantonde-Rushere'!I13,'28.10 Lyantonde-Rushere-24h'!I13,'29.10 Lyantonde-Rushere'!I13,'30.10 Lyantonde-Rushere'!I13,'31.10 Lyantonde-Rushere'!I13)</f>
        <v>0.42857142857142855</v>
      </c>
      <c r="J13" s="49">
        <f>AVERAGE('25.10 Lyantonde-Rushere'!J13,'26.10 Lyantonde-Rushere-24hr'!J13,'27.10 Lyantonde-Rushere'!J13,'28.10 Lyantonde-Rushere-24h'!J13,'29.10 Lyantonde-Rushere'!J13,'30.10 Lyantonde-Rushere'!J13,'31.10 Lyantonde-Rushere'!J13)</f>
        <v>0.2857142857142857</v>
      </c>
      <c r="K13" s="49">
        <f>AVERAGE('25.10 Lyantonde-Rushere'!K13,'26.10 Lyantonde-Rushere-24hr'!K13,'27.10 Lyantonde-Rushere'!K13,'28.10 Lyantonde-Rushere-24h'!K13,'29.10 Lyantonde-Rushere'!K13,'30.10 Lyantonde-Rushere'!K13,'31.10 Lyantonde-Rushere'!K13)</f>
        <v>0</v>
      </c>
      <c r="L13" s="49">
        <f>AVERAGE('25.10 Lyantonde-Rushere'!L13,'26.10 Lyantonde-Rushere-24hr'!L13,'27.10 Lyantonde-Rushere'!L13,'28.10 Lyantonde-Rushere-24h'!L13,'29.10 Lyantonde-Rushere'!L13,'30.10 Lyantonde-Rushere'!L13,'31.10 Lyantonde-Rushere'!L13)</f>
        <v>0.2857142857142857</v>
      </c>
      <c r="M13" s="49">
        <f>AVERAGE('25.10 Lyantonde-Rushere'!M13,'26.10 Lyantonde-Rushere-24hr'!M13,'27.10 Lyantonde-Rushere'!M13,'28.10 Lyantonde-Rushere-24h'!M13,'29.10 Lyantonde-Rushere'!M13,'30.10 Lyantonde-Rushere'!M13,'31.10 Lyantonde-Rushere'!M13)</f>
        <v>4.1428571428571432</v>
      </c>
      <c r="N13" s="49">
        <f>AVERAGE('25.10 Lyantonde-Rushere'!N13,'26.10 Lyantonde-Rushere-24hr'!N13,'27.10 Lyantonde-Rushere'!N13,'28.10 Lyantonde-Rushere-24h'!N13,'29.10 Lyantonde-Rushere'!N13,'30.10 Lyantonde-Rushere'!N13,'31.10 Lyantonde-Rushere'!N13)</f>
        <v>0</v>
      </c>
      <c r="O13" s="15">
        <f t="shared" si="0"/>
        <v>5.2857142857142865</v>
      </c>
      <c r="P13" s="15">
        <f t="shared" si="1"/>
        <v>9.4285714285714306</v>
      </c>
      <c r="R13" s="1" t="s">
        <v>9</v>
      </c>
      <c r="S13" s="17">
        <f t="shared" ref="S13:AF13" si="5">SUM(C22:C25)</f>
        <v>10.571428571428571</v>
      </c>
      <c r="T13" s="17">
        <f t="shared" si="5"/>
        <v>4.8571428571428568</v>
      </c>
      <c r="U13" s="17">
        <f t="shared" si="5"/>
        <v>3</v>
      </c>
      <c r="V13" s="17">
        <f t="shared" si="5"/>
        <v>0.8571428571428571</v>
      </c>
      <c r="W13" s="17">
        <f t="shared" si="5"/>
        <v>0.2857142857142857</v>
      </c>
      <c r="X13" s="17">
        <f t="shared" si="5"/>
        <v>0</v>
      </c>
      <c r="Y13" s="17">
        <f t="shared" si="5"/>
        <v>2.2857142857142856</v>
      </c>
      <c r="Z13" s="17">
        <f t="shared" si="5"/>
        <v>1.1428571428571428</v>
      </c>
      <c r="AA13" s="17">
        <f t="shared" si="5"/>
        <v>0.2857142857142857</v>
      </c>
      <c r="AB13" s="17">
        <f t="shared" si="5"/>
        <v>0.85714285714285698</v>
      </c>
      <c r="AC13" s="17">
        <f t="shared" si="5"/>
        <v>20.142857142857146</v>
      </c>
      <c r="AD13" s="17">
        <f t="shared" si="5"/>
        <v>0</v>
      </c>
      <c r="AE13" s="31">
        <f t="shared" si="5"/>
        <v>24.142857142857146</v>
      </c>
      <c r="AF13" s="31">
        <f t="shared" si="5"/>
        <v>44.285714285714292</v>
      </c>
    </row>
    <row r="14" spans="2:32" ht="23.1" customHeight="1" x14ac:dyDescent="0.25">
      <c r="B14" s="23" t="s">
        <v>41</v>
      </c>
      <c r="C14" s="49">
        <f>AVERAGE('25.10 Lyantonde-Rushere'!C14,'26.10 Lyantonde-Rushere-24hr'!C14,'27.10 Lyantonde-Rushere'!C14,'28.10 Lyantonde-Rushere-24h'!C14,'29.10 Lyantonde-Rushere'!C14,'30.10 Lyantonde-Rushere'!C14,'31.10 Lyantonde-Rushere'!C14)</f>
        <v>2.2857142857142856</v>
      </c>
      <c r="D14" s="49">
        <f>AVERAGE('25.10 Lyantonde-Rushere'!D14,'26.10 Lyantonde-Rushere-24hr'!D14,'27.10 Lyantonde-Rushere'!D14,'28.10 Lyantonde-Rushere-24h'!D14,'29.10 Lyantonde-Rushere'!D14,'30.10 Lyantonde-Rushere'!D14,'31.10 Lyantonde-Rushere'!D14)</f>
        <v>0.7142857142857143</v>
      </c>
      <c r="E14" s="49">
        <f>AVERAGE('25.10 Lyantonde-Rushere'!E14,'26.10 Lyantonde-Rushere-24hr'!E14,'27.10 Lyantonde-Rushere'!E14,'28.10 Lyantonde-Rushere-24h'!E14,'29.10 Lyantonde-Rushere'!E14,'30.10 Lyantonde-Rushere'!E14,'31.10 Lyantonde-Rushere'!E14)</f>
        <v>0.14285714285714285</v>
      </c>
      <c r="F14" s="49">
        <f>AVERAGE('25.10 Lyantonde-Rushere'!F14,'26.10 Lyantonde-Rushere-24hr'!F14,'27.10 Lyantonde-Rushere'!F14,'28.10 Lyantonde-Rushere-24h'!F14,'29.10 Lyantonde-Rushere'!F14,'30.10 Lyantonde-Rushere'!F14,'31.10 Lyantonde-Rushere'!F14)</f>
        <v>0.14285714285714285</v>
      </c>
      <c r="G14" s="49">
        <f>AVERAGE('25.10 Lyantonde-Rushere'!G14,'26.10 Lyantonde-Rushere-24hr'!G14,'27.10 Lyantonde-Rushere'!G14,'28.10 Lyantonde-Rushere-24h'!G14,'29.10 Lyantonde-Rushere'!G14,'30.10 Lyantonde-Rushere'!G14,'31.10 Lyantonde-Rushere'!G14)</f>
        <v>0</v>
      </c>
      <c r="H14" s="49">
        <f>AVERAGE('25.10 Lyantonde-Rushere'!H14,'26.10 Lyantonde-Rushere-24hr'!H14,'27.10 Lyantonde-Rushere'!H14,'28.10 Lyantonde-Rushere-24h'!H14,'29.10 Lyantonde-Rushere'!H14,'30.10 Lyantonde-Rushere'!H14,'31.10 Lyantonde-Rushere'!H14)</f>
        <v>0.14285714285714285</v>
      </c>
      <c r="I14" s="49">
        <f>AVERAGE('25.10 Lyantonde-Rushere'!I14,'26.10 Lyantonde-Rushere-24hr'!I14,'27.10 Lyantonde-Rushere'!I14,'28.10 Lyantonde-Rushere-24h'!I14,'29.10 Lyantonde-Rushere'!I14,'30.10 Lyantonde-Rushere'!I14,'31.10 Lyantonde-Rushere'!I14)</f>
        <v>0.14285714285714285</v>
      </c>
      <c r="J14" s="49">
        <f>AVERAGE('25.10 Lyantonde-Rushere'!J14,'26.10 Lyantonde-Rushere-24hr'!J14,'27.10 Lyantonde-Rushere'!J14,'28.10 Lyantonde-Rushere-24h'!J14,'29.10 Lyantonde-Rushere'!J14,'30.10 Lyantonde-Rushere'!J14,'31.10 Lyantonde-Rushere'!J14)</f>
        <v>0</v>
      </c>
      <c r="K14" s="49">
        <f>AVERAGE('25.10 Lyantonde-Rushere'!K14,'26.10 Lyantonde-Rushere-24hr'!K14,'27.10 Lyantonde-Rushere'!K14,'28.10 Lyantonde-Rushere-24h'!K14,'29.10 Lyantonde-Rushere'!K14,'30.10 Lyantonde-Rushere'!K14,'31.10 Lyantonde-Rushere'!K14)</f>
        <v>0.14285714285714285</v>
      </c>
      <c r="L14" s="49">
        <f>AVERAGE('25.10 Lyantonde-Rushere'!L14,'26.10 Lyantonde-Rushere-24hr'!L14,'27.10 Lyantonde-Rushere'!L14,'28.10 Lyantonde-Rushere-24h'!L14,'29.10 Lyantonde-Rushere'!L14,'30.10 Lyantonde-Rushere'!L14,'31.10 Lyantonde-Rushere'!L14)</f>
        <v>0.8571428571428571</v>
      </c>
      <c r="M14" s="49">
        <f>AVERAGE('25.10 Lyantonde-Rushere'!M14,'26.10 Lyantonde-Rushere-24hr'!M14,'27.10 Lyantonde-Rushere'!M14,'28.10 Lyantonde-Rushere-24h'!M14,'29.10 Lyantonde-Rushere'!M14,'30.10 Lyantonde-Rushere'!M14,'31.10 Lyantonde-Rushere'!M14)</f>
        <v>3.8571428571428572</v>
      </c>
      <c r="N14" s="49">
        <f>AVERAGE('25.10 Lyantonde-Rushere'!N14,'26.10 Lyantonde-Rushere-24hr'!N14,'27.10 Lyantonde-Rushere'!N14,'28.10 Lyantonde-Rushere-24h'!N14,'29.10 Lyantonde-Rushere'!N14,'30.10 Lyantonde-Rushere'!N14,'31.10 Lyantonde-Rushere'!N14)</f>
        <v>0</v>
      </c>
      <c r="O14" s="15">
        <f t="shared" si="0"/>
        <v>4.5714285714285712</v>
      </c>
      <c r="P14" s="15">
        <f t="shared" si="1"/>
        <v>8.4285714285714288</v>
      </c>
      <c r="R14" s="1" t="s">
        <v>10</v>
      </c>
      <c r="S14" s="17">
        <f t="shared" ref="S14:AF14" si="6">SUM(C26:C29)</f>
        <v>14.428571428571427</v>
      </c>
      <c r="T14" s="17">
        <f t="shared" si="6"/>
        <v>5.1428571428571423</v>
      </c>
      <c r="U14" s="17">
        <f t="shared" si="6"/>
        <v>4.1428571428571423</v>
      </c>
      <c r="V14" s="17">
        <f t="shared" si="6"/>
        <v>1</v>
      </c>
      <c r="W14" s="17">
        <f t="shared" si="6"/>
        <v>0.42857142857142855</v>
      </c>
      <c r="X14" s="17">
        <f t="shared" si="6"/>
        <v>0.14285714285714285</v>
      </c>
      <c r="Y14" s="17">
        <f t="shared" si="6"/>
        <v>3.4285714285714284</v>
      </c>
      <c r="Z14" s="17">
        <f t="shared" si="6"/>
        <v>3.2857142857142856</v>
      </c>
      <c r="AA14" s="17">
        <f t="shared" si="6"/>
        <v>0.5714285714285714</v>
      </c>
      <c r="AB14" s="17">
        <f t="shared" si="6"/>
        <v>0.5714285714285714</v>
      </c>
      <c r="AC14" s="17">
        <f t="shared" si="6"/>
        <v>28.285714285714285</v>
      </c>
      <c r="AD14" s="17">
        <f t="shared" si="6"/>
        <v>0</v>
      </c>
      <c r="AE14" s="31">
        <f t="shared" si="6"/>
        <v>33.142857142857139</v>
      </c>
      <c r="AF14" s="31">
        <f t="shared" si="6"/>
        <v>61.428571428571431</v>
      </c>
    </row>
    <row r="15" spans="2:32" ht="23.1" customHeight="1" x14ac:dyDescent="0.25">
      <c r="B15" s="23" t="s">
        <v>42</v>
      </c>
      <c r="C15" s="49">
        <f>AVERAGE('25.10 Lyantonde-Rushere'!C15,'26.10 Lyantonde-Rushere-24hr'!C15,'27.10 Lyantonde-Rushere'!C15,'28.10 Lyantonde-Rushere-24h'!C15,'29.10 Lyantonde-Rushere'!C15,'30.10 Lyantonde-Rushere'!C15,'31.10 Lyantonde-Rushere'!C15)</f>
        <v>1.7142857142857142</v>
      </c>
      <c r="D15" s="49">
        <f>AVERAGE('25.10 Lyantonde-Rushere'!D15,'26.10 Lyantonde-Rushere-24hr'!D15,'27.10 Lyantonde-Rushere'!D15,'28.10 Lyantonde-Rushere-24h'!D15,'29.10 Lyantonde-Rushere'!D15,'30.10 Lyantonde-Rushere'!D15,'31.10 Lyantonde-Rushere'!D15)</f>
        <v>0.42857142857142855</v>
      </c>
      <c r="E15" s="49">
        <f>AVERAGE('25.10 Lyantonde-Rushere'!E15,'26.10 Lyantonde-Rushere-24hr'!E15,'27.10 Lyantonde-Rushere'!E15,'28.10 Lyantonde-Rushere-24h'!E15,'29.10 Lyantonde-Rushere'!E15,'30.10 Lyantonde-Rushere'!E15,'31.10 Lyantonde-Rushere'!E15)</f>
        <v>0.42857142857142855</v>
      </c>
      <c r="F15" s="49">
        <f>AVERAGE('25.10 Lyantonde-Rushere'!F15,'26.10 Lyantonde-Rushere-24hr'!F15,'27.10 Lyantonde-Rushere'!F15,'28.10 Lyantonde-Rushere-24h'!F15,'29.10 Lyantonde-Rushere'!F15,'30.10 Lyantonde-Rushere'!F15,'31.10 Lyantonde-Rushere'!F15)</f>
        <v>0.14285714285714285</v>
      </c>
      <c r="G15" s="49">
        <f>AVERAGE('25.10 Lyantonde-Rushere'!G15,'26.10 Lyantonde-Rushere-24hr'!G15,'27.10 Lyantonde-Rushere'!G15,'28.10 Lyantonde-Rushere-24h'!G15,'29.10 Lyantonde-Rushere'!G15,'30.10 Lyantonde-Rushere'!G15,'31.10 Lyantonde-Rushere'!G15)</f>
        <v>0</v>
      </c>
      <c r="H15" s="49">
        <f>AVERAGE('25.10 Lyantonde-Rushere'!H15,'26.10 Lyantonde-Rushere-24hr'!H15,'27.10 Lyantonde-Rushere'!H15,'28.10 Lyantonde-Rushere-24h'!H15,'29.10 Lyantonde-Rushere'!H15,'30.10 Lyantonde-Rushere'!H15,'31.10 Lyantonde-Rushere'!H15)</f>
        <v>0</v>
      </c>
      <c r="I15" s="49">
        <f>AVERAGE('25.10 Lyantonde-Rushere'!I15,'26.10 Lyantonde-Rushere-24hr'!I15,'27.10 Lyantonde-Rushere'!I15,'28.10 Lyantonde-Rushere-24h'!I15,'29.10 Lyantonde-Rushere'!I15,'30.10 Lyantonde-Rushere'!I15,'31.10 Lyantonde-Rushere'!I15)</f>
        <v>0.42857142857142855</v>
      </c>
      <c r="J15" s="49">
        <f>AVERAGE('25.10 Lyantonde-Rushere'!J15,'26.10 Lyantonde-Rushere-24hr'!J15,'27.10 Lyantonde-Rushere'!J15,'28.10 Lyantonde-Rushere-24h'!J15,'29.10 Lyantonde-Rushere'!J15,'30.10 Lyantonde-Rushere'!J15,'31.10 Lyantonde-Rushere'!J15)</f>
        <v>0.2857142857142857</v>
      </c>
      <c r="K15" s="49">
        <f>AVERAGE('25.10 Lyantonde-Rushere'!K15,'26.10 Lyantonde-Rushere-24hr'!K15,'27.10 Lyantonde-Rushere'!K15,'28.10 Lyantonde-Rushere-24h'!K15,'29.10 Lyantonde-Rushere'!K15,'30.10 Lyantonde-Rushere'!K15,'31.10 Lyantonde-Rushere'!K15)</f>
        <v>0.42857142857142855</v>
      </c>
      <c r="L15" s="49">
        <f>AVERAGE('25.10 Lyantonde-Rushere'!L15,'26.10 Lyantonde-Rushere-24hr'!L15,'27.10 Lyantonde-Rushere'!L15,'28.10 Lyantonde-Rushere-24h'!L15,'29.10 Lyantonde-Rushere'!L15,'30.10 Lyantonde-Rushere'!L15,'31.10 Lyantonde-Rushere'!L15)</f>
        <v>0.2857142857142857</v>
      </c>
      <c r="M15" s="49">
        <f>AVERAGE('25.10 Lyantonde-Rushere'!M15,'26.10 Lyantonde-Rushere-24hr'!M15,'27.10 Lyantonde-Rushere'!M15,'28.10 Lyantonde-Rushere-24h'!M15,'29.10 Lyantonde-Rushere'!M15,'30.10 Lyantonde-Rushere'!M15,'31.10 Lyantonde-Rushere'!M15)</f>
        <v>3.4285714285714284</v>
      </c>
      <c r="N15" s="49">
        <f>AVERAGE('25.10 Lyantonde-Rushere'!N15,'26.10 Lyantonde-Rushere-24hr'!N15,'27.10 Lyantonde-Rushere'!N15,'28.10 Lyantonde-Rushere-24h'!N15,'29.10 Lyantonde-Rushere'!N15,'30.10 Lyantonde-Rushere'!N15,'31.10 Lyantonde-Rushere'!N15)</f>
        <v>0</v>
      </c>
      <c r="O15" s="15">
        <f t="shared" si="0"/>
        <v>4.1428571428571423</v>
      </c>
      <c r="P15" s="15">
        <f t="shared" si="1"/>
        <v>7.5714285714285712</v>
      </c>
      <c r="R15" s="1" t="s">
        <v>11</v>
      </c>
      <c r="S15" s="17">
        <f t="shared" ref="S15:AF15" si="7">SUM(C30:C33)</f>
        <v>15.857142857142858</v>
      </c>
      <c r="T15" s="17">
        <f t="shared" si="7"/>
        <v>5.4285714285714288</v>
      </c>
      <c r="U15" s="17">
        <f t="shared" si="7"/>
        <v>2.4285714285714284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1.1428571428571428</v>
      </c>
      <c r="Z15" s="17">
        <f t="shared" si="7"/>
        <v>3.2857142857142856</v>
      </c>
      <c r="AA15" s="17">
        <f t="shared" si="7"/>
        <v>2.2857142857142856</v>
      </c>
      <c r="AB15" s="17">
        <f t="shared" si="7"/>
        <v>1.5714285714285712</v>
      </c>
      <c r="AC15" s="17">
        <f t="shared" si="7"/>
        <v>22.571428571428569</v>
      </c>
      <c r="AD15" s="17">
        <f t="shared" si="7"/>
        <v>0</v>
      </c>
      <c r="AE15" s="31">
        <f t="shared" si="7"/>
        <v>33</v>
      </c>
      <c r="AF15" s="31">
        <f t="shared" si="7"/>
        <v>55.571428571428577</v>
      </c>
    </row>
    <row r="16" spans="2:32" ht="23.1" customHeight="1" x14ac:dyDescent="0.25">
      <c r="B16" s="23" t="s">
        <v>43</v>
      </c>
      <c r="C16" s="49">
        <f>AVERAGE('25.10 Lyantonde-Rushere'!C16,'26.10 Lyantonde-Rushere-24hr'!C16,'27.10 Lyantonde-Rushere'!C16,'28.10 Lyantonde-Rushere-24h'!C16,'29.10 Lyantonde-Rushere'!C16,'30.10 Lyantonde-Rushere'!C16,'31.10 Lyantonde-Rushere'!C16)</f>
        <v>2.2857142857142856</v>
      </c>
      <c r="D16" s="49">
        <f>AVERAGE('25.10 Lyantonde-Rushere'!D16,'26.10 Lyantonde-Rushere-24hr'!D16,'27.10 Lyantonde-Rushere'!D16,'28.10 Lyantonde-Rushere-24h'!D16,'29.10 Lyantonde-Rushere'!D16,'30.10 Lyantonde-Rushere'!D16,'31.10 Lyantonde-Rushere'!D16)</f>
        <v>1</v>
      </c>
      <c r="E16" s="49">
        <f>AVERAGE('25.10 Lyantonde-Rushere'!E16,'26.10 Lyantonde-Rushere-24hr'!E16,'27.10 Lyantonde-Rushere'!E16,'28.10 Lyantonde-Rushere-24h'!E16,'29.10 Lyantonde-Rushere'!E16,'30.10 Lyantonde-Rushere'!E16,'31.10 Lyantonde-Rushere'!E16)</f>
        <v>0.7142857142857143</v>
      </c>
      <c r="F16" s="49">
        <f>AVERAGE('25.10 Lyantonde-Rushere'!F16,'26.10 Lyantonde-Rushere-24hr'!F16,'27.10 Lyantonde-Rushere'!F16,'28.10 Lyantonde-Rushere-24h'!F16,'29.10 Lyantonde-Rushere'!F16,'30.10 Lyantonde-Rushere'!F16,'31.10 Lyantonde-Rushere'!F16)</f>
        <v>0.42857142857142855</v>
      </c>
      <c r="G16" s="49">
        <f>AVERAGE('25.10 Lyantonde-Rushere'!G16,'26.10 Lyantonde-Rushere-24hr'!G16,'27.10 Lyantonde-Rushere'!G16,'28.10 Lyantonde-Rushere-24h'!G16,'29.10 Lyantonde-Rushere'!G16,'30.10 Lyantonde-Rushere'!G16,'31.10 Lyantonde-Rushere'!G16)</f>
        <v>0</v>
      </c>
      <c r="H16" s="49">
        <f>AVERAGE('25.10 Lyantonde-Rushere'!H16,'26.10 Lyantonde-Rushere-24hr'!H16,'27.10 Lyantonde-Rushere'!H16,'28.10 Lyantonde-Rushere-24h'!H16,'29.10 Lyantonde-Rushere'!H16,'30.10 Lyantonde-Rushere'!H16,'31.10 Lyantonde-Rushere'!H16)</f>
        <v>0</v>
      </c>
      <c r="I16" s="49">
        <f>AVERAGE('25.10 Lyantonde-Rushere'!I16,'26.10 Lyantonde-Rushere-24hr'!I16,'27.10 Lyantonde-Rushere'!I16,'28.10 Lyantonde-Rushere-24h'!I16,'29.10 Lyantonde-Rushere'!I16,'30.10 Lyantonde-Rushere'!I16,'31.10 Lyantonde-Rushere'!I16)</f>
        <v>0.2857142857142857</v>
      </c>
      <c r="J16" s="49">
        <f>AVERAGE('25.10 Lyantonde-Rushere'!J16,'26.10 Lyantonde-Rushere-24hr'!J16,'27.10 Lyantonde-Rushere'!J16,'28.10 Lyantonde-Rushere-24h'!J16,'29.10 Lyantonde-Rushere'!J16,'30.10 Lyantonde-Rushere'!J16,'31.10 Lyantonde-Rushere'!J16)</f>
        <v>0.5714285714285714</v>
      </c>
      <c r="K16" s="49">
        <f>AVERAGE('25.10 Lyantonde-Rushere'!K16,'26.10 Lyantonde-Rushere-24hr'!K16,'27.10 Lyantonde-Rushere'!K16,'28.10 Lyantonde-Rushere-24h'!K16,'29.10 Lyantonde-Rushere'!K16,'30.10 Lyantonde-Rushere'!K16,'31.10 Lyantonde-Rushere'!K16)</f>
        <v>0.2857142857142857</v>
      </c>
      <c r="L16" s="49">
        <f>AVERAGE('25.10 Lyantonde-Rushere'!L16,'26.10 Lyantonde-Rushere-24hr'!L16,'27.10 Lyantonde-Rushere'!L16,'28.10 Lyantonde-Rushere-24h'!L16,'29.10 Lyantonde-Rushere'!L16,'30.10 Lyantonde-Rushere'!L16,'31.10 Lyantonde-Rushere'!L16)</f>
        <v>0.14285714285714285</v>
      </c>
      <c r="M16" s="49">
        <f>AVERAGE('25.10 Lyantonde-Rushere'!M16,'26.10 Lyantonde-Rushere-24hr'!M16,'27.10 Lyantonde-Rushere'!M16,'28.10 Lyantonde-Rushere-24h'!M16,'29.10 Lyantonde-Rushere'!M16,'30.10 Lyantonde-Rushere'!M16,'31.10 Lyantonde-Rushere'!M16)</f>
        <v>4</v>
      </c>
      <c r="N16" s="49">
        <f>AVERAGE('25.10 Lyantonde-Rushere'!N16,'26.10 Lyantonde-Rushere-24hr'!N16,'27.10 Lyantonde-Rushere'!N16,'28.10 Lyantonde-Rushere-24h'!N16,'29.10 Lyantonde-Rushere'!N16,'30.10 Lyantonde-Rushere'!N16,'31.10 Lyantonde-Rushere'!N16)</f>
        <v>0</v>
      </c>
      <c r="O16" s="15">
        <f t="shared" si="0"/>
        <v>5.7142857142857144</v>
      </c>
      <c r="P16" s="15">
        <f t="shared" si="1"/>
        <v>9.7142857142857153</v>
      </c>
      <c r="R16" s="1" t="s">
        <v>12</v>
      </c>
      <c r="S16" s="17">
        <f t="shared" ref="S16:AF16" si="8">SUM(C34:C37)</f>
        <v>16.571428571428569</v>
      </c>
      <c r="T16" s="17">
        <f t="shared" si="8"/>
        <v>4.1428571428571423</v>
      </c>
      <c r="U16" s="17">
        <f t="shared" si="8"/>
        <v>2.8571428571428572</v>
      </c>
      <c r="V16" s="17">
        <f t="shared" si="8"/>
        <v>0.2857142857142857</v>
      </c>
      <c r="W16" s="17">
        <f t="shared" si="8"/>
        <v>0</v>
      </c>
      <c r="X16" s="17">
        <f t="shared" si="8"/>
        <v>0</v>
      </c>
      <c r="Y16" s="17">
        <f t="shared" si="8"/>
        <v>1.4285714285714284</v>
      </c>
      <c r="Z16" s="17">
        <f t="shared" si="8"/>
        <v>4.5714285714285712</v>
      </c>
      <c r="AA16" s="17">
        <f t="shared" si="8"/>
        <v>1.1428571428571428</v>
      </c>
      <c r="AB16" s="17">
        <f t="shared" si="8"/>
        <v>0.42857142857142855</v>
      </c>
      <c r="AC16" s="17">
        <f t="shared" si="8"/>
        <v>22.571428571428569</v>
      </c>
      <c r="AD16" s="17">
        <f t="shared" si="8"/>
        <v>0</v>
      </c>
      <c r="AE16" s="31">
        <f t="shared" si="8"/>
        <v>31.428571428571431</v>
      </c>
      <c r="AF16" s="31">
        <f t="shared" si="8"/>
        <v>54</v>
      </c>
    </row>
    <row r="17" spans="2:32" ht="23.1" customHeight="1" x14ac:dyDescent="0.25">
      <c r="B17" s="23" t="s">
        <v>44</v>
      </c>
      <c r="C17" s="49">
        <f>AVERAGE('25.10 Lyantonde-Rushere'!C17,'26.10 Lyantonde-Rushere-24hr'!C17,'27.10 Lyantonde-Rushere'!C17,'28.10 Lyantonde-Rushere-24h'!C17,'29.10 Lyantonde-Rushere'!C17,'30.10 Lyantonde-Rushere'!C17,'31.10 Lyantonde-Rushere'!C17)</f>
        <v>1.8571428571428572</v>
      </c>
      <c r="D17" s="49">
        <f>AVERAGE('25.10 Lyantonde-Rushere'!D17,'26.10 Lyantonde-Rushere-24hr'!D17,'27.10 Lyantonde-Rushere'!D17,'28.10 Lyantonde-Rushere-24h'!D17,'29.10 Lyantonde-Rushere'!D17,'30.10 Lyantonde-Rushere'!D17,'31.10 Lyantonde-Rushere'!D17)</f>
        <v>0.2857142857142857</v>
      </c>
      <c r="E17" s="49">
        <f>AVERAGE('25.10 Lyantonde-Rushere'!E17,'26.10 Lyantonde-Rushere-24hr'!E17,'27.10 Lyantonde-Rushere'!E17,'28.10 Lyantonde-Rushere-24h'!E17,'29.10 Lyantonde-Rushere'!E17,'30.10 Lyantonde-Rushere'!E17,'31.10 Lyantonde-Rushere'!E17)</f>
        <v>0.42857142857142855</v>
      </c>
      <c r="F17" s="49">
        <f>AVERAGE('25.10 Lyantonde-Rushere'!F17,'26.10 Lyantonde-Rushere-24hr'!F17,'27.10 Lyantonde-Rushere'!F17,'28.10 Lyantonde-Rushere-24h'!F17,'29.10 Lyantonde-Rushere'!F17,'30.10 Lyantonde-Rushere'!F17,'31.10 Lyantonde-Rushere'!F17)</f>
        <v>0.2857142857142857</v>
      </c>
      <c r="G17" s="49">
        <f>AVERAGE('25.10 Lyantonde-Rushere'!G17,'26.10 Lyantonde-Rushere-24hr'!G17,'27.10 Lyantonde-Rushere'!G17,'28.10 Lyantonde-Rushere-24h'!G17,'29.10 Lyantonde-Rushere'!G17,'30.10 Lyantonde-Rushere'!G17,'31.10 Lyantonde-Rushere'!G17)</f>
        <v>0</v>
      </c>
      <c r="H17" s="49">
        <f>AVERAGE('25.10 Lyantonde-Rushere'!H17,'26.10 Lyantonde-Rushere-24hr'!H17,'27.10 Lyantonde-Rushere'!H17,'28.10 Lyantonde-Rushere-24h'!H17,'29.10 Lyantonde-Rushere'!H17,'30.10 Lyantonde-Rushere'!H17,'31.10 Lyantonde-Rushere'!H17)</f>
        <v>0</v>
      </c>
      <c r="I17" s="49">
        <f>AVERAGE('25.10 Lyantonde-Rushere'!I17,'26.10 Lyantonde-Rushere-24hr'!I17,'27.10 Lyantonde-Rushere'!I17,'28.10 Lyantonde-Rushere-24h'!I17,'29.10 Lyantonde-Rushere'!I17,'30.10 Lyantonde-Rushere'!I17,'31.10 Lyantonde-Rushere'!I17)</f>
        <v>0.42857142857142855</v>
      </c>
      <c r="J17" s="49">
        <f>AVERAGE('25.10 Lyantonde-Rushere'!J17,'26.10 Lyantonde-Rushere-24hr'!J17,'27.10 Lyantonde-Rushere'!J17,'28.10 Lyantonde-Rushere-24h'!J17,'29.10 Lyantonde-Rushere'!J17,'30.10 Lyantonde-Rushere'!J17,'31.10 Lyantonde-Rushere'!J17)</f>
        <v>0.42857142857142855</v>
      </c>
      <c r="K17" s="49">
        <f>AVERAGE('25.10 Lyantonde-Rushere'!K17,'26.10 Lyantonde-Rushere-24hr'!K17,'27.10 Lyantonde-Rushere'!K17,'28.10 Lyantonde-Rushere-24h'!K17,'29.10 Lyantonde-Rushere'!K17,'30.10 Lyantonde-Rushere'!K17,'31.10 Lyantonde-Rushere'!K17)</f>
        <v>0.14285714285714285</v>
      </c>
      <c r="L17" s="49">
        <f>AVERAGE('25.10 Lyantonde-Rushere'!L17,'26.10 Lyantonde-Rushere-24hr'!L17,'27.10 Lyantonde-Rushere'!L17,'28.10 Lyantonde-Rushere-24h'!L17,'29.10 Lyantonde-Rushere'!L17,'30.10 Lyantonde-Rushere'!L17,'31.10 Lyantonde-Rushere'!L17)</f>
        <v>0.14285714285714285</v>
      </c>
      <c r="M17" s="49">
        <f>AVERAGE('25.10 Lyantonde-Rushere'!M17,'26.10 Lyantonde-Rushere-24hr'!M17,'27.10 Lyantonde-Rushere'!M17,'28.10 Lyantonde-Rushere-24h'!M17,'29.10 Lyantonde-Rushere'!M17,'30.10 Lyantonde-Rushere'!M17,'31.10 Lyantonde-Rushere'!M17)</f>
        <v>4.8571428571428568</v>
      </c>
      <c r="N17" s="49">
        <f>AVERAGE('25.10 Lyantonde-Rushere'!N17,'26.10 Lyantonde-Rushere-24hr'!N17,'27.10 Lyantonde-Rushere'!N17,'28.10 Lyantonde-Rushere-24h'!N17,'29.10 Lyantonde-Rushere'!N17,'30.10 Lyantonde-Rushere'!N17,'31.10 Lyantonde-Rushere'!N17)</f>
        <v>0</v>
      </c>
      <c r="O17" s="15">
        <f t="shared" si="0"/>
        <v>3.9999999999999991</v>
      </c>
      <c r="P17" s="15">
        <f t="shared" si="1"/>
        <v>8.8571428571428559</v>
      </c>
      <c r="R17" s="1" t="s">
        <v>13</v>
      </c>
      <c r="S17" s="17">
        <f t="shared" ref="S17:AF17" si="9">SUM(C38:C41)</f>
        <v>16</v>
      </c>
      <c r="T17" s="17">
        <f t="shared" si="9"/>
        <v>4.1428571428571423</v>
      </c>
      <c r="U17" s="17">
        <f t="shared" si="9"/>
        <v>2.7142857142857144</v>
      </c>
      <c r="V17" s="17">
        <f t="shared" si="9"/>
        <v>0.42857142857142855</v>
      </c>
      <c r="W17" s="17">
        <f t="shared" si="9"/>
        <v>0</v>
      </c>
      <c r="X17" s="17">
        <f t="shared" si="9"/>
        <v>0</v>
      </c>
      <c r="Y17" s="17">
        <f t="shared" si="9"/>
        <v>1.5714285714285712</v>
      </c>
      <c r="Z17" s="17">
        <f t="shared" si="9"/>
        <v>3.8571428571428572</v>
      </c>
      <c r="AA17" s="17">
        <f t="shared" si="9"/>
        <v>1.5714285714285714</v>
      </c>
      <c r="AB17" s="17">
        <f t="shared" si="9"/>
        <v>0.8571428571428571</v>
      </c>
      <c r="AC17" s="17">
        <f t="shared" si="9"/>
        <v>22.857142857142858</v>
      </c>
      <c r="AD17" s="17">
        <f t="shared" si="9"/>
        <v>0</v>
      </c>
      <c r="AE17" s="31">
        <f t="shared" si="9"/>
        <v>31.142857142857139</v>
      </c>
      <c r="AF17" s="31">
        <f t="shared" si="9"/>
        <v>54</v>
      </c>
    </row>
    <row r="18" spans="2:32" ht="23.1" customHeight="1" x14ac:dyDescent="0.25">
      <c r="B18" s="23" t="s">
        <v>45</v>
      </c>
      <c r="C18" s="49">
        <f>AVERAGE('25.10 Lyantonde-Rushere'!C18,'26.10 Lyantonde-Rushere-24hr'!C18,'27.10 Lyantonde-Rushere'!C18,'28.10 Lyantonde-Rushere-24h'!C18,'29.10 Lyantonde-Rushere'!C18,'30.10 Lyantonde-Rushere'!C18,'31.10 Lyantonde-Rushere'!C18)</f>
        <v>2.7142857142857144</v>
      </c>
      <c r="D18" s="49">
        <f>AVERAGE('25.10 Lyantonde-Rushere'!D18,'26.10 Lyantonde-Rushere-24hr'!D18,'27.10 Lyantonde-Rushere'!D18,'28.10 Lyantonde-Rushere-24h'!D18,'29.10 Lyantonde-Rushere'!D18,'30.10 Lyantonde-Rushere'!D18,'31.10 Lyantonde-Rushere'!D18)</f>
        <v>1.5714285714285714</v>
      </c>
      <c r="E18" s="49">
        <f>AVERAGE('25.10 Lyantonde-Rushere'!E18,'26.10 Lyantonde-Rushere-24hr'!E18,'27.10 Lyantonde-Rushere'!E18,'28.10 Lyantonde-Rushere-24h'!E18,'29.10 Lyantonde-Rushere'!E18,'30.10 Lyantonde-Rushere'!E18,'31.10 Lyantonde-Rushere'!E18)</f>
        <v>0.7142857142857143</v>
      </c>
      <c r="F18" s="49">
        <f>AVERAGE('25.10 Lyantonde-Rushere'!F18,'26.10 Lyantonde-Rushere-24hr'!F18,'27.10 Lyantonde-Rushere'!F18,'28.10 Lyantonde-Rushere-24h'!F18,'29.10 Lyantonde-Rushere'!F18,'30.10 Lyantonde-Rushere'!F18,'31.10 Lyantonde-Rushere'!F18)</f>
        <v>0.2857142857142857</v>
      </c>
      <c r="G18" s="49">
        <f>AVERAGE('25.10 Lyantonde-Rushere'!G18,'26.10 Lyantonde-Rushere-24hr'!G18,'27.10 Lyantonde-Rushere'!G18,'28.10 Lyantonde-Rushere-24h'!G18,'29.10 Lyantonde-Rushere'!G18,'30.10 Lyantonde-Rushere'!G18,'31.10 Lyantonde-Rushere'!G18)</f>
        <v>0</v>
      </c>
      <c r="H18" s="49">
        <f>AVERAGE('25.10 Lyantonde-Rushere'!H18,'26.10 Lyantonde-Rushere-24hr'!H18,'27.10 Lyantonde-Rushere'!H18,'28.10 Lyantonde-Rushere-24h'!H18,'29.10 Lyantonde-Rushere'!H18,'30.10 Lyantonde-Rushere'!H18,'31.10 Lyantonde-Rushere'!H18)</f>
        <v>0</v>
      </c>
      <c r="I18" s="49">
        <f>AVERAGE('25.10 Lyantonde-Rushere'!I18,'26.10 Lyantonde-Rushere-24hr'!I18,'27.10 Lyantonde-Rushere'!I18,'28.10 Lyantonde-Rushere-24h'!I18,'29.10 Lyantonde-Rushere'!I18,'30.10 Lyantonde-Rushere'!I18,'31.10 Lyantonde-Rushere'!I18)</f>
        <v>0.42857142857142855</v>
      </c>
      <c r="J18" s="49">
        <f>AVERAGE('25.10 Lyantonde-Rushere'!J18,'26.10 Lyantonde-Rushere-24hr'!J18,'27.10 Lyantonde-Rushere'!J18,'28.10 Lyantonde-Rushere-24h'!J18,'29.10 Lyantonde-Rushere'!J18,'30.10 Lyantonde-Rushere'!J18,'31.10 Lyantonde-Rushere'!J18)</f>
        <v>0.5714285714285714</v>
      </c>
      <c r="K18" s="49">
        <f>AVERAGE('25.10 Lyantonde-Rushere'!K18,'26.10 Lyantonde-Rushere-24hr'!K18,'27.10 Lyantonde-Rushere'!K18,'28.10 Lyantonde-Rushere-24h'!K18,'29.10 Lyantonde-Rushere'!K18,'30.10 Lyantonde-Rushere'!K18,'31.10 Lyantonde-Rushere'!K18)</f>
        <v>0</v>
      </c>
      <c r="L18" s="49">
        <f>AVERAGE('25.10 Lyantonde-Rushere'!L18,'26.10 Lyantonde-Rushere-24hr'!L18,'27.10 Lyantonde-Rushere'!L18,'28.10 Lyantonde-Rushere-24h'!L18,'29.10 Lyantonde-Rushere'!L18,'30.10 Lyantonde-Rushere'!L18,'31.10 Lyantonde-Rushere'!L18)</f>
        <v>0</v>
      </c>
      <c r="M18" s="49">
        <f>AVERAGE('25.10 Lyantonde-Rushere'!M18,'26.10 Lyantonde-Rushere-24hr'!M18,'27.10 Lyantonde-Rushere'!M18,'28.10 Lyantonde-Rushere-24h'!M18,'29.10 Lyantonde-Rushere'!M18,'30.10 Lyantonde-Rushere'!M18,'31.10 Lyantonde-Rushere'!M18)</f>
        <v>5.7142857142857144</v>
      </c>
      <c r="N18" s="49">
        <f>AVERAGE('25.10 Lyantonde-Rushere'!N18,'26.10 Lyantonde-Rushere-24hr'!N18,'27.10 Lyantonde-Rushere'!N18,'28.10 Lyantonde-Rushere-24h'!N18,'29.10 Lyantonde-Rushere'!N18,'30.10 Lyantonde-Rushere'!N18,'31.10 Lyantonde-Rushere'!N18)</f>
        <v>0</v>
      </c>
      <c r="O18" s="15">
        <f t="shared" si="0"/>
        <v>6.2857142857142856</v>
      </c>
      <c r="P18" s="15">
        <f t="shared" si="1"/>
        <v>12</v>
      </c>
      <c r="R18" s="1" t="s">
        <v>14</v>
      </c>
      <c r="S18" s="17">
        <f t="shared" ref="S18:AF18" si="10">SUM(C42:C45)</f>
        <v>12.857142857142858</v>
      </c>
      <c r="T18" s="17">
        <f t="shared" si="10"/>
        <v>4.7142857142857153</v>
      </c>
      <c r="U18" s="17">
        <f t="shared" si="10"/>
        <v>1.4285714285714284</v>
      </c>
      <c r="V18" s="17">
        <f t="shared" si="10"/>
        <v>0.42857142857142855</v>
      </c>
      <c r="W18" s="17">
        <f t="shared" si="10"/>
        <v>0.14285714285714285</v>
      </c>
      <c r="X18" s="17">
        <f t="shared" si="10"/>
        <v>0.71428571428571419</v>
      </c>
      <c r="Y18" s="17">
        <f t="shared" si="10"/>
        <v>3.7142857142857144</v>
      </c>
      <c r="Z18" s="17">
        <f t="shared" si="10"/>
        <v>2.2857142857142856</v>
      </c>
      <c r="AA18" s="17">
        <f t="shared" si="10"/>
        <v>0.99999999999999989</v>
      </c>
      <c r="AB18" s="17">
        <f t="shared" si="10"/>
        <v>0.71428571428571419</v>
      </c>
      <c r="AC18" s="17">
        <f t="shared" si="10"/>
        <v>23</v>
      </c>
      <c r="AD18" s="17">
        <f t="shared" si="10"/>
        <v>0.14285714285714285</v>
      </c>
      <c r="AE18" s="31">
        <f t="shared" si="10"/>
        <v>28.142857142857142</v>
      </c>
      <c r="AF18" s="31">
        <f t="shared" si="10"/>
        <v>51.142857142857139</v>
      </c>
    </row>
    <row r="19" spans="2:32" ht="23.1" customHeight="1" x14ac:dyDescent="0.25">
      <c r="B19" s="23" t="s">
        <v>46</v>
      </c>
      <c r="C19" s="49">
        <f>AVERAGE('25.10 Lyantonde-Rushere'!C19,'26.10 Lyantonde-Rushere-24hr'!C19,'27.10 Lyantonde-Rushere'!C19,'28.10 Lyantonde-Rushere-24h'!C19,'29.10 Lyantonde-Rushere'!C19,'30.10 Lyantonde-Rushere'!C19,'31.10 Lyantonde-Rushere'!C19)</f>
        <v>2.8571428571428572</v>
      </c>
      <c r="D19" s="49">
        <f>AVERAGE('25.10 Lyantonde-Rushere'!D19,'26.10 Lyantonde-Rushere-24hr'!D19,'27.10 Lyantonde-Rushere'!D19,'28.10 Lyantonde-Rushere-24h'!D19,'29.10 Lyantonde-Rushere'!D19,'30.10 Lyantonde-Rushere'!D19,'31.10 Lyantonde-Rushere'!D19)</f>
        <v>2</v>
      </c>
      <c r="E19" s="49">
        <f>AVERAGE('25.10 Lyantonde-Rushere'!E19,'26.10 Lyantonde-Rushere-24hr'!E19,'27.10 Lyantonde-Rushere'!E19,'28.10 Lyantonde-Rushere-24h'!E19,'29.10 Lyantonde-Rushere'!E19,'30.10 Lyantonde-Rushere'!E19,'31.10 Lyantonde-Rushere'!E19)</f>
        <v>1.8571428571428572</v>
      </c>
      <c r="F19" s="49">
        <f>AVERAGE('25.10 Lyantonde-Rushere'!F19,'26.10 Lyantonde-Rushere-24hr'!F19,'27.10 Lyantonde-Rushere'!F19,'28.10 Lyantonde-Rushere-24h'!F19,'29.10 Lyantonde-Rushere'!F19,'30.10 Lyantonde-Rushere'!F19,'31.10 Lyantonde-Rushere'!F19)</f>
        <v>0</v>
      </c>
      <c r="G19" s="49">
        <f>AVERAGE('25.10 Lyantonde-Rushere'!G19,'26.10 Lyantonde-Rushere-24hr'!G19,'27.10 Lyantonde-Rushere'!G19,'28.10 Lyantonde-Rushere-24h'!G19,'29.10 Lyantonde-Rushere'!G19,'30.10 Lyantonde-Rushere'!G19,'31.10 Lyantonde-Rushere'!G19)</f>
        <v>0</v>
      </c>
      <c r="H19" s="49">
        <f>AVERAGE('25.10 Lyantonde-Rushere'!H19,'26.10 Lyantonde-Rushere-24hr'!H19,'27.10 Lyantonde-Rushere'!H19,'28.10 Lyantonde-Rushere-24h'!H19,'29.10 Lyantonde-Rushere'!H19,'30.10 Lyantonde-Rushere'!H19,'31.10 Lyantonde-Rushere'!H19)</f>
        <v>0</v>
      </c>
      <c r="I19" s="49">
        <f>AVERAGE('25.10 Lyantonde-Rushere'!I19,'26.10 Lyantonde-Rushere-24hr'!I19,'27.10 Lyantonde-Rushere'!I19,'28.10 Lyantonde-Rushere-24h'!I19,'29.10 Lyantonde-Rushere'!I19,'30.10 Lyantonde-Rushere'!I19,'31.10 Lyantonde-Rushere'!I19)</f>
        <v>0.14285714285714285</v>
      </c>
      <c r="J19" s="49">
        <f>AVERAGE('25.10 Lyantonde-Rushere'!J19,'26.10 Lyantonde-Rushere-24hr'!J19,'27.10 Lyantonde-Rushere'!J19,'28.10 Lyantonde-Rushere-24h'!J19,'29.10 Lyantonde-Rushere'!J19,'30.10 Lyantonde-Rushere'!J19,'31.10 Lyantonde-Rushere'!J19)</f>
        <v>0.2857142857142857</v>
      </c>
      <c r="K19" s="49">
        <f>AVERAGE('25.10 Lyantonde-Rushere'!K19,'26.10 Lyantonde-Rushere-24hr'!K19,'27.10 Lyantonde-Rushere'!K19,'28.10 Lyantonde-Rushere-24h'!K19,'29.10 Lyantonde-Rushere'!K19,'30.10 Lyantonde-Rushere'!K19,'31.10 Lyantonde-Rushere'!K19)</f>
        <v>0.2857142857142857</v>
      </c>
      <c r="L19" s="49">
        <f>AVERAGE('25.10 Lyantonde-Rushere'!L19,'26.10 Lyantonde-Rushere-24hr'!L19,'27.10 Lyantonde-Rushere'!L19,'28.10 Lyantonde-Rushere-24h'!L19,'29.10 Lyantonde-Rushere'!L19,'30.10 Lyantonde-Rushere'!L19,'31.10 Lyantonde-Rushere'!L19)</f>
        <v>0.14285714285714285</v>
      </c>
      <c r="M19" s="49">
        <f>AVERAGE('25.10 Lyantonde-Rushere'!M19,'26.10 Lyantonde-Rushere-24hr'!M19,'27.10 Lyantonde-Rushere'!M19,'28.10 Lyantonde-Rushere-24h'!M19,'29.10 Lyantonde-Rushere'!M19,'30.10 Lyantonde-Rushere'!M19,'31.10 Lyantonde-Rushere'!M19)</f>
        <v>4.8571428571428568</v>
      </c>
      <c r="N19" s="49">
        <f>AVERAGE('25.10 Lyantonde-Rushere'!N19,'26.10 Lyantonde-Rushere-24hr'!N19,'27.10 Lyantonde-Rushere'!N19,'28.10 Lyantonde-Rushere-24h'!N19,'29.10 Lyantonde-Rushere'!N19,'30.10 Lyantonde-Rushere'!N19,'31.10 Lyantonde-Rushere'!N19)</f>
        <v>0</v>
      </c>
      <c r="O19" s="15">
        <f t="shared" si="0"/>
        <v>7.571428571428573</v>
      </c>
      <c r="P19" s="15">
        <f t="shared" si="1"/>
        <v>12.428571428571431</v>
      </c>
      <c r="R19" s="1" t="s">
        <v>15</v>
      </c>
      <c r="S19" s="17">
        <f t="shared" ref="S19:AF19" si="11">SUM(C46:C49)</f>
        <v>16</v>
      </c>
      <c r="T19" s="17">
        <f t="shared" si="11"/>
        <v>4.1428571428571423</v>
      </c>
      <c r="U19" s="17">
        <f t="shared" si="11"/>
        <v>2.1428571428571428</v>
      </c>
      <c r="V19" s="17">
        <f t="shared" si="11"/>
        <v>0.2857142857142857</v>
      </c>
      <c r="W19" s="17">
        <f t="shared" si="11"/>
        <v>0</v>
      </c>
      <c r="X19" s="17">
        <f t="shared" si="11"/>
        <v>0.14285714285714285</v>
      </c>
      <c r="Y19" s="17">
        <f t="shared" si="11"/>
        <v>2.5714285714285712</v>
      </c>
      <c r="Z19" s="17">
        <f t="shared" si="11"/>
        <v>3.285714285714286</v>
      </c>
      <c r="AA19" s="17">
        <f t="shared" si="11"/>
        <v>1.4285714285714284</v>
      </c>
      <c r="AB19" s="17">
        <f t="shared" si="11"/>
        <v>0.85714285714285698</v>
      </c>
      <c r="AC19" s="17">
        <f t="shared" si="11"/>
        <v>26</v>
      </c>
      <c r="AD19" s="17">
        <f t="shared" si="11"/>
        <v>0</v>
      </c>
      <c r="AE19" s="31">
        <f t="shared" si="11"/>
        <v>30.857142857142858</v>
      </c>
      <c r="AF19" s="31">
        <f t="shared" si="11"/>
        <v>56.857142857142861</v>
      </c>
    </row>
    <row r="20" spans="2:32" ht="23.1" customHeight="1" x14ac:dyDescent="0.25">
      <c r="B20" s="23" t="s">
        <v>47</v>
      </c>
      <c r="C20" s="49">
        <f>AVERAGE('25.10 Lyantonde-Rushere'!C20,'26.10 Lyantonde-Rushere-24hr'!C20,'27.10 Lyantonde-Rushere'!C20,'28.10 Lyantonde-Rushere-24h'!C20,'29.10 Lyantonde-Rushere'!C20,'30.10 Lyantonde-Rushere'!C20,'31.10 Lyantonde-Rushere'!C20)</f>
        <v>2.1428571428571428</v>
      </c>
      <c r="D20" s="49">
        <f>AVERAGE('25.10 Lyantonde-Rushere'!D20,'26.10 Lyantonde-Rushere-24hr'!D20,'27.10 Lyantonde-Rushere'!D20,'28.10 Lyantonde-Rushere-24h'!D20,'29.10 Lyantonde-Rushere'!D20,'30.10 Lyantonde-Rushere'!D20,'31.10 Lyantonde-Rushere'!D20)</f>
        <v>1.1428571428571428</v>
      </c>
      <c r="E20" s="49">
        <f>AVERAGE('25.10 Lyantonde-Rushere'!E20,'26.10 Lyantonde-Rushere-24hr'!E20,'27.10 Lyantonde-Rushere'!E20,'28.10 Lyantonde-Rushere-24h'!E20,'29.10 Lyantonde-Rushere'!E20,'30.10 Lyantonde-Rushere'!E20,'31.10 Lyantonde-Rushere'!E20)</f>
        <v>0.2857142857142857</v>
      </c>
      <c r="F20" s="49">
        <f>AVERAGE('25.10 Lyantonde-Rushere'!F20,'26.10 Lyantonde-Rushere-24hr'!F20,'27.10 Lyantonde-Rushere'!F20,'28.10 Lyantonde-Rushere-24h'!F20,'29.10 Lyantonde-Rushere'!F20,'30.10 Lyantonde-Rushere'!F20,'31.10 Lyantonde-Rushere'!F20)</f>
        <v>0.5714285714285714</v>
      </c>
      <c r="G20" s="49">
        <f>AVERAGE('25.10 Lyantonde-Rushere'!G20,'26.10 Lyantonde-Rushere-24hr'!G20,'27.10 Lyantonde-Rushere'!G20,'28.10 Lyantonde-Rushere-24h'!G20,'29.10 Lyantonde-Rushere'!G20,'30.10 Lyantonde-Rushere'!G20,'31.10 Lyantonde-Rushere'!G20)</f>
        <v>0</v>
      </c>
      <c r="H20" s="49">
        <f>AVERAGE('25.10 Lyantonde-Rushere'!H20,'26.10 Lyantonde-Rushere-24hr'!H20,'27.10 Lyantonde-Rushere'!H20,'28.10 Lyantonde-Rushere-24h'!H20,'29.10 Lyantonde-Rushere'!H20,'30.10 Lyantonde-Rushere'!H20,'31.10 Lyantonde-Rushere'!H20)</f>
        <v>0</v>
      </c>
      <c r="I20" s="49">
        <f>AVERAGE('25.10 Lyantonde-Rushere'!I20,'26.10 Lyantonde-Rushere-24hr'!I20,'27.10 Lyantonde-Rushere'!I20,'28.10 Lyantonde-Rushere-24h'!I20,'29.10 Lyantonde-Rushere'!I20,'30.10 Lyantonde-Rushere'!I20,'31.10 Lyantonde-Rushere'!I20)</f>
        <v>0.2857142857142857</v>
      </c>
      <c r="J20" s="49">
        <f>AVERAGE('25.10 Lyantonde-Rushere'!J20,'26.10 Lyantonde-Rushere-24hr'!J20,'27.10 Lyantonde-Rushere'!J20,'28.10 Lyantonde-Rushere-24h'!J20,'29.10 Lyantonde-Rushere'!J20,'30.10 Lyantonde-Rushere'!J20,'31.10 Lyantonde-Rushere'!J20)</f>
        <v>0.2857142857142857</v>
      </c>
      <c r="K20" s="49">
        <f>AVERAGE('25.10 Lyantonde-Rushere'!K20,'26.10 Lyantonde-Rushere-24hr'!K20,'27.10 Lyantonde-Rushere'!K20,'28.10 Lyantonde-Rushere-24h'!K20,'29.10 Lyantonde-Rushere'!K20,'30.10 Lyantonde-Rushere'!K20,'31.10 Lyantonde-Rushere'!K20)</f>
        <v>0.14285714285714285</v>
      </c>
      <c r="L20" s="49">
        <f>AVERAGE('25.10 Lyantonde-Rushere'!L20,'26.10 Lyantonde-Rushere-24hr'!L20,'27.10 Lyantonde-Rushere'!L20,'28.10 Lyantonde-Rushere-24h'!L20,'29.10 Lyantonde-Rushere'!L20,'30.10 Lyantonde-Rushere'!L20,'31.10 Lyantonde-Rushere'!L20)</f>
        <v>0</v>
      </c>
      <c r="M20" s="49">
        <f>AVERAGE('25.10 Lyantonde-Rushere'!M20,'26.10 Lyantonde-Rushere-24hr'!M20,'27.10 Lyantonde-Rushere'!M20,'28.10 Lyantonde-Rushere-24h'!M20,'29.10 Lyantonde-Rushere'!M20,'30.10 Lyantonde-Rushere'!M20,'31.10 Lyantonde-Rushere'!M20)</f>
        <v>5.5714285714285712</v>
      </c>
      <c r="N20" s="49">
        <f>AVERAGE('25.10 Lyantonde-Rushere'!N20,'26.10 Lyantonde-Rushere-24hr'!N20,'27.10 Lyantonde-Rushere'!N20,'28.10 Lyantonde-Rushere-24h'!N20,'29.10 Lyantonde-Rushere'!N20,'30.10 Lyantonde-Rushere'!N20,'31.10 Lyantonde-Rushere'!N20)</f>
        <v>0</v>
      </c>
      <c r="O20" s="15">
        <f t="shared" si="0"/>
        <v>4.8571428571428568</v>
      </c>
      <c r="P20" s="15">
        <f t="shared" si="1"/>
        <v>10.428571428571427</v>
      </c>
      <c r="R20" s="1" t="s">
        <v>16</v>
      </c>
      <c r="S20" s="17">
        <f t="shared" ref="S20:AF20" si="12">SUM(C50:C53)</f>
        <v>20.285714285714285</v>
      </c>
      <c r="T20" s="17">
        <f t="shared" si="12"/>
        <v>6.4285714285714288</v>
      </c>
      <c r="U20" s="17">
        <f t="shared" si="12"/>
        <v>2.7142857142857144</v>
      </c>
      <c r="V20" s="17">
        <f t="shared" si="12"/>
        <v>1.2857142857142856</v>
      </c>
      <c r="W20" s="17">
        <f t="shared" si="12"/>
        <v>0</v>
      </c>
      <c r="X20" s="17">
        <f t="shared" si="12"/>
        <v>0.14285714285714285</v>
      </c>
      <c r="Y20" s="17">
        <f t="shared" si="12"/>
        <v>2.7142857142857144</v>
      </c>
      <c r="Z20" s="17">
        <f t="shared" si="12"/>
        <v>2.5714285714285712</v>
      </c>
      <c r="AA20" s="17">
        <f t="shared" si="12"/>
        <v>1</v>
      </c>
      <c r="AB20" s="17">
        <f t="shared" si="12"/>
        <v>0.71428571428571419</v>
      </c>
      <c r="AC20" s="17">
        <f t="shared" si="12"/>
        <v>27.857142857142858</v>
      </c>
      <c r="AD20" s="17">
        <f t="shared" si="12"/>
        <v>0</v>
      </c>
      <c r="AE20" s="31">
        <f t="shared" si="12"/>
        <v>37.857142857142854</v>
      </c>
      <c r="AF20" s="31">
        <f t="shared" si="12"/>
        <v>65.714285714285722</v>
      </c>
    </row>
    <row r="21" spans="2:32" ht="23.1" customHeight="1" x14ac:dyDescent="0.25">
      <c r="B21" s="23" t="s">
        <v>48</v>
      </c>
      <c r="C21" s="49">
        <f>AVERAGE('25.10 Lyantonde-Rushere'!C21,'26.10 Lyantonde-Rushere-24hr'!C21,'27.10 Lyantonde-Rushere'!C21,'28.10 Lyantonde-Rushere-24h'!C21,'29.10 Lyantonde-Rushere'!C21,'30.10 Lyantonde-Rushere'!C21,'31.10 Lyantonde-Rushere'!C21)</f>
        <v>2.7142857142857144</v>
      </c>
      <c r="D21" s="49">
        <f>AVERAGE('25.10 Lyantonde-Rushere'!D21,'26.10 Lyantonde-Rushere-24hr'!D21,'27.10 Lyantonde-Rushere'!D21,'28.10 Lyantonde-Rushere-24h'!D21,'29.10 Lyantonde-Rushere'!D21,'30.10 Lyantonde-Rushere'!D21,'31.10 Lyantonde-Rushere'!D21)</f>
        <v>1.5714285714285714</v>
      </c>
      <c r="E21" s="49">
        <f>AVERAGE('25.10 Lyantonde-Rushere'!E21,'26.10 Lyantonde-Rushere-24hr'!E21,'27.10 Lyantonde-Rushere'!E21,'28.10 Lyantonde-Rushere-24h'!E21,'29.10 Lyantonde-Rushere'!E21,'30.10 Lyantonde-Rushere'!E21,'31.10 Lyantonde-Rushere'!E21)</f>
        <v>0.42857142857142855</v>
      </c>
      <c r="F21" s="49">
        <f>AVERAGE('25.10 Lyantonde-Rushere'!F21,'26.10 Lyantonde-Rushere-24hr'!F21,'27.10 Lyantonde-Rushere'!F21,'28.10 Lyantonde-Rushere-24h'!F21,'29.10 Lyantonde-Rushere'!F21,'30.10 Lyantonde-Rushere'!F21,'31.10 Lyantonde-Rushere'!F21)</f>
        <v>0</v>
      </c>
      <c r="G21" s="49">
        <f>AVERAGE('25.10 Lyantonde-Rushere'!G21,'26.10 Lyantonde-Rushere-24hr'!G21,'27.10 Lyantonde-Rushere'!G21,'28.10 Lyantonde-Rushere-24h'!G21,'29.10 Lyantonde-Rushere'!G21,'30.10 Lyantonde-Rushere'!G21,'31.10 Lyantonde-Rushere'!G21)</f>
        <v>0</v>
      </c>
      <c r="H21" s="49">
        <f>AVERAGE('25.10 Lyantonde-Rushere'!H21,'26.10 Lyantonde-Rushere-24hr'!H21,'27.10 Lyantonde-Rushere'!H21,'28.10 Lyantonde-Rushere-24h'!H21,'29.10 Lyantonde-Rushere'!H21,'30.10 Lyantonde-Rushere'!H21,'31.10 Lyantonde-Rushere'!H21)</f>
        <v>0.14285714285714285</v>
      </c>
      <c r="I21" s="49">
        <f>AVERAGE('25.10 Lyantonde-Rushere'!I21,'26.10 Lyantonde-Rushere-24hr'!I21,'27.10 Lyantonde-Rushere'!I21,'28.10 Lyantonde-Rushere-24h'!I21,'29.10 Lyantonde-Rushere'!I21,'30.10 Lyantonde-Rushere'!I21,'31.10 Lyantonde-Rushere'!I21)</f>
        <v>0.2857142857142857</v>
      </c>
      <c r="J21" s="49">
        <f>AVERAGE('25.10 Lyantonde-Rushere'!J21,'26.10 Lyantonde-Rushere-24hr'!J21,'27.10 Lyantonde-Rushere'!J21,'28.10 Lyantonde-Rushere-24h'!J21,'29.10 Lyantonde-Rushere'!J21,'30.10 Lyantonde-Rushere'!J21,'31.10 Lyantonde-Rushere'!J21)</f>
        <v>0</v>
      </c>
      <c r="K21" s="49">
        <f>AVERAGE('25.10 Lyantonde-Rushere'!K21,'26.10 Lyantonde-Rushere-24hr'!K21,'27.10 Lyantonde-Rushere'!K21,'28.10 Lyantonde-Rushere-24h'!K21,'29.10 Lyantonde-Rushere'!K21,'30.10 Lyantonde-Rushere'!K21,'31.10 Lyantonde-Rushere'!K21)</f>
        <v>0.14285714285714285</v>
      </c>
      <c r="L21" s="49">
        <f>AVERAGE('25.10 Lyantonde-Rushere'!L21,'26.10 Lyantonde-Rushere-24hr'!L21,'27.10 Lyantonde-Rushere'!L21,'28.10 Lyantonde-Rushere-24h'!L21,'29.10 Lyantonde-Rushere'!L21,'30.10 Lyantonde-Rushere'!L21,'31.10 Lyantonde-Rushere'!L21)</f>
        <v>0</v>
      </c>
      <c r="M21" s="49">
        <f>AVERAGE('25.10 Lyantonde-Rushere'!M21,'26.10 Lyantonde-Rushere-24hr'!M21,'27.10 Lyantonde-Rushere'!M21,'28.10 Lyantonde-Rushere-24h'!M21,'29.10 Lyantonde-Rushere'!M21,'30.10 Lyantonde-Rushere'!M21,'31.10 Lyantonde-Rushere'!M21)</f>
        <v>4</v>
      </c>
      <c r="N21" s="49">
        <f>AVERAGE('25.10 Lyantonde-Rushere'!N21,'26.10 Lyantonde-Rushere-24hr'!N21,'27.10 Lyantonde-Rushere'!N21,'28.10 Lyantonde-Rushere-24h'!N21,'29.10 Lyantonde-Rushere'!N21,'30.10 Lyantonde-Rushere'!N21,'31.10 Lyantonde-Rushere'!N21)</f>
        <v>0.2857142857142857</v>
      </c>
      <c r="O21" s="15">
        <f t="shared" si="0"/>
        <v>5.5714285714285721</v>
      </c>
      <c r="P21" s="15">
        <f t="shared" si="1"/>
        <v>9.571428571428573</v>
      </c>
      <c r="R21" s="36" t="s">
        <v>20</v>
      </c>
      <c r="S21" s="34">
        <f t="shared" ref="S21:AF21" si="13">SUM(C54:C57)</f>
        <v>22.714285714285715</v>
      </c>
      <c r="T21" s="17">
        <f t="shared" si="13"/>
        <v>6.4285714285714288</v>
      </c>
      <c r="U21" s="17">
        <f t="shared" si="13"/>
        <v>5</v>
      </c>
      <c r="V21" s="17">
        <f t="shared" si="13"/>
        <v>1.5714285714285714</v>
      </c>
      <c r="W21" s="17">
        <f t="shared" si="13"/>
        <v>0</v>
      </c>
      <c r="X21" s="17">
        <f t="shared" si="13"/>
        <v>0.85714285714285698</v>
      </c>
      <c r="Y21" s="17">
        <f t="shared" si="13"/>
        <v>2.7142857142857144</v>
      </c>
      <c r="Z21" s="17">
        <f t="shared" si="13"/>
        <v>3.1428571428571428</v>
      </c>
      <c r="AA21" s="17">
        <f t="shared" si="13"/>
        <v>1.2857142857142856</v>
      </c>
      <c r="AB21" s="17">
        <f t="shared" si="13"/>
        <v>1.7142857142857144</v>
      </c>
      <c r="AC21" s="17">
        <f t="shared" si="13"/>
        <v>30.857142857142858</v>
      </c>
      <c r="AD21" s="17">
        <f t="shared" si="13"/>
        <v>0</v>
      </c>
      <c r="AE21" s="31">
        <f t="shared" si="13"/>
        <v>45.428571428571423</v>
      </c>
      <c r="AF21" s="31">
        <f t="shared" si="13"/>
        <v>76.285714285714278</v>
      </c>
    </row>
    <row r="22" spans="2:32" ht="23.1" customHeight="1" x14ac:dyDescent="0.25">
      <c r="B22" s="23" t="s">
        <v>49</v>
      </c>
      <c r="C22" s="49">
        <f>AVERAGE('25.10 Lyantonde-Rushere'!C22,'26.10 Lyantonde-Rushere-24hr'!C22,'27.10 Lyantonde-Rushere'!C22,'28.10 Lyantonde-Rushere-24h'!C22,'29.10 Lyantonde-Rushere'!C22,'30.10 Lyantonde-Rushere'!C22,'31.10 Lyantonde-Rushere'!C22)</f>
        <v>2.5714285714285716</v>
      </c>
      <c r="D22" s="49">
        <f>AVERAGE('25.10 Lyantonde-Rushere'!D22,'26.10 Lyantonde-Rushere-24hr'!D22,'27.10 Lyantonde-Rushere'!D22,'28.10 Lyantonde-Rushere-24h'!D22,'29.10 Lyantonde-Rushere'!D22,'30.10 Lyantonde-Rushere'!D22,'31.10 Lyantonde-Rushere'!D22)</f>
        <v>1.4285714285714286</v>
      </c>
      <c r="E22" s="49">
        <f>AVERAGE('25.10 Lyantonde-Rushere'!E22,'26.10 Lyantonde-Rushere-24hr'!E22,'27.10 Lyantonde-Rushere'!E22,'28.10 Lyantonde-Rushere-24h'!E22,'29.10 Lyantonde-Rushere'!E22,'30.10 Lyantonde-Rushere'!E22,'31.10 Lyantonde-Rushere'!E22)</f>
        <v>1</v>
      </c>
      <c r="F22" s="49">
        <f>AVERAGE('25.10 Lyantonde-Rushere'!F22,'26.10 Lyantonde-Rushere-24hr'!F22,'27.10 Lyantonde-Rushere'!F22,'28.10 Lyantonde-Rushere-24h'!F22,'29.10 Lyantonde-Rushere'!F22,'30.10 Lyantonde-Rushere'!F22,'31.10 Lyantonde-Rushere'!F22)</f>
        <v>0.2857142857142857</v>
      </c>
      <c r="G22" s="49">
        <f>AVERAGE('25.10 Lyantonde-Rushere'!G22,'26.10 Lyantonde-Rushere-24hr'!G22,'27.10 Lyantonde-Rushere'!G22,'28.10 Lyantonde-Rushere-24h'!G22,'29.10 Lyantonde-Rushere'!G22,'30.10 Lyantonde-Rushere'!G22,'31.10 Lyantonde-Rushere'!G22)</f>
        <v>0</v>
      </c>
      <c r="H22" s="49">
        <f>AVERAGE('25.10 Lyantonde-Rushere'!H22,'26.10 Lyantonde-Rushere-24hr'!H22,'27.10 Lyantonde-Rushere'!H22,'28.10 Lyantonde-Rushere-24h'!H22,'29.10 Lyantonde-Rushere'!H22,'30.10 Lyantonde-Rushere'!H22,'31.10 Lyantonde-Rushere'!H22)</f>
        <v>0</v>
      </c>
      <c r="I22" s="49">
        <f>AVERAGE('25.10 Lyantonde-Rushere'!I22,'26.10 Lyantonde-Rushere-24hr'!I22,'27.10 Lyantonde-Rushere'!I22,'28.10 Lyantonde-Rushere-24h'!I22,'29.10 Lyantonde-Rushere'!I22,'30.10 Lyantonde-Rushere'!I22,'31.10 Lyantonde-Rushere'!I22)</f>
        <v>0.5714285714285714</v>
      </c>
      <c r="J22" s="49">
        <f>AVERAGE('25.10 Lyantonde-Rushere'!J22,'26.10 Lyantonde-Rushere-24hr'!J22,'27.10 Lyantonde-Rushere'!J22,'28.10 Lyantonde-Rushere-24h'!J22,'29.10 Lyantonde-Rushere'!J22,'30.10 Lyantonde-Rushere'!J22,'31.10 Lyantonde-Rushere'!J22)</f>
        <v>0.14285714285714285</v>
      </c>
      <c r="K22" s="49">
        <f>AVERAGE('25.10 Lyantonde-Rushere'!K22,'26.10 Lyantonde-Rushere-24hr'!K22,'27.10 Lyantonde-Rushere'!K22,'28.10 Lyantonde-Rushere-24h'!K22,'29.10 Lyantonde-Rushere'!K22,'30.10 Lyantonde-Rushere'!K22,'31.10 Lyantonde-Rushere'!K22)</f>
        <v>0</v>
      </c>
      <c r="L22" s="49">
        <f>AVERAGE('25.10 Lyantonde-Rushere'!L22,'26.10 Lyantonde-Rushere-24hr'!L22,'27.10 Lyantonde-Rushere'!L22,'28.10 Lyantonde-Rushere-24h'!L22,'29.10 Lyantonde-Rushere'!L22,'30.10 Lyantonde-Rushere'!L22,'31.10 Lyantonde-Rushere'!L22)</f>
        <v>0.42857142857142855</v>
      </c>
      <c r="M22" s="49">
        <f>AVERAGE('25.10 Lyantonde-Rushere'!M22,'26.10 Lyantonde-Rushere-24hr'!M22,'27.10 Lyantonde-Rushere'!M22,'28.10 Lyantonde-Rushere-24h'!M22,'29.10 Lyantonde-Rushere'!M22,'30.10 Lyantonde-Rushere'!M22,'31.10 Lyantonde-Rushere'!M22)</f>
        <v>5.1428571428571432</v>
      </c>
      <c r="N22" s="49">
        <f>AVERAGE('25.10 Lyantonde-Rushere'!N22,'26.10 Lyantonde-Rushere-24hr'!N22,'27.10 Lyantonde-Rushere'!N22,'28.10 Lyantonde-Rushere-24h'!N22,'29.10 Lyantonde-Rushere'!N22,'30.10 Lyantonde-Rushere'!N22,'31.10 Lyantonde-Rushere'!N22)</f>
        <v>0</v>
      </c>
      <c r="O22" s="15">
        <f t="shared" si="0"/>
        <v>6.4285714285714288</v>
      </c>
      <c r="P22" s="15">
        <f t="shared" si="1"/>
        <v>11.571428571428573</v>
      </c>
      <c r="R22" s="1" t="s">
        <v>146</v>
      </c>
      <c r="S22" s="34">
        <f>SUM(C58:C61)</f>
        <v>25</v>
      </c>
      <c r="T22" s="34">
        <f t="shared" ref="T22:AF22" si="14">SUM(D58:D61)</f>
        <v>7</v>
      </c>
      <c r="U22" s="34">
        <f t="shared" si="14"/>
        <v>3</v>
      </c>
      <c r="V22" s="34">
        <f t="shared" si="14"/>
        <v>0</v>
      </c>
      <c r="W22" s="34">
        <f t="shared" si="14"/>
        <v>1</v>
      </c>
      <c r="X22" s="34">
        <f t="shared" si="14"/>
        <v>0</v>
      </c>
      <c r="Y22" s="34">
        <f t="shared" si="14"/>
        <v>0.5</v>
      </c>
      <c r="Z22" s="34">
        <f t="shared" si="14"/>
        <v>1.5</v>
      </c>
      <c r="AA22" s="34">
        <f t="shared" si="14"/>
        <v>0</v>
      </c>
      <c r="AB22" s="34">
        <f t="shared" si="14"/>
        <v>1.5</v>
      </c>
      <c r="AC22" s="34">
        <f t="shared" si="14"/>
        <v>20.5</v>
      </c>
      <c r="AD22" s="34">
        <f t="shared" si="14"/>
        <v>0</v>
      </c>
      <c r="AE22" s="31">
        <f t="shared" si="14"/>
        <v>39.5</v>
      </c>
      <c r="AF22" s="31">
        <f t="shared" si="14"/>
        <v>60</v>
      </c>
    </row>
    <row r="23" spans="2:32" ht="23.1" customHeight="1" x14ac:dyDescent="0.25">
      <c r="B23" s="23" t="s">
        <v>50</v>
      </c>
      <c r="C23" s="49">
        <f>AVERAGE('25.10 Lyantonde-Rushere'!C23,'26.10 Lyantonde-Rushere-24hr'!C23,'27.10 Lyantonde-Rushere'!C23,'28.10 Lyantonde-Rushere-24h'!C23,'29.10 Lyantonde-Rushere'!C23,'30.10 Lyantonde-Rushere'!C23,'31.10 Lyantonde-Rushere'!C23)</f>
        <v>2.5714285714285716</v>
      </c>
      <c r="D23" s="49">
        <f>AVERAGE('25.10 Lyantonde-Rushere'!D23,'26.10 Lyantonde-Rushere-24hr'!D23,'27.10 Lyantonde-Rushere'!D23,'28.10 Lyantonde-Rushere-24h'!D23,'29.10 Lyantonde-Rushere'!D23,'30.10 Lyantonde-Rushere'!D23,'31.10 Lyantonde-Rushere'!D23)</f>
        <v>0.8571428571428571</v>
      </c>
      <c r="E23" s="49">
        <f>AVERAGE('25.10 Lyantonde-Rushere'!E23,'26.10 Lyantonde-Rushere-24hr'!E23,'27.10 Lyantonde-Rushere'!E23,'28.10 Lyantonde-Rushere-24h'!E23,'29.10 Lyantonde-Rushere'!E23,'30.10 Lyantonde-Rushere'!E23,'31.10 Lyantonde-Rushere'!E23)</f>
        <v>1</v>
      </c>
      <c r="F23" s="49">
        <f>AVERAGE('25.10 Lyantonde-Rushere'!F23,'26.10 Lyantonde-Rushere-24hr'!F23,'27.10 Lyantonde-Rushere'!F23,'28.10 Lyantonde-Rushere-24h'!F23,'29.10 Lyantonde-Rushere'!F23,'30.10 Lyantonde-Rushere'!F23,'31.10 Lyantonde-Rushere'!F23)</f>
        <v>0.14285714285714285</v>
      </c>
      <c r="G23" s="49">
        <f>AVERAGE('25.10 Lyantonde-Rushere'!G23,'26.10 Lyantonde-Rushere-24hr'!G23,'27.10 Lyantonde-Rushere'!G23,'28.10 Lyantonde-Rushere-24h'!G23,'29.10 Lyantonde-Rushere'!G23,'30.10 Lyantonde-Rushere'!G23,'31.10 Lyantonde-Rushere'!G23)</f>
        <v>0</v>
      </c>
      <c r="H23" s="49">
        <f>AVERAGE('25.10 Lyantonde-Rushere'!H23,'26.10 Lyantonde-Rushere-24hr'!H23,'27.10 Lyantonde-Rushere'!H23,'28.10 Lyantonde-Rushere-24h'!H23,'29.10 Lyantonde-Rushere'!H23,'30.10 Lyantonde-Rushere'!H23,'31.10 Lyantonde-Rushere'!H23)</f>
        <v>0</v>
      </c>
      <c r="I23" s="49">
        <f>AVERAGE('25.10 Lyantonde-Rushere'!I23,'26.10 Lyantonde-Rushere-24hr'!I23,'27.10 Lyantonde-Rushere'!I23,'28.10 Lyantonde-Rushere-24h'!I23,'29.10 Lyantonde-Rushere'!I23,'30.10 Lyantonde-Rushere'!I23,'31.10 Lyantonde-Rushere'!I23)</f>
        <v>0.7142857142857143</v>
      </c>
      <c r="J23" s="49">
        <f>AVERAGE('25.10 Lyantonde-Rushere'!J23,'26.10 Lyantonde-Rushere-24hr'!J23,'27.10 Lyantonde-Rushere'!J23,'28.10 Lyantonde-Rushere-24h'!J23,'29.10 Lyantonde-Rushere'!J23,'30.10 Lyantonde-Rushere'!J23,'31.10 Lyantonde-Rushere'!J23)</f>
        <v>0.2857142857142857</v>
      </c>
      <c r="K23" s="49">
        <f>AVERAGE('25.10 Lyantonde-Rushere'!K23,'26.10 Lyantonde-Rushere-24hr'!K23,'27.10 Lyantonde-Rushere'!K23,'28.10 Lyantonde-Rushere-24h'!K23,'29.10 Lyantonde-Rushere'!K23,'30.10 Lyantonde-Rushere'!K23,'31.10 Lyantonde-Rushere'!K23)</f>
        <v>0.14285714285714285</v>
      </c>
      <c r="L23" s="49">
        <f>AVERAGE('25.10 Lyantonde-Rushere'!L23,'26.10 Lyantonde-Rushere-24hr'!L23,'27.10 Lyantonde-Rushere'!L23,'28.10 Lyantonde-Rushere-24h'!L23,'29.10 Lyantonde-Rushere'!L23,'30.10 Lyantonde-Rushere'!L23,'31.10 Lyantonde-Rushere'!L23)</f>
        <v>0.2857142857142857</v>
      </c>
      <c r="M23" s="49">
        <f>AVERAGE('25.10 Lyantonde-Rushere'!M23,'26.10 Lyantonde-Rushere-24hr'!M23,'27.10 Lyantonde-Rushere'!M23,'28.10 Lyantonde-Rushere-24h'!M23,'29.10 Lyantonde-Rushere'!M23,'30.10 Lyantonde-Rushere'!M23,'31.10 Lyantonde-Rushere'!M23)</f>
        <v>4.4285714285714288</v>
      </c>
      <c r="N23" s="49">
        <f>AVERAGE('25.10 Lyantonde-Rushere'!N23,'26.10 Lyantonde-Rushere-24hr'!N23,'27.10 Lyantonde-Rushere'!N23,'28.10 Lyantonde-Rushere-24h'!N23,'29.10 Lyantonde-Rushere'!N23,'30.10 Lyantonde-Rushere'!N23,'31.10 Lyantonde-Rushere'!N23)</f>
        <v>0</v>
      </c>
      <c r="O23" s="15">
        <f t="shared" si="0"/>
        <v>6.0000000000000009</v>
      </c>
      <c r="P23" s="15">
        <f t="shared" si="1"/>
        <v>10.428571428571431</v>
      </c>
      <c r="R23" s="1" t="s">
        <v>147</v>
      </c>
      <c r="S23" s="34">
        <f>SUM(C62:C65)</f>
        <v>17</v>
      </c>
      <c r="T23" s="34">
        <f t="shared" ref="T23:AF23" si="15">SUM(D62:D65)</f>
        <v>5</v>
      </c>
      <c r="U23" s="34">
        <f t="shared" si="15"/>
        <v>3.5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0.5</v>
      </c>
      <c r="Z23" s="34">
        <f t="shared" si="15"/>
        <v>1.5</v>
      </c>
      <c r="AA23" s="34">
        <f t="shared" si="15"/>
        <v>1</v>
      </c>
      <c r="AB23" s="34">
        <f t="shared" si="15"/>
        <v>1.5</v>
      </c>
      <c r="AC23" s="34">
        <f t="shared" si="15"/>
        <v>14.5</v>
      </c>
      <c r="AD23" s="34">
        <f t="shared" si="15"/>
        <v>0</v>
      </c>
      <c r="AE23" s="31">
        <f t="shared" si="15"/>
        <v>30</v>
      </c>
      <c r="AF23" s="31">
        <f t="shared" si="15"/>
        <v>44.5</v>
      </c>
    </row>
    <row r="24" spans="2:32" ht="23.1" customHeight="1" x14ac:dyDescent="0.25">
      <c r="B24" s="23" t="s">
        <v>51</v>
      </c>
      <c r="C24" s="49">
        <f>AVERAGE('25.10 Lyantonde-Rushere'!C24,'26.10 Lyantonde-Rushere-24hr'!C24,'27.10 Lyantonde-Rushere'!C24,'28.10 Lyantonde-Rushere-24h'!C24,'29.10 Lyantonde-Rushere'!C24,'30.10 Lyantonde-Rushere'!C24,'31.10 Lyantonde-Rushere'!C24)</f>
        <v>1.5714285714285714</v>
      </c>
      <c r="D24" s="49">
        <f>AVERAGE('25.10 Lyantonde-Rushere'!D24,'26.10 Lyantonde-Rushere-24hr'!D24,'27.10 Lyantonde-Rushere'!D24,'28.10 Lyantonde-Rushere-24h'!D24,'29.10 Lyantonde-Rushere'!D24,'30.10 Lyantonde-Rushere'!D24,'31.10 Lyantonde-Rushere'!D24)</f>
        <v>1.1428571428571428</v>
      </c>
      <c r="E24" s="49">
        <f>AVERAGE('25.10 Lyantonde-Rushere'!E24,'26.10 Lyantonde-Rushere-24hr'!E24,'27.10 Lyantonde-Rushere'!E24,'28.10 Lyantonde-Rushere-24h'!E24,'29.10 Lyantonde-Rushere'!E24,'30.10 Lyantonde-Rushere'!E24,'31.10 Lyantonde-Rushere'!E24)</f>
        <v>0.42857142857142855</v>
      </c>
      <c r="F24" s="49">
        <f>AVERAGE('25.10 Lyantonde-Rushere'!F24,'26.10 Lyantonde-Rushere-24hr'!F24,'27.10 Lyantonde-Rushere'!F24,'28.10 Lyantonde-Rushere-24h'!F24,'29.10 Lyantonde-Rushere'!F24,'30.10 Lyantonde-Rushere'!F24,'31.10 Lyantonde-Rushere'!F24)</f>
        <v>0</v>
      </c>
      <c r="G24" s="49">
        <f>AVERAGE('25.10 Lyantonde-Rushere'!G24,'26.10 Lyantonde-Rushere-24hr'!G24,'27.10 Lyantonde-Rushere'!G24,'28.10 Lyantonde-Rushere-24h'!G24,'29.10 Lyantonde-Rushere'!G24,'30.10 Lyantonde-Rushere'!G24,'31.10 Lyantonde-Rushere'!G24)</f>
        <v>0.2857142857142857</v>
      </c>
      <c r="H24" s="49">
        <f>AVERAGE('25.10 Lyantonde-Rushere'!H24,'26.10 Lyantonde-Rushere-24hr'!H24,'27.10 Lyantonde-Rushere'!H24,'28.10 Lyantonde-Rushere-24h'!H24,'29.10 Lyantonde-Rushere'!H24,'30.10 Lyantonde-Rushere'!H24,'31.10 Lyantonde-Rushere'!H24)</f>
        <v>0</v>
      </c>
      <c r="I24" s="49">
        <f>AVERAGE('25.10 Lyantonde-Rushere'!I24,'26.10 Lyantonde-Rushere-24hr'!I24,'27.10 Lyantonde-Rushere'!I24,'28.10 Lyantonde-Rushere-24h'!I24,'29.10 Lyantonde-Rushere'!I24,'30.10 Lyantonde-Rushere'!I24,'31.10 Lyantonde-Rushere'!I24)</f>
        <v>0.5714285714285714</v>
      </c>
      <c r="J24" s="49">
        <f>AVERAGE('25.10 Lyantonde-Rushere'!J24,'26.10 Lyantonde-Rushere-24hr'!J24,'27.10 Lyantonde-Rushere'!J24,'28.10 Lyantonde-Rushere-24h'!J24,'29.10 Lyantonde-Rushere'!J24,'30.10 Lyantonde-Rushere'!J24,'31.10 Lyantonde-Rushere'!J24)</f>
        <v>0.42857142857142855</v>
      </c>
      <c r="K24" s="49">
        <f>AVERAGE('25.10 Lyantonde-Rushere'!K24,'26.10 Lyantonde-Rushere-24hr'!K24,'27.10 Lyantonde-Rushere'!K24,'28.10 Lyantonde-Rushere-24h'!K24,'29.10 Lyantonde-Rushere'!K24,'30.10 Lyantonde-Rushere'!K24,'31.10 Lyantonde-Rushere'!K24)</f>
        <v>0.14285714285714285</v>
      </c>
      <c r="L24" s="49">
        <f>AVERAGE('25.10 Lyantonde-Rushere'!L24,'26.10 Lyantonde-Rushere-24hr'!L24,'27.10 Lyantonde-Rushere'!L24,'28.10 Lyantonde-Rushere-24h'!L24,'29.10 Lyantonde-Rushere'!L24,'30.10 Lyantonde-Rushere'!L24,'31.10 Lyantonde-Rushere'!L24)</f>
        <v>0.14285714285714285</v>
      </c>
      <c r="M24" s="49">
        <f>AVERAGE('25.10 Lyantonde-Rushere'!M24,'26.10 Lyantonde-Rushere-24hr'!M24,'27.10 Lyantonde-Rushere'!M24,'28.10 Lyantonde-Rushere-24h'!M24,'29.10 Lyantonde-Rushere'!M24,'30.10 Lyantonde-Rushere'!M24,'31.10 Lyantonde-Rushere'!M24)</f>
        <v>5</v>
      </c>
      <c r="N24" s="49">
        <f>AVERAGE('25.10 Lyantonde-Rushere'!N24,'26.10 Lyantonde-Rushere-24hr'!N24,'27.10 Lyantonde-Rushere'!N24,'28.10 Lyantonde-Rushere-24h'!N24,'29.10 Lyantonde-Rushere'!N24,'30.10 Lyantonde-Rushere'!N24,'31.10 Lyantonde-Rushere'!N24)</f>
        <v>0</v>
      </c>
      <c r="O24" s="15">
        <f t="shared" si="0"/>
        <v>4.7142857142857153</v>
      </c>
      <c r="P24" s="15">
        <f t="shared" si="1"/>
        <v>9.7142857142857153</v>
      </c>
      <c r="R24" s="1" t="s">
        <v>148</v>
      </c>
      <c r="S24" s="34">
        <f>SUM(C66:C69)</f>
        <v>15</v>
      </c>
      <c r="T24" s="34">
        <f t="shared" ref="T24:AF24" si="16">SUM(D66:D69)</f>
        <v>7.5</v>
      </c>
      <c r="U24" s="34">
        <f t="shared" si="16"/>
        <v>2</v>
      </c>
      <c r="V24" s="34">
        <f t="shared" si="16"/>
        <v>1</v>
      </c>
      <c r="W24" s="34">
        <f t="shared" si="16"/>
        <v>0</v>
      </c>
      <c r="X24" s="34">
        <f t="shared" si="16"/>
        <v>0.5</v>
      </c>
      <c r="Y24" s="34">
        <f t="shared" si="16"/>
        <v>4.5</v>
      </c>
      <c r="Z24" s="34">
        <f t="shared" si="16"/>
        <v>2</v>
      </c>
      <c r="AA24" s="34">
        <f t="shared" si="16"/>
        <v>0</v>
      </c>
      <c r="AB24" s="34">
        <f t="shared" si="16"/>
        <v>2</v>
      </c>
      <c r="AC24" s="34">
        <f t="shared" si="16"/>
        <v>9.5</v>
      </c>
      <c r="AD24" s="34">
        <f t="shared" si="16"/>
        <v>1.5</v>
      </c>
      <c r="AE24" s="31">
        <f t="shared" si="16"/>
        <v>36</v>
      </c>
      <c r="AF24" s="31">
        <f t="shared" si="16"/>
        <v>45.5</v>
      </c>
    </row>
    <row r="25" spans="2:32" ht="23.1" customHeight="1" x14ac:dyDescent="0.25">
      <c r="B25" s="23" t="s">
        <v>52</v>
      </c>
      <c r="C25" s="49">
        <f>AVERAGE('25.10 Lyantonde-Rushere'!C25,'26.10 Lyantonde-Rushere-24hr'!C25,'27.10 Lyantonde-Rushere'!C25,'28.10 Lyantonde-Rushere-24h'!C25,'29.10 Lyantonde-Rushere'!C25,'30.10 Lyantonde-Rushere'!C25,'31.10 Lyantonde-Rushere'!C25)</f>
        <v>3.8571428571428572</v>
      </c>
      <c r="D25" s="49">
        <f>AVERAGE('25.10 Lyantonde-Rushere'!D25,'26.10 Lyantonde-Rushere-24hr'!D25,'27.10 Lyantonde-Rushere'!D25,'28.10 Lyantonde-Rushere-24h'!D25,'29.10 Lyantonde-Rushere'!D25,'30.10 Lyantonde-Rushere'!D25,'31.10 Lyantonde-Rushere'!D25)</f>
        <v>1.4285714285714286</v>
      </c>
      <c r="E25" s="49">
        <f>AVERAGE('25.10 Lyantonde-Rushere'!E25,'26.10 Lyantonde-Rushere-24hr'!E25,'27.10 Lyantonde-Rushere'!E25,'28.10 Lyantonde-Rushere-24h'!E25,'29.10 Lyantonde-Rushere'!E25,'30.10 Lyantonde-Rushere'!E25,'31.10 Lyantonde-Rushere'!E25)</f>
        <v>0.5714285714285714</v>
      </c>
      <c r="F25" s="49">
        <f>AVERAGE('25.10 Lyantonde-Rushere'!F25,'26.10 Lyantonde-Rushere-24hr'!F25,'27.10 Lyantonde-Rushere'!F25,'28.10 Lyantonde-Rushere-24h'!F25,'29.10 Lyantonde-Rushere'!F25,'30.10 Lyantonde-Rushere'!F25,'31.10 Lyantonde-Rushere'!F25)</f>
        <v>0.42857142857142855</v>
      </c>
      <c r="G25" s="49">
        <f>AVERAGE('25.10 Lyantonde-Rushere'!G25,'26.10 Lyantonde-Rushere-24hr'!G25,'27.10 Lyantonde-Rushere'!G25,'28.10 Lyantonde-Rushere-24h'!G25,'29.10 Lyantonde-Rushere'!G25,'30.10 Lyantonde-Rushere'!G25,'31.10 Lyantonde-Rushere'!G25)</f>
        <v>0</v>
      </c>
      <c r="H25" s="49">
        <f>AVERAGE('25.10 Lyantonde-Rushere'!H25,'26.10 Lyantonde-Rushere-24hr'!H25,'27.10 Lyantonde-Rushere'!H25,'28.10 Lyantonde-Rushere-24h'!H25,'29.10 Lyantonde-Rushere'!H25,'30.10 Lyantonde-Rushere'!H25,'31.10 Lyantonde-Rushere'!H25)</f>
        <v>0</v>
      </c>
      <c r="I25" s="49">
        <f>AVERAGE('25.10 Lyantonde-Rushere'!I25,'26.10 Lyantonde-Rushere-24hr'!I25,'27.10 Lyantonde-Rushere'!I25,'28.10 Lyantonde-Rushere-24h'!I25,'29.10 Lyantonde-Rushere'!I25,'30.10 Lyantonde-Rushere'!I25,'31.10 Lyantonde-Rushere'!I25)</f>
        <v>0.42857142857142855</v>
      </c>
      <c r="J25" s="49">
        <f>AVERAGE('25.10 Lyantonde-Rushere'!J25,'26.10 Lyantonde-Rushere-24hr'!J25,'27.10 Lyantonde-Rushere'!J25,'28.10 Lyantonde-Rushere-24h'!J25,'29.10 Lyantonde-Rushere'!J25,'30.10 Lyantonde-Rushere'!J25,'31.10 Lyantonde-Rushere'!J25)</f>
        <v>0.2857142857142857</v>
      </c>
      <c r="K25" s="49">
        <f>AVERAGE('25.10 Lyantonde-Rushere'!K25,'26.10 Lyantonde-Rushere-24hr'!K25,'27.10 Lyantonde-Rushere'!K25,'28.10 Lyantonde-Rushere-24h'!K25,'29.10 Lyantonde-Rushere'!K25,'30.10 Lyantonde-Rushere'!K25,'31.10 Lyantonde-Rushere'!K25)</f>
        <v>0</v>
      </c>
      <c r="L25" s="49">
        <f>AVERAGE('25.10 Lyantonde-Rushere'!L25,'26.10 Lyantonde-Rushere-24hr'!L25,'27.10 Lyantonde-Rushere'!L25,'28.10 Lyantonde-Rushere-24h'!L25,'29.10 Lyantonde-Rushere'!L25,'30.10 Lyantonde-Rushere'!L25,'31.10 Lyantonde-Rushere'!L25)</f>
        <v>0</v>
      </c>
      <c r="M25" s="49">
        <f>AVERAGE('25.10 Lyantonde-Rushere'!M25,'26.10 Lyantonde-Rushere-24hr'!M25,'27.10 Lyantonde-Rushere'!M25,'28.10 Lyantonde-Rushere-24h'!M25,'29.10 Lyantonde-Rushere'!M25,'30.10 Lyantonde-Rushere'!M25,'31.10 Lyantonde-Rushere'!M25)</f>
        <v>5.5714285714285712</v>
      </c>
      <c r="N25" s="49">
        <f>AVERAGE('25.10 Lyantonde-Rushere'!N25,'26.10 Lyantonde-Rushere-24hr'!N25,'27.10 Lyantonde-Rushere'!N25,'28.10 Lyantonde-Rushere-24h'!N25,'29.10 Lyantonde-Rushere'!N25,'30.10 Lyantonde-Rushere'!N25,'31.10 Lyantonde-Rushere'!N25)</f>
        <v>0</v>
      </c>
      <c r="O25" s="15">
        <f t="shared" si="0"/>
        <v>7</v>
      </c>
      <c r="P25" s="15">
        <f t="shared" si="1"/>
        <v>12.571428571428571</v>
      </c>
      <c r="R25" s="1" t="s">
        <v>149</v>
      </c>
      <c r="S25" s="34">
        <f>SUM(C70:C73)</f>
        <v>13.5</v>
      </c>
      <c r="T25" s="34">
        <f t="shared" ref="T25:AF25" si="17">SUM(D70:D73)</f>
        <v>5.5</v>
      </c>
      <c r="U25" s="34">
        <f t="shared" si="17"/>
        <v>3</v>
      </c>
      <c r="V25" s="34">
        <f t="shared" si="17"/>
        <v>1</v>
      </c>
      <c r="W25" s="34">
        <f t="shared" si="17"/>
        <v>0</v>
      </c>
      <c r="X25" s="34">
        <f t="shared" si="17"/>
        <v>0.5</v>
      </c>
      <c r="Y25" s="34">
        <f t="shared" si="17"/>
        <v>5.5</v>
      </c>
      <c r="Z25" s="34">
        <f t="shared" si="17"/>
        <v>2</v>
      </c>
      <c r="AA25" s="34">
        <f t="shared" si="17"/>
        <v>4</v>
      </c>
      <c r="AB25" s="34">
        <f t="shared" si="17"/>
        <v>4</v>
      </c>
      <c r="AC25" s="34">
        <f t="shared" si="17"/>
        <v>8.5</v>
      </c>
      <c r="AD25" s="34">
        <f t="shared" si="17"/>
        <v>0</v>
      </c>
      <c r="AE25" s="31">
        <f t="shared" si="17"/>
        <v>39</v>
      </c>
      <c r="AF25" s="31">
        <f t="shared" si="17"/>
        <v>47.5</v>
      </c>
    </row>
    <row r="26" spans="2:32" ht="23.1" customHeight="1" x14ac:dyDescent="0.25">
      <c r="B26" s="23" t="s">
        <v>53</v>
      </c>
      <c r="C26" s="49">
        <f>AVERAGE('25.10 Lyantonde-Rushere'!C26,'26.10 Lyantonde-Rushere-24hr'!C26,'27.10 Lyantonde-Rushere'!C26,'28.10 Lyantonde-Rushere-24h'!C26,'29.10 Lyantonde-Rushere'!C26,'30.10 Lyantonde-Rushere'!C26,'31.10 Lyantonde-Rushere'!C26)</f>
        <v>2.1428571428571428</v>
      </c>
      <c r="D26" s="49">
        <f>AVERAGE('25.10 Lyantonde-Rushere'!D26,'26.10 Lyantonde-Rushere-24hr'!D26,'27.10 Lyantonde-Rushere'!D26,'28.10 Lyantonde-Rushere-24h'!D26,'29.10 Lyantonde-Rushere'!D26,'30.10 Lyantonde-Rushere'!D26,'31.10 Lyantonde-Rushere'!D26)</f>
        <v>1.5714285714285714</v>
      </c>
      <c r="E26" s="49">
        <f>AVERAGE('25.10 Lyantonde-Rushere'!E26,'26.10 Lyantonde-Rushere-24hr'!E26,'27.10 Lyantonde-Rushere'!E26,'28.10 Lyantonde-Rushere-24h'!E26,'29.10 Lyantonde-Rushere'!E26,'30.10 Lyantonde-Rushere'!E26,'31.10 Lyantonde-Rushere'!E26)</f>
        <v>1.1428571428571428</v>
      </c>
      <c r="F26" s="49">
        <f>AVERAGE('25.10 Lyantonde-Rushere'!F26,'26.10 Lyantonde-Rushere-24hr'!F26,'27.10 Lyantonde-Rushere'!F26,'28.10 Lyantonde-Rushere-24h'!F26,'29.10 Lyantonde-Rushere'!F26,'30.10 Lyantonde-Rushere'!F26,'31.10 Lyantonde-Rushere'!F26)</f>
        <v>0</v>
      </c>
      <c r="G26" s="49">
        <f>AVERAGE('25.10 Lyantonde-Rushere'!G26,'26.10 Lyantonde-Rushere-24hr'!G26,'27.10 Lyantonde-Rushere'!G26,'28.10 Lyantonde-Rushere-24h'!G26,'29.10 Lyantonde-Rushere'!G26,'30.10 Lyantonde-Rushere'!G26,'31.10 Lyantonde-Rushere'!G26)</f>
        <v>0.14285714285714285</v>
      </c>
      <c r="H26" s="49">
        <f>AVERAGE('25.10 Lyantonde-Rushere'!H26,'26.10 Lyantonde-Rushere-24hr'!H26,'27.10 Lyantonde-Rushere'!H26,'28.10 Lyantonde-Rushere-24h'!H26,'29.10 Lyantonde-Rushere'!H26,'30.10 Lyantonde-Rushere'!H26,'31.10 Lyantonde-Rushere'!H26)</f>
        <v>0</v>
      </c>
      <c r="I26" s="49">
        <f>AVERAGE('25.10 Lyantonde-Rushere'!I26,'26.10 Lyantonde-Rushere-24hr'!I26,'27.10 Lyantonde-Rushere'!I26,'28.10 Lyantonde-Rushere-24h'!I26,'29.10 Lyantonde-Rushere'!I26,'30.10 Lyantonde-Rushere'!I26,'31.10 Lyantonde-Rushere'!I26)</f>
        <v>0.7142857142857143</v>
      </c>
      <c r="J26" s="49">
        <f>AVERAGE('25.10 Lyantonde-Rushere'!J26,'26.10 Lyantonde-Rushere-24hr'!J26,'27.10 Lyantonde-Rushere'!J26,'28.10 Lyantonde-Rushere-24h'!J26,'29.10 Lyantonde-Rushere'!J26,'30.10 Lyantonde-Rushere'!J26,'31.10 Lyantonde-Rushere'!J26)</f>
        <v>0.5714285714285714</v>
      </c>
      <c r="K26" s="49">
        <f>AVERAGE('25.10 Lyantonde-Rushere'!K26,'26.10 Lyantonde-Rushere-24hr'!K26,'27.10 Lyantonde-Rushere'!K26,'28.10 Lyantonde-Rushere-24h'!K26,'29.10 Lyantonde-Rushere'!K26,'30.10 Lyantonde-Rushere'!K26,'31.10 Lyantonde-Rushere'!K26)</f>
        <v>0.2857142857142857</v>
      </c>
      <c r="L26" s="49">
        <f>AVERAGE('25.10 Lyantonde-Rushere'!L26,'26.10 Lyantonde-Rushere-24hr'!L26,'27.10 Lyantonde-Rushere'!L26,'28.10 Lyantonde-Rushere-24h'!L26,'29.10 Lyantonde-Rushere'!L26,'30.10 Lyantonde-Rushere'!L26,'31.10 Lyantonde-Rushere'!L26)</f>
        <v>0</v>
      </c>
      <c r="M26" s="49">
        <f>AVERAGE('25.10 Lyantonde-Rushere'!M26,'26.10 Lyantonde-Rushere-24hr'!M26,'27.10 Lyantonde-Rushere'!M26,'28.10 Lyantonde-Rushere-24h'!M26,'29.10 Lyantonde-Rushere'!M26,'30.10 Lyantonde-Rushere'!M26,'31.10 Lyantonde-Rushere'!M26)</f>
        <v>6</v>
      </c>
      <c r="N26" s="49">
        <f>AVERAGE('25.10 Lyantonde-Rushere'!N26,'26.10 Lyantonde-Rushere-24hr'!N26,'27.10 Lyantonde-Rushere'!N26,'28.10 Lyantonde-Rushere-24h'!N26,'29.10 Lyantonde-Rushere'!N26,'30.10 Lyantonde-Rushere'!N26,'31.10 Lyantonde-Rushere'!N26)</f>
        <v>0</v>
      </c>
      <c r="O26" s="15">
        <f t="shared" si="0"/>
        <v>6.5714285714285721</v>
      </c>
      <c r="P26" s="15">
        <f t="shared" si="1"/>
        <v>12.571428571428573</v>
      </c>
      <c r="R26" s="1" t="s">
        <v>150</v>
      </c>
      <c r="S26" s="34">
        <f>SUM(C74:C77)</f>
        <v>18</v>
      </c>
      <c r="T26" s="34">
        <f t="shared" ref="T26:AF26" si="18">SUM(D74:D77)</f>
        <v>9</v>
      </c>
      <c r="U26" s="34">
        <f t="shared" si="18"/>
        <v>4.5</v>
      </c>
      <c r="V26" s="34">
        <f t="shared" si="18"/>
        <v>1.5</v>
      </c>
      <c r="W26" s="34">
        <f t="shared" si="18"/>
        <v>0</v>
      </c>
      <c r="X26" s="34">
        <f t="shared" si="18"/>
        <v>0</v>
      </c>
      <c r="Y26" s="34">
        <f t="shared" si="18"/>
        <v>1</v>
      </c>
      <c r="Z26" s="34">
        <f t="shared" si="18"/>
        <v>2</v>
      </c>
      <c r="AA26" s="34">
        <f t="shared" si="18"/>
        <v>5</v>
      </c>
      <c r="AB26" s="34">
        <f t="shared" si="18"/>
        <v>4.5</v>
      </c>
      <c r="AC26" s="34">
        <f t="shared" si="18"/>
        <v>8.5</v>
      </c>
      <c r="AD26" s="34">
        <f t="shared" si="18"/>
        <v>0</v>
      </c>
      <c r="AE26" s="31">
        <f t="shared" si="18"/>
        <v>45.5</v>
      </c>
      <c r="AF26" s="31">
        <f t="shared" si="18"/>
        <v>54</v>
      </c>
    </row>
    <row r="27" spans="2:32" ht="23.1" customHeight="1" x14ac:dyDescent="0.25">
      <c r="B27" s="23" t="s">
        <v>54</v>
      </c>
      <c r="C27" s="49">
        <f>AVERAGE('25.10 Lyantonde-Rushere'!C27,'26.10 Lyantonde-Rushere-24hr'!C27,'27.10 Lyantonde-Rushere'!C27,'28.10 Lyantonde-Rushere-24h'!C27,'29.10 Lyantonde-Rushere'!C27,'30.10 Lyantonde-Rushere'!C27,'31.10 Lyantonde-Rushere'!C27)</f>
        <v>3</v>
      </c>
      <c r="D27" s="49">
        <f>AVERAGE('25.10 Lyantonde-Rushere'!D27,'26.10 Lyantonde-Rushere-24hr'!D27,'27.10 Lyantonde-Rushere'!D27,'28.10 Lyantonde-Rushere-24h'!D27,'29.10 Lyantonde-Rushere'!D27,'30.10 Lyantonde-Rushere'!D27,'31.10 Lyantonde-Rushere'!D27)</f>
        <v>1.2857142857142858</v>
      </c>
      <c r="E27" s="49">
        <f>AVERAGE('25.10 Lyantonde-Rushere'!E27,'26.10 Lyantonde-Rushere-24hr'!E27,'27.10 Lyantonde-Rushere'!E27,'28.10 Lyantonde-Rushere-24h'!E27,'29.10 Lyantonde-Rushere'!E27,'30.10 Lyantonde-Rushere'!E27,'31.10 Lyantonde-Rushere'!E27)</f>
        <v>0.8571428571428571</v>
      </c>
      <c r="F27" s="49">
        <f>AVERAGE('25.10 Lyantonde-Rushere'!F27,'26.10 Lyantonde-Rushere-24hr'!F27,'27.10 Lyantonde-Rushere'!F27,'28.10 Lyantonde-Rushere-24h'!F27,'29.10 Lyantonde-Rushere'!F27,'30.10 Lyantonde-Rushere'!F27,'31.10 Lyantonde-Rushere'!F27)</f>
        <v>0.14285714285714285</v>
      </c>
      <c r="G27" s="49">
        <f>AVERAGE('25.10 Lyantonde-Rushere'!G27,'26.10 Lyantonde-Rushere-24hr'!G27,'27.10 Lyantonde-Rushere'!G27,'28.10 Lyantonde-Rushere-24h'!G27,'29.10 Lyantonde-Rushere'!G27,'30.10 Lyantonde-Rushere'!G27,'31.10 Lyantonde-Rushere'!G27)</f>
        <v>0</v>
      </c>
      <c r="H27" s="49">
        <f>AVERAGE('25.10 Lyantonde-Rushere'!H27,'26.10 Lyantonde-Rushere-24hr'!H27,'27.10 Lyantonde-Rushere'!H27,'28.10 Lyantonde-Rushere-24h'!H27,'29.10 Lyantonde-Rushere'!H27,'30.10 Lyantonde-Rushere'!H27,'31.10 Lyantonde-Rushere'!H27)</f>
        <v>0</v>
      </c>
      <c r="I27" s="49">
        <f>AVERAGE('25.10 Lyantonde-Rushere'!I27,'26.10 Lyantonde-Rushere-24hr'!I27,'27.10 Lyantonde-Rushere'!I27,'28.10 Lyantonde-Rushere-24h'!I27,'29.10 Lyantonde-Rushere'!I27,'30.10 Lyantonde-Rushere'!I27,'31.10 Lyantonde-Rushere'!I27)</f>
        <v>0.5714285714285714</v>
      </c>
      <c r="J27" s="49">
        <f>AVERAGE('25.10 Lyantonde-Rushere'!J27,'26.10 Lyantonde-Rushere-24hr'!J27,'27.10 Lyantonde-Rushere'!J27,'28.10 Lyantonde-Rushere-24h'!J27,'29.10 Lyantonde-Rushere'!J27,'30.10 Lyantonde-Rushere'!J27,'31.10 Lyantonde-Rushere'!J27)</f>
        <v>0.8571428571428571</v>
      </c>
      <c r="K27" s="49">
        <f>AVERAGE('25.10 Lyantonde-Rushere'!K27,'26.10 Lyantonde-Rushere-24hr'!K27,'27.10 Lyantonde-Rushere'!K27,'28.10 Lyantonde-Rushere-24h'!K27,'29.10 Lyantonde-Rushere'!K27,'30.10 Lyantonde-Rushere'!K27,'31.10 Lyantonde-Rushere'!K27)</f>
        <v>0</v>
      </c>
      <c r="L27" s="49">
        <f>AVERAGE('25.10 Lyantonde-Rushere'!L27,'26.10 Lyantonde-Rushere-24hr'!L27,'27.10 Lyantonde-Rushere'!L27,'28.10 Lyantonde-Rushere-24h'!L27,'29.10 Lyantonde-Rushere'!L27,'30.10 Lyantonde-Rushere'!L27,'31.10 Lyantonde-Rushere'!L27)</f>
        <v>0.14285714285714285</v>
      </c>
      <c r="M27" s="49">
        <f>AVERAGE('25.10 Lyantonde-Rushere'!M27,'26.10 Lyantonde-Rushere-24hr'!M27,'27.10 Lyantonde-Rushere'!M27,'28.10 Lyantonde-Rushere-24h'!M27,'29.10 Lyantonde-Rushere'!M27,'30.10 Lyantonde-Rushere'!M27,'31.10 Lyantonde-Rushere'!M27)</f>
        <v>7.2857142857142856</v>
      </c>
      <c r="N27" s="49">
        <f>AVERAGE('25.10 Lyantonde-Rushere'!N27,'26.10 Lyantonde-Rushere-24hr'!N27,'27.10 Lyantonde-Rushere'!N27,'28.10 Lyantonde-Rushere-24h'!N27,'29.10 Lyantonde-Rushere'!N27,'30.10 Lyantonde-Rushere'!N27,'31.10 Lyantonde-Rushere'!N27)</f>
        <v>0</v>
      </c>
      <c r="O27" s="15">
        <f t="shared" si="0"/>
        <v>6.8571428571428568</v>
      </c>
      <c r="P27" s="15">
        <f t="shared" si="1"/>
        <v>14.142857142857142</v>
      </c>
      <c r="R27" s="1" t="s">
        <v>151</v>
      </c>
      <c r="S27" s="34">
        <f>SUM(C78:C81)</f>
        <v>8.5</v>
      </c>
      <c r="T27" s="34">
        <f t="shared" ref="T27:AF27" si="19">SUM(D78:D81)</f>
        <v>7.5</v>
      </c>
      <c r="U27" s="34">
        <f t="shared" si="19"/>
        <v>3</v>
      </c>
      <c r="V27" s="34">
        <f t="shared" si="19"/>
        <v>0</v>
      </c>
      <c r="W27" s="34">
        <f t="shared" si="19"/>
        <v>0.5</v>
      </c>
      <c r="X27" s="34">
        <f t="shared" si="19"/>
        <v>0</v>
      </c>
      <c r="Y27" s="34">
        <f t="shared" si="19"/>
        <v>3</v>
      </c>
      <c r="Z27" s="34">
        <f t="shared" si="19"/>
        <v>1</v>
      </c>
      <c r="AA27" s="34">
        <f t="shared" si="19"/>
        <v>3</v>
      </c>
      <c r="AB27" s="34">
        <f t="shared" si="19"/>
        <v>3</v>
      </c>
      <c r="AC27" s="34">
        <f t="shared" si="19"/>
        <v>2.5</v>
      </c>
      <c r="AD27" s="34">
        <f t="shared" si="19"/>
        <v>0</v>
      </c>
      <c r="AE27" s="31">
        <f t="shared" si="19"/>
        <v>29.5</v>
      </c>
      <c r="AF27" s="31">
        <f t="shared" si="19"/>
        <v>32</v>
      </c>
    </row>
    <row r="28" spans="2:32" ht="23.1" customHeight="1" x14ac:dyDescent="0.25">
      <c r="B28" s="23" t="s">
        <v>55</v>
      </c>
      <c r="C28" s="49">
        <f>AVERAGE('25.10 Lyantonde-Rushere'!C28,'26.10 Lyantonde-Rushere-24hr'!C28,'27.10 Lyantonde-Rushere'!C28,'28.10 Lyantonde-Rushere-24h'!C28,'29.10 Lyantonde-Rushere'!C28,'30.10 Lyantonde-Rushere'!C28,'31.10 Lyantonde-Rushere'!C28)</f>
        <v>5.1428571428571432</v>
      </c>
      <c r="D28" s="49">
        <f>AVERAGE('25.10 Lyantonde-Rushere'!D28,'26.10 Lyantonde-Rushere-24hr'!D28,'27.10 Lyantonde-Rushere'!D28,'28.10 Lyantonde-Rushere-24h'!D28,'29.10 Lyantonde-Rushere'!D28,'30.10 Lyantonde-Rushere'!D28,'31.10 Lyantonde-Rushere'!D28)</f>
        <v>1.1428571428571428</v>
      </c>
      <c r="E28" s="49">
        <f>AVERAGE('25.10 Lyantonde-Rushere'!E28,'26.10 Lyantonde-Rushere-24hr'!E28,'27.10 Lyantonde-Rushere'!E28,'28.10 Lyantonde-Rushere-24h'!E28,'29.10 Lyantonde-Rushere'!E28,'30.10 Lyantonde-Rushere'!E28,'31.10 Lyantonde-Rushere'!E28)</f>
        <v>1</v>
      </c>
      <c r="F28" s="49">
        <f>AVERAGE('25.10 Lyantonde-Rushere'!F28,'26.10 Lyantonde-Rushere-24hr'!F28,'27.10 Lyantonde-Rushere'!F28,'28.10 Lyantonde-Rushere-24h'!F28,'29.10 Lyantonde-Rushere'!F28,'30.10 Lyantonde-Rushere'!F28,'31.10 Lyantonde-Rushere'!F28)</f>
        <v>0.14285714285714285</v>
      </c>
      <c r="G28" s="49">
        <f>AVERAGE('25.10 Lyantonde-Rushere'!G28,'26.10 Lyantonde-Rushere-24hr'!G28,'27.10 Lyantonde-Rushere'!G28,'28.10 Lyantonde-Rushere-24h'!G28,'29.10 Lyantonde-Rushere'!G28,'30.10 Lyantonde-Rushere'!G28,'31.10 Lyantonde-Rushere'!G28)</f>
        <v>0</v>
      </c>
      <c r="H28" s="49">
        <f>AVERAGE('25.10 Lyantonde-Rushere'!H28,'26.10 Lyantonde-Rushere-24hr'!H28,'27.10 Lyantonde-Rushere'!H28,'28.10 Lyantonde-Rushere-24h'!H28,'29.10 Lyantonde-Rushere'!H28,'30.10 Lyantonde-Rushere'!H28,'31.10 Lyantonde-Rushere'!H28)</f>
        <v>0</v>
      </c>
      <c r="I28" s="49">
        <f>AVERAGE('25.10 Lyantonde-Rushere'!I28,'26.10 Lyantonde-Rushere-24hr'!I28,'27.10 Lyantonde-Rushere'!I28,'28.10 Lyantonde-Rushere-24h'!I28,'29.10 Lyantonde-Rushere'!I28,'30.10 Lyantonde-Rushere'!I28,'31.10 Lyantonde-Rushere'!I28)</f>
        <v>1.2857142857142858</v>
      </c>
      <c r="J28" s="49">
        <f>AVERAGE('25.10 Lyantonde-Rushere'!J28,'26.10 Lyantonde-Rushere-24hr'!J28,'27.10 Lyantonde-Rushere'!J28,'28.10 Lyantonde-Rushere-24h'!J28,'29.10 Lyantonde-Rushere'!J28,'30.10 Lyantonde-Rushere'!J28,'31.10 Lyantonde-Rushere'!J28)</f>
        <v>0.8571428571428571</v>
      </c>
      <c r="K28" s="49">
        <f>AVERAGE('25.10 Lyantonde-Rushere'!K28,'26.10 Lyantonde-Rushere-24hr'!K28,'27.10 Lyantonde-Rushere'!K28,'28.10 Lyantonde-Rushere-24h'!K28,'29.10 Lyantonde-Rushere'!K28,'30.10 Lyantonde-Rushere'!K28,'31.10 Lyantonde-Rushere'!K28)</f>
        <v>0.14285714285714285</v>
      </c>
      <c r="L28" s="49">
        <f>AVERAGE('25.10 Lyantonde-Rushere'!L28,'26.10 Lyantonde-Rushere-24hr'!L28,'27.10 Lyantonde-Rushere'!L28,'28.10 Lyantonde-Rushere-24h'!L28,'29.10 Lyantonde-Rushere'!L28,'30.10 Lyantonde-Rushere'!L28,'31.10 Lyantonde-Rushere'!L28)</f>
        <v>0.14285714285714285</v>
      </c>
      <c r="M28" s="49">
        <f>AVERAGE('25.10 Lyantonde-Rushere'!M28,'26.10 Lyantonde-Rushere-24hr'!M28,'27.10 Lyantonde-Rushere'!M28,'28.10 Lyantonde-Rushere-24h'!M28,'29.10 Lyantonde-Rushere'!M28,'30.10 Lyantonde-Rushere'!M28,'31.10 Lyantonde-Rushere'!M28)</f>
        <v>8</v>
      </c>
      <c r="N28" s="49">
        <f>AVERAGE('25.10 Lyantonde-Rushere'!N28,'26.10 Lyantonde-Rushere-24hr'!N28,'27.10 Lyantonde-Rushere'!N28,'28.10 Lyantonde-Rushere-24h'!N28,'29.10 Lyantonde-Rushere'!N28,'30.10 Lyantonde-Rushere'!N28,'31.10 Lyantonde-Rushere'!N28)</f>
        <v>0</v>
      </c>
      <c r="O28" s="15">
        <f t="shared" si="0"/>
        <v>9.8571428571428577</v>
      </c>
      <c r="P28" s="15">
        <f t="shared" si="1"/>
        <v>17.857142857142858</v>
      </c>
      <c r="R28" s="1" t="s">
        <v>152</v>
      </c>
      <c r="S28" s="34">
        <f>SUM(C82:C85)</f>
        <v>7</v>
      </c>
      <c r="T28" s="34">
        <f t="shared" ref="T28:AF28" si="20">SUM(D82:D85)</f>
        <v>4</v>
      </c>
      <c r="U28" s="34">
        <f t="shared" si="20"/>
        <v>2.5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3</v>
      </c>
      <c r="AA28" s="34">
        <f t="shared" si="20"/>
        <v>2.5</v>
      </c>
      <c r="AB28" s="34">
        <f t="shared" si="20"/>
        <v>3.5</v>
      </c>
      <c r="AC28" s="34">
        <f t="shared" si="20"/>
        <v>2</v>
      </c>
      <c r="AD28" s="34">
        <f t="shared" si="20"/>
        <v>0</v>
      </c>
      <c r="AE28" s="31">
        <f t="shared" si="20"/>
        <v>24.5</v>
      </c>
      <c r="AF28" s="31">
        <f t="shared" si="20"/>
        <v>26.5</v>
      </c>
    </row>
    <row r="29" spans="2:32" ht="23.1" customHeight="1" x14ac:dyDescent="0.25">
      <c r="B29" s="23" t="s">
        <v>56</v>
      </c>
      <c r="C29" s="49">
        <f>AVERAGE('25.10 Lyantonde-Rushere'!C29,'26.10 Lyantonde-Rushere-24hr'!C29,'27.10 Lyantonde-Rushere'!C29,'28.10 Lyantonde-Rushere-24h'!C29,'29.10 Lyantonde-Rushere'!C29,'30.10 Lyantonde-Rushere'!C29,'31.10 Lyantonde-Rushere'!C29)</f>
        <v>4.1428571428571432</v>
      </c>
      <c r="D29" s="49">
        <f>AVERAGE('25.10 Lyantonde-Rushere'!D29,'26.10 Lyantonde-Rushere-24hr'!D29,'27.10 Lyantonde-Rushere'!D29,'28.10 Lyantonde-Rushere-24h'!D29,'29.10 Lyantonde-Rushere'!D29,'30.10 Lyantonde-Rushere'!D29,'31.10 Lyantonde-Rushere'!D29)</f>
        <v>1.1428571428571428</v>
      </c>
      <c r="E29" s="49">
        <f>AVERAGE('25.10 Lyantonde-Rushere'!E29,'26.10 Lyantonde-Rushere-24hr'!E29,'27.10 Lyantonde-Rushere'!E29,'28.10 Lyantonde-Rushere-24h'!E29,'29.10 Lyantonde-Rushere'!E29,'30.10 Lyantonde-Rushere'!E29,'31.10 Lyantonde-Rushere'!E29)</f>
        <v>1.1428571428571428</v>
      </c>
      <c r="F29" s="49">
        <f>AVERAGE('25.10 Lyantonde-Rushere'!F29,'26.10 Lyantonde-Rushere-24hr'!F29,'27.10 Lyantonde-Rushere'!F29,'28.10 Lyantonde-Rushere-24h'!F29,'29.10 Lyantonde-Rushere'!F29,'30.10 Lyantonde-Rushere'!F29,'31.10 Lyantonde-Rushere'!F29)</f>
        <v>0.7142857142857143</v>
      </c>
      <c r="G29" s="49">
        <f>AVERAGE('25.10 Lyantonde-Rushere'!G29,'26.10 Lyantonde-Rushere-24hr'!G29,'27.10 Lyantonde-Rushere'!G29,'28.10 Lyantonde-Rushere-24h'!G29,'29.10 Lyantonde-Rushere'!G29,'30.10 Lyantonde-Rushere'!G29,'31.10 Lyantonde-Rushere'!G29)</f>
        <v>0.2857142857142857</v>
      </c>
      <c r="H29" s="49">
        <f>AVERAGE('25.10 Lyantonde-Rushere'!H29,'26.10 Lyantonde-Rushere-24hr'!H29,'27.10 Lyantonde-Rushere'!H29,'28.10 Lyantonde-Rushere-24h'!H29,'29.10 Lyantonde-Rushere'!H29,'30.10 Lyantonde-Rushere'!H29,'31.10 Lyantonde-Rushere'!H29)</f>
        <v>0.14285714285714285</v>
      </c>
      <c r="I29" s="49">
        <f>AVERAGE('25.10 Lyantonde-Rushere'!I29,'26.10 Lyantonde-Rushere-24hr'!I29,'27.10 Lyantonde-Rushere'!I29,'28.10 Lyantonde-Rushere-24h'!I29,'29.10 Lyantonde-Rushere'!I29,'30.10 Lyantonde-Rushere'!I29,'31.10 Lyantonde-Rushere'!I29)</f>
        <v>0.8571428571428571</v>
      </c>
      <c r="J29" s="49">
        <f>AVERAGE('25.10 Lyantonde-Rushere'!J29,'26.10 Lyantonde-Rushere-24hr'!J29,'27.10 Lyantonde-Rushere'!J29,'28.10 Lyantonde-Rushere-24h'!J29,'29.10 Lyantonde-Rushere'!J29,'30.10 Lyantonde-Rushere'!J29,'31.10 Lyantonde-Rushere'!J29)</f>
        <v>1</v>
      </c>
      <c r="K29" s="49">
        <f>AVERAGE('25.10 Lyantonde-Rushere'!K29,'26.10 Lyantonde-Rushere-24hr'!K29,'27.10 Lyantonde-Rushere'!K29,'28.10 Lyantonde-Rushere-24h'!K29,'29.10 Lyantonde-Rushere'!K29,'30.10 Lyantonde-Rushere'!K29,'31.10 Lyantonde-Rushere'!K29)</f>
        <v>0.14285714285714285</v>
      </c>
      <c r="L29" s="49">
        <f>AVERAGE('25.10 Lyantonde-Rushere'!L29,'26.10 Lyantonde-Rushere-24hr'!L29,'27.10 Lyantonde-Rushere'!L29,'28.10 Lyantonde-Rushere-24h'!L29,'29.10 Lyantonde-Rushere'!L29,'30.10 Lyantonde-Rushere'!L29,'31.10 Lyantonde-Rushere'!L29)</f>
        <v>0.2857142857142857</v>
      </c>
      <c r="M29" s="49">
        <f>AVERAGE('25.10 Lyantonde-Rushere'!M29,'26.10 Lyantonde-Rushere-24hr'!M29,'27.10 Lyantonde-Rushere'!M29,'28.10 Lyantonde-Rushere-24h'!M29,'29.10 Lyantonde-Rushere'!M29,'30.10 Lyantonde-Rushere'!M29,'31.10 Lyantonde-Rushere'!M29)</f>
        <v>7</v>
      </c>
      <c r="N29" s="49">
        <f>AVERAGE('25.10 Lyantonde-Rushere'!N29,'26.10 Lyantonde-Rushere-24hr'!N29,'27.10 Lyantonde-Rushere'!N29,'28.10 Lyantonde-Rushere-24h'!N29,'29.10 Lyantonde-Rushere'!N29,'30.10 Lyantonde-Rushere'!N29,'31.10 Lyantonde-Rushere'!N29)</f>
        <v>0</v>
      </c>
      <c r="O29" s="15">
        <f t="shared" si="0"/>
        <v>9.8571428571428577</v>
      </c>
      <c r="P29" s="15">
        <f t="shared" si="1"/>
        <v>16.857142857142858</v>
      </c>
      <c r="R29" s="1" t="s">
        <v>153</v>
      </c>
      <c r="S29" s="34">
        <f>SUM(C86:C89)</f>
        <v>5.5</v>
      </c>
      <c r="T29" s="34">
        <f t="shared" ref="T29:AF29" si="21">SUM(D86:D89)</f>
        <v>3.5</v>
      </c>
      <c r="U29" s="34">
        <f t="shared" si="21"/>
        <v>2.5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3.5</v>
      </c>
      <c r="Z29" s="34">
        <f t="shared" si="21"/>
        <v>1.5</v>
      </c>
      <c r="AA29" s="34">
        <f t="shared" si="21"/>
        <v>4</v>
      </c>
      <c r="AB29" s="34">
        <f t="shared" si="21"/>
        <v>4.5</v>
      </c>
      <c r="AC29" s="34">
        <f t="shared" si="21"/>
        <v>0</v>
      </c>
      <c r="AD29" s="34">
        <f t="shared" si="21"/>
        <v>0</v>
      </c>
      <c r="AE29" s="31">
        <f t="shared" si="21"/>
        <v>25</v>
      </c>
      <c r="AF29" s="31">
        <f t="shared" si="21"/>
        <v>25</v>
      </c>
    </row>
    <row r="30" spans="2:32" ht="23.1" customHeight="1" x14ac:dyDescent="0.25">
      <c r="B30" s="23" t="s">
        <v>57</v>
      </c>
      <c r="C30" s="49">
        <f>AVERAGE('25.10 Lyantonde-Rushere'!C30,'26.10 Lyantonde-Rushere-24hr'!C30,'27.10 Lyantonde-Rushere'!C30,'28.10 Lyantonde-Rushere-24h'!C30,'29.10 Lyantonde-Rushere'!C30,'30.10 Lyantonde-Rushere'!C30,'31.10 Lyantonde-Rushere'!C30)</f>
        <v>3.1428571428571428</v>
      </c>
      <c r="D30" s="49">
        <f>AVERAGE('25.10 Lyantonde-Rushere'!D30,'26.10 Lyantonde-Rushere-24hr'!D30,'27.10 Lyantonde-Rushere'!D30,'28.10 Lyantonde-Rushere-24h'!D30,'29.10 Lyantonde-Rushere'!D30,'30.10 Lyantonde-Rushere'!D30,'31.10 Lyantonde-Rushere'!D30)</f>
        <v>1.4285714285714286</v>
      </c>
      <c r="E30" s="49">
        <f>AVERAGE('25.10 Lyantonde-Rushere'!E30,'26.10 Lyantonde-Rushere-24hr'!E30,'27.10 Lyantonde-Rushere'!E30,'28.10 Lyantonde-Rushere-24h'!E30,'29.10 Lyantonde-Rushere'!E30,'30.10 Lyantonde-Rushere'!E30,'31.10 Lyantonde-Rushere'!E30)</f>
        <v>0.2857142857142857</v>
      </c>
      <c r="F30" s="49">
        <f>AVERAGE('25.10 Lyantonde-Rushere'!F30,'26.10 Lyantonde-Rushere-24hr'!F30,'27.10 Lyantonde-Rushere'!F30,'28.10 Lyantonde-Rushere-24h'!F30,'29.10 Lyantonde-Rushere'!F30,'30.10 Lyantonde-Rushere'!F30,'31.10 Lyantonde-Rushere'!F30)</f>
        <v>0.2857142857142857</v>
      </c>
      <c r="G30" s="49">
        <f>AVERAGE('25.10 Lyantonde-Rushere'!G30,'26.10 Lyantonde-Rushere-24hr'!G30,'27.10 Lyantonde-Rushere'!G30,'28.10 Lyantonde-Rushere-24h'!G30,'29.10 Lyantonde-Rushere'!G30,'30.10 Lyantonde-Rushere'!G30,'31.10 Lyantonde-Rushere'!G30)</f>
        <v>0</v>
      </c>
      <c r="H30" s="49">
        <f>AVERAGE('25.10 Lyantonde-Rushere'!H30,'26.10 Lyantonde-Rushere-24hr'!H30,'27.10 Lyantonde-Rushere'!H30,'28.10 Lyantonde-Rushere-24h'!H30,'29.10 Lyantonde-Rushere'!H30,'30.10 Lyantonde-Rushere'!H30,'31.10 Lyantonde-Rushere'!H30)</f>
        <v>0</v>
      </c>
      <c r="I30" s="49">
        <f>AVERAGE('25.10 Lyantonde-Rushere'!I30,'26.10 Lyantonde-Rushere-24hr'!I30,'27.10 Lyantonde-Rushere'!I30,'28.10 Lyantonde-Rushere-24h'!I30,'29.10 Lyantonde-Rushere'!I30,'30.10 Lyantonde-Rushere'!I30,'31.10 Lyantonde-Rushere'!I30)</f>
        <v>0.5714285714285714</v>
      </c>
      <c r="J30" s="49">
        <f>AVERAGE('25.10 Lyantonde-Rushere'!J30,'26.10 Lyantonde-Rushere-24hr'!J30,'27.10 Lyantonde-Rushere'!J30,'28.10 Lyantonde-Rushere-24h'!J30,'29.10 Lyantonde-Rushere'!J30,'30.10 Lyantonde-Rushere'!J30,'31.10 Lyantonde-Rushere'!J30)</f>
        <v>0.42857142857142855</v>
      </c>
      <c r="K30" s="49">
        <f>AVERAGE('25.10 Lyantonde-Rushere'!K30,'26.10 Lyantonde-Rushere-24hr'!K30,'27.10 Lyantonde-Rushere'!K30,'28.10 Lyantonde-Rushere-24h'!K30,'29.10 Lyantonde-Rushere'!K30,'30.10 Lyantonde-Rushere'!K30,'31.10 Lyantonde-Rushere'!K30)</f>
        <v>0.2857142857142857</v>
      </c>
      <c r="L30" s="49">
        <f>AVERAGE('25.10 Lyantonde-Rushere'!L30,'26.10 Lyantonde-Rushere-24hr'!L30,'27.10 Lyantonde-Rushere'!L30,'28.10 Lyantonde-Rushere-24h'!L30,'29.10 Lyantonde-Rushere'!L30,'30.10 Lyantonde-Rushere'!L30,'31.10 Lyantonde-Rushere'!L30)</f>
        <v>0.14285714285714285</v>
      </c>
      <c r="M30" s="49">
        <f>AVERAGE('25.10 Lyantonde-Rushere'!M30,'26.10 Lyantonde-Rushere-24hr'!M30,'27.10 Lyantonde-Rushere'!M30,'28.10 Lyantonde-Rushere-24h'!M30,'29.10 Lyantonde-Rushere'!M30,'30.10 Lyantonde-Rushere'!M30,'31.10 Lyantonde-Rushere'!M30)</f>
        <v>7.2857142857142856</v>
      </c>
      <c r="N30" s="49">
        <f>AVERAGE('25.10 Lyantonde-Rushere'!N30,'26.10 Lyantonde-Rushere-24hr'!N30,'27.10 Lyantonde-Rushere'!N30,'28.10 Lyantonde-Rushere-24h'!N30,'29.10 Lyantonde-Rushere'!N30,'30.10 Lyantonde-Rushere'!N30,'31.10 Lyantonde-Rushere'!N30)</f>
        <v>0</v>
      </c>
      <c r="O30" s="15">
        <f t="shared" si="0"/>
        <v>6.5714285714285712</v>
      </c>
      <c r="P30" s="15">
        <f t="shared" si="1"/>
        <v>13.857142857142858</v>
      </c>
      <c r="R30" s="1" t="s">
        <v>154</v>
      </c>
      <c r="S30" s="34">
        <f>SUM(C90:C93)</f>
        <v>10</v>
      </c>
      <c r="T30" s="34">
        <f t="shared" ref="T30:AF30" si="22">SUM(D90:D93)</f>
        <v>3</v>
      </c>
      <c r="U30" s="34">
        <f t="shared" si="22"/>
        <v>1</v>
      </c>
      <c r="V30" s="34">
        <f t="shared" si="22"/>
        <v>0.5</v>
      </c>
      <c r="W30" s="34">
        <f t="shared" si="22"/>
        <v>2</v>
      </c>
      <c r="X30" s="34">
        <f t="shared" si="22"/>
        <v>1</v>
      </c>
      <c r="Y30" s="34">
        <f t="shared" si="22"/>
        <v>0</v>
      </c>
      <c r="Z30" s="34">
        <f t="shared" si="22"/>
        <v>2.5</v>
      </c>
      <c r="AA30" s="34">
        <f t="shared" si="22"/>
        <v>5.5</v>
      </c>
      <c r="AB30" s="34">
        <f t="shared" si="22"/>
        <v>10.5</v>
      </c>
      <c r="AC30" s="34">
        <f t="shared" si="22"/>
        <v>1</v>
      </c>
      <c r="AD30" s="34">
        <f t="shared" si="22"/>
        <v>0</v>
      </c>
      <c r="AE30" s="31">
        <f t="shared" si="22"/>
        <v>36</v>
      </c>
      <c r="AF30" s="31">
        <f t="shared" si="22"/>
        <v>37</v>
      </c>
    </row>
    <row r="31" spans="2:32" ht="23.1" customHeight="1" x14ac:dyDescent="0.25">
      <c r="B31" s="24" t="s">
        <v>58</v>
      </c>
      <c r="C31" s="49">
        <f>AVERAGE('25.10 Lyantonde-Rushere'!C31,'26.10 Lyantonde-Rushere-24hr'!C31,'27.10 Lyantonde-Rushere'!C31,'28.10 Lyantonde-Rushere-24h'!C31,'29.10 Lyantonde-Rushere'!C31,'30.10 Lyantonde-Rushere'!C31,'31.10 Lyantonde-Rushere'!C31)</f>
        <v>5.2857142857142856</v>
      </c>
      <c r="D31" s="49">
        <f>AVERAGE('25.10 Lyantonde-Rushere'!D31,'26.10 Lyantonde-Rushere-24hr'!D31,'27.10 Lyantonde-Rushere'!D31,'28.10 Lyantonde-Rushere-24h'!D31,'29.10 Lyantonde-Rushere'!D31,'30.10 Lyantonde-Rushere'!D31,'31.10 Lyantonde-Rushere'!D31)</f>
        <v>1.4285714285714286</v>
      </c>
      <c r="E31" s="49">
        <f>AVERAGE('25.10 Lyantonde-Rushere'!E31,'26.10 Lyantonde-Rushere-24hr'!E31,'27.10 Lyantonde-Rushere'!E31,'28.10 Lyantonde-Rushere-24h'!E31,'29.10 Lyantonde-Rushere'!E31,'30.10 Lyantonde-Rushere'!E31,'31.10 Lyantonde-Rushere'!E31)</f>
        <v>1.1428571428571428</v>
      </c>
      <c r="F31" s="49">
        <f>AVERAGE('25.10 Lyantonde-Rushere'!F31,'26.10 Lyantonde-Rushere-24hr'!F31,'27.10 Lyantonde-Rushere'!F31,'28.10 Lyantonde-Rushere-24h'!F31,'29.10 Lyantonde-Rushere'!F31,'30.10 Lyantonde-Rushere'!F31,'31.10 Lyantonde-Rushere'!F31)</f>
        <v>0.14285714285714285</v>
      </c>
      <c r="G31" s="49">
        <f>AVERAGE('25.10 Lyantonde-Rushere'!G31,'26.10 Lyantonde-Rushere-24hr'!G31,'27.10 Lyantonde-Rushere'!G31,'28.10 Lyantonde-Rushere-24h'!G31,'29.10 Lyantonde-Rushere'!G31,'30.10 Lyantonde-Rushere'!G31,'31.10 Lyantonde-Rushere'!G31)</f>
        <v>0</v>
      </c>
      <c r="H31" s="49">
        <f>AVERAGE('25.10 Lyantonde-Rushere'!H31,'26.10 Lyantonde-Rushere-24hr'!H31,'27.10 Lyantonde-Rushere'!H31,'28.10 Lyantonde-Rushere-24h'!H31,'29.10 Lyantonde-Rushere'!H31,'30.10 Lyantonde-Rushere'!H31,'31.10 Lyantonde-Rushere'!H31)</f>
        <v>0</v>
      </c>
      <c r="I31" s="49">
        <f>AVERAGE('25.10 Lyantonde-Rushere'!I31,'26.10 Lyantonde-Rushere-24hr'!I31,'27.10 Lyantonde-Rushere'!I31,'28.10 Lyantonde-Rushere-24h'!I31,'29.10 Lyantonde-Rushere'!I31,'30.10 Lyantonde-Rushere'!I31,'31.10 Lyantonde-Rushere'!I31)</f>
        <v>0.2857142857142857</v>
      </c>
      <c r="J31" s="49">
        <f>AVERAGE('25.10 Lyantonde-Rushere'!J31,'26.10 Lyantonde-Rushere-24hr'!J31,'27.10 Lyantonde-Rushere'!J31,'28.10 Lyantonde-Rushere-24h'!J31,'29.10 Lyantonde-Rushere'!J31,'30.10 Lyantonde-Rushere'!J31,'31.10 Lyantonde-Rushere'!J31)</f>
        <v>0.5714285714285714</v>
      </c>
      <c r="K31" s="49">
        <f>AVERAGE('25.10 Lyantonde-Rushere'!K31,'26.10 Lyantonde-Rushere-24hr'!K31,'27.10 Lyantonde-Rushere'!K31,'28.10 Lyantonde-Rushere-24h'!K31,'29.10 Lyantonde-Rushere'!K31,'30.10 Lyantonde-Rushere'!K31,'31.10 Lyantonde-Rushere'!K31)</f>
        <v>0.2857142857142857</v>
      </c>
      <c r="L31" s="49">
        <f>AVERAGE('25.10 Lyantonde-Rushere'!L31,'26.10 Lyantonde-Rushere-24hr'!L31,'27.10 Lyantonde-Rushere'!L31,'28.10 Lyantonde-Rushere-24h'!L31,'29.10 Lyantonde-Rushere'!L31,'30.10 Lyantonde-Rushere'!L31,'31.10 Lyantonde-Rushere'!L31)</f>
        <v>0.5714285714285714</v>
      </c>
      <c r="M31" s="49">
        <f>AVERAGE('25.10 Lyantonde-Rushere'!M31,'26.10 Lyantonde-Rushere-24hr'!M31,'27.10 Lyantonde-Rushere'!M31,'28.10 Lyantonde-Rushere-24h'!M31,'29.10 Lyantonde-Rushere'!M31,'30.10 Lyantonde-Rushere'!M31,'31.10 Lyantonde-Rushere'!M31)</f>
        <v>5</v>
      </c>
      <c r="N31" s="49">
        <f>AVERAGE('25.10 Lyantonde-Rushere'!N31,'26.10 Lyantonde-Rushere-24hr'!N31,'27.10 Lyantonde-Rushere'!N31,'28.10 Lyantonde-Rushere-24h'!N31,'29.10 Lyantonde-Rushere'!N31,'30.10 Lyantonde-Rushere'!N31,'31.10 Lyantonde-Rushere'!N31)</f>
        <v>0</v>
      </c>
      <c r="O31" s="15">
        <f t="shared" si="0"/>
        <v>9.7142857142857153</v>
      </c>
      <c r="P31" s="15">
        <f t="shared" si="1"/>
        <v>14.714285714285715</v>
      </c>
      <c r="R31" s="1" t="s">
        <v>155</v>
      </c>
      <c r="S31" s="34">
        <f>SUM(C94:C97)</f>
        <v>9</v>
      </c>
      <c r="T31" s="34">
        <f t="shared" ref="T31:AF31" si="23">SUM(D94:D97)</f>
        <v>2</v>
      </c>
      <c r="U31" s="34">
        <f t="shared" si="23"/>
        <v>2.5</v>
      </c>
      <c r="V31" s="34">
        <f t="shared" si="23"/>
        <v>2.5</v>
      </c>
      <c r="W31" s="34">
        <f t="shared" si="23"/>
        <v>1</v>
      </c>
      <c r="X31" s="34">
        <f t="shared" si="23"/>
        <v>2</v>
      </c>
      <c r="Y31" s="34">
        <f t="shared" si="23"/>
        <v>3.5</v>
      </c>
      <c r="Z31" s="34">
        <f t="shared" si="23"/>
        <v>2</v>
      </c>
      <c r="AA31" s="34">
        <f t="shared" si="23"/>
        <v>5</v>
      </c>
      <c r="AB31" s="34">
        <f t="shared" si="23"/>
        <v>8</v>
      </c>
      <c r="AC31" s="34">
        <f t="shared" si="23"/>
        <v>1.5</v>
      </c>
      <c r="AD31" s="34">
        <f t="shared" si="23"/>
        <v>0</v>
      </c>
      <c r="AE31" s="31">
        <f t="shared" si="23"/>
        <v>37.5</v>
      </c>
      <c r="AF31" s="31">
        <f t="shared" si="23"/>
        <v>39</v>
      </c>
    </row>
    <row r="32" spans="2:32" ht="23.1" customHeight="1" x14ac:dyDescent="0.25">
      <c r="B32" s="24" t="s">
        <v>59</v>
      </c>
      <c r="C32" s="49">
        <f>AVERAGE('25.10 Lyantonde-Rushere'!C32,'26.10 Lyantonde-Rushere-24hr'!C32,'27.10 Lyantonde-Rushere'!C32,'28.10 Lyantonde-Rushere-24h'!C32,'29.10 Lyantonde-Rushere'!C32,'30.10 Lyantonde-Rushere'!C32,'31.10 Lyantonde-Rushere'!C32)</f>
        <v>3.4285714285714284</v>
      </c>
      <c r="D32" s="49">
        <f>AVERAGE('25.10 Lyantonde-Rushere'!D32,'26.10 Lyantonde-Rushere-24hr'!D32,'27.10 Lyantonde-Rushere'!D32,'28.10 Lyantonde-Rushere-24h'!D32,'29.10 Lyantonde-Rushere'!D32,'30.10 Lyantonde-Rushere'!D32,'31.10 Lyantonde-Rushere'!D32)</f>
        <v>1</v>
      </c>
      <c r="E32" s="49">
        <f>AVERAGE('25.10 Lyantonde-Rushere'!E32,'26.10 Lyantonde-Rushere-24hr'!E32,'27.10 Lyantonde-Rushere'!E32,'28.10 Lyantonde-Rushere-24h'!E32,'29.10 Lyantonde-Rushere'!E32,'30.10 Lyantonde-Rushere'!E32,'31.10 Lyantonde-Rushere'!E32)</f>
        <v>0.14285714285714285</v>
      </c>
      <c r="F32" s="49">
        <f>AVERAGE('25.10 Lyantonde-Rushere'!F32,'26.10 Lyantonde-Rushere-24hr'!F32,'27.10 Lyantonde-Rushere'!F32,'28.10 Lyantonde-Rushere-24h'!F32,'29.10 Lyantonde-Rushere'!F32,'30.10 Lyantonde-Rushere'!F32,'31.10 Lyantonde-Rushere'!F32)</f>
        <v>0.42857142857142855</v>
      </c>
      <c r="G32" s="49">
        <f>AVERAGE('25.10 Lyantonde-Rushere'!G32,'26.10 Lyantonde-Rushere-24hr'!G32,'27.10 Lyantonde-Rushere'!G32,'28.10 Lyantonde-Rushere-24h'!G32,'29.10 Lyantonde-Rushere'!G32,'30.10 Lyantonde-Rushere'!G32,'31.10 Lyantonde-Rushere'!G32)</f>
        <v>0</v>
      </c>
      <c r="H32" s="49">
        <f>AVERAGE('25.10 Lyantonde-Rushere'!H32,'26.10 Lyantonde-Rushere-24hr'!H32,'27.10 Lyantonde-Rushere'!H32,'28.10 Lyantonde-Rushere-24h'!H32,'29.10 Lyantonde-Rushere'!H32,'30.10 Lyantonde-Rushere'!H32,'31.10 Lyantonde-Rushere'!H32)</f>
        <v>0</v>
      </c>
      <c r="I32" s="49">
        <f>AVERAGE('25.10 Lyantonde-Rushere'!I32,'26.10 Lyantonde-Rushere-24hr'!I32,'27.10 Lyantonde-Rushere'!I32,'28.10 Lyantonde-Rushere-24h'!I32,'29.10 Lyantonde-Rushere'!I32,'30.10 Lyantonde-Rushere'!I32,'31.10 Lyantonde-Rushere'!I32)</f>
        <v>0.2857142857142857</v>
      </c>
      <c r="J32" s="49">
        <f>AVERAGE('25.10 Lyantonde-Rushere'!J32,'26.10 Lyantonde-Rushere-24hr'!J32,'27.10 Lyantonde-Rushere'!J32,'28.10 Lyantonde-Rushere-24h'!J32,'29.10 Lyantonde-Rushere'!J32,'30.10 Lyantonde-Rushere'!J32,'31.10 Lyantonde-Rushere'!J32)</f>
        <v>0.8571428571428571</v>
      </c>
      <c r="K32" s="49">
        <f>AVERAGE('25.10 Lyantonde-Rushere'!K32,'26.10 Lyantonde-Rushere-24hr'!K32,'27.10 Lyantonde-Rushere'!K32,'28.10 Lyantonde-Rushere-24h'!K32,'29.10 Lyantonde-Rushere'!K32,'30.10 Lyantonde-Rushere'!K32,'31.10 Lyantonde-Rushere'!K32)</f>
        <v>0.2857142857142857</v>
      </c>
      <c r="L32" s="49">
        <f>AVERAGE('25.10 Lyantonde-Rushere'!L32,'26.10 Lyantonde-Rushere-24hr'!L32,'27.10 Lyantonde-Rushere'!L32,'28.10 Lyantonde-Rushere-24h'!L32,'29.10 Lyantonde-Rushere'!L32,'30.10 Lyantonde-Rushere'!L32,'31.10 Lyantonde-Rushere'!L32)</f>
        <v>0.7142857142857143</v>
      </c>
      <c r="M32" s="49">
        <f>AVERAGE('25.10 Lyantonde-Rushere'!M32,'26.10 Lyantonde-Rushere-24hr'!M32,'27.10 Lyantonde-Rushere'!M32,'28.10 Lyantonde-Rushere-24h'!M32,'29.10 Lyantonde-Rushere'!M32,'30.10 Lyantonde-Rushere'!M32,'31.10 Lyantonde-Rushere'!M32)</f>
        <v>5.1428571428571432</v>
      </c>
      <c r="N32" s="49">
        <f>AVERAGE('25.10 Lyantonde-Rushere'!N32,'26.10 Lyantonde-Rushere-24hr'!N32,'27.10 Lyantonde-Rushere'!N32,'28.10 Lyantonde-Rushere-24h'!N32,'29.10 Lyantonde-Rushere'!N32,'30.10 Lyantonde-Rushere'!N32,'31.10 Lyantonde-Rushere'!N32)</f>
        <v>0</v>
      </c>
      <c r="O32" s="15">
        <f t="shared" si="0"/>
        <v>7.1428571428571432</v>
      </c>
      <c r="P32" s="15">
        <f t="shared" si="1"/>
        <v>12.285714285714286</v>
      </c>
      <c r="R32" s="1" t="s">
        <v>156</v>
      </c>
      <c r="S32" s="34">
        <f>SUM(C98:C101)</f>
        <v>8.5</v>
      </c>
      <c r="T32" s="34">
        <f t="shared" ref="T32:AF32" si="24">SUM(D98:D101)</f>
        <v>9</v>
      </c>
      <c r="U32" s="34">
        <f t="shared" si="24"/>
        <v>2.5</v>
      </c>
      <c r="V32" s="34">
        <f t="shared" si="24"/>
        <v>3.5</v>
      </c>
      <c r="W32" s="34">
        <f t="shared" si="24"/>
        <v>0</v>
      </c>
      <c r="X32" s="34">
        <f t="shared" si="24"/>
        <v>1.5</v>
      </c>
      <c r="Y32" s="34">
        <f t="shared" si="24"/>
        <v>3</v>
      </c>
      <c r="Z32" s="34">
        <f t="shared" si="24"/>
        <v>1</v>
      </c>
      <c r="AA32" s="34">
        <f t="shared" si="24"/>
        <v>10</v>
      </c>
      <c r="AB32" s="34">
        <f t="shared" si="24"/>
        <v>10</v>
      </c>
      <c r="AC32" s="34">
        <f t="shared" si="24"/>
        <v>12.5</v>
      </c>
      <c r="AD32" s="34">
        <f t="shared" si="24"/>
        <v>0</v>
      </c>
      <c r="AE32" s="31">
        <f t="shared" si="24"/>
        <v>49</v>
      </c>
      <c r="AF32" s="31">
        <f t="shared" si="24"/>
        <v>61.5</v>
      </c>
    </row>
    <row r="33" spans="2:32" ht="23.1" customHeight="1" x14ac:dyDescent="0.25">
      <c r="B33" s="23" t="s">
        <v>60</v>
      </c>
      <c r="C33" s="49">
        <f>AVERAGE('25.10 Lyantonde-Rushere'!C33,'26.10 Lyantonde-Rushere-24hr'!C33,'27.10 Lyantonde-Rushere'!C33,'28.10 Lyantonde-Rushere-24h'!C33,'29.10 Lyantonde-Rushere'!C33,'30.10 Lyantonde-Rushere'!C33,'31.10 Lyantonde-Rushere'!C33)</f>
        <v>4</v>
      </c>
      <c r="D33" s="49">
        <f>AVERAGE('25.10 Lyantonde-Rushere'!D33,'26.10 Lyantonde-Rushere-24hr'!D33,'27.10 Lyantonde-Rushere'!D33,'28.10 Lyantonde-Rushere-24h'!D33,'29.10 Lyantonde-Rushere'!D33,'30.10 Lyantonde-Rushere'!D33,'31.10 Lyantonde-Rushere'!D33)</f>
        <v>1.5714285714285714</v>
      </c>
      <c r="E33" s="49">
        <f>AVERAGE('25.10 Lyantonde-Rushere'!E33,'26.10 Lyantonde-Rushere-24hr'!E33,'27.10 Lyantonde-Rushere'!E33,'28.10 Lyantonde-Rushere-24h'!E33,'29.10 Lyantonde-Rushere'!E33,'30.10 Lyantonde-Rushere'!E33,'31.10 Lyantonde-Rushere'!E33)</f>
        <v>0.8571428571428571</v>
      </c>
      <c r="F33" s="49">
        <f>AVERAGE('25.10 Lyantonde-Rushere'!F33,'26.10 Lyantonde-Rushere-24hr'!F33,'27.10 Lyantonde-Rushere'!F33,'28.10 Lyantonde-Rushere-24h'!F33,'29.10 Lyantonde-Rushere'!F33,'30.10 Lyantonde-Rushere'!F33,'31.10 Lyantonde-Rushere'!F33)</f>
        <v>0.14285714285714285</v>
      </c>
      <c r="G33" s="49">
        <f>AVERAGE('25.10 Lyantonde-Rushere'!G33,'26.10 Lyantonde-Rushere-24hr'!G33,'27.10 Lyantonde-Rushere'!G33,'28.10 Lyantonde-Rushere-24h'!G33,'29.10 Lyantonde-Rushere'!G33,'30.10 Lyantonde-Rushere'!G33,'31.10 Lyantonde-Rushere'!G33)</f>
        <v>0</v>
      </c>
      <c r="H33" s="49">
        <f>AVERAGE('25.10 Lyantonde-Rushere'!H33,'26.10 Lyantonde-Rushere-24hr'!H33,'27.10 Lyantonde-Rushere'!H33,'28.10 Lyantonde-Rushere-24h'!H33,'29.10 Lyantonde-Rushere'!H33,'30.10 Lyantonde-Rushere'!H33,'31.10 Lyantonde-Rushere'!H33)</f>
        <v>0</v>
      </c>
      <c r="I33" s="49">
        <f>AVERAGE('25.10 Lyantonde-Rushere'!I33,'26.10 Lyantonde-Rushere-24hr'!I33,'27.10 Lyantonde-Rushere'!I33,'28.10 Lyantonde-Rushere-24h'!I33,'29.10 Lyantonde-Rushere'!I33,'30.10 Lyantonde-Rushere'!I33,'31.10 Lyantonde-Rushere'!I33)</f>
        <v>0</v>
      </c>
      <c r="J33" s="49">
        <f>AVERAGE('25.10 Lyantonde-Rushere'!J33,'26.10 Lyantonde-Rushere-24hr'!J33,'27.10 Lyantonde-Rushere'!J33,'28.10 Lyantonde-Rushere-24h'!J33,'29.10 Lyantonde-Rushere'!J33,'30.10 Lyantonde-Rushere'!J33,'31.10 Lyantonde-Rushere'!J33)</f>
        <v>1.4285714285714286</v>
      </c>
      <c r="K33" s="49">
        <f>AVERAGE('25.10 Lyantonde-Rushere'!K33,'26.10 Lyantonde-Rushere-24hr'!K33,'27.10 Lyantonde-Rushere'!K33,'28.10 Lyantonde-Rushere-24h'!K33,'29.10 Lyantonde-Rushere'!K33,'30.10 Lyantonde-Rushere'!K33,'31.10 Lyantonde-Rushere'!K33)</f>
        <v>1.4285714285714286</v>
      </c>
      <c r="L33" s="49">
        <f>AVERAGE('25.10 Lyantonde-Rushere'!L33,'26.10 Lyantonde-Rushere-24hr'!L33,'27.10 Lyantonde-Rushere'!L33,'28.10 Lyantonde-Rushere-24h'!L33,'29.10 Lyantonde-Rushere'!L33,'30.10 Lyantonde-Rushere'!L33,'31.10 Lyantonde-Rushere'!L33)</f>
        <v>0.14285714285714285</v>
      </c>
      <c r="M33" s="49">
        <f>AVERAGE('25.10 Lyantonde-Rushere'!M33,'26.10 Lyantonde-Rushere-24hr'!M33,'27.10 Lyantonde-Rushere'!M33,'28.10 Lyantonde-Rushere-24h'!M33,'29.10 Lyantonde-Rushere'!M33,'30.10 Lyantonde-Rushere'!M33,'31.10 Lyantonde-Rushere'!M33)</f>
        <v>5.1428571428571432</v>
      </c>
      <c r="N33" s="49">
        <f>AVERAGE('25.10 Lyantonde-Rushere'!N33,'26.10 Lyantonde-Rushere-24hr'!N33,'27.10 Lyantonde-Rushere'!N33,'28.10 Lyantonde-Rushere-24h'!N33,'29.10 Lyantonde-Rushere'!N33,'30.10 Lyantonde-Rushere'!N33,'31.10 Lyantonde-Rushere'!N33)</f>
        <v>0</v>
      </c>
      <c r="O33" s="15">
        <f t="shared" si="0"/>
        <v>9.5714285714285712</v>
      </c>
      <c r="P33" s="15">
        <f t="shared" si="1"/>
        <v>14.714285714285715</v>
      </c>
      <c r="R33" s="1" t="s">
        <v>157</v>
      </c>
      <c r="S33" s="34">
        <f>SUM(C102:C105)</f>
        <v>5.5</v>
      </c>
      <c r="T33" s="34">
        <f t="shared" ref="T33:AF33" si="25">SUM(D102:D105)</f>
        <v>3.5</v>
      </c>
      <c r="U33" s="34">
        <f t="shared" si="25"/>
        <v>1</v>
      </c>
      <c r="V33" s="34">
        <f t="shared" si="25"/>
        <v>2.5</v>
      </c>
      <c r="W33" s="34">
        <f t="shared" si="25"/>
        <v>0</v>
      </c>
      <c r="X33" s="34">
        <f t="shared" si="25"/>
        <v>1.5</v>
      </c>
      <c r="Y33" s="34">
        <f t="shared" si="25"/>
        <v>1.5</v>
      </c>
      <c r="Z33" s="34">
        <f t="shared" si="25"/>
        <v>3</v>
      </c>
      <c r="AA33" s="34">
        <f t="shared" si="25"/>
        <v>6.5</v>
      </c>
      <c r="AB33" s="34">
        <f t="shared" si="25"/>
        <v>5</v>
      </c>
      <c r="AC33" s="34">
        <f t="shared" si="25"/>
        <v>4</v>
      </c>
      <c r="AD33" s="34">
        <f t="shared" si="25"/>
        <v>2.5</v>
      </c>
      <c r="AE33" s="31">
        <f t="shared" si="25"/>
        <v>32.5</v>
      </c>
      <c r="AF33" s="31">
        <f t="shared" si="25"/>
        <v>36.5</v>
      </c>
    </row>
    <row r="34" spans="2:32" ht="23.1" customHeight="1" x14ac:dyDescent="0.25">
      <c r="B34" s="24" t="s">
        <v>61</v>
      </c>
      <c r="C34" s="49">
        <f>AVERAGE('25.10 Lyantonde-Rushere'!C34,'26.10 Lyantonde-Rushere-24hr'!C34,'27.10 Lyantonde-Rushere'!C34,'28.10 Lyantonde-Rushere-24h'!C34,'29.10 Lyantonde-Rushere'!C34,'30.10 Lyantonde-Rushere'!C34,'31.10 Lyantonde-Rushere'!C34)</f>
        <v>4.2857142857142856</v>
      </c>
      <c r="D34" s="49">
        <f>AVERAGE('25.10 Lyantonde-Rushere'!D34,'26.10 Lyantonde-Rushere-24hr'!D34,'27.10 Lyantonde-Rushere'!D34,'28.10 Lyantonde-Rushere-24h'!D34,'29.10 Lyantonde-Rushere'!D34,'30.10 Lyantonde-Rushere'!D34,'31.10 Lyantonde-Rushere'!D34)</f>
        <v>0.8571428571428571</v>
      </c>
      <c r="E34" s="49">
        <f>AVERAGE('25.10 Lyantonde-Rushere'!E34,'26.10 Lyantonde-Rushere-24hr'!E34,'27.10 Lyantonde-Rushere'!E34,'28.10 Lyantonde-Rushere-24h'!E34,'29.10 Lyantonde-Rushere'!E34,'30.10 Lyantonde-Rushere'!E34,'31.10 Lyantonde-Rushere'!E34)</f>
        <v>0.5714285714285714</v>
      </c>
      <c r="F34" s="49">
        <f>AVERAGE('25.10 Lyantonde-Rushere'!F34,'26.10 Lyantonde-Rushere-24hr'!F34,'27.10 Lyantonde-Rushere'!F34,'28.10 Lyantonde-Rushere-24h'!F34,'29.10 Lyantonde-Rushere'!F34,'30.10 Lyantonde-Rushere'!F34,'31.10 Lyantonde-Rushere'!F34)</f>
        <v>0</v>
      </c>
      <c r="G34" s="49">
        <f>AVERAGE('25.10 Lyantonde-Rushere'!G34,'26.10 Lyantonde-Rushere-24hr'!G34,'27.10 Lyantonde-Rushere'!G34,'28.10 Lyantonde-Rushere-24h'!G34,'29.10 Lyantonde-Rushere'!G34,'30.10 Lyantonde-Rushere'!G34,'31.10 Lyantonde-Rushere'!G34)</f>
        <v>0</v>
      </c>
      <c r="H34" s="49">
        <f>AVERAGE('25.10 Lyantonde-Rushere'!H34,'26.10 Lyantonde-Rushere-24hr'!H34,'27.10 Lyantonde-Rushere'!H34,'28.10 Lyantonde-Rushere-24h'!H34,'29.10 Lyantonde-Rushere'!H34,'30.10 Lyantonde-Rushere'!H34,'31.10 Lyantonde-Rushere'!H34)</f>
        <v>0</v>
      </c>
      <c r="I34" s="49">
        <f>AVERAGE('25.10 Lyantonde-Rushere'!I34,'26.10 Lyantonde-Rushere-24hr'!I34,'27.10 Lyantonde-Rushere'!I34,'28.10 Lyantonde-Rushere-24h'!I34,'29.10 Lyantonde-Rushere'!I34,'30.10 Lyantonde-Rushere'!I34,'31.10 Lyantonde-Rushere'!I34)</f>
        <v>0.14285714285714285</v>
      </c>
      <c r="J34" s="49">
        <f>AVERAGE('25.10 Lyantonde-Rushere'!J34,'26.10 Lyantonde-Rushere-24hr'!J34,'27.10 Lyantonde-Rushere'!J34,'28.10 Lyantonde-Rushere-24h'!J34,'29.10 Lyantonde-Rushere'!J34,'30.10 Lyantonde-Rushere'!J34,'31.10 Lyantonde-Rushere'!J34)</f>
        <v>1.1428571428571428</v>
      </c>
      <c r="K34" s="49">
        <f>AVERAGE('25.10 Lyantonde-Rushere'!K34,'26.10 Lyantonde-Rushere-24hr'!K34,'27.10 Lyantonde-Rushere'!K34,'28.10 Lyantonde-Rushere-24h'!K34,'29.10 Lyantonde-Rushere'!K34,'30.10 Lyantonde-Rushere'!K34,'31.10 Lyantonde-Rushere'!K34)</f>
        <v>0.2857142857142857</v>
      </c>
      <c r="L34" s="49">
        <f>AVERAGE('25.10 Lyantonde-Rushere'!L34,'26.10 Lyantonde-Rushere-24hr'!L34,'27.10 Lyantonde-Rushere'!L34,'28.10 Lyantonde-Rushere-24h'!L34,'29.10 Lyantonde-Rushere'!L34,'30.10 Lyantonde-Rushere'!L34,'31.10 Lyantonde-Rushere'!L34)</f>
        <v>0</v>
      </c>
      <c r="M34" s="49">
        <f>AVERAGE('25.10 Lyantonde-Rushere'!M34,'26.10 Lyantonde-Rushere-24hr'!M34,'27.10 Lyantonde-Rushere'!M34,'28.10 Lyantonde-Rushere-24h'!M34,'29.10 Lyantonde-Rushere'!M34,'30.10 Lyantonde-Rushere'!M34,'31.10 Lyantonde-Rushere'!M34)</f>
        <v>5.8571428571428568</v>
      </c>
      <c r="N34" s="49">
        <f>AVERAGE('25.10 Lyantonde-Rushere'!N34,'26.10 Lyantonde-Rushere-24hr'!N34,'27.10 Lyantonde-Rushere'!N34,'28.10 Lyantonde-Rushere-24h'!N34,'29.10 Lyantonde-Rushere'!N34,'30.10 Lyantonde-Rushere'!N34,'31.10 Lyantonde-Rushere'!N34)</f>
        <v>0</v>
      </c>
      <c r="O34" s="15">
        <f t="shared" si="0"/>
        <v>7.2857142857142856</v>
      </c>
      <c r="P34" s="15">
        <f t="shared" si="1"/>
        <v>13.142857142857142</v>
      </c>
      <c r="R34" s="38" t="s">
        <v>90</v>
      </c>
      <c r="S34" s="39">
        <f t="shared" ref="S34:AF34" si="26">MAX(S10:S12)</f>
        <v>10.428571428571427</v>
      </c>
      <c r="T34" s="39">
        <f t="shared" si="26"/>
        <v>6.2857142857142847</v>
      </c>
      <c r="U34" s="39">
        <f t="shared" si="26"/>
        <v>3.2857142857142856</v>
      </c>
      <c r="V34" s="39">
        <f t="shared" si="26"/>
        <v>0.99999999999999989</v>
      </c>
      <c r="W34" s="39">
        <f t="shared" si="26"/>
        <v>0</v>
      </c>
      <c r="X34" s="39">
        <f t="shared" si="26"/>
        <v>0.14285714285714285</v>
      </c>
      <c r="Y34" s="39">
        <f t="shared" si="26"/>
        <v>1.7142857142857142</v>
      </c>
      <c r="Z34" s="39">
        <f t="shared" si="26"/>
        <v>2.7142857142857144</v>
      </c>
      <c r="AA34" s="39">
        <f t="shared" si="26"/>
        <v>1.5714285714285714</v>
      </c>
      <c r="AB34" s="39">
        <f t="shared" si="26"/>
        <v>1.4285714285714284</v>
      </c>
      <c r="AC34" s="39">
        <f t="shared" si="26"/>
        <v>20.142857142857142</v>
      </c>
      <c r="AD34" s="39">
        <f t="shared" si="26"/>
        <v>0.2857142857142857</v>
      </c>
      <c r="AE34" s="40">
        <f t="shared" si="26"/>
        <v>24.285714285714288</v>
      </c>
      <c r="AF34" s="40">
        <f t="shared" si="26"/>
        <v>44.428571428571431</v>
      </c>
    </row>
    <row r="35" spans="2:32" ht="23.1" customHeight="1" x14ac:dyDescent="0.25">
      <c r="B35" s="24" t="s">
        <v>62</v>
      </c>
      <c r="C35" s="49">
        <f>AVERAGE('25.10 Lyantonde-Rushere'!C35,'26.10 Lyantonde-Rushere-24hr'!C35,'27.10 Lyantonde-Rushere'!C35,'28.10 Lyantonde-Rushere-24h'!C35,'29.10 Lyantonde-Rushere'!C35,'30.10 Lyantonde-Rushere'!C35,'31.10 Lyantonde-Rushere'!C35)</f>
        <v>4.7142857142857144</v>
      </c>
      <c r="D35" s="49">
        <f>AVERAGE('25.10 Lyantonde-Rushere'!D35,'26.10 Lyantonde-Rushere-24hr'!D35,'27.10 Lyantonde-Rushere'!D35,'28.10 Lyantonde-Rushere-24h'!D35,'29.10 Lyantonde-Rushere'!D35,'30.10 Lyantonde-Rushere'!D35,'31.10 Lyantonde-Rushere'!D35)</f>
        <v>0.7142857142857143</v>
      </c>
      <c r="E35" s="49">
        <f>AVERAGE('25.10 Lyantonde-Rushere'!E35,'26.10 Lyantonde-Rushere-24hr'!E35,'27.10 Lyantonde-Rushere'!E35,'28.10 Lyantonde-Rushere-24h'!E35,'29.10 Lyantonde-Rushere'!E35,'30.10 Lyantonde-Rushere'!E35,'31.10 Lyantonde-Rushere'!E35)</f>
        <v>0.5714285714285714</v>
      </c>
      <c r="F35" s="49">
        <f>AVERAGE('25.10 Lyantonde-Rushere'!F35,'26.10 Lyantonde-Rushere-24hr'!F35,'27.10 Lyantonde-Rushere'!F35,'28.10 Lyantonde-Rushere-24h'!F35,'29.10 Lyantonde-Rushere'!F35,'30.10 Lyantonde-Rushere'!F35,'31.10 Lyantonde-Rushere'!F35)</f>
        <v>0</v>
      </c>
      <c r="G35" s="49">
        <f>AVERAGE('25.10 Lyantonde-Rushere'!G35,'26.10 Lyantonde-Rushere-24hr'!G35,'27.10 Lyantonde-Rushere'!G35,'28.10 Lyantonde-Rushere-24h'!G35,'29.10 Lyantonde-Rushere'!G35,'30.10 Lyantonde-Rushere'!G35,'31.10 Lyantonde-Rushere'!G35)</f>
        <v>0</v>
      </c>
      <c r="H35" s="49">
        <f>AVERAGE('25.10 Lyantonde-Rushere'!H35,'26.10 Lyantonde-Rushere-24hr'!H35,'27.10 Lyantonde-Rushere'!H35,'28.10 Lyantonde-Rushere-24h'!H35,'29.10 Lyantonde-Rushere'!H35,'30.10 Lyantonde-Rushere'!H35,'31.10 Lyantonde-Rushere'!H35)</f>
        <v>0</v>
      </c>
      <c r="I35" s="49">
        <f>AVERAGE('25.10 Lyantonde-Rushere'!I35,'26.10 Lyantonde-Rushere-24hr'!I35,'27.10 Lyantonde-Rushere'!I35,'28.10 Lyantonde-Rushere-24h'!I35,'29.10 Lyantonde-Rushere'!I35,'30.10 Lyantonde-Rushere'!I35,'31.10 Lyantonde-Rushere'!I35)</f>
        <v>0.42857142857142855</v>
      </c>
      <c r="J35" s="49">
        <f>AVERAGE('25.10 Lyantonde-Rushere'!J35,'26.10 Lyantonde-Rushere-24hr'!J35,'27.10 Lyantonde-Rushere'!J35,'28.10 Lyantonde-Rushere-24h'!J35,'29.10 Lyantonde-Rushere'!J35,'30.10 Lyantonde-Rushere'!J35,'31.10 Lyantonde-Rushere'!J35)</f>
        <v>1.5714285714285714</v>
      </c>
      <c r="K35" s="49">
        <f>AVERAGE('25.10 Lyantonde-Rushere'!K35,'26.10 Lyantonde-Rushere-24hr'!K35,'27.10 Lyantonde-Rushere'!K35,'28.10 Lyantonde-Rushere-24h'!K35,'29.10 Lyantonde-Rushere'!K35,'30.10 Lyantonde-Rushere'!K35,'31.10 Lyantonde-Rushere'!K35)</f>
        <v>0.2857142857142857</v>
      </c>
      <c r="L35" s="49">
        <f>AVERAGE('25.10 Lyantonde-Rushere'!L35,'26.10 Lyantonde-Rushere-24hr'!L35,'27.10 Lyantonde-Rushere'!L35,'28.10 Lyantonde-Rushere-24h'!L35,'29.10 Lyantonde-Rushere'!L35,'30.10 Lyantonde-Rushere'!L35,'31.10 Lyantonde-Rushere'!L35)</f>
        <v>0.14285714285714285</v>
      </c>
      <c r="M35" s="49">
        <f>AVERAGE('25.10 Lyantonde-Rushere'!M35,'26.10 Lyantonde-Rushere-24hr'!M35,'27.10 Lyantonde-Rushere'!M35,'28.10 Lyantonde-Rushere-24h'!M35,'29.10 Lyantonde-Rushere'!M35,'30.10 Lyantonde-Rushere'!M35,'31.10 Lyantonde-Rushere'!M35)</f>
        <v>5.7142857142857144</v>
      </c>
      <c r="N35" s="49">
        <f>AVERAGE('25.10 Lyantonde-Rushere'!N35,'26.10 Lyantonde-Rushere-24hr'!N35,'27.10 Lyantonde-Rushere'!N35,'28.10 Lyantonde-Rushere-24h'!N35,'29.10 Lyantonde-Rushere'!N35,'30.10 Lyantonde-Rushere'!N35,'31.10 Lyantonde-Rushere'!N35)</f>
        <v>0</v>
      </c>
      <c r="O35" s="15">
        <f t="shared" si="0"/>
        <v>8.4285714285714288</v>
      </c>
      <c r="P35" s="15">
        <f t="shared" si="1"/>
        <v>14.142857142857142</v>
      </c>
      <c r="R35" s="38" t="s">
        <v>91</v>
      </c>
      <c r="S35" s="39">
        <f t="shared" ref="S35:AF35" si="27">MAX(S13:S18)</f>
        <v>16.571428571428569</v>
      </c>
      <c r="T35" s="39">
        <f t="shared" si="27"/>
        <v>5.4285714285714288</v>
      </c>
      <c r="U35" s="39">
        <f t="shared" si="27"/>
        <v>4.1428571428571423</v>
      </c>
      <c r="V35" s="39">
        <f t="shared" si="27"/>
        <v>1</v>
      </c>
      <c r="W35" s="39">
        <f t="shared" si="27"/>
        <v>0.42857142857142855</v>
      </c>
      <c r="X35" s="39">
        <f t="shared" si="27"/>
        <v>0.71428571428571419</v>
      </c>
      <c r="Y35" s="39">
        <f t="shared" si="27"/>
        <v>3.7142857142857144</v>
      </c>
      <c r="Z35" s="39">
        <f t="shared" si="27"/>
        <v>4.5714285714285712</v>
      </c>
      <c r="AA35" s="39">
        <f t="shared" si="27"/>
        <v>2.2857142857142856</v>
      </c>
      <c r="AB35" s="39">
        <f t="shared" si="27"/>
        <v>1.5714285714285712</v>
      </c>
      <c r="AC35" s="39">
        <f t="shared" si="27"/>
        <v>28.285714285714285</v>
      </c>
      <c r="AD35" s="39">
        <f t="shared" si="27"/>
        <v>0.14285714285714285</v>
      </c>
      <c r="AE35" s="40">
        <f t="shared" si="27"/>
        <v>33.142857142857139</v>
      </c>
      <c r="AF35" s="40">
        <f t="shared" si="27"/>
        <v>61.428571428571431</v>
      </c>
    </row>
    <row r="36" spans="2:32" ht="23.1" customHeight="1" x14ac:dyDescent="0.25">
      <c r="B36" s="24" t="s">
        <v>63</v>
      </c>
      <c r="C36" s="49">
        <f>AVERAGE('25.10 Lyantonde-Rushere'!C36,'26.10 Lyantonde-Rushere-24hr'!C36,'27.10 Lyantonde-Rushere'!C36,'28.10 Lyantonde-Rushere-24h'!C36,'29.10 Lyantonde-Rushere'!C36,'30.10 Lyantonde-Rushere'!C36,'31.10 Lyantonde-Rushere'!C36)</f>
        <v>3.2857142857142856</v>
      </c>
      <c r="D36" s="49">
        <f>AVERAGE('25.10 Lyantonde-Rushere'!D36,'26.10 Lyantonde-Rushere-24hr'!D36,'27.10 Lyantonde-Rushere'!D36,'28.10 Lyantonde-Rushere-24h'!D36,'29.10 Lyantonde-Rushere'!D36,'30.10 Lyantonde-Rushere'!D36,'31.10 Lyantonde-Rushere'!D36)</f>
        <v>1</v>
      </c>
      <c r="E36" s="49">
        <f>AVERAGE('25.10 Lyantonde-Rushere'!E36,'26.10 Lyantonde-Rushere-24hr'!E36,'27.10 Lyantonde-Rushere'!E36,'28.10 Lyantonde-Rushere-24h'!E36,'29.10 Lyantonde-Rushere'!E36,'30.10 Lyantonde-Rushere'!E36,'31.10 Lyantonde-Rushere'!E36)</f>
        <v>1.2857142857142858</v>
      </c>
      <c r="F36" s="49">
        <f>AVERAGE('25.10 Lyantonde-Rushere'!F36,'26.10 Lyantonde-Rushere-24hr'!F36,'27.10 Lyantonde-Rushere'!F36,'28.10 Lyantonde-Rushere-24h'!F36,'29.10 Lyantonde-Rushere'!F36,'30.10 Lyantonde-Rushere'!F36,'31.10 Lyantonde-Rushere'!F36)</f>
        <v>0.14285714285714285</v>
      </c>
      <c r="G36" s="49">
        <f>AVERAGE('25.10 Lyantonde-Rushere'!G36,'26.10 Lyantonde-Rushere-24hr'!G36,'27.10 Lyantonde-Rushere'!G36,'28.10 Lyantonde-Rushere-24h'!G36,'29.10 Lyantonde-Rushere'!G36,'30.10 Lyantonde-Rushere'!G36,'31.10 Lyantonde-Rushere'!G36)</f>
        <v>0</v>
      </c>
      <c r="H36" s="49">
        <f>AVERAGE('25.10 Lyantonde-Rushere'!H36,'26.10 Lyantonde-Rushere-24hr'!H36,'27.10 Lyantonde-Rushere'!H36,'28.10 Lyantonde-Rushere-24h'!H36,'29.10 Lyantonde-Rushere'!H36,'30.10 Lyantonde-Rushere'!H36,'31.10 Lyantonde-Rushere'!H36)</f>
        <v>0</v>
      </c>
      <c r="I36" s="49">
        <f>AVERAGE('25.10 Lyantonde-Rushere'!I36,'26.10 Lyantonde-Rushere-24hr'!I36,'27.10 Lyantonde-Rushere'!I36,'28.10 Lyantonde-Rushere-24h'!I36,'29.10 Lyantonde-Rushere'!I36,'30.10 Lyantonde-Rushere'!I36,'31.10 Lyantonde-Rushere'!I36)</f>
        <v>0.5714285714285714</v>
      </c>
      <c r="J36" s="49">
        <f>AVERAGE('25.10 Lyantonde-Rushere'!J36,'26.10 Lyantonde-Rushere-24hr'!J36,'27.10 Lyantonde-Rushere'!J36,'28.10 Lyantonde-Rushere-24h'!J36,'29.10 Lyantonde-Rushere'!J36,'30.10 Lyantonde-Rushere'!J36,'31.10 Lyantonde-Rushere'!J36)</f>
        <v>0.7142857142857143</v>
      </c>
      <c r="K36" s="49">
        <f>AVERAGE('25.10 Lyantonde-Rushere'!K36,'26.10 Lyantonde-Rushere-24hr'!K36,'27.10 Lyantonde-Rushere'!K36,'28.10 Lyantonde-Rushere-24h'!K36,'29.10 Lyantonde-Rushere'!K36,'30.10 Lyantonde-Rushere'!K36,'31.10 Lyantonde-Rushere'!K36)</f>
        <v>0.14285714285714285</v>
      </c>
      <c r="L36" s="49">
        <f>AVERAGE('25.10 Lyantonde-Rushere'!L36,'26.10 Lyantonde-Rushere-24hr'!L36,'27.10 Lyantonde-Rushere'!L36,'28.10 Lyantonde-Rushere-24h'!L36,'29.10 Lyantonde-Rushere'!L36,'30.10 Lyantonde-Rushere'!L36,'31.10 Lyantonde-Rushere'!L36)</f>
        <v>0</v>
      </c>
      <c r="M36" s="49">
        <f>AVERAGE('25.10 Lyantonde-Rushere'!M36,'26.10 Lyantonde-Rushere-24hr'!M36,'27.10 Lyantonde-Rushere'!M36,'28.10 Lyantonde-Rushere-24h'!M36,'29.10 Lyantonde-Rushere'!M36,'30.10 Lyantonde-Rushere'!M36,'31.10 Lyantonde-Rushere'!M36)</f>
        <v>4.8571428571428568</v>
      </c>
      <c r="N36" s="49">
        <f>AVERAGE('25.10 Lyantonde-Rushere'!N36,'26.10 Lyantonde-Rushere-24hr'!N36,'27.10 Lyantonde-Rushere'!N36,'28.10 Lyantonde-Rushere-24h'!N36,'29.10 Lyantonde-Rushere'!N36,'30.10 Lyantonde-Rushere'!N36,'31.10 Lyantonde-Rushere'!N36)</f>
        <v>0</v>
      </c>
      <c r="O36" s="15">
        <f t="shared" si="0"/>
        <v>7.1428571428571432</v>
      </c>
      <c r="P36" s="15">
        <f t="shared" si="1"/>
        <v>12</v>
      </c>
      <c r="R36" s="38" t="s">
        <v>92</v>
      </c>
      <c r="S36" s="39">
        <f t="shared" ref="S36:AF36" si="28">MAX(S19:S21)</f>
        <v>22.714285714285715</v>
      </c>
      <c r="T36" s="39">
        <f t="shared" si="28"/>
        <v>6.4285714285714288</v>
      </c>
      <c r="U36" s="39">
        <f t="shared" si="28"/>
        <v>5</v>
      </c>
      <c r="V36" s="39">
        <f t="shared" si="28"/>
        <v>1.5714285714285714</v>
      </c>
      <c r="W36" s="39">
        <f t="shared" si="28"/>
        <v>0</v>
      </c>
      <c r="X36" s="39">
        <f t="shared" si="28"/>
        <v>0.85714285714285698</v>
      </c>
      <c r="Y36" s="39">
        <f t="shared" si="28"/>
        <v>2.7142857142857144</v>
      </c>
      <c r="Z36" s="39">
        <f t="shared" si="28"/>
        <v>3.285714285714286</v>
      </c>
      <c r="AA36" s="39">
        <f t="shared" si="28"/>
        <v>1.4285714285714284</v>
      </c>
      <c r="AB36" s="39">
        <f t="shared" si="28"/>
        <v>1.7142857142857144</v>
      </c>
      <c r="AC36" s="39">
        <f t="shared" si="28"/>
        <v>30.857142857142858</v>
      </c>
      <c r="AD36" s="39">
        <f t="shared" si="28"/>
        <v>0</v>
      </c>
      <c r="AE36" s="40">
        <f t="shared" si="28"/>
        <v>45.428571428571423</v>
      </c>
      <c r="AF36" s="40">
        <f t="shared" si="28"/>
        <v>76.285714285714278</v>
      </c>
    </row>
    <row r="37" spans="2:32" ht="23.1" customHeight="1" x14ac:dyDescent="0.25">
      <c r="B37" s="23" t="s">
        <v>64</v>
      </c>
      <c r="C37" s="49">
        <f>AVERAGE('25.10 Lyantonde-Rushere'!C37,'26.10 Lyantonde-Rushere-24hr'!C37,'27.10 Lyantonde-Rushere'!C37,'28.10 Lyantonde-Rushere-24h'!C37,'29.10 Lyantonde-Rushere'!C37,'30.10 Lyantonde-Rushere'!C37,'31.10 Lyantonde-Rushere'!C37)</f>
        <v>4.2857142857142856</v>
      </c>
      <c r="D37" s="49">
        <f>AVERAGE('25.10 Lyantonde-Rushere'!D37,'26.10 Lyantonde-Rushere-24hr'!D37,'27.10 Lyantonde-Rushere'!D37,'28.10 Lyantonde-Rushere-24h'!D37,'29.10 Lyantonde-Rushere'!D37,'30.10 Lyantonde-Rushere'!D37,'31.10 Lyantonde-Rushere'!D37)</f>
        <v>1.5714285714285714</v>
      </c>
      <c r="E37" s="49">
        <f>AVERAGE('25.10 Lyantonde-Rushere'!E37,'26.10 Lyantonde-Rushere-24hr'!E37,'27.10 Lyantonde-Rushere'!E37,'28.10 Lyantonde-Rushere-24h'!E37,'29.10 Lyantonde-Rushere'!E37,'30.10 Lyantonde-Rushere'!E37,'31.10 Lyantonde-Rushere'!E37)</f>
        <v>0.42857142857142855</v>
      </c>
      <c r="F37" s="49">
        <f>AVERAGE('25.10 Lyantonde-Rushere'!F37,'26.10 Lyantonde-Rushere-24hr'!F37,'27.10 Lyantonde-Rushere'!F37,'28.10 Lyantonde-Rushere-24h'!F37,'29.10 Lyantonde-Rushere'!F37,'30.10 Lyantonde-Rushere'!F37,'31.10 Lyantonde-Rushere'!F37)</f>
        <v>0.14285714285714285</v>
      </c>
      <c r="G37" s="49">
        <f>AVERAGE('25.10 Lyantonde-Rushere'!G37,'26.10 Lyantonde-Rushere-24hr'!G37,'27.10 Lyantonde-Rushere'!G37,'28.10 Lyantonde-Rushere-24h'!G37,'29.10 Lyantonde-Rushere'!G37,'30.10 Lyantonde-Rushere'!G37,'31.10 Lyantonde-Rushere'!G37)</f>
        <v>0</v>
      </c>
      <c r="H37" s="49">
        <f>AVERAGE('25.10 Lyantonde-Rushere'!H37,'26.10 Lyantonde-Rushere-24hr'!H37,'27.10 Lyantonde-Rushere'!H37,'28.10 Lyantonde-Rushere-24h'!H37,'29.10 Lyantonde-Rushere'!H37,'30.10 Lyantonde-Rushere'!H37,'31.10 Lyantonde-Rushere'!H37)</f>
        <v>0</v>
      </c>
      <c r="I37" s="49">
        <f>AVERAGE('25.10 Lyantonde-Rushere'!I37,'26.10 Lyantonde-Rushere-24hr'!I37,'27.10 Lyantonde-Rushere'!I37,'28.10 Lyantonde-Rushere-24h'!I37,'29.10 Lyantonde-Rushere'!I37,'30.10 Lyantonde-Rushere'!I37,'31.10 Lyantonde-Rushere'!I37)</f>
        <v>0.2857142857142857</v>
      </c>
      <c r="J37" s="49">
        <f>AVERAGE('25.10 Lyantonde-Rushere'!J37,'26.10 Lyantonde-Rushere-24hr'!J37,'27.10 Lyantonde-Rushere'!J37,'28.10 Lyantonde-Rushere-24h'!J37,'29.10 Lyantonde-Rushere'!J37,'30.10 Lyantonde-Rushere'!J37,'31.10 Lyantonde-Rushere'!J37)</f>
        <v>1.1428571428571428</v>
      </c>
      <c r="K37" s="49">
        <f>AVERAGE('25.10 Lyantonde-Rushere'!K37,'26.10 Lyantonde-Rushere-24hr'!K37,'27.10 Lyantonde-Rushere'!K37,'28.10 Lyantonde-Rushere-24h'!K37,'29.10 Lyantonde-Rushere'!K37,'30.10 Lyantonde-Rushere'!K37,'31.10 Lyantonde-Rushere'!K37)</f>
        <v>0.42857142857142855</v>
      </c>
      <c r="L37" s="49">
        <f>AVERAGE('25.10 Lyantonde-Rushere'!L37,'26.10 Lyantonde-Rushere-24hr'!L37,'27.10 Lyantonde-Rushere'!L37,'28.10 Lyantonde-Rushere-24h'!L37,'29.10 Lyantonde-Rushere'!L37,'30.10 Lyantonde-Rushere'!L37,'31.10 Lyantonde-Rushere'!L37)</f>
        <v>0.2857142857142857</v>
      </c>
      <c r="M37" s="49">
        <f>AVERAGE('25.10 Lyantonde-Rushere'!M37,'26.10 Lyantonde-Rushere-24hr'!M37,'27.10 Lyantonde-Rushere'!M37,'28.10 Lyantonde-Rushere-24h'!M37,'29.10 Lyantonde-Rushere'!M37,'30.10 Lyantonde-Rushere'!M37,'31.10 Lyantonde-Rushere'!M37)</f>
        <v>6.1428571428571432</v>
      </c>
      <c r="N37" s="49">
        <f>AVERAGE('25.10 Lyantonde-Rushere'!N37,'26.10 Lyantonde-Rushere-24hr'!N37,'27.10 Lyantonde-Rushere'!N37,'28.10 Lyantonde-Rushere-24h'!N37,'29.10 Lyantonde-Rushere'!N37,'30.10 Lyantonde-Rushere'!N37,'31.10 Lyantonde-Rushere'!N37)</f>
        <v>0</v>
      </c>
      <c r="O37" s="15">
        <f t="shared" si="0"/>
        <v>8.571428571428573</v>
      </c>
      <c r="P37" s="15">
        <f t="shared" si="1"/>
        <v>14.714285714285715</v>
      </c>
      <c r="R37" s="37" t="s">
        <v>85</v>
      </c>
      <c r="S37" s="35">
        <f t="shared" ref="S37:AF37" si="29">SUM(S10:S12)</f>
        <v>28.571428571428569</v>
      </c>
      <c r="T37" s="16">
        <f t="shared" si="29"/>
        <v>12.285714285714285</v>
      </c>
      <c r="U37" s="16">
        <f t="shared" si="29"/>
        <v>6.8571428571428568</v>
      </c>
      <c r="V37" s="16">
        <f t="shared" si="29"/>
        <v>2.5714285714285712</v>
      </c>
      <c r="W37" s="16">
        <f t="shared" si="29"/>
        <v>0</v>
      </c>
      <c r="X37" s="16">
        <f t="shared" si="29"/>
        <v>0.2857142857142857</v>
      </c>
      <c r="Y37" s="16">
        <f t="shared" si="29"/>
        <v>4.1428571428571423</v>
      </c>
      <c r="Z37" s="16">
        <f t="shared" si="29"/>
        <v>5.1428571428571423</v>
      </c>
      <c r="AA37" s="16">
        <f t="shared" si="29"/>
        <v>3.1428571428571423</v>
      </c>
      <c r="AB37" s="16">
        <f t="shared" si="29"/>
        <v>2.2857142857142851</v>
      </c>
      <c r="AC37" s="16">
        <f t="shared" si="29"/>
        <v>53.571428571428569</v>
      </c>
      <c r="AD37" s="16">
        <f t="shared" si="29"/>
        <v>0.5714285714285714</v>
      </c>
      <c r="AE37" s="32">
        <f t="shared" si="29"/>
        <v>65.857142857142861</v>
      </c>
      <c r="AF37" s="32">
        <f t="shared" si="29"/>
        <v>119.42857142857143</v>
      </c>
    </row>
    <row r="38" spans="2:32" ht="23.1" customHeight="1" x14ac:dyDescent="0.25">
      <c r="B38" s="24" t="s">
        <v>65</v>
      </c>
      <c r="C38" s="49">
        <f>AVERAGE('25.10 Lyantonde-Rushere'!C38,'26.10 Lyantonde-Rushere-24hr'!C38,'27.10 Lyantonde-Rushere'!C38,'28.10 Lyantonde-Rushere-24h'!C38,'29.10 Lyantonde-Rushere'!C38,'30.10 Lyantonde-Rushere'!C38,'31.10 Lyantonde-Rushere'!C38)</f>
        <v>4.5714285714285712</v>
      </c>
      <c r="D38" s="49">
        <f>AVERAGE('25.10 Lyantonde-Rushere'!D38,'26.10 Lyantonde-Rushere-24hr'!D38,'27.10 Lyantonde-Rushere'!D38,'28.10 Lyantonde-Rushere-24h'!D38,'29.10 Lyantonde-Rushere'!D38,'30.10 Lyantonde-Rushere'!D38,'31.10 Lyantonde-Rushere'!D38)</f>
        <v>0.8571428571428571</v>
      </c>
      <c r="E38" s="49">
        <f>AVERAGE('25.10 Lyantonde-Rushere'!E38,'26.10 Lyantonde-Rushere-24hr'!E38,'27.10 Lyantonde-Rushere'!E38,'28.10 Lyantonde-Rushere-24h'!E38,'29.10 Lyantonde-Rushere'!E38,'30.10 Lyantonde-Rushere'!E38,'31.10 Lyantonde-Rushere'!E38)</f>
        <v>0.8571428571428571</v>
      </c>
      <c r="F38" s="49">
        <f>AVERAGE('25.10 Lyantonde-Rushere'!F38,'26.10 Lyantonde-Rushere-24hr'!F38,'27.10 Lyantonde-Rushere'!F38,'28.10 Lyantonde-Rushere-24h'!F38,'29.10 Lyantonde-Rushere'!F38,'30.10 Lyantonde-Rushere'!F38,'31.10 Lyantonde-Rushere'!F38)</f>
        <v>0</v>
      </c>
      <c r="G38" s="49">
        <f>AVERAGE('25.10 Lyantonde-Rushere'!G38,'26.10 Lyantonde-Rushere-24hr'!G38,'27.10 Lyantonde-Rushere'!G38,'28.10 Lyantonde-Rushere-24h'!G38,'29.10 Lyantonde-Rushere'!G38,'30.10 Lyantonde-Rushere'!G38,'31.10 Lyantonde-Rushere'!G38)</f>
        <v>0</v>
      </c>
      <c r="H38" s="49">
        <f>AVERAGE('25.10 Lyantonde-Rushere'!H38,'26.10 Lyantonde-Rushere-24hr'!H38,'27.10 Lyantonde-Rushere'!H38,'28.10 Lyantonde-Rushere-24h'!H38,'29.10 Lyantonde-Rushere'!H38,'30.10 Lyantonde-Rushere'!H38,'31.10 Lyantonde-Rushere'!H38)</f>
        <v>0</v>
      </c>
      <c r="I38" s="49">
        <f>AVERAGE('25.10 Lyantonde-Rushere'!I38,'26.10 Lyantonde-Rushere-24hr'!I38,'27.10 Lyantonde-Rushere'!I38,'28.10 Lyantonde-Rushere-24h'!I38,'29.10 Lyantonde-Rushere'!I38,'30.10 Lyantonde-Rushere'!I38,'31.10 Lyantonde-Rushere'!I38)</f>
        <v>0.42857142857142855</v>
      </c>
      <c r="J38" s="49">
        <f>AVERAGE('25.10 Lyantonde-Rushere'!J38,'26.10 Lyantonde-Rushere-24hr'!J38,'27.10 Lyantonde-Rushere'!J38,'28.10 Lyantonde-Rushere-24h'!J38,'29.10 Lyantonde-Rushere'!J38,'30.10 Lyantonde-Rushere'!J38,'31.10 Lyantonde-Rushere'!J38)</f>
        <v>2.1428571428571428</v>
      </c>
      <c r="K38" s="49">
        <f>AVERAGE('25.10 Lyantonde-Rushere'!K38,'26.10 Lyantonde-Rushere-24hr'!K38,'27.10 Lyantonde-Rushere'!K38,'28.10 Lyantonde-Rushere-24h'!K38,'29.10 Lyantonde-Rushere'!K38,'30.10 Lyantonde-Rushere'!K38,'31.10 Lyantonde-Rushere'!K38)</f>
        <v>0.7142857142857143</v>
      </c>
      <c r="L38" s="49">
        <f>AVERAGE('25.10 Lyantonde-Rushere'!L38,'26.10 Lyantonde-Rushere-24hr'!L38,'27.10 Lyantonde-Rushere'!L38,'28.10 Lyantonde-Rushere-24h'!L38,'29.10 Lyantonde-Rushere'!L38,'30.10 Lyantonde-Rushere'!L38,'31.10 Lyantonde-Rushere'!L38)</f>
        <v>0.42857142857142855</v>
      </c>
      <c r="M38" s="49">
        <f>AVERAGE('25.10 Lyantonde-Rushere'!M38,'26.10 Lyantonde-Rushere-24hr'!M38,'27.10 Lyantonde-Rushere'!M38,'28.10 Lyantonde-Rushere-24h'!M38,'29.10 Lyantonde-Rushere'!M38,'30.10 Lyantonde-Rushere'!M38,'31.10 Lyantonde-Rushere'!M38)</f>
        <v>5</v>
      </c>
      <c r="N38" s="49">
        <f>AVERAGE('25.10 Lyantonde-Rushere'!N38,'26.10 Lyantonde-Rushere-24hr'!N38,'27.10 Lyantonde-Rushere'!N38,'28.10 Lyantonde-Rushere-24h'!N38,'29.10 Lyantonde-Rushere'!N38,'30.10 Lyantonde-Rushere'!N38,'31.10 Lyantonde-Rushere'!N38)</f>
        <v>0</v>
      </c>
      <c r="O38" s="15">
        <f t="shared" si="0"/>
        <v>9.9999999999999982</v>
      </c>
      <c r="P38" s="15">
        <f t="shared" si="1"/>
        <v>14.999999999999998</v>
      </c>
      <c r="R38" s="28" t="s">
        <v>86</v>
      </c>
      <c r="S38" s="16">
        <f t="shared" ref="S38:AF38" si="30">SUM(S13:S18)</f>
        <v>86.285714285714292</v>
      </c>
      <c r="T38" s="16">
        <f t="shared" si="30"/>
        <v>28.428571428571427</v>
      </c>
      <c r="U38" s="16">
        <f t="shared" si="30"/>
        <v>16.571428571428569</v>
      </c>
      <c r="V38" s="16">
        <f t="shared" si="30"/>
        <v>3.9999999999999996</v>
      </c>
      <c r="W38" s="16">
        <f t="shared" si="30"/>
        <v>0.85714285714285698</v>
      </c>
      <c r="X38" s="16">
        <f t="shared" si="30"/>
        <v>0.85714285714285698</v>
      </c>
      <c r="Y38" s="16">
        <f t="shared" si="30"/>
        <v>13.571428571428569</v>
      </c>
      <c r="Z38" s="16">
        <f t="shared" si="30"/>
        <v>18.428571428571427</v>
      </c>
      <c r="AA38" s="16">
        <f t="shared" si="30"/>
        <v>6.8571428571428568</v>
      </c>
      <c r="AB38" s="16">
        <f t="shared" si="30"/>
        <v>4.9999999999999991</v>
      </c>
      <c r="AC38" s="16">
        <f t="shared" si="30"/>
        <v>139.42857142857144</v>
      </c>
      <c r="AD38" s="16">
        <f t="shared" si="30"/>
        <v>0.14285714285714285</v>
      </c>
      <c r="AE38" s="32">
        <f t="shared" si="30"/>
        <v>180.99999999999997</v>
      </c>
      <c r="AF38" s="32">
        <f t="shared" si="30"/>
        <v>320.42857142857144</v>
      </c>
    </row>
    <row r="39" spans="2:32" ht="23.1" customHeight="1" x14ac:dyDescent="0.25">
      <c r="B39" s="24" t="s">
        <v>66</v>
      </c>
      <c r="C39" s="49">
        <f>AVERAGE('25.10 Lyantonde-Rushere'!C39,'26.10 Lyantonde-Rushere-24hr'!C39,'27.10 Lyantonde-Rushere'!C39,'28.10 Lyantonde-Rushere-24h'!C39,'29.10 Lyantonde-Rushere'!C39,'30.10 Lyantonde-Rushere'!C39,'31.10 Lyantonde-Rushere'!C39)</f>
        <v>3.4285714285714284</v>
      </c>
      <c r="D39" s="49">
        <f>AVERAGE('25.10 Lyantonde-Rushere'!D39,'26.10 Lyantonde-Rushere-24hr'!D39,'27.10 Lyantonde-Rushere'!D39,'28.10 Lyantonde-Rushere-24h'!D39,'29.10 Lyantonde-Rushere'!D39,'30.10 Lyantonde-Rushere'!D39,'31.10 Lyantonde-Rushere'!D39)</f>
        <v>1.1428571428571428</v>
      </c>
      <c r="E39" s="49">
        <f>AVERAGE('25.10 Lyantonde-Rushere'!E39,'26.10 Lyantonde-Rushere-24hr'!E39,'27.10 Lyantonde-Rushere'!E39,'28.10 Lyantonde-Rushere-24h'!E39,'29.10 Lyantonde-Rushere'!E39,'30.10 Lyantonde-Rushere'!E39,'31.10 Lyantonde-Rushere'!E39)</f>
        <v>0.5714285714285714</v>
      </c>
      <c r="F39" s="49">
        <f>AVERAGE('25.10 Lyantonde-Rushere'!F39,'26.10 Lyantonde-Rushere-24hr'!F39,'27.10 Lyantonde-Rushere'!F39,'28.10 Lyantonde-Rushere-24h'!F39,'29.10 Lyantonde-Rushere'!F39,'30.10 Lyantonde-Rushere'!F39,'31.10 Lyantonde-Rushere'!F39)</f>
        <v>0.14285714285714285</v>
      </c>
      <c r="G39" s="49">
        <f>AVERAGE('25.10 Lyantonde-Rushere'!G39,'26.10 Lyantonde-Rushere-24hr'!G39,'27.10 Lyantonde-Rushere'!G39,'28.10 Lyantonde-Rushere-24h'!G39,'29.10 Lyantonde-Rushere'!G39,'30.10 Lyantonde-Rushere'!G39,'31.10 Lyantonde-Rushere'!G39)</f>
        <v>0</v>
      </c>
      <c r="H39" s="49">
        <f>AVERAGE('25.10 Lyantonde-Rushere'!H39,'26.10 Lyantonde-Rushere-24hr'!H39,'27.10 Lyantonde-Rushere'!H39,'28.10 Lyantonde-Rushere-24h'!H39,'29.10 Lyantonde-Rushere'!H39,'30.10 Lyantonde-Rushere'!H39,'31.10 Lyantonde-Rushere'!H39)</f>
        <v>0</v>
      </c>
      <c r="I39" s="49">
        <f>AVERAGE('25.10 Lyantonde-Rushere'!I39,'26.10 Lyantonde-Rushere-24hr'!I39,'27.10 Lyantonde-Rushere'!I39,'28.10 Lyantonde-Rushere-24h'!I39,'29.10 Lyantonde-Rushere'!I39,'30.10 Lyantonde-Rushere'!I39,'31.10 Lyantonde-Rushere'!I39)</f>
        <v>0.2857142857142857</v>
      </c>
      <c r="J39" s="49">
        <f>AVERAGE('25.10 Lyantonde-Rushere'!J39,'26.10 Lyantonde-Rushere-24hr'!J39,'27.10 Lyantonde-Rushere'!J39,'28.10 Lyantonde-Rushere-24h'!J39,'29.10 Lyantonde-Rushere'!J39,'30.10 Lyantonde-Rushere'!J39,'31.10 Lyantonde-Rushere'!J39)</f>
        <v>0.14285714285714285</v>
      </c>
      <c r="K39" s="49">
        <f>AVERAGE('25.10 Lyantonde-Rushere'!K39,'26.10 Lyantonde-Rushere-24hr'!K39,'27.10 Lyantonde-Rushere'!K39,'28.10 Lyantonde-Rushere-24h'!K39,'29.10 Lyantonde-Rushere'!K39,'30.10 Lyantonde-Rushere'!K39,'31.10 Lyantonde-Rushere'!K39)</f>
        <v>0.2857142857142857</v>
      </c>
      <c r="L39" s="49">
        <f>AVERAGE('25.10 Lyantonde-Rushere'!L39,'26.10 Lyantonde-Rushere-24hr'!L39,'27.10 Lyantonde-Rushere'!L39,'28.10 Lyantonde-Rushere-24h'!L39,'29.10 Lyantonde-Rushere'!L39,'30.10 Lyantonde-Rushere'!L39,'31.10 Lyantonde-Rushere'!L39)</f>
        <v>0</v>
      </c>
      <c r="M39" s="49">
        <f>AVERAGE('25.10 Lyantonde-Rushere'!M39,'26.10 Lyantonde-Rushere-24hr'!M39,'27.10 Lyantonde-Rushere'!M39,'28.10 Lyantonde-Rushere-24h'!M39,'29.10 Lyantonde-Rushere'!M39,'30.10 Lyantonde-Rushere'!M39,'31.10 Lyantonde-Rushere'!M39)</f>
        <v>4.8571428571428568</v>
      </c>
      <c r="N39" s="49">
        <f>AVERAGE('25.10 Lyantonde-Rushere'!N39,'26.10 Lyantonde-Rushere-24hr'!N39,'27.10 Lyantonde-Rushere'!N39,'28.10 Lyantonde-Rushere-24h'!N39,'29.10 Lyantonde-Rushere'!N39,'30.10 Lyantonde-Rushere'!N39,'31.10 Lyantonde-Rushere'!N39)</f>
        <v>0</v>
      </c>
      <c r="O39" s="15">
        <f t="shared" si="0"/>
        <v>6</v>
      </c>
      <c r="P39" s="15">
        <f t="shared" si="1"/>
        <v>10.857142857142858</v>
      </c>
      <c r="R39" s="29" t="s">
        <v>87</v>
      </c>
      <c r="S39" s="16">
        <f t="shared" ref="S39:AF39" si="31">SUM(S19:S21)</f>
        <v>59</v>
      </c>
      <c r="T39" s="16">
        <f t="shared" si="31"/>
        <v>17</v>
      </c>
      <c r="U39" s="16">
        <f t="shared" si="31"/>
        <v>9.8571428571428577</v>
      </c>
      <c r="V39" s="16">
        <f t="shared" si="31"/>
        <v>3.1428571428571423</v>
      </c>
      <c r="W39" s="16">
        <f t="shared" si="31"/>
        <v>0</v>
      </c>
      <c r="X39" s="16">
        <f t="shared" si="31"/>
        <v>1.1428571428571428</v>
      </c>
      <c r="Y39" s="16">
        <f t="shared" si="31"/>
        <v>8</v>
      </c>
      <c r="Z39" s="16">
        <f t="shared" si="31"/>
        <v>9</v>
      </c>
      <c r="AA39" s="16">
        <f t="shared" si="31"/>
        <v>3.714285714285714</v>
      </c>
      <c r="AB39" s="16">
        <f t="shared" si="31"/>
        <v>3.2857142857142856</v>
      </c>
      <c r="AC39" s="16">
        <f t="shared" si="31"/>
        <v>84.714285714285722</v>
      </c>
      <c r="AD39" s="16">
        <f t="shared" si="31"/>
        <v>0</v>
      </c>
      <c r="AE39" s="32">
        <f t="shared" si="31"/>
        <v>114.14285714285714</v>
      </c>
      <c r="AF39" s="32">
        <f t="shared" si="31"/>
        <v>198.85714285714286</v>
      </c>
    </row>
    <row r="40" spans="2:32" ht="23.1" customHeight="1" x14ac:dyDescent="0.25">
      <c r="B40" s="24" t="s">
        <v>67</v>
      </c>
      <c r="C40" s="49">
        <f>AVERAGE('25.10 Lyantonde-Rushere'!C40,'26.10 Lyantonde-Rushere-24hr'!C40,'27.10 Lyantonde-Rushere'!C40,'28.10 Lyantonde-Rushere-24h'!C40,'29.10 Lyantonde-Rushere'!C40,'30.10 Lyantonde-Rushere'!C40,'31.10 Lyantonde-Rushere'!C40)</f>
        <v>3.4285714285714284</v>
      </c>
      <c r="D40" s="49">
        <f>AVERAGE('25.10 Lyantonde-Rushere'!D40,'26.10 Lyantonde-Rushere-24hr'!D40,'27.10 Lyantonde-Rushere'!D40,'28.10 Lyantonde-Rushere-24h'!D40,'29.10 Lyantonde-Rushere'!D40,'30.10 Lyantonde-Rushere'!D40,'31.10 Lyantonde-Rushere'!D40)</f>
        <v>1</v>
      </c>
      <c r="E40" s="49">
        <f>AVERAGE('25.10 Lyantonde-Rushere'!E40,'26.10 Lyantonde-Rushere-24hr'!E40,'27.10 Lyantonde-Rushere'!E40,'28.10 Lyantonde-Rushere-24h'!E40,'29.10 Lyantonde-Rushere'!E40,'30.10 Lyantonde-Rushere'!E40,'31.10 Lyantonde-Rushere'!E40)</f>
        <v>0.7142857142857143</v>
      </c>
      <c r="F40" s="49">
        <f>AVERAGE('25.10 Lyantonde-Rushere'!F40,'26.10 Lyantonde-Rushere-24hr'!F40,'27.10 Lyantonde-Rushere'!F40,'28.10 Lyantonde-Rushere-24h'!F40,'29.10 Lyantonde-Rushere'!F40,'30.10 Lyantonde-Rushere'!F40,'31.10 Lyantonde-Rushere'!F40)</f>
        <v>0.2857142857142857</v>
      </c>
      <c r="G40" s="49">
        <f>AVERAGE('25.10 Lyantonde-Rushere'!G40,'26.10 Lyantonde-Rushere-24hr'!G40,'27.10 Lyantonde-Rushere'!G40,'28.10 Lyantonde-Rushere-24h'!G40,'29.10 Lyantonde-Rushere'!G40,'30.10 Lyantonde-Rushere'!G40,'31.10 Lyantonde-Rushere'!G40)</f>
        <v>0</v>
      </c>
      <c r="H40" s="49">
        <f>AVERAGE('25.10 Lyantonde-Rushere'!H40,'26.10 Lyantonde-Rushere-24hr'!H40,'27.10 Lyantonde-Rushere'!H40,'28.10 Lyantonde-Rushere-24h'!H40,'29.10 Lyantonde-Rushere'!H40,'30.10 Lyantonde-Rushere'!H40,'31.10 Lyantonde-Rushere'!H40)</f>
        <v>0</v>
      </c>
      <c r="I40" s="49">
        <f>AVERAGE('25.10 Lyantonde-Rushere'!I40,'26.10 Lyantonde-Rushere-24hr'!I40,'27.10 Lyantonde-Rushere'!I40,'28.10 Lyantonde-Rushere-24h'!I40,'29.10 Lyantonde-Rushere'!I40,'30.10 Lyantonde-Rushere'!I40,'31.10 Lyantonde-Rushere'!I40)</f>
        <v>0.2857142857142857</v>
      </c>
      <c r="J40" s="49">
        <f>AVERAGE('25.10 Lyantonde-Rushere'!J40,'26.10 Lyantonde-Rushere-24hr'!J40,'27.10 Lyantonde-Rushere'!J40,'28.10 Lyantonde-Rushere-24h'!J40,'29.10 Lyantonde-Rushere'!J40,'30.10 Lyantonde-Rushere'!J40,'31.10 Lyantonde-Rushere'!J40)</f>
        <v>0.8571428571428571</v>
      </c>
      <c r="K40" s="49">
        <f>AVERAGE('25.10 Lyantonde-Rushere'!K40,'26.10 Lyantonde-Rushere-24hr'!K40,'27.10 Lyantonde-Rushere'!K40,'28.10 Lyantonde-Rushere-24h'!K40,'29.10 Lyantonde-Rushere'!K40,'30.10 Lyantonde-Rushere'!K40,'31.10 Lyantonde-Rushere'!K40)</f>
        <v>0.14285714285714285</v>
      </c>
      <c r="L40" s="49">
        <f>AVERAGE('25.10 Lyantonde-Rushere'!L40,'26.10 Lyantonde-Rushere-24hr'!L40,'27.10 Lyantonde-Rushere'!L40,'28.10 Lyantonde-Rushere-24h'!L40,'29.10 Lyantonde-Rushere'!L40,'30.10 Lyantonde-Rushere'!L40,'31.10 Lyantonde-Rushere'!L40)</f>
        <v>0.14285714285714285</v>
      </c>
      <c r="M40" s="49">
        <f>AVERAGE('25.10 Lyantonde-Rushere'!M40,'26.10 Lyantonde-Rushere-24hr'!M40,'27.10 Lyantonde-Rushere'!M40,'28.10 Lyantonde-Rushere-24h'!M40,'29.10 Lyantonde-Rushere'!M40,'30.10 Lyantonde-Rushere'!M40,'31.10 Lyantonde-Rushere'!M40)</f>
        <v>6.2857142857142856</v>
      </c>
      <c r="N40" s="49">
        <f>AVERAGE('25.10 Lyantonde-Rushere'!N40,'26.10 Lyantonde-Rushere-24hr'!N40,'27.10 Lyantonde-Rushere'!N40,'28.10 Lyantonde-Rushere-24h'!N40,'29.10 Lyantonde-Rushere'!N40,'30.10 Lyantonde-Rushere'!N40,'31.10 Lyantonde-Rushere'!N40)</f>
        <v>0</v>
      </c>
      <c r="O40" s="15">
        <f t="shared" si="0"/>
        <v>6.8571428571428577</v>
      </c>
      <c r="P40" s="15">
        <f t="shared" si="1"/>
        <v>13.142857142857142</v>
      </c>
      <c r="R40" s="5" t="s">
        <v>17</v>
      </c>
      <c r="S40" s="16">
        <f t="shared" ref="S40:AF40" si="32">SUM(S10:S21)</f>
        <v>173.85714285714286</v>
      </c>
      <c r="T40" s="16">
        <f t="shared" si="32"/>
        <v>57.714285714285722</v>
      </c>
      <c r="U40" s="16">
        <f t="shared" si="32"/>
        <v>33.285714285714285</v>
      </c>
      <c r="V40" s="16">
        <f t="shared" si="32"/>
        <v>9.7142857142857135</v>
      </c>
      <c r="W40" s="16">
        <f t="shared" si="32"/>
        <v>0.85714285714285698</v>
      </c>
      <c r="X40" s="16">
        <f t="shared" si="32"/>
        <v>2.2857142857142856</v>
      </c>
      <c r="Y40" s="16">
        <f t="shared" si="32"/>
        <v>25.714285714285715</v>
      </c>
      <c r="Z40" s="16">
        <f t="shared" si="32"/>
        <v>32.571428571428569</v>
      </c>
      <c r="AA40" s="16">
        <f t="shared" si="32"/>
        <v>13.714285714285712</v>
      </c>
      <c r="AB40" s="16">
        <f t="shared" si="32"/>
        <v>10.571428571428569</v>
      </c>
      <c r="AC40" s="16">
        <f t="shared" si="32"/>
        <v>277.71428571428572</v>
      </c>
      <c r="AD40" s="16">
        <f t="shared" si="32"/>
        <v>0.71428571428571419</v>
      </c>
      <c r="AE40" s="32">
        <f t="shared" si="32"/>
        <v>360.99999999999994</v>
      </c>
      <c r="AF40" s="32">
        <f t="shared" si="32"/>
        <v>638.71428571428578</v>
      </c>
    </row>
    <row r="41" spans="2:32" ht="23.1" customHeight="1" x14ac:dyDescent="0.25">
      <c r="B41" s="23" t="s">
        <v>68</v>
      </c>
      <c r="C41" s="49">
        <f>AVERAGE('25.10 Lyantonde-Rushere'!C41,'26.10 Lyantonde-Rushere-24hr'!C41,'27.10 Lyantonde-Rushere'!C41,'28.10 Lyantonde-Rushere-24h'!C41,'29.10 Lyantonde-Rushere'!C41,'30.10 Lyantonde-Rushere'!C41,'31.10 Lyantonde-Rushere'!C41)</f>
        <v>4.5714285714285712</v>
      </c>
      <c r="D41" s="49">
        <f>AVERAGE('25.10 Lyantonde-Rushere'!D41,'26.10 Lyantonde-Rushere-24hr'!D41,'27.10 Lyantonde-Rushere'!D41,'28.10 Lyantonde-Rushere-24h'!D41,'29.10 Lyantonde-Rushere'!D41,'30.10 Lyantonde-Rushere'!D41,'31.10 Lyantonde-Rushere'!D41)</f>
        <v>1.1428571428571428</v>
      </c>
      <c r="E41" s="49">
        <f>AVERAGE('25.10 Lyantonde-Rushere'!E41,'26.10 Lyantonde-Rushere-24hr'!E41,'27.10 Lyantonde-Rushere'!E41,'28.10 Lyantonde-Rushere-24h'!E41,'29.10 Lyantonde-Rushere'!E41,'30.10 Lyantonde-Rushere'!E41,'31.10 Lyantonde-Rushere'!E41)</f>
        <v>0.5714285714285714</v>
      </c>
      <c r="F41" s="49">
        <f>AVERAGE('25.10 Lyantonde-Rushere'!F41,'26.10 Lyantonde-Rushere-24hr'!F41,'27.10 Lyantonde-Rushere'!F41,'28.10 Lyantonde-Rushere-24h'!F41,'29.10 Lyantonde-Rushere'!F41,'30.10 Lyantonde-Rushere'!F41,'31.10 Lyantonde-Rushere'!F41)</f>
        <v>0</v>
      </c>
      <c r="G41" s="49">
        <f>AVERAGE('25.10 Lyantonde-Rushere'!G41,'26.10 Lyantonde-Rushere-24hr'!G41,'27.10 Lyantonde-Rushere'!G41,'28.10 Lyantonde-Rushere-24h'!G41,'29.10 Lyantonde-Rushere'!G41,'30.10 Lyantonde-Rushere'!G41,'31.10 Lyantonde-Rushere'!G41)</f>
        <v>0</v>
      </c>
      <c r="H41" s="49">
        <f>AVERAGE('25.10 Lyantonde-Rushere'!H41,'26.10 Lyantonde-Rushere-24hr'!H41,'27.10 Lyantonde-Rushere'!H41,'28.10 Lyantonde-Rushere-24h'!H41,'29.10 Lyantonde-Rushere'!H41,'30.10 Lyantonde-Rushere'!H41,'31.10 Lyantonde-Rushere'!H41)</f>
        <v>0</v>
      </c>
      <c r="I41" s="49">
        <f>AVERAGE('25.10 Lyantonde-Rushere'!I41,'26.10 Lyantonde-Rushere-24hr'!I41,'27.10 Lyantonde-Rushere'!I41,'28.10 Lyantonde-Rushere-24h'!I41,'29.10 Lyantonde-Rushere'!I41,'30.10 Lyantonde-Rushere'!I41,'31.10 Lyantonde-Rushere'!I41)</f>
        <v>0.5714285714285714</v>
      </c>
      <c r="J41" s="49">
        <f>AVERAGE('25.10 Lyantonde-Rushere'!J41,'26.10 Lyantonde-Rushere-24hr'!J41,'27.10 Lyantonde-Rushere'!J41,'28.10 Lyantonde-Rushere-24h'!J41,'29.10 Lyantonde-Rushere'!J41,'30.10 Lyantonde-Rushere'!J41,'31.10 Lyantonde-Rushere'!J41)</f>
        <v>0.7142857142857143</v>
      </c>
      <c r="K41" s="49">
        <f>AVERAGE('25.10 Lyantonde-Rushere'!K41,'26.10 Lyantonde-Rushere-24hr'!K41,'27.10 Lyantonde-Rushere'!K41,'28.10 Lyantonde-Rushere-24h'!K41,'29.10 Lyantonde-Rushere'!K41,'30.10 Lyantonde-Rushere'!K41,'31.10 Lyantonde-Rushere'!K41)</f>
        <v>0.42857142857142855</v>
      </c>
      <c r="L41" s="49">
        <f>AVERAGE('25.10 Lyantonde-Rushere'!L41,'26.10 Lyantonde-Rushere-24hr'!L41,'27.10 Lyantonde-Rushere'!L41,'28.10 Lyantonde-Rushere-24h'!L41,'29.10 Lyantonde-Rushere'!L41,'30.10 Lyantonde-Rushere'!L41,'31.10 Lyantonde-Rushere'!L41)</f>
        <v>0.2857142857142857</v>
      </c>
      <c r="M41" s="49">
        <f>AVERAGE('25.10 Lyantonde-Rushere'!M41,'26.10 Lyantonde-Rushere-24hr'!M41,'27.10 Lyantonde-Rushere'!M41,'28.10 Lyantonde-Rushere-24h'!M41,'29.10 Lyantonde-Rushere'!M41,'30.10 Lyantonde-Rushere'!M41,'31.10 Lyantonde-Rushere'!M41)</f>
        <v>6.7142857142857144</v>
      </c>
      <c r="N41" s="49">
        <f>AVERAGE('25.10 Lyantonde-Rushere'!N41,'26.10 Lyantonde-Rushere-24hr'!N41,'27.10 Lyantonde-Rushere'!N41,'28.10 Lyantonde-Rushere-24h'!N41,'29.10 Lyantonde-Rushere'!N41,'30.10 Lyantonde-Rushere'!N41,'31.10 Lyantonde-Rushere'!N41)</f>
        <v>0</v>
      </c>
      <c r="O41" s="15">
        <f t="shared" si="0"/>
        <v>8.2857142857142847</v>
      </c>
      <c r="P41" s="15">
        <f t="shared" si="1"/>
        <v>15</v>
      </c>
      <c r="R41" s="5" t="s">
        <v>179</v>
      </c>
      <c r="S41" s="16">
        <f>SUM(S10:S33)</f>
        <v>316.35714285714289</v>
      </c>
      <c r="T41" s="16">
        <f t="shared" ref="T41:AD41" si="33">SUM(T10:T33)</f>
        <v>124.21428571428572</v>
      </c>
      <c r="U41" s="16">
        <f t="shared" si="33"/>
        <v>64.285714285714278</v>
      </c>
      <c r="V41" s="16">
        <f t="shared" si="33"/>
        <v>22.214285714285715</v>
      </c>
      <c r="W41" s="16">
        <f t="shared" si="33"/>
        <v>5.3571428571428568</v>
      </c>
      <c r="X41" s="16">
        <f t="shared" si="33"/>
        <v>9.2857142857142847</v>
      </c>
      <c r="Y41" s="16">
        <f t="shared" si="33"/>
        <v>54.214285714285715</v>
      </c>
      <c r="Z41" s="16">
        <f t="shared" si="33"/>
        <v>55.571428571428569</v>
      </c>
      <c r="AA41" s="16">
        <f t="shared" si="33"/>
        <v>60.214285714285708</v>
      </c>
      <c r="AB41" s="16">
        <f t="shared" si="33"/>
        <v>68.571428571428569</v>
      </c>
      <c r="AC41" s="16">
        <f t="shared" si="33"/>
        <v>362.71428571428572</v>
      </c>
      <c r="AD41" s="16">
        <f t="shared" si="33"/>
        <v>4.7142857142857144</v>
      </c>
      <c r="AE41" s="32">
        <f>SUM(AE10:AE33)</f>
        <v>785</v>
      </c>
      <c r="AF41" s="32">
        <f>SUM(AF10:AF33)</f>
        <v>1147.7142857142858</v>
      </c>
    </row>
    <row r="42" spans="2:32" ht="23.1" customHeight="1" x14ac:dyDescent="0.25">
      <c r="B42" s="24" t="s">
        <v>69</v>
      </c>
      <c r="C42" s="49">
        <f>AVERAGE('25.10 Lyantonde-Rushere'!C42,'26.10 Lyantonde-Rushere-24hr'!C42,'27.10 Lyantonde-Rushere'!C42,'28.10 Lyantonde-Rushere-24h'!C42,'29.10 Lyantonde-Rushere'!C42,'30.10 Lyantonde-Rushere'!C42,'31.10 Lyantonde-Rushere'!C42)</f>
        <v>2.4285714285714284</v>
      </c>
      <c r="D42" s="49">
        <f>AVERAGE('25.10 Lyantonde-Rushere'!D42,'26.10 Lyantonde-Rushere-24hr'!D42,'27.10 Lyantonde-Rushere'!D42,'28.10 Lyantonde-Rushere-24h'!D42,'29.10 Lyantonde-Rushere'!D42,'30.10 Lyantonde-Rushere'!D42,'31.10 Lyantonde-Rushere'!D42)</f>
        <v>1.2857142857142858</v>
      </c>
      <c r="E42" s="49">
        <f>AVERAGE('25.10 Lyantonde-Rushere'!E42,'26.10 Lyantonde-Rushere-24hr'!E42,'27.10 Lyantonde-Rushere'!E42,'28.10 Lyantonde-Rushere-24h'!E42,'29.10 Lyantonde-Rushere'!E42,'30.10 Lyantonde-Rushere'!E42,'31.10 Lyantonde-Rushere'!E42)</f>
        <v>0.14285714285714285</v>
      </c>
      <c r="F42" s="49">
        <f>AVERAGE('25.10 Lyantonde-Rushere'!F42,'26.10 Lyantonde-Rushere-24hr'!F42,'27.10 Lyantonde-Rushere'!F42,'28.10 Lyantonde-Rushere-24h'!F42,'29.10 Lyantonde-Rushere'!F42,'30.10 Lyantonde-Rushere'!F42,'31.10 Lyantonde-Rushere'!F42)</f>
        <v>0</v>
      </c>
      <c r="G42" s="49">
        <f>AVERAGE('25.10 Lyantonde-Rushere'!G42,'26.10 Lyantonde-Rushere-24hr'!G42,'27.10 Lyantonde-Rushere'!G42,'28.10 Lyantonde-Rushere-24h'!G42,'29.10 Lyantonde-Rushere'!G42,'30.10 Lyantonde-Rushere'!G42,'31.10 Lyantonde-Rushere'!G42)</f>
        <v>0.14285714285714285</v>
      </c>
      <c r="H42" s="49">
        <f>AVERAGE('25.10 Lyantonde-Rushere'!H42,'26.10 Lyantonde-Rushere-24hr'!H42,'27.10 Lyantonde-Rushere'!H42,'28.10 Lyantonde-Rushere-24h'!H42,'29.10 Lyantonde-Rushere'!H42,'30.10 Lyantonde-Rushere'!H42,'31.10 Lyantonde-Rushere'!H42)</f>
        <v>0.14285714285714285</v>
      </c>
      <c r="I42" s="49">
        <f>AVERAGE('25.10 Lyantonde-Rushere'!I42,'26.10 Lyantonde-Rushere-24hr'!I42,'27.10 Lyantonde-Rushere'!I42,'28.10 Lyantonde-Rushere-24h'!I42,'29.10 Lyantonde-Rushere'!I42,'30.10 Lyantonde-Rushere'!I42,'31.10 Lyantonde-Rushere'!I42)</f>
        <v>0.7142857142857143</v>
      </c>
      <c r="J42" s="49">
        <f>AVERAGE('25.10 Lyantonde-Rushere'!J42,'26.10 Lyantonde-Rushere-24hr'!J42,'27.10 Lyantonde-Rushere'!J42,'28.10 Lyantonde-Rushere-24h'!J42,'29.10 Lyantonde-Rushere'!J42,'30.10 Lyantonde-Rushere'!J42,'31.10 Lyantonde-Rushere'!J42)</f>
        <v>0.5714285714285714</v>
      </c>
      <c r="K42" s="49">
        <f>AVERAGE('25.10 Lyantonde-Rushere'!K42,'26.10 Lyantonde-Rushere-24hr'!K42,'27.10 Lyantonde-Rushere'!K42,'28.10 Lyantonde-Rushere-24h'!K42,'29.10 Lyantonde-Rushere'!K42,'30.10 Lyantonde-Rushere'!K42,'31.10 Lyantonde-Rushere'!K42)</f>
        <v>0.14285714285714285</v>
      </c>
      <c r="L42" s="49">
        <f>AVERAGE('25.10 Lyantonde-Rushere'!L42,'26.10 Lyantonde-Rushere-24hr'!L42,'27.10 Lyantonde-Rushere'!L42,'28.10 Lyantonde-Rushere-24h'!L42,'29.10 Lyantonde-Rushere'!L42,'30.10 Lyantonde-Rushere'!L42,'31.10 Lyantonde-Rushere'!L42)</f>
        <v>0.14285714285714285</v>
      </c>
      <c r="M42" s="49">
        <f>AVERAGE('25.10 Lyantonde-Rushere'!M42,'26.10 Lyantonde-Rushere-24hr'!M42,'27.10 Lyantonde-Rushere'!M42,'28.10 Lyantonde-Rushere-24h'!M42,'29.10 Lyantonde-Rushere'!M42,'30.10 Lyantonde-Rushere'!M42,'31.10 Lyantonde-Rushere'!M42)</f>
        <v>5.5714285714285712</v>
      </c>
      <c r="N42" s="49">
        <f>AVERAGE('25.10 Lyantonde-Rushere'!N42,'26.10 Lyantonde-Rushere-24hr'!N42,'27.10 Lyantonde-Rushere'!N42,'28.10 Lyantonde-Rushere-24h'!N42,'29.10 Lyantonde-Rushere'!N42,'30.10 Lyantonde-Rushere'!N42,'31.10 Lyantonde-Rushere'!N42)</f>
        <v>0</v>
      </c>
      <c r="O42" s="15">
        <f t="shared" si="0"/>
        <v>5.7142857142857153</v>
      </c>
      <c r="P42" s="15">
        <f t="shared" si="1"/>
        <v>11.285714285714286</v>
      </c>
      <c r="R42" s="5" t="s">
        <v>160</v>
      </c>
      <c r="S42" s="48">
        <f>S41/S40</f>
        <v>1.8196384552177487</v>
      </c>
      <c r="T42" s="48">
        <f t="shared" ref="T42:AF42" si="34">T41/T40</f>
        <v>2.152227722772277</v>
      </c>
      <c r="U42" s="48">
        <f t="shared" si="34"/>
        <v>1.931330472103004</v>
      </c>
      <c r="V42" s="48">
        <f t="shared" si="34"/>
        <v>2.2867647058823533</v>
      </c>
      <c r="W42" s="48">
        <f t="shared" si="34"/>
        <v>6.2500000000000009</v>
      </c>
      <c r="X42" s="48">
        <f t="shared" si="34"/>
        <v>4.0625</v>
      </c>
      <c r="Y42" s="48">
        <f t="shared" si="34"/>
        <v>2.1083333333333334</v>
      </c>
      <c r="Z42" s="48">
        <f t="shared" si="34"/>
        <v>1.7061403508771931</v>
      </c>
      <c r="AA42" s="48">
        <f t="shared" si="34"/>
        <v>4.390625</v>
      </c>
      <c r="AB42" s="48">
        <f t="shared" si="34"/>
        <v>6.4864864864864877</v>
      </c>
      <c r="AC42" s="48">
        <f t="shared" si="34"/>
        <v>1.3060699588477367</v>
      </c>
      <c r="AD42" s="48">
        <f t="shared" si="34"/>
        <v>6.6000000000000014</v>
      </c>
      <c r="AE42" s="51">
        <f t="shared" si="34"/>
        <v>2.174515235457064</v>
      </c>
      <c r="AF42" s="51">
        <f t="shared" si="34"/>
        <v>1.7969134421829567</v>
      </c>
    </row>
    <row r="43" spans="2:32" ht="23.1" customHeight="1" x14ac:dyDescent="0.25">
      <c r="B43" s="23" t="s">
        <v>70</v>
      </c>
      <c r="C43" s="49">
        <f>AVERAGE('25.10 Lyantonde-Rushere'!C43,'26.10 Lyantonde-Rushere-24hr'!C43,'27.10 Lyantonde-Rushere'!C43,'28.10 Lyantonde-Rushere-24h'!C43,'29.10 Lyantonde-Rushere'!C43,'30.10 Lyantonde-Rushere'!C43,'31.10 Lyantonde-Rushere'!C43)</f>
        <v>3.4285714285714284</v>
      </c>
      <c r="D43" s="49">
        <f>AVERAGE('25.10 Lyantonde-Rushere'!D43,'26.10 Lyantonde-Rushere-24hr'!D43,'27.10 Lyantonde-Rushere'!D43,'28.10 Lyantonde-Rushere-24h'!D43,'29.10 Lyantonde-Rushere'!D43,'30.10 Lyantonde-Rushere'!D43,'31.10 Lyantonde-Rushere'!D43)</f>
        <v>1.8571428571428572</v>
      </c>
      <c r="E43" s="49">
        <f>AVERAGE('25.10 Lyantonde-Rushere'!E43,'26.10 Lyantonde-Rushere-24hr'!E43,'27.10 Lyantonde-Rushere'!E43,'28.10 Lyantonde-Rushere-24h'!E43,'29.10 Lyantonde-Rushere'!E43,'30.10 Lyantonde-Rushere'!E43,'31.10 Lyantonde-Rushere'!E43)</f>
        <v>0.5714285714285714</v>
      </c>
      <c r="F43" s="49">
        <f>AVERAGE('25.10 Lyantonde-Rushere'!F43,'26.10 Lyantonde-Rushere-24hr'!F43,'27.10 Lyantonde-Rushere'!F43,'28.10 Lyantonde-Rushere-24h'!F43,'29.10 Lyantonde-Rushere'!F43,'30.10 Lyantonde-Rushere'!F43,'31.10 Lyantonde-Rushere'!F43)</f>
        <v>0</v>
      </c>
      <c r="G43" s="49">
        <f>AVERAGE('25.10 Lyantonde-Rushere'!G43,'26.10 Lyantonde-Rushere-24hr'!G43,'27.10 Lyantonde-Rushere'!G43,'28.10 Lyantonde-Rushere-24h'!G43,'29.10 Lyantonde-Rushere'!G43,'30.10 Lyantonde-Rushere'!G43,'31.10 Lyantonde-Rushere'!G43)</f>
        <v>0</v>
      </c>
      <c r="H43" s="49">
        <f>AVERAGE('25.10 Lyantonde-Rushere'!H43,'26.10 Lyantonde-Rushere-24hr'!H43,'27.10 Lyantonde-Rushere'!H43,'28.10 Lyantonde-Rushere-24h'!H43,'29.10 Lyantonde-Rushere'!H43,'30.10 Lyantonde-Rushere'!H43,'31.10 Lyantonde-Rushere'!H43)</f>
        <v>0.2857142857142857</v>
      </c>
      <c r="I43" s="49">
        <f>AVERAGE('25.10 Lyantonde-Rushere'!I43,'26.10 Lyantonde-Rushere-24hr'!I43,'27.10 Lyantonde-Rushere'!I43,'28.10 Lyantonde-Rushere-24h'!I43,'29.10 Lyantonde-Rushere'!I43,'30.10 Lyantonde-Rushere'!I43,'31.10 Lyantonde-Rushere'!I43)</f>
        <v>0.8571428571428571</v>
      </c>
      <c r="J43" s="49">
        <f>AVERAGE('25.10 Lyantonde-Rushere'!J43,'26.10 Lyantonde-Rushere-24hr'!J43,'27.10 Lyantonde-Rushere'!J43,'28.10 Lyantonde-Rushere-24h'!J43,'29.10 Lyantonde-Rushere'!J43,'30.10 Lyantonde-Rushere'!J43,'31.10 Lyantonde-Rushere'!J43)</f>
        <v>0.8571428571428571</v>
      </c>
      <c r="K43" s="49">
        <f>AVERAGE('25.10 Lyantonde-Rushere'!K43,'26.10 Lyantonde-Rushere-24hr'!K43,'27.10 Lyantonde-Rushere'!K43,'28.10 Lyantonde-Rushere-24h'!K43,'29.10 Lyantonde-Rushere'!K43,'30.10 Lyantonde-Rushere'!K43,'31.10 Lyantonde-Rushere'!K43)</f>
        <v>0.14285714285714285</v>
      </c>
      <c r="L43" s="49">
        <f>AVERAGE('25.10 Lyantonde-Rushere'!L43,'26.10 Lyantonde-Rushere-24hr'!L43,'27.10 Lyantonde-Rushere'!L43,'28.10 Lyantonde-Rushere-24h'!L43,'29.10 Lyantonde-Rushere'!L43,'30.10 Lyantonde-Rushere'!L43,'31.10 Lyantonde-Rushere'!L43)</f>
        <v>0</v>
      </c>
      <c r="M43" s="49">
        <f>AVERAGE('25.10 Lyantonde-Rushere'!M43,'26.10 Lyantonde-Rushere-24hr'!M43,'27.10 Lyantonde-Rushere'!M43,'28.10 Lyantonde-Rushere-24h'!M43,'29.10 Lyantonde-Rushere'!M43,'30.10 Lyantonde-Rushere'!M43,'31.10 Lyantonde-Rushere'!M43)</f>
        <v>5.5714285714285712</v>
      </c>
      <c r="N43" s="49">
        <f>AVERAGE('25.10 Lyantonde-Rushere'!N43,'26.10 Lyantonde-Rushere-24hr'!N43,'27.10 Lyantonde-Rushere'!N43,'28.10 Lyantonde-Rushere-24h'!N43,'29.10 Lyantonde-Rushere'!N43,'30.10 Lyantonde-Rushere'!N43,'31.10 Lyantonde-Rushere'!N43)</f>
        <v>0.14285714285714285</v>
      </c>
      <c r="O43" s="15">
        <f t="shared" si="0"/>
        <v>8.1428571428571423</v>
      </c>
      <c r="P43" s="15">
        <f t="shared" si="1"/>
        <v>13.714285714285712</v>
      </c>
    </row>
    <row r="44" spans="2:32" ht="23.1" customHeight="1" x14ac:dyDescent="0.25">
      <c r="B44" s="25" t="s">
        <v>71</v>
      </c>
      <c r="C44" s="49">
        <f>AVERAGE('25.10 Lyantonde-Rushere'!C44,'26.10 Lyantonde-Rushere-24hr'!C44,'27.10 Lyantonde-Rushere'!C44,'28.10 Lyantonde-Rushere-24h'!C44,'29.10 Lyantonde-Rushere'!C44,'30.10 Lyantonde-Rushere'!C44,'31.10 Lyantonde-Rushere'!C44)</f>
        <v>3.7142857142857144</v>
      </c>
      <c r="D44" s="49">
        <f>AVERAGE('25.10 Lyantonde-Rushere'!D44,'26.10 Lyantonde-Rushere-24hr'!D44,'27.10 Lyantonde-Rushere'!D44,'28.10 Lyantonde-Rushere-24h'!D44,'29.10 Lyantonde-Rushere'!D44,'30.10 Lyantonde-Rushere'!D44,'31.10 Lyantonde-Rushere'!D44)</f>
        <v>1.1428571428571428</v>
      </c>
      <c r="E44" s="49">
        <f>AVERAGE('25.10 Lyantonde-Rushere'!E44,'26.10 Lyantonde-Rushere-24hr'!E44,'27.10 Lyantonde-Rushere'!E44,'28.10 Lyantonde-Rushere-24h'!E44,'29.10 Lyantonde-Rushere'!E44,'30.10 Lyantonde-Rushere'!E44,'31.10 Lyantonde-Rushere'!E44)</f>
        <v>0.5714285714285714</v>
      </c>
      <c r="F44" s="49">
        <f>AVERAGE('25.10 Lyantonde-Rushere'!F44,'26.10 Lyantonde-Rushere-24hr'!F44,'27.10 Lyantonde-Rushere'!F44,'28.10 Lyantonde-Rushere-24h'!F44,'29.10 Lyantonde-Rushere'!F44,'30.10 Lyantonde-Rushere'!F44,'31.10 Lyantonde-Rushere'!F44)</f>
        <v>0.2857142857142857</v>
      </c>
      <c r="G44" s="49">
        <f>AVERAGE('25.10 Lyantonde-Rushere'!G44,'26.10 Lyantonde-Rushere-24hr'!G44,'27.10 Lyantonde-Rushere'!G44,'28.10 Lyantonde-Rushere-24h'!G44,'29.10 Lyantonde-Rushere'!G44,'30.10 Lyantonde-Rushere'!G44,'31.10 Lyantonde-Rushere'!G44)</f>
        <v>0</v>
      </c>
      <c r="H44" s="49">
        <f>AVERAGE('25.10 Lyantonde-Rushere'!H44,'26.10 Lyantonde-Rushere-24hr'!H44,'27.10 Lyantonde-Rushere'!H44,'28.10 Lyantonde-Rushere-24h'!H44,'29.10 Lyantonde-Rushere'!H44,'30.10 Lyantonde-Rushere'!H44,'31.10 Lyantonde-Rushere'!H44)</f>
        <v>0.14285714285714285</v>
      </c>
      <c r="I44" s="49">
        <f>AVERAGE('25.10 Lyantonde-Rushere'!I44,'26.10 Lyantonde-Rushere-24hr'!I44,'27.10 Lyantonde-Rushere'!I44,'28.10 Lyantonde-Rushere-24h'!I44,'29.10 Lyantonde-Rushere'!I44,'30.10 Lyantonde-Rushere'!I44,'31.10 Lyantonde-Rushere'!I44)</f>
        <v>0.8571428571428571</v>
      </c>
      <c r="J44" s="49">
        <f>AVERAGE('25.10 Lyantonde-Rushere'!J44,'26.10 Lyantonde-Rushere-24hr'!J44,'27.10 Lyantonde-Rushere'!J44,'28.10 Lyantonde-Rushere-24h'!J44,'29.10 Lyantonde-Rushere'!J44,'30.10 Lyantonde-Rushere'!J44,'31.10 Lyantonde-Rushere'!J44)</f>
        <v>0.42857142857142855</v>
      </c>
      <c r="K44" s="49">
        <f>AVERAGE('25.10 Lyantonde-Rushere'!K44,'26.10 Lyantonde-Rushere-24hr'!K44,'27.10 Lyantonde-Rushere'!K44,'28.10 Lyantonde-Rushere-24h'!K44,'29.10 Lyantonde-Rushere'!K44,'30.10 Lyantonde-Rushere'!K44,'31.10 Lyantonde-Rushere'!K44)</f>
        <v>0.42857142857142855</v>
      </c>
      <c r="L44" s="49">
        <f>AVERAGE('25.10 Lyantonde-Rushere'!L44,'26.10 Lyantonde-Rushere-24hr'!L44,'27.10 Lyantonde-Rushere'!L44,'28.10 Lyantonde-Rushere-24h'!L44,'29.10 Lyantonde-Rushere'!L44,'30.10 Lyantonde-Rushere'!L44,'31.10 Lyantonde-Rushere'!L44)</f>
        <v>0.5714285714285714</v>
      </c>
      <c r="M44" s="49">
        <f>AVERAGE('25.10 Lyantonde-Rushere'!M44,'26.10 Lyantonde-Rushere-24hr'!M44,'27.10 Lyantonde-Rushere'!M44,'28.10 Lyantonde-Rushere-24h'!M44,'29.10 Lyantonde-Rushere'!M44,'30.10 Lyantonde-Rushere'!M44,'31.10 Lyantonde-Rushere'!M44)</f>
        <v>6.8571428571428568</v>
      </c>
      <c r="N44" s="49">
        <f>AVERAGE('25.10 Lyantonde-Rushere'!N44,'26.10 Lyantonde-Rushere-24hr'!N44,'27.10 Lyantonde-Rushere'!N44,'28.10 Lyantonde-Rushere-24h'!N44,'29.10 Lyantonde-Rushere'!N44,'30.10 Lyantonde-Rushere'!N44,'31.10 Lyantonde-Rushere'!N44)</f>
        <v>0</v>
      </c>
      <c r="O44" s="15">
        <f t="shared" si="0"/>
        <v>8.1428571428571441</v>
      </c>
      <c r="P44" s="15">
        <f t="shared" si="1"/>
        <v>15</v>
      </c>
    </row>
    <row r="45" spans="2:32" ht="23.1" customHeight="1" x14ac:dyDescent="0.25">
      <c r="B45" s="23" t="s">
        <v>72</v>
      </c>
      <c r="C45" s="49">
        <f>AVERAGE('25.10 Lyantonde-Rushere'!C45,'26.10 Lyantonde-Rushere-24hr'!C45,'27.10 Lyantonde-Rushere'!C45,'28.10 Lyantonde-Rushere-24h'!C45,'29.10 Lyantonde-Rushere'!C45,'30.10 Lyantonde-Rushere'!C45,'31.10 Lyantonde-Rushere'!C45)</f>
        <v>3.2857142857142856</v>
      </c>
      <c r="D45" s="49">
        <f>AVERAGE('25.10 Lyantonde-Rushere'!D45,'26.10 Lyantonde-Rushere-24hr'!D45,'27.10 Lyantonde-Rushere'!D45,'28.10 Lyantonde-Rushere-24h'!D45,'29.10 Lyantonde-Rushere'!D45,'30.10 Lyantonde-Rushere'!D45,'31.10 Lyantonde-Rushere'!D45)</f>
        <v>0.42857142857142855</v>
      </c>
      <c r="E45" s="49">
        <f>AVERAGE('25.10 Lyantonde-Rushere'!E45,'26.10 Lyantonde-Rushere-24hr'!E45,'27.10 Lyantonde-Rushere'!E45,'28.10 Lyantonde-Rushere-24h'!E45,'29.10 Lyantonde-Rushere'!E45,'30.10 Lyantonde-Rushere'!E45,'31.10 Lyantonde-Rushere'!E45)</f>
        <v>0.14285714285714285</v>
      </c>
      <c r="F45" s="49">
        <f>AVERAGE('25.10 Lyantonde-Rushere'!F45,'26.10 Lyantonde-Rushere-24hr'!F45,'27.10 Lyantonde-Rushere'!F45,'28.10 Lyantonde-Rushere-24h'!F45,'29.10 Lyantonde-Rushere'!F45,'30.10 Lyantonde-Rushere'!F45,'31.10 Lyantonde-Rushere'!F45)</f>
        <v>0.14285714285714285</v>
      </c>
      <c r="G45" s="49">
        <f>AVERAGE('25.10 Lyantonde-Rushere'!G45,'26.10 Lyantonde-Rushere-24hr'!G45,'27.10 Lyantonde-Rushere'!G45,'28.10 Lyantonde-Rushere-24h'!G45,'29.10 Lyantonde-Rushere'!G45,'30.10 Lyantonde-Rushere'!G45,'31.10 Lyantonde-Rushere'!G45)</f>
        <v>0</v>
      </c>
      <c r="H45" s="49">
        <f>AVERAGE('25.10 Lyantonde-Rushere'!H45,'26.10 Lyantonde-Rushere-24hr'!H45,'27.10 Lyantonde-Rushere'!H45,'28.10 Lyantonde-Rushere-24h'!H45,'29.10 Lyantonde-Rushere'!H45,'30.10 Lyantonde-Rushere'!H45,'31.10 Lyantonde-Rushere'!H45)</f>
        <v>0.14285714285714285</v>
      </c>
      <c r="I45" s="49">
        <f>AVERAGE('25.10 Lyantonde-Rushere'!I45,'26.10 Lyantonde-Rushere-24hr'!I45,'27.10 Lyantonde-Rushere'!I45,'28.10 Lyantonde-Rushere-24h'!I45,'29.10 Lyantonde-Rushere'!I45,'30.10 Lyantonde-Rushere'!I45,'31.10 Lyantonde-Rushere'!I45)</f>
        <v>1.2857142857142858</v>
      </c>
      <c r="J45" s="49">
        <f>AVERAGE('25.10 Lyantonde-Rushere'!J45,'26.10 Lyantonde-Rushere-24hr'!J45,'27.10 Lyantonde-Rushere'!J45,'28.10 Lyantonde-Rushere-24h'!J45,'29.10 Lyantonde-Rushere'!J45,'30.10 Lyantonde-Rushere'!J45,'31.10 Lyantonde-Rushere'!J45)</f>
        <v>0.42857142857142855</v>
      </c>
      <c r="K45" s="49">
        <f>AVERAGE('25.10 Lyantonde-Rushere'!K45,'26.10 Lyantonde-Rushere-24hr'!K45,'27.10 Lyantonde-Rushere'!K45,'28.10 Lyantonde-Rushere-24h'!K45,'29.10 Lyantonde-Rushere'!K45,'30.10 Lyantonde-Rushere'!K45,'31.10 Lyantonde-Rushere'!K45)</f>
        <v>0.2857142857142857</v>
      </c>
      <c r="L45" s="49">
        <f>AVERAGE('25.10 Lyantonde-Rushere'!L45,'26.10 Lyantonde-Rushere-24hr'!L45,'27.10 Lyantonde-Rushere'!L45,'28.10 Lyantonde-Rushere-24h'!L45,'29.10 Lyantonde-Rushere'!L45,'30.10 Lyantonde-Rushere'!L45,'31.10 Lyantonde-Rushere'!L45)</f>
        <v>0</v>
      </c>
      <c r="M45" s="49">
        <f>AVERAGE('25.10 Lyantonde-Rushere'!M45,'26.10 Lyantonde-Rushere-24hr'!M45,'27.10 Lyantonde-Rushere'!M45,'28.10 Lyantonde-Rushere-24h'!M45,'29.10 Lyantonde-Rushere'!M45,'30.10 Lyantonde-Rushere'!M45,'31.10 Lyantonde-Rushere'!M45)</f>
        <v>5</v>
      </c>
      <c r="N45" s="49">
        <f>AVERAGE('25.10 Lyantonde-Rushere'!N45,'26.10 Lyantonde-Rushere-24hr'!N45,'27.10 Lyantonde-Rushere'!N45,'28.10 Lyantonde-Rushere-24h'!N45,'29.10 Lyantonde-Rushere'!N45,'30.10 Lyantonde-Rushere'!N45,'31.10 Lyantonde-Rushere'!N45)</f>
        <v>0</v>
      </c>
      <c r="O45" s="15">
        <f t="shared" si="0"/>
        <v>6.1428571428571423</v>
      </c>
      <c r="P45" s="15">
        <f t="shared" si="1"/>
        <v>11.142857142857142</v>
      </c>
    </row>
    <row r="46" spans="2:32" ht="23.1" customHeight="1" x14ac:dyDescent="0.25">
      <c r="B46" s="24" t="s">
        <v>73</v>
      </c>
      <c r="C46" s="49">
        <f>AVERAGE('25.10 Lyantonde-Rushere'!C46,'26.10 Lyantonde-Rushere-24hr'!C46,'27.10 Lyantonde-Rushere'!C46,'28.10 Lyantonde-Rushere-24h'!C46,'29.10 Lyantonde-Rushere'!C46,'30.10 Lyantonde-Rushere'!C46,'31.10 Lyantonde-Rushere'!C46)</f>
        <v>3.4285714285714284</v>
      </c>
      <c r="D46" s="49">
        <f>AVERAGE('25.10 Lyantonde-Rushere'!D46,'26.10 Lyantonde-Rushere-24hr'!D46,'27.10 Lyantonde-Rushere'!D46,'28.10 Lyantonde-Rushere-24h'!D46,'29.10 Lyantonde-Rushere'!D46,'30.10 Lyantonde-Rushere'!D46,'31.10 Lyantonde-Rushere'!D46)</f>
        <v>0.5714285714285714</v>
      </c>
      <c r="E46" s="49">
        <f>AVERAGE('25.10 Lyantonde-Rushere'!E46,'26.10 Lyantonde-Rushere-24hr'!E46,'27.10 Lyantonde-Rushere'!E46,'28.10 Lyantonde-Rushere-24h'!E46,'29.10 Lyantonde-Rushere'!E46,'30.10 Lyantonde-Rushere'!E46,'31.10 Lyantonde-Rushere'!E46)</f>
        <v>0.7142857142857143</v>
      </c>
      <c r="F46" s="49">
        <f>AVERAGE('25.10 Lyantonde-Rushere'!F46,'26.10 Lyantonde-Rushere-24hr'!F46,'27.10 Lyantonde-Rushere'!F46,'28.10 Lyantonde-Rushere-24h'!F46,'29.10 Lyantonde-Rushere'!F46,'30.10 Lyantonde-Rushere'!F46,'31.10 Lyantonde-Rushere'!F46)</f>
        <v>0</v>
      </c>
      <c r="G46" s="49">
        <f>AVERAGE('25.10 Lyantonde-Rushere'!G46,'26.10 Lyantonde-Rushere-24hr'!G46,'27.10 Lyantonde-Rushere'!G46,'28.10 Lyantonde-Rushere-24h'!G46,'29.10 Lyantonde-Rushere'!G46,'30.10 Lyantonde-Rushere'!G46,'31.10 Lyantonde-Rushere'!G46)</f>
        <v>0</v>
      </c>
      <c r="H46" s="49">
        <f>AVERAGE('25.10 Lyantonde-Rushere'!H46,'26.10 Lyantonde-Rushere-24hr'!H46,'27.10 Lyantonde-Rushere'!H46,'28.10 Lyantonde-Rushere-24h'!H46,'29.10 Lyantonde-Rushere'!H46,'30.10 Lyantonde-Rushere'!H46,'31.10 Lyantonde-Rushere'!H46)</f>
        <v>0.14285714285714285</v>
      </c>
      <c r="I46" s="49">
        <f>AVERAGE('25.10 Lyantonde-Rushere'!I46,'26.10 Lyantonde-Rushere-24hr'!I46,'27.10 Lyantonde-Rushere'!I46,'28.10 Lyantonde-Rushere-24h'!I46,'29.10 Lyantonde-Rushere'!I46,'30.10 Lyantonde-Rushere'!I46,'31.10 Lyantonde-Rushere'!I46)</f>
        <v>0.42857142857142855</v>
      </c>
      <c r="J46" s="49">
        <f>AVERAGE('25.10 Lyantonde-Rushere'!J46,'26.10 Lyantonde-Rushere-24hr'!J46,'27.10 Lyantonde-Rushere'!J46,'28.10 Lyantonde-Rushere-24h'!J46,'29.10 Lyantonde-Rushere'!J46,'30.10 Lyantonde-Rushere'!J46,'31.10 Lyantonde-Rushere'!J46)</f>
        <v>0.8571428571428571</v>
      </c>
      <c r="K46" s="49">
        <f>AVERAGE('25.10 Lyantonde-Rushere'!K46,'26.10 Lyantonde-Rushere-24hr'!K46,'27.10 Lyantonde-Rushere'!K46,'28.10 Lyantonde-Rushere-24h'!K46,'29.10 Lyantonde-Rushere'!K46,'30.10 Lyantonde-Rushere'!K46,'31.10 Lyantonde-Rushere'!K46)</f>
        <v>0.5714285714285714</v>
      </c>
      <c r="L46" s="49">
        <f>AVERAGE('25.10 Lyantonde-Rushere'!L46,'26.10 Lyantonde-Rushere-24hr'!L46,'27.10 Lyantonde-Rushere'!L46,'28.10 Lyantonde-Rushere-24h'!L46,'29.10 Lyantonde-Rushere'!L46,'30.10 Lyantonde-Rushere'!L46,'31.10 Lyantonde-Rushere'!L46)</f>
        <v>0</v>
      </c>
      <c r="M46" s="49">
        <f>AVERAGE('25.10 Lyantonde-Rushere'!M46,'26.10 Lyantonde-Rushere-24hr'!M46,'27.10 Lyantonde-Rushere'!M46,'28.10 Lyantonde-Rushere-24h'!M46,'29.10 Lyantonde-Rushere'!M46,'30.10 Lyantonde-Rushere'!M46,'31.10 Lyantonde-Rushere'!M46)</f>
        <v>6</v>
      </c>
      <c r="N46" s="49">
        <f>AVERAGE('25.10 Lyantonde-Rushere'!N46,'26.10 Lyantonde-Rushere-24hr'!N46,'27.10 Lyantonde-Rushere'!N46,'28.10 Lyantonde-Rushere-24h'!N46,'29.10 Lyantonde-Rushere'!N46,'30.10 Lyantonde-Rushere'!N46,'31.10 Lyantonde-Rushere'!N46)</f>
        <v>0</v>
      </c>
      <c r="O46" s="15">
        <f t="shared" si="0"/>
        <v>6.7142857142857144</v>
      </c>
      <c r="P46" s="15">
        <f t="shared" si="1"/>
        <v>12.714285714285715</v>
      </c>
      <c r="R46" s="8"/>
      <c r="T46"/>
    </row>
    <row r="47" spans="2:32" ht="23.1" customHeight="1" x14ac:dyDescent="0.25">
      <c r="B47" s="24" t="s">
        <v>74</v>
      </c>
      <c r="C47" s="49">
        <f>AVERAGE('25.10 Lyantonde-Rushere'!C47,'26.10 Lyantonde-Rushere-24hr'!C47,'27.10 Lyantonde-Rushere'!C47,'28.10 Lyantonde-Rushere-24h'!C47,'29.10 Lyantonde-Rushere'!C47,'30.10 Lyantonde-Rushere'!C47,'31.10 Lyantonde-Rushere'!C47)</f>
        <v>4.2857142857142856</v>
      </c>
      <c r="D47" s="49">
        <f>AVERAGE('25.10 Lyantonde-Rushere'!D47,'26.10 Lyantonde-Rushere-24hr'!D47,'27.10 Lyantonde-Rushere'!D47,'28.10 Lyantonde-Rushere-24h'!D47,'29.10 Lyantonde-Rushere'!D47,'30.10 Lyantonde-Rushere'!D47,'31.10 Lyantonde-Rushere'!D47)</f>
        <v>1.7142857142857142</v>
      </c>
      <c r="E47" s="49">
        <f>AVERAGE('25.10 Lyantonde-Rushere'!E47,'26.10 Lyantonde-Rushere-24hr'!E47,'27.10 Lyantonde-Rushere'!E47,'28.10 Lyantonde-Rushere-24h'!E47,'29.10 Lyantonde-Rushere'!E47,'30.10 Lyantonde-Rushere'!E47,'31.10 Lyantonde-Rushere'!E47)</f>
        <v>0.8571428571428571</v>
      </c>
      <c r="F47" s="49">
        <f>AVERAGE('25.10 Lyantonde-Rushere'!F47,'26.10 Lyantonde-Rushere-24hr'!F47,'27.10 Lyantonde-Rushere'!F47,'28.10 Lyantonde-Rushere-24h'!F47,'29.10 Lyantonde-Rushere'!F47,'30.10 Lyantonde-Rushere'!F47,'31.10 Lyantonde-Rushere'!F47)</f>
        <v>0.14285714285714285</v>
      </c>
      <c r="G47" s="49">
        <f>AVERAGE('25.10 Lyantonde-Rushere'!G47,'26.10 Lyantonde-Rushere-24hr'!G47,'27.10 Lyantonde-Rushere'!G47,'28.10 Lyantonde-Rushere-24h'!G47,'29.10 Lyantonde-Rushere'!G47,'30.10 Lyantonde-Rushere'!G47,'31.10 Lyantonde-Rushere'!G47)</f>
        <v>0</v>
      </c>
      <c r="H47" s="49">
        <f>AVERAGE('25.10 Lyantonde-Rushere'!H47,'26.10 Lyantonde-Rushere-24hr'!H47,'27.10 Lyantonde-Rushere'!H47,'28.10 Lyantonde-Rushere-24h'!H47,'29.10 Lyantonde-Rushere'!H47,'30.10 Lyantonde-Rushere'!H47,'31.10 Lyantonde-Rushere'!H47)</f>
        <v>0</v>
      </c>
      <c r="I47" s="49">
        <f>AVERAGE('25.10 Lyantonde-Rushere'!I47,'26.10 Lyantonde-Rushere-24hr'!I47,'27.10 Lyantonde-Rushere'!I47,'28.10 Lyantonde-Rushere-24h'!I47,'29.10 Lyantonde-Rushere'!I47,'30.10 Lyantonde-Rushere'!I47,'31.10 Lyantonde-Rushere'!I47)</f>
        <v>1.1428571428571428</v>
      </c>
      <c r="J47" s="49">
        <f>AVERAGE('25.10 Lyantonde-Rushere'!J47,'26.10 Lyantonde-Rushere-24hr'!J47,'27.10 Lyantonde-Rushere'!J47,'28.10 Lyantonde-Rushere-24h'!J47,'29.10 Lyantonde-Rushere'!J47,'30.10 Lyantonde-Rushere'!J47,'31.10 Lyantonde-Rushere'!J47)</f>
        <v>1</v>
      </c>
      <c r="K47" s="49">
        <f>AVERAGE('25.10 Lyantonde-Rushere'!K47,'26.10 Lyantonde-Rushere-24hr'!K47,'27.10 Lyantonde-Rushere'!K47,'28.10 Lyantonde-Rushere-24h'!K47,'29.10 Lyantonde-Rushere'!K47,'30.10 Lyantonde-Rushere'!K47,'31.10 Lyantonde-Rushere'!K47)</f>
        <v>0.14285714285714285</v>
      </c>
      <c r="L47" s="49">
        <f>AVERAGE('25.10 Lyantonde-Rushere'!L47,'26.10 Lyantonde-Rushere-24hr'!L47,'27.10 Lyantonde-Rushere'!L47,'28.10 Lyantonde-Rushere-24h'!L47,'29.10 Lyantonde-Rushere'!L47,'30.10 Lyantonde-Rushere'!L47,'31.10 Lyantonde-Rushere'!L47)</f>
        <v>0.14285714285714285</v>
      </c>
      <c r="M47" s="49">
        <f>AVERAGE('25.10 Lyantonde-Rushere'!M47,'26.10 Lyantonde-Rushere-24hr'!M47,'27.10 Lyantonde-Rushere'!M47,'28.10 Lyantonde-Rushere-24h'!M47,'29.10 Lyantonde-Rushere'!M47,'30.10 Lyantonde-Rushere'!M47,'31.10 Lyantonde-Rushere'!M47)</f>
        <v>7.1428571428571432</v>
      </c>
      <c r="N47" s="49">
        <f>AVERAGE('25.10 Lyantonde-Rushere'!N47,'26.10 Lyantonde-Rushere-24hr'!N47,'27.10 Lyantonde-Rushere'!N47,'28.10 Lyantonde-Rushere-24h'!N47,'29.10 Lyantonde-Rushere'!N47,'30.10 Lyantonde-Rushere'!N47,'31.10 Lyantonde-Rushere'!N47)</f>
        <v>0</v>
      </c>
      <c r="O47" s="15">
        <f t="shared" si="0"/>
        <v>9.428571428571427</v>
      </c>
      <c r="P47" s="15">
        <f t="shared" si="1"/>
        <v>16.571428571428569</v>
      </c>
      <c r="R47" s="8"/>
      <c r="T47"/>
    </row>
    <row r="48" spans="2:32" ht="23.1" customHeight="1" x14ac:dyDescent="0.25">
      <c r="B48" s="24" t="s">
        <v>75</v>
      </c>
      <c r="C48" s="49">
        <f>AVERAGE('25.10 Lyantonde-Rushere'!C48,'26.10 Lyantonde-Rushere-24hr'!C48,'27.10 Lyantonde-Rushere'!C48,'28.10 Lyantonde-Rushere-24h'!C48,'29.10 Lyantonde-Rushere'!C48,'30.10 Lyantonde-Rushere'!C48,'31.10 Lyantonde-Rushere'!C48)</f>
        <v>3.8571428571428572</v>
      </c>
      <c r="D48" s="49">
        <f>AVERAGE('25.10 Lyantonde-Rushere'!D48,'26.10 Lyantonde-Rushere-24hr'!D48,'27.10 Lyantonde-Rushere'!D48,'28.10 Lyantonde-Rushere-24h'!D48,'29.10 Lyantonde-Rushere'!D48,'30.10 Lyantonde-Rushere'!D48,'31.10 Lyantonde-Rushere'!D48)</f>
        <v>0.7142857142857143</v>
      </c>
      <c r="E48" s="49">
        <f>AVERAGE('25.10 Lyantonde-Rushere'!E48,'26.10 Lyantonde-Rushere-24hr'!E48,'27.10 Lyantonde-Rushere'!E48,'28.10 Lyantonde-Rushere-24h'!E48,'29.10 Lyantonde-Rushere'!E48,'30.10 Lyantonde-Rushere'!E48,'31.10 Lyantonde-Rushere'!E48)</f>
        <v>0.14285714285714285</v>
      </c>
      <c r="F48" s="49">
        <f>AVERAGE('25.10 Lyantonde-Rushere'!F48,'26.10 Lyantonde-Rushere-24hr'!F48,'27.10 Lyantonde-Rushere'!F48,'28.10 Lyantonde-Rushere-24h'!F48,'29.10 Lyantonde-Rushere'!F48,'30.10 Lyantonde-Rushere'!F48,'31.10 Lyantonde-Rushere'!F48)</f>
        <v>0</v>
      </c>
      <c r="G48" s="49">
        <f>AVERAGE('25.10 Lyantonde-Rushere'!G48,'26.10 Lyantonde-Rushere-24hr'!G48,'27.10 Lyantonde-Rushere'!G48,'28.10 Lyantonde-Rushere-24h'!G48,'29.10 Lyantonde-Rushere'!G48,'30.10 Lyantonde-Rushere'!G48,'31.10 Lyantonde-Rushere'!G48)</f>
        <v>0</v>
      </c>
      <c r="H48" s="49">
        <f>AVERAGE('25.10 Lyantonde-Rushere'!H48,'26.10 Lyantonde-Rushere-24hr'!H48,'27.10 Lyantonde-Rushere'!H48,'28.10 Lyantonde-Rushere-24h'!H48,'29.10 Lyantonde-Rushere'!H48,'30.10 Lyantonde-Rushere'!H48,'31.10 Lyantonde-Rushere'!H48)</f>
        <v>0</v>
      </c>
      <c r="I48" s="49">
        <f>AVERAGE('25.10 Lyantonde-Rushere'!I48,'26.10 Lyantonde-Rushere-24hr'!I48,'27.10 Lyantonde-Rushere'!I48,'28.10 Lyantonde-Rushere-24h'!I48,'29.10 Lyantonde-Rushere'!I48,'30.10 Lyantonde-Rushere'!I48,'31.10 Lyantonde-Rushere'!I48)</f>
        <v>0.5714285714285714</v>
      </c>
      <c r="J48" s="49">
        <f>AVERAGE('25.10 Lyantonde-Rushere'!J48,'26.10 Lyantonde-Rushere-24hr'!J48,'27.10 Lyantonde-Rushere'!J48,'28.10 Lyantonde-Rushere-24h'!J48,'29.10 Lyantonde-Rushere'!J48,'30.10 Lyantonde-Rushere'!J48,'31.10 Lyantonde-Rushere'!J48)</f>
        <v>0.7142857142857143</v>
      </c>
      <c r="K48" s="49">
        <f>AVERAGE('25.10 Lyantonde-Rushere'!K48,'26.10 Lyantonde-Rushere-24hr'!K48,'27.10 Lyantonde-Rushere'!K48,'28.10 Lyantonde-Rushere-24h'!K48,'29.10 Lyantonde-Rushere'!K48,'30.10 Lyantonde-Rushere'!K48,'31.10 Lyantonde-Rushere'!K48)</f>
        <v>0.2857142857142857</v>
      </c>
      <c r="L48" s="49">
        <f>AVERAGE('25.10 Lyantonde-Rushere'!L48,'26.10 Lyantonde-Rushere-24hr'!L48,'27.10 Lyantonde-Rushere'!L48,'28.10 Lyantonde-Rushere-24h'!L48,'29.10 Lyantonde-Rushere'!L48,'30.10 Lyantonde-Rushere'!L48,'31.10 Lyantonde-Rushere'!L48)</f>
        <v>0.5714285714285714</v>
      </c>
      <c r="M48" s="49">
        <f>AVERAGE('25.10 Lyantonde-Rushere'!M48,'26.10 Lyantonde-Rushere-24hr'!M48,'27.10 Lyantonde-Rushere'!M48,'28.10 Lyantonde-Rushere-24h'!M48,'29.10 Lyantonde-Rushere'!M48,'30.10 Lyantonde-Rushere'!M48,'31.10 Lyantonde-Rushere'!M48)</f>
        <v>6.1428571428571432</v>
      </c>
      <c r="N48" s="49">
        <f>AVERAGE('25.10 Lyantonde-Rushere'!N48,'26.10 Lyantonde-Rushere-24hr'!N48,'27.10 Lyantonde-Rushere'!N48,'28.10 Lyantonde-Rushere-24h'!N48,'29.10 Lyantonde-Rushere'!N48,'30.10 Lyantonde-Rushere'!N48,'31.10 Lyantonde-Rushere'!N48)</f>
        <v>0</v>
      </c>
      <c r="O48" s="15">
        <f t="shared" si="0"/>
        <v>6.8571428571428568</v>
      </c>
      <c r="P48" s="15">
        <f t="shared" si="1"/>
        <v>13</v>
      </c>
      <c r="R48" s="8"/>
      <c r="T48"/>
    </row>
    <row r="49" spans="2:20" ht="23.1" customHeight="1" x14ac:dyDescent="0.25">
      <c r="B49" s="23" t="s">
        <v>76</v>
      </c>
      <c r="C49" s="49">
        <f>AVERAGE('25.10 Lyantonde-Rushere'!C49,'26.10 Lyantonde-Rushere-24hr'!C49,'27.10 Lyantonde-Rushere'!C49,'28.10 Lyantonde-Rushere-24h'!C49,'29.10 Lyantonde-Rushere'!C49,'30.10 Lyantonde-Rushere'!C49,'31.10 Lyantonde-Rushere'!C49)</f>
        <v>4.4285714285714288</v>
      </c>
      <c r="D49" s="49">
        <f>AVERAGE('25.10 Lyantonde-Rushere'!D49,'26.10 Lyantonde-Rushere-24hr'!D49,'27.10 Lyantonde-Rushere'!D49,'28.10 Lyantonde-Rushere-24h'!D49,'29.10 Lyantonde-Rushere'!D49,'30.10 Lyantonde-Rushere'!D49,'31.10 Lyantonde-Rushere'!D49)</f>
        <v>1.1428571428571428</v>
      </c>
      <c r="E49" s="49">
        <f>AVERAGE('25.10 Lyantonde-Rushere'!E49,'26.10 Lyantonde-Rushere-24hr'!E49,'27.10 Lyantonde-Rushere'!E49,'28.10 Lyantonde-Rushere-24h'!E49,'29.10 Lyantonde-Rushere'!E49,'30.10 Lyantonde-Rushere'!E49,'31.10 Lyantonde-Rushere'!E49)</f>
        <v>0.42857142857142855</v>
      </c>
      <c r="F49" s="49">
        <f>AVERAGE('25.10 Lyantonde-Rushere'!F49,'26.10 Lyantonde-Rushere-24hr'!F49,'27.10 Lyantonde-Rushere'!F49,'28.10 Lyantonde-Rushere-24h'!F49,'29.10 Lyantonde-Rushere'!F49,'30.10 Lyantonde-Rushere'!F49,'31.10 Lyantonde-Rushere'!F49)</f>
        <v>0.14285714285714285</v>
      </c>
      <c r="G49" s="49">
        <f>AVERAGE('25.10 Lyantonde-Rushere'!G49,'26.10 Lyantonde-Rushere-24hr'!G49,'27.10 Lyantonde-Rushere'!G49,'28.10 Lyantonde-Rushere-24h'!G49,'29.10 Lyantonde-Rushere'!G49,'30.10 Lyantonde-Rushere'!G49,'31.10 Lyantonde-Rushere'!G49)</f>
        <v>0</v>
      </c>
      <c r="H49" s="49">
        <f>AVERAGE('25.10 Lyantonde-Rushere'!H49,'26.10 Lyantonde-Rushere-24hr'!H49,'27.10 Lyantonde-Rushere'!H49,'28.10 Lyantonde-Rushere-24h'!H49,'29.10 Lyantonde-Rushere'!H49,'30.10 Lyantonde-Rushere'!H49,'31.10 Lyantonde-Rushere'!H49)</f>
        <v>0</v>
      </c>
      <c r="I49" s="49">
        <f>AVERAGE('25.10 Lyantonde-Rushere'!I49,'26.10 Lyantonde-Rushere-24hr'!I49,'27.10 Lyantonde-Rushere'!I49,'28.10 Lyantonde-Rushere-24h'!I49,'29.10 Lyantonde-Rushere'!I49,'30.10 Lyantonde-Rushere'!I49,'31.10 Lyantonde-Rushere'!I49)</f>
        <v>0.42857142857142855</v>
      </c>
      <c r="J49" s="49">
        <f>AVERAGE('25.10 Lyantonde-Rushere'!J49,'26.10 Lyantonde-Rushere-24hr'!J49,'27.10 Lyantonde-Rushere'!J49,'28.10 Lyantonde-Rushere-24h'!J49,'29.10 Lyantonde-Rushere'!J49,'30.10 Lyantonde-Rushere'!J49,'31.10 Lyantonde-Rushere'!J49)</f>
        <v>0.7142857142857143</v>
      </c>
      <c r="K49" s="49">
        <f>AVERAGE('25.10 Lyantonde-Rushere'!K49,'26.10 Lyantonde-Rushere-24hr'!K49,'27.10 Lyantonde-Rushere'!K49,'28.10 Lyantonde-Rushere-24h'!K49,'29.10 Lyantonde-Rushere'!K49,'30.10 Lyantonde-Rushere'!K49,'31.10 Lyantonde-Rushere'!K49)</f>
        <v>0.42857142857142855</v>
      </c>
      <c r="L49" s="49">
        <f>AVERAGE('25.10 Lyantonde-Rushere'!L49,'26.10 Lyantonde-Rushere-24hr'!L49,'27.10 Lyantonde-Rushere'!L49,'28.10 Lyantonde-Rushere-24h'!L49,'29.10 Lyantonde-Rushere'!L49,'30.10 Lyantonde-Rushere'!L49,'31.10 Lyantonde-Rushere'!L49)</f>
        <v>0.14285714285714285</v>
      </c>
      <c r="M49" s="49">
        <f>AVERAGE('25.10 Lyantonde-Rushere'!M49,'26.10 Lyantonde-Rushere-24hr'!M49,'27.10 Lyantonde-Rushere'!M49,'28.10 Lyantonde-Rushere-24h'!M49,'29.10 Lyantonde-Rushere'!M49,'30.10 Lyantonde-Rushere'!M49,'31.10 Lyantonde-Rushere'!M49)</f>
        <v>6.7142857142857144</v>
      </c>
      <c r="N49" s="49">
        <f>AVERAGE('25.10 Lyantonde-Rushere'!N49,'26.10 Lyantonde-Rushere-24hr'!N49,'27.10 Lyantonde-Rushere'!N49,'28.10 Lyantonde-Rushere-24h'!N49,'29.10 Lyantonde-Rushere'!N49,'30.10 Lyantonde-Rushere'!N49,'31.10 Lyantonde-Rushere'!N49)</f>
        <v>0</v>
      </c>
      <c r="O49" s="15">
        <f t="shared" si="0"/>
        <v>7.8571428571428585</v>
      </c>
      <c r="P49" s="15">
        <f t="shared" si="1"/>
        <v>14.571428571428573</v>
      </c>
      <c r="R49" s="8"/>
      <c r="T49"/>
    </row>
    <row r="50" spans="2:20" ht="23.1" customHeight="1" x14ac:dyDescent="0.25">
      <c r="B50" s="24" t="s">
        <v>77</v>
      </c>
      <c r="C50" s="49">
        <f>AVERAGE('25.10 Lyantonde-Rushere'!C50,'26.10 Lyantonde-Rushere-24hr'!C50,'27.10 Lyantonde-Rushere'!C50,'28.10 Lyantonde-Rushere-24h'!C50,'29.10 Lyantonde-Rushere'!C50,'30.10 Lyantonde-Rushere'!C50,'31.10 Lyantonde-Rushere'!C50)</f>
        <v>4.4285714285714288</v>
      </c>
      <c r="D50" s="49">
        <f>AVERAGE('25.10 Lyantonde-Rushere'!D50,'26.10 Lyantonde-Rushere-24hr'!D50,'27.10 Lyantonde-Rushere'!D50,'28.10 Lyantonde-Rushere-24h'!D50,'29.10 Lyantonde-Rushere'!D50,'30.10 Lyantonde-Rushere'!D50,'31.10 Lyantonde-Rushere'!D50)</f>
        <v>1.5714285714285714</v>
      </c>
      <c r="E50" s="49">
        <f>AVERAGE('25.10 Lyantonde-Rushere'!E50,'26.10 Lyantonde-Rushere-24hr'!E50,'27.10 Lyantonde-Rushere'!E50,'28.10 Lyantonde-Rushere-24h'!E50,'29.10 Lyantonde-Rushere'!E50,'30.10 Lyantonde-Rushere'!E50,'31.10 Lyantonde-Rushere'!E50)</f>
        <v>0.2857142857142857</v>
      </c>
      <c r="F50" s="49">
        <f>AVERAGE('25.10 Lyantonde-Rushere'!F50,'26.10 Lyantonde-Rushere-24hr'!F50,'27.10 Lyantonde-Rushere'!F50,'28.10 Lyantonde-Rushere-24h'!F50,'29.10 Lyantonde-Rushere'!F50,'30.10 Lyantonde-Rushere'!F50,'31.10 Lyantonde-Rushere'!F50)</f>
        <v>0.2857142857142857</v>
      </c>
      <c r="G50" s="49">
        <f>AVERAGE('25.10 Lyantonde-Rushere'!G50,'26.10 Lyantonde-Rushere-24hr'!G50,'27.10 Lyantonde-Rushere'!G50,'28.10 Lyantonde-Rushere-24h'!G50,'29.10 Lyantonde-Rushere'!G50,'30.10 Lyantonde-Rushere'!G50,'31.10 Lyantonde-Rushere'!G50)</f>
        <v>0</v>
      </c>
      <c r="H50" s="49">
        <f>AVERAGE('25.10 Lyantonde-Rushere'!H50,'26.10 Lyantonde-Rushere-24hr'!H50,'27.10 Lyantonde-Rushere'!H50,'28.10 Lyantonde-Rushere-24h'!H50,'29.10 Lyantonde-Rushere'!H50,'30.10 Lyantonde-Rushere'!H50,'31.10 Lyantonde-Rushere'!H50)</f>
        <v>0</v>
      </c>
      <c r="I50" s="49">
        <f>AVERAGE('25.10 Lyantonde-Rushere'!I50,'26.10 Lyantonde-Rushere-24hr'!I50,'27.10 Lyantonde-Rushere'!I50,'28.10 Lyantonde-Rushere-24h'!I50,'29.10 Lyantonde-Rushere'!I50,'30.10 Lyantonde-Rushere'!I50,'31.10 Lyantonde-Rushere'!I50)</f>
        <v>0.8571428571428571</v>
      </c>
      <c r="J50" s="49">
        <f>AVERAGE('25.10 Lyantonde-Rushere'!J50,'26.10 Lyantonde-Rushere-24hr'!J50,'27.10 Lyantonde-Rushere'!J50,'28.10 Lyantonde-Rushere-24h'!J50,'29.10 Lyantonde-Rushere'!J50,'30.10 Lyantonde-Rushere'!J50,'31.10 Lyantonde-Rushere'!J50)</f>
        <v>0.5714285714285714</v>
      </c>
      <c r="K50" s="49">
        <f>AVERAGE('25.10 Lyantonde-Rushere'!K50,'26.10 Lyantonde-Rushere-24hr'!K50,'27.10 Lyantonde-Rushere'!K50,'28.10 Lyantonde-Rushere-24h'!K50,'29.10 Lyantonde-Rushere'!K50,'30.10 Lyantonde-Rushere'!K50,'31.10 Lyantonde-Rushere'!K50)</f>
        <v>0.14285714285714285</v>
      </c>
      <c r="L50" s="49">
        <f>AVERAGE('25.10 Lyantonde-Rushere'!L50,'26.10 Lyantonde-Rushere-24hr'!L50,'27.10 Lyantonde-Rushere'!L50,'28.10 Lyantonde-Rushere-24h'!L50,'29.10 Lyantonde-Rushere'!L50,'30.10 Lyantonde-Rushere'!L50,'31.10 Lyantonde-Rushere'!L50)</f>
        <v>0.2857142857142857</v>
      </c>
      <c r="M50" s="49">
        <f>AVERAGE('25.10 Lyantonde-Rushere'!M50,'26.10 Lyantonde-Rushere-24hr'!M50,'27.10 Lyantonde-Rushere'!M50,'28.10 Lyantonde-Rushere-24h'!M50,'29.10 Lyantonde-Rushere'!M50,'30.10 Lyantonde-Rushere'!M50,'31.10 Lyantonde-Rushere'!M50)</f>
        <v>6</v>
      </c>
      <c r="N50" s="49">
        <f>AVERAGE('25.10 Lyantonde-Rushere'!N50,'26.10 Lyantonde-Rushere-24hr'!N50,'27.10 Lyantonde-Rushere'!N50,'28.10 Lyantonde-Rushere-24h'!N50,'29.10 Lyantonde-Rushere'!N50,'30.10 Lyantonde-Rushere'!N50,'31.10 Lyantonde-Rushere'!N50)</f>
        <v>0</v>
      </c>
      <c r="O50" s="15">
        <f t="shared" si="0"/>
        <v>8.4285714285714288</v>
      </c>
      <c r="P50" s="15">
        <f t="shared" si="1"/>
        <v>14.428571428571429</v>
      </c>
      <c r="R50" s="8"/>
      <c r="T50"/>
    </row>
    <row r="51" spans="2:20" ht="23.1" customHeight="1" x14ac:dyDescent="0.25">
      <c r="B51" s="24" t="s">
        <v>78</v>
      </c>
      <c r="C51" s="49">
        <f>AVERAGE('25.10 Lyantonde-Rushere'!C51,'26.10 Lyantonde-Rushere-24hr'!C51,'27.10 Lyantonde-Rushere'!C51,'28.10 Lyantonde-Rushere-24h'!C51,'29.10 Lyantonde-Rushere'!C51,'30.10 Lyantonde-Rushere'!C51,'31.10 Lyantonde-Rushere'!C51)</f>
        <v>4.4285714285714288</v>
      </c>
      <c r="D51" s="49">
        <f>AVERAGE('25.10 Lyantonde-Rushere'!D51,'26.10 Lyantonde-Rushere-24hr'!D51,'27.10 Lyantonde-Rushere'!D51,'28.10 Lyantonde-Rushere-24h'!D51,'29.10 Lyantonde-Rushere'!D51,'30.10 Lyantonde-Rushere'!D51,'31.10 Lyantonde-Rushere'!D51)</f>
        <v>2.2857142857142856</v>
      </c>
      <c r="E51" s="49">
        <f>AVERAGE('25.10 Lyantonde-Rushere'!E51,'26.10 Lyantonde-Rushere-24hr'!E51,'27.10 Lyantonde-Rushere'!E51,'28.10 Lyantonde-Rushere-24h'!E51,'29.10 Lyantonde-Rushere'!E51,'30.10 Lyantonde-Rushere'!E51,'31.10 Lyantonde-Rushere'!E51)</f>
        <v>0.7142857142857143</v>
      </c>
      <c r="F51" s="49">
        <f>AVERAGE('25.10 Lyantonde-Rushere'!F51,'26.10 Lyantonde-Rushere-24hr'!F51,'27.10 Lyantonde-Rushere'!F51,'28.10 Lyantonde-Rushere-24h'!F51,'29.10 Lyantonde-Rushere'!F51,'30.10 Lyantonde-Rushere'!F51,'31.10 Lyantonde-Rushere'!F51)</f>
        <v>0</v>
      </c>
      <c r="G51" s="49">
        <f>AVERAGE('25.10 Lyantonde-Rushere'!G51,'26.10 Lyantonde-Rushere-24hr'!G51,'27.10 Lyantonde-Rushere'!G51,'28.10 Lyantonde-Rushere-24h'!G51,'29.10 Lyantonde-Rushere'!G51,'30.10 Lyantonde-Rushere'!G51,'31.10 Lyantonde-Rushere'!G51)</f>
        <v>0</v>
      </c>
      <c r="H51" s="49">
        <f>AVERAGE('25.10 Lyantonde-Rushere'!H51,'26.10 Lyantonde-Rushere-24hr'!H51,'27.10 Lyantonde-Rushere'!H51,'28.10 Lyantonde-Rushere-24h'!H51,'29.10 Lyantonde-Rushere'!H51,'30.10 Lyantonde-Rushere'!H51,'31.10 Lyantonde-Rushere'!H51)</f>
        <v>0</v>
      </c>
      <c r="I51" s="49">
        <f>AVERAGE('25.10 Lyantonde-Rushere'!I51,'26.10 Lyantonde-Rushere-24hr'!I51,'27.10 Lyantonde-Rushere'!I51,'28.10 Lyantonde-Rushere-24h'!I51,'29.10 Lyantonde-Rushere'!I51,'30.10 Lyantonde-Rushere'!I51,'31.10 Lyantonde-Rushere'!I51)</f>
        <v>0.42857142857142855</v>
      </c>
      <c r="J51" s="49">
        <f>AVERAGE('25.10 Lyantonde-Rushere'!J51,'26.10 Lyantonde-Rushere-24hr'!J51,'27.10 Lyantonde-Rushere'!J51,'28.10 Lyantonde-Rushere-24h'!J51,'29.10 Lyantonde-Rushere'!J51,'30.10 Lyantonde-Rushere'!J51,'31.10 Lyantonde-Rushere'!J51)</f>
        <v>0.8571428571428571</v>
      </c>
      <c r="K51" s="49">
        <f>AVERAGE('25.10 Lyantonde-Rushere'!K51,'26.10 Lyantonde-Rushere-24hr'!K51,'27.10 Lyantonde-Rushere'!K51,'28.10 Lyantonde-Rushere-24h'!K51,'29.10 Lyantonde-Rushere'!K51,'30.10 Lyantonde-Rushere'!K51,'31.10 Lyantonde-Rushere'!K51)</f>
        <v>0.2857142857142857</v>
      </c>
      <c r="L51" s="49">
        <f>AVERAGE('25.10 Lyantonde-Rushere'!L51,'26.10 Lyantonde-Rushere-24hr'!L51,'27.10 Lyantonde-Rushere'!L51,'28.10 Lyantonde-Rushere-24h'!L51,'29.10 Lyantonde-Rushere'!L51,'30.10 Lyantonde-Rushere'!L51,'31.10 Lyantonde-Rushere'!L51)</f>
        <v>0.14285714285714285</v>
      </c>
      <c r="M51" s="49">
        <f>AVERAGE('25.10 Lyantonde-Rushere'!M51,'26.10 Lyantonde-Rushere-24hr'!M51,'27.10 Lyantonde-Rushere'!M51,'28.10 Lyantonde-Rushere-24h'!M51,'29.10 Lyantonde-Rushere'!M51,'30.10 Lyantonde-Rushere'!M51,'31.10 Lyantonde-Rushere'!M51)</f>
        <v>7.5714285714285712</v>
      </c>
      <c r="N51" s="49">
        <f>AVERAGE('25.10 Lyantonde-Rushere'!N51,'26.10 Lyantonde-Rushere-24hr'!N51,'27.10 Lyantonde-Rushere'!N51,'28.10 Lyantonde-Rushere-24h'!N51,'29.10 Lyantonde-Rushere'!N51,'30.10 Lyantonde-Rushere'!N51,'31.10 Lyantonde-Rushere'!N51)</f>
        <v>0</v>
      </c>
      <c r="O51" s="15">
        <f t="shared" si="0"/>
        <v>9.1428571428571441</v>
      </c>
      <c r="P51" s="15">
        <f t="shared" si="1"/>
        <v>16.714285714285715</v>
      </c>
      <c r="R51" s="8"/>
      <c r="T51"/>
    </row>
    <row r="52" spans="2:20" ht="23.1" customHeight="1" x14ac:dyDescent="0.25">
      <c r="B52" s="24" t="s">
        <v>79</v>
      </c>
      <c r="C52" s="49">
        <f>AVERAGE('25.10 Lyantonde-Rushere'!C52,'26.10 Lyantonde-Rushere-24hr'!C52,'27.10 Lyantonde-Rushere'!C52,'28.10 Lyantonde-Rushere-24h'!C52,'29.10 Lyantonde-Rushere'!C52,'30.10 Lyantonde-Rushere'!C52,'31.10 Lyantonde-Rushere'!C52)</f>
        <v>5.1428571428571432</v>
      </c>
      <c r="D52" s="49">
        <f>AVERAGE('25.10 Lyantonde-Rushere'!D52,'26.10 Lyantonde-Rushere-24hr'!D52,'27.10 Lyantonde-Rushere'!D52,'28.10 Lyantonde-Rushere-24h'!D52,'29.10 Lyantonde-Rushere'!D52,'30.10 Lyantonde-Rushere'!D52,'31.10 Lyantonde-Rushere'!D52)</f>
        <v>1.4285714285714286</v>
      </c>
      <c r="E52" s="49">
        <f>AVERAGE('25.10 Lyantonde-Rushere'!E52,'26.10 Lyantonde-Rushere-24hr'!E52,'27.10 Lyantonde-Rushere'!E52,'28.10 Lyantonde-Rushere-24h'!E52,'29.10 Lyantonde-Rushere'!E52,'30.10 Lyantonde-Rushere'!E52,'31.10 Lyantonde-Rushere'!E52)</f>
        <v>0.5714285714285714</v>
      </c>
      <c r="F52" s="49">
        <f>AVERAGE('25.10 Lyantonde-Rushere'!F52,'26.10 Lyantonde-Rushere-24hr'!F52,'27.10 Lyantonde-Rushere'!F52,'28.10 Lyantonde-Rushere-24h'!F52,'29.10 Lyantonde-Rushere'!F52,'30.10 Lyantonde-Rushere'!F52,'31.10 Lyantonde-Rushere'!F52)</f>
        <v>0.2857142857142857</v>
      </c>
      <c r="G52" s="49">
        <f>AVERAGE('25.10 Lyantonde-Rushere'!G52,'26.10 Lyantonde-Rushere-24hr'!G52,'27.10 Lyantonde-Rushere'!G52,'28.10 Lyantonde-Rushere-24h'!G52,'29.10 Lyantonde-Rushere'!G52,'30.10 Lyantonde-Rushere'!G52,'31.10 Lyantonde-Rushere'!G52)</f>
        <v>0</v>
      </c>
      <c r="H52" s="49">
        <f>AVERAGE('25.10 Lyantonde-Rushere'!H52,'26.10 Lyantonde-Rushere-24hr'!H52,'27.10 Lyantonde-Rushere'!H52,'28.10 Lyantonde-Rushere-24h'!H52,'29.10 Lyantonde-Rushere'!H52,'30.10 Lyantonde-Rushere'!H52,'31.10 Lyantonde-Rushere'!H52)</f>
        <v>0</v>
      </c>
      <c r="I52" s="49">
        <f>AVERAGE('25.10 Lyantonde-Rushere'!I52,'26.10 Lyantonde-Rushere-24hr'!I52,'27.10 Lyantonde-Rushere'!I52,'28.10 Lyantonde-Rushere-24h'!I52,'29.10 Lyantonde-Rushere'!I52,'30.10 Lyantonde-Rushere'!I52,'31.10 Lyantonde-Rushere'!I52)</f>
        <v>0.7142857142857143</v>
      </c>
      <c r="J52" s="49">
        <f>AVERAGE('25.10 Lyantonde-Rushere'!J52,'26.10 Lyantonde-Rushere-24hr'!J52,'27.10 Lyantonde-Rushere'!J52,'28.10 Lyantonde-Rushere-24h'!J52,'29.10 Lyantonde-Rushere'!J52,'30.10 Lyantonde-Rushere'!J52,'31.10 Lyantonde-Rushere'!J52)</f>
        <v>0.5714285714285714</v>
      </c>
      <c r="K52" s="49">
        <f>AVERAGE('25.10 Lyantonde-Rushere'!K52,'26.10 Lyantonde-Rushere-24hr'!K52,'27.10 Lyantonde-Rushere'!K52,'28.10 Lyantonde-Rushere-24h'!K52,'29.10 Lyantonde-Rushere'!K52,'30.10 Lyantonde-Rushere'!K52,'31.10 Lyantonde-Rushere'!K52)</f>
        <v>0.14285714285714285</v>
      </c>
      <c r="L52" s="49">
        <f>AVERAGE('25.10 Lyantonde-Rushere'!L52,'26.10 Lyantonde-Rushere-24hr'!L52,'27.10 Lyantonde-Rushere'!L52,'28.10 Lyantonde-Rushere-24h'!L52,'29.10 Lyantonde-Rushere'!L52,'30.10 Lyantonde-Rushere'!L52,'31.10 Lyantonde-Rushere'!L52)</f>
        <v>0.2857142857142857</v>
      </c>
      <c r="M52" s="49">
        <f>AVERAGE('25.10 Lyantonde-Rushere'!M52,'26.10 Lyantonde-Rushere-24hr'!M52,'27.10 Lyantonde-Rushere'!M52,'28.10 Lyantonde-Rushere-24h'!M52,'29.10 Lyantonde-Rushere'!M52,'30.10 Lyantonde-Rushere'!M52,'31.10 Lyantonde-Rushere'!M52)</f>
        <v>7.1428571428571432</v>
      </c>
      <c r="N52" s="49">
        <f>AVERAGE('25.10 Lyantonde-Rushere'!N52,'26.10 Lyantonde-Rushere-24hr'!N52,'27.10 Lyantonde-Rushere'!N52,'28.10 Lyantonde-Rushere-24h'!N52,'29.10 Lyantonde-Rushere'!N52,'30.10 Lyantonde-Rushere'!N52,'31.10 Lyantonde-Rushere'!N52)</f>
        <v>0</v>
      </c>
      <c r="O52" s="15">
        <f t="shared" si="0"/>
        <v>9.1428571428571423</v>
      </c>
      <c r="P52" s="15">
        <f t="shared" si="1"/>
        <v>16.285714285714285</v>
      </c>
      <c r="R52" s="8"/>
      <c r="T52"/>
    </row>
    <row r="53" spans="2:20" ht="23.1" customHeight="1" x14ac:dyDescent="0.25">
      <c r="B53" s="23" t="s">
        <v>80</v>
      </c>
      <c r="C53" s="49">
        <f>AVERAGE('25.10 Lyantonde-Rushere'!C53,'26.10 Lyantonde-Rushere-24hr'!C53,'27.10 Lyantonde-Rushere'!C53,'28.10 Lyantonde-Rushere-24h'!C53,'29.10 Lyantonde-Rushere'!C53,'30.10 Lyantonde-Rushere'!C53,'31.10 Lyantonde-Rushere'!C53)</f>
        <v>6.2857142857142856</v>
      </c>
      <c r="D53" s="49">
        <f>AVERAGE('25.10 Lyantonde-Rushere'!D53,'26.10 Lyantonde-Rushere-24hr'!D53,'27.10 Lyantonde-Rushere'!D53,'28.10 Lyantonde-Rushere-24h'!D53,'29.10 Lyantonde-Rushere'!D53,'30.10 Lyantonde-Rushere'!D53,'31.10 Lyantonde-Rushere'!D53)</f>
        <v>1.1428571428571428</v>
      </c>
      <c r="E53" s="49">
        <f>AVERAGE('25.10 Lyantonde-Rushere'!E53,'26.10 Lyantonde-Rushere-24hr'!E53,'27.10 Lyantonde-Rushere'!E53,'28.10 Lyantonde-Rushere-24h'!E53,'29.10 Lyantonde-Rushere'!E53,'30.10 Lyantonde-Rushere'!E53,'31.10 Lyantonde-Rushere'!E53)</f>
        <v>1.1428571428571428</v>
      </c>
      <c r="F53" s="49">
        <f>AVERAGE('25.10 Lyantonde-Rushere'!F53,'26.10 Lyantonde-Rushere-24hr'!F53,'27.10 Lyantonde-Rushere'!F53,'28.10 Lyantonde-Rushere-24h'!F53,'29.10 Lyantonde-Rushere'!F53,'30.10 Lyantonde-Rushere'!F53,'31.10 Lyantonde-Rushere'!F53)</f>
        <v>0.7142857142857143</v>
      </c>
      <c r="G53" s="49">
        <f>AVERAGE('25.10 Lyantonde-Rushere'!G53,'26.10 Lyantonde-Rushere-24hr'!G53,'27.10 Lyantonde-Rushere'!G53,'28.10 Lyantonde-Rushere-24h'!G53,'29.10 Lyantonde-Rushere'!G53,'30.10 Lyantonde-Rushere'!G53,'31.10 Lyantonde-Rushere'!G53)</f>
        <v>0</v>
      </c>
      <c r="H53" s="49">
        <f>AVERAGE('25.10 Lyantonde-Rushere'!H53,'26.10 Lyantonde-Rushere-24hr'!H53,'27.10 Lyantonde-Rushere'!H53,'28.10 Lyantonde-Rushere-24h'!H53,'29.10 Lyantonde-Rushere'!H53,'30.10 Lyantonde-Rushere'!H53,'31.10 Lyantonde-Rushere'!H53)</f>
        <v>0.14285714285714285</v>
      </c>
      <c r="I53" s="49">
        <f>AVERAGE('25.10 Lyantonde-Rushere'!I53,'26.10 Lyantonde-Rushere-24hr'!I53,'27.10 Lyantonde-Rushere'!I53,'28.10 Lyantonde-Rushere-24h'!I53,'29.10 Lyantonde-Rushere'!I53,'30.10 Lyantonde-Rushere'!I53,'31.10 Lyantonde-Rushere'!I53)</f>
        <v>0.7142857142857143</v>
      </c>
      <c r="J53" s="49">
        <f>AVERAGE('25.10 Lyantonde-Rushere'!J53,'26.10 Lyantonde-Rushere-24hr'!J53,'27.10 Lyantonde-Rushere'!J53,'28.10 Lyantonde-Rushere-24h'!J53,'29.10 Lyantonde-Rushere'!J53,'30.10 Lyantonde-Rushere'!J53,'31.10 Lyantonde-Rushere'!J53)</f>
        <v>0.5714285714285714</v>
      </c>
      <c r="K53" s="49">
        <f>AVERAGE('25.10 Lyantonde-Rushere'!K53,'26.10 Lyantonde-Rushere-24hr'!K53,'27.10 Lyantonde-Rushere'!K53,'28.10 Lyantonde-Rushere-24h'!K53,'29.10 Lyantonde-Rushere'!K53,'30.10 Lyantonde-Rushere'!K53,'31.10 Lyantonde-Rushere'!K53)</f>
        <v>0.42857142857142855</v>
      </c>
      <c r="L53" s="49">
        <f>AVERAGE('25.10 Lyantonde-Rushere'!L53,'26.10 Lyantonde-Rushere-24hr'!L53,'27.10 Lyantonde-Rushere'!L53,'28.10 Lyantonde-Rushere-24h'!L53,'29.10 Lyantonde-Rushere'!L53,'30.10 Lyantonde-Rushere'!L53,'31.10 Lyantonde-Rushere'!L53)</f>
        <v>0</v>
      </c>
      <c r="M53" s="49">
        <f>AVERAGE('25.10 Lyantonde-Rushere'!M53,'26.10 Lyantonde-Rushere-24hr'!M53,'27.10 Lyantonde-Rushere'!M53,'28.10 Lyantonde-Rushere-24h'!M53,'29.10 Lyantonde-Rushere'!M53,'30.10 Lyantonde-Rushere'!M53,'31.10 Lyantonde-Rushere'!M53)</f>
        <v>7.1428571428571432</v>
      </c>
      <c r="N53" s="49">
        <f>AVERAGE('25.10 Lyantonde-Rushere'!N53,'26.10 Lyantonde-Rushere-24hr'!N53,'27.10 Lyantonde-Rushere'!N53,'28.10 Lyantonde-Rushere-24h'!N53,'29.10 Lyantonde-Rushere'!N53,'30.10 Lyantonde-Rushere'!N53,'31.10 Lyantonde-Rushere'!N53)</f>
        <v>0</v>
      </c>
      <c r="O53" s="15">
        <f t="shared" si="0"/>
        <v>11.142857142857141</v>
      </c>
      <c r="P53" s="15">
        <f t="shared" si="1"/>
        <v>18.285714285714285</v>
      </c>
      <c r="R53" s="8"/>
      <c r="T53"/>
    </row>
    <row r="54" spans="2:20" ht="23.1" customHeight="1" x14ac:dyDescent="0.25">
      <c r="B54" s="23" t="s">
        <v>81</v>
      </c>
      <c r="C54" s="49">
        <f>AVERAGE('25.10 Lyantonde-Rushere'!C54,'26.10 Lyantonde-Rushere-24hr'!C54,'27.10 Lyantonde-Rushere'!C54,'28.10 Lyantonde-Rushere-24h'!C54,'29.10 Lyantonde-Rushere'!C54,'30.10 Lyantonde-Rushere'!C54,'31.10 Lyantonde-Rushere'!C54)</f>
        <v>5.1428571428571432</v>
      </c>
      <c r="D54" s="49">
        <f>AVERAGE('25.10 Lyantonde-Rushere'!D54,'26.10 Lyantonde-Rushere-24hr'!D54,'27.10 Lyantonde-Rushere'!D54,'28.10 Lyantonde-Rushere-24h'!D54,'29.10 Lyantonde-Rushere'!D54,'30.10 Lyantonde-Rushere'!D54,'31.10 Lyantonde-Rushere'!D54)</f>
        <v>1.4285714285714286</v>
      </c>
      <c r="E54" s="49">
        <f>AVERAGE('25.10 Lyantonde-Rushere'!E54,'26.10 Lyantonde-Rushere-24hr'!E54,'27.10 Lyantonde-Rushere'!E54,'28.10 Lyantonde-Rushere-24h'!E54,'29.10 Lyantonde-Rushere'!E54,'30.10 Lyantonde-Rushere'!E54,'31.10 Lyantonde-Rushere'!E54)</f>
        <v>1.7142857142857142</v>
      </c>
      <c r="F54" s="49">
        <f>AVERAGE('25.10 Lyantonde-Rushere'!F54,'26.10 Lyantonde-Rushere-24hr'!F54,'27.10 Lyantonde-Rushere'!F54,'28.10 Lyantonde-Rushere-24h'!F54,'29.10 Lyantonde-Rushere'!F54,'30.10 Lyantonde-Rushere'!F54,'31.10 Lyantonde-Rushere'!F54)</f>
        <v>0.14285714285714285</v>
      </c>
      <c r="G54" s="49">
        <f>AVERAGE('25.10 Lyantonde-Rushere'!G54,'26.10 Lyantonde-Rushere-24hr'!G54,'27.10 Lyantonde-Rushere'!G54,'28.10 Lyantonde-Rushere-24h'!G54,'29.10 Lyantonde-Rushere'!G54,'30.10 Lyantonde-Rushere'!G54,'31.10 Lyantonde-Rushere'!G54)</f>
        <v>0</v>
      </c>
      <c r="H54" s="49">
        <f>AVERAGE('25.10 Lyantonde-Rushere'!H54,'26.10 Lyantonde-Rushere-24hr'!H54,'27.10 Lyantonde-Rushere'!H54,'28.10 Lyantonde-Rushere-24h'!H54,'29.10 Lyantonde-Rushere'!H54,'30.10 Lyantonde-Rushere'!H54,'31.10 Lyantonde-Rushere'!H54)</f>
        <v>0.5714285714285714</v>
      </c>
      <c r="I54" s="49">
        <f>AVERAGE('25.10 Lyantonde-Rushere'!I54,'26.10 Lyantonde-Rushere-24hr'!I54,'27.10 Lyantonde-Rushere'!I54,'28.10 Lyantonde-Rushere-24h'!I54,'29.10 Lyantonde-Rushere'!I54,'30.10 Lyantonde-Rushere'!I54,'31.10 Lyantonde-Rushere'!I54)</f>
        <v>0.7142857142857143</v>
      </c>
      <c r="J54" s="49">
        <f>AVERAGE('25.10 Lyantonde-Rushere'!J54,'26.10 Lyantonde-Rushere-24hr'!J54,'27.10 Lyantonde-Rushere'!J54,'28.10 Lyantonde-Rushere-24h'!J54,'29.10 Lyantonde-Rushere'!J54,'30.10 Lyantonde-Rushere'!J54,'31.10 Lyantonde-Rushere'!J54)</f>
        <v>0.7142857142857143</v>
      </c>
      <c r="K54" s="49">
        <f>AVERAGE('25.10 Lyantonde-Rushere'!K54,'26.10 Lyantonde-Rushere-24hr'!K54,'27.10 Lyantonde-Rushere'!K54,'28.10 Lyantonde-Rushere-24h'!K54,'29.10 Lyantonde-Rushere'!K54,'30.10 Lyantonde-Rushere'!K54,'31.10 Lyantonde-Rushere'!K54)</f>
        <v>0.42857142857142855</v>
      </c>
      <c r="L54" s="49">
        <f>AVERAGE('25.10 Lyantonde-Rushere'!L54,'26.10 Lyantonde-Rushere-24hr'!L54,'27.10 Lyantonde-Rushere'!L54,'28.10 Lyantonde-Rushere-24h'!L54,'29.10 Lyantonde-Rushere'!L54,'30.10 Lyantonde-Rushere'!L54,'31.10 Lyantonde-Rushere'!L54)</f>
        <v>0</v>
      </c>
      <c r="M54" s="49">
        <f>AVERAGE('25.10 Lyantonde-Rushere'!M54,'26.10 Lyantonde-Rushere-24hr'!M54,'27.10 Lyantonde-Rushere'!M54,'28.10 Lyantonde-Rushere-24h'!M54,'29.10 Lyantonde-Rushere'!M54,'30.10 Lyantonde-Rushere'!M54,'31.10 Lyantonde-Rushere'!M54)</f>
        <v>7</v>
      </c>
      <c r="N54" s="49">
        <f>AVERAGE('25.10 Lyantonde-Rushere'!N54,'26.10 Lyantonde-Rushere-24hr'!N54,'27.10 Lyantonde-Rushere'!N54,'28.10 Lyantonde-Rushere-24h'!N54,'29.10 Lyantonde-Rushere'!N54,'30.10 Lyantonde-Rushere'!N54,'31.10 Lyantonde-Rushere'!N54)</f>
        <v>0</v>
      </c>
      <c r="O54" s="15">
        <f t="shared" si="0"/>
        <v>10.857142857142856</v>
      </c>
      <c r="P54" s="15">
        <f t="shared" si="1"/>
        <v>17.857142857142854</v>
      </c>
      <c r="R54" s="8"/>
      <c r="T54"/>
    </row>
    <row r="55" spans="2:20" ht="23.1" customHeight="1" x14ac:dyDescent="0.25">
      <c r="B55" s="23" t="s">
        <v>82</v>
      </c>
      <c r="C55" s="49">
        <f>AVERAGE('25.10 Lyantonde-Rushere'!C55,'26.10 Lyantonde-Rushere-24hr'!C55,'27.10 Lyantonde-Rushere'!C55,'28.10 Lyantonde-Rushere-24h'!C55,'29.10 Lyantonde-Rushere'!C55,'30.10 Lyantonde-Rushere'!C55,'31.10 Lyantonde-Rushere'!C55)</f>
        <v>4.7142857142857144</v>
      </c>
      <c r="D55" s="49">
        <f>AVERAGE('25.10 Lyantonde-Rushere'!D55,'26.10 Lyantonde-Rushere-24hr'!D55,'27.10 Lyantonde-Rushere'!D55,'28.10 Lyantonde-Rushere-24h'!D55,'29.10 Lyantonde-Rushere'!D55,'30.10 Lyantonde-Rushere'!D55,'31.10 Lyantonde-Rushere'!D55)</f>
        <v>1</v>
      </c>
      <c r="E55" s="49">
        <f>AVERAGE('25.10 Lyantonde-Rushere'!E55,'26.10 Lyantonde-Rushere-24hr'!E55,'27.10 Lyantonde-Rushere'!E55,'28.10 Lyantonde-Rushere-24h'!E55,'29.10 Lyantonde-Rushere'!E55,'30.10 Lyantonde-Rushere'!E55,'31.10 Lyantonde-Rushere'!E55)</f>
        <v>0.7142857142857143</v>
      </c>
      <c r="F55" s="49">
        <f>AVERAGE('25.10 Lyantonde-Rushere'!F55,'26.10 Lyantonde-Rushere-24hr'!F55,'27.10 Lyantonde-Rushere'!F55,'28.10 Lyantonde-Rushere-24h'!F55,'29.10 Lyantonde-Rushere'!F55,'30.10 Lyantonde-Rushere'!F55,'31.10 Lyantonde-Rushere'!F55)</f>
        <v>0.8571428571428571</v>
      </c>
      <c r="G55" s="49">
        <f>AVERAGE('25.10 Lyantonde-Rushere'!G55,'26.10 Lyantonde-Rushere-24hr'!G55,'27.10 Lyantonde-Rushere'!G55,'28.10 Lyantonde-Rushere-24h'!G55,'29.10 Lyantonde-Rushere'!G55,'30.10 Lyantonde-Rushere'!G55,'31.10 Lyantonde-Rushere'!G55)</f>
        <v>0</v>
      </c>
      <c r="H55" s="49">
        <f>AVERAGE('25.10 Lyantonde-Rushere'!H55,'26.10 Lyantonde-Rushere-24hr'!H55,'27.10 Lyantonde-Rushere'!H55,'28.10 Lyantonde-Rushere-24h'!H55,'29.10 Lyantonde-Rushere'!H55,'30.10 Lyantonde-Rushere'!H55,'31.10 Lyantonde-Rushere'!H55)</f>
        <v>0</v>
      </c>
      <c r="I55" s="49">
        <f>AVERAGE('25.10 Lyantonde-Rushere'!I55,'26.10 Lyantonde-Rushere-24hr'!I55,'27.10 Lyantonde-Rushere'!I55,'28.10 Lyantonde-Rushere-24h'!I55,'29.10 Lyantonde-Rushere'!I55,'30.10 Lyantonde-Rushere'!I55,'31.10 Lyantonde-Rushere'!I55)</f>
        <v>0.2857142857142857</v>
      </c>
      <c r="J55" s="49">
        <f>AVERAGE('25.10 Lyantonde-Rushere'!J55,'26.10 Lyantonde-Rushere-24hr'!J55,'27.10 Lyantonde-Rushere'!J55,'28.10 Lyantonde-Rushere-24h'!J55,'29.10 Lyantonde-Rushere'!J55,'30.10 Lyantonde-Rushere'!J55,'31.10 Lyantonde-Rushere'!J55)</f>
        <v>0.8571428571428571</v>
      </c>
      <c r="K55" s="49">
        <f>AVERAGE('25.10 Lyantonde-Rushere'!K55,'26.10 Lyantonde-Rushere-24hr'!K55,'27.10 Lyantonde-Rushere'!K55,'28.10 Lyantonde-Rushere-24h'!K55,'29.10 Lyantonde-Rushere'!K55,'30.10 Lyantonde-Rushere'!K55,'31.10 Lyantonde-Rushere'!K55)</f>
        <v>0.14285714285714285</v>
      </c>
      <c r="L55" s="49">
        <f>AVERAGE('25.10 Lyantonde-Rushere'!L55,'26.10 Lyantonde-Rushere-24hr'!L55,'27.10 Lyantonde-Rushere'!L55,'28.10 Lyantonde-Rushere-24h'!L55,'29.10 Lyantonde-Rushere'!L55,'30.10 Lyantonde-Rushere'!L55,'31.10 Lyantonde-Rushere'!L55)</f>
        <v>0.14285714285714285</v>
      </c>
      <c r="M55" s="49">
        <f>AVERAGE('25.10 Lyantonde-Rushere'!M55,'26.10 Lyantonde-Rushere-24hr'!M55,'27.10 Lyantonde-Rushere'!M55,'28.10 Lyantonde-Rushere-24h'!M55,'29.10 Lyantonde-Rushere'!M55,'30.10 Lyantonde-Rushere'!M55,'31.10 Lyantonde-Rushere'!M55)</f>
        <v>7.1428571428571432</v>
      </c>
      <c r="N55" s="49">
        <f>AVERAGE('25.10 Lyantonde-Rushere'!N55,'26.10 Lyantonde-Rushere-24hr'!N55,'27.10 Lyantonde-Rushere'!N55,'28.10 Lyantonde-Rushere-24h'!N55,'29.10 Lyantonde-Rushere'!N55,'30.10 Lyantonde-Rushere'!N55,'31.10 Lyantonde-Rushere'!N55)</f>
        <v>0</v>
      </c>
      <c r="O55" s="15">
        <f t="shared" si="0"/>
        <v>8.7142857142857135</v>
      </c>
      <c r="P55" s="15">
        <f t="shared" si="1"/>
        <v>15.857142857142858</v>
      </c>
      <c r="R55" s="8"/>
      <c r="T55"/>
    </row>
    <row r="56" spans="2:20" ht="23.1" customHeight="1" x14ac:dyDescent="0.25">
      <c r="B56" s="23" t="s">
        <v>83</v>
      </c>
      <c r="C56" s="49">
        <f>AVERAGE('25.10 Lyantonde-Rushere'!C56,'26.10 Lyantonde-Rushere-24hr'!C56,'27.10 Lyantonde-Rushere'!C56,'28.10 Lyantonde-Rushere-24h'!C56,'29.10 Lyantonde-Rushere'!C56,'30.10 Lyantonde-Rushere'!C56,'31.10 Lyantonde-Rushere'!C56)</f>
        <v>6</v>
      </c>
      <c r="D56" s="49">
        <f>AVERAGE('25.10 Lyantonde-Rushere'!D56,'26.10 Lyantonde-Rushere-24hr'!D56,'27.10 Lyantonde-Rushere'!D56,'28.10 Lyantonde-Rushere-24h'!D56,'29.10 Lyantonde-Rushere'!D56,'30.10 Lyantonde-Rushere'!D56,'31.10 Lyantonde-Rushere'!D56)</f>
        <v>1.7142857142857142</v>
      </c>
      <c r="E56" s="49">
        <f>AVERAGE('25.10 Lyantonde-Rushere'!E56,'26.10 Lyantonde-Rushere-24hr'!E56,'27.10 Lyantonde-Rushere'!E56,'28.10 Lyantonde-Rushere-24h'!E56,'29.10 Lyantonde-Rushere'!E56,'30.10 Lyantonde-Rushere'!E56,'31.10 Lyantonde-Rushere'!E56)</f>
        <v>1.2857142857142858</v>
      </c>
      <c r="F56" s="49">
        <f>AVERAGE('25.10 Lyantonde-Rushere'!F56,'26.10 Lyantonde-Rushere-24hr'!F56,'27.10 Lyantonde-Rushere'!F56,'28.10 Lyantonde-Rushere-24h'!F56,'29.10 Lyantonde-Rushere'!F56,'30.10 Lyantonde-Rushere'!F56,'31.10 Lyantonde-Rushere'!F56)</f>
        <v>0.14285714285714285</v>
      </c>
      <c r="G56" s="49">
        <f>AVERAGE('25.10 Lyantonde-Rushere'!G56,'26.10 Lyantonde-Rushere-24hr'!G56,'27.10 Lyantonde-Rushere'!G56,'28.10 Lyantonde-Rushere-24h'!G56,'29.10 Lyantonde-Rushere'!G56,'30.10 Lyantonde-Rushere'!G56,'31.10 Lyantonde-Rushere'!G56)</f>
        <v>0</v>
      </c>
      <c r="H56" s="49">
        <f>AVERAGE('25.10 Lyantonde-Rushere'!H56,'26.10 Lyantonde-Rushere-24hr'!H56,'27.10 Lyantonde-Rushere'!H56,'28.10 Lyantonde-Rushere-24h'!H56,'29.10 Lyantonde-Rushere'!H56,'30.10 Lyantonde-Rushere'!H56,'31.10 Lyantonde-Rushere'!H56)</f>
        <v>0.14285714285714285</v>
      </c>
      <c r="I56" s="49">
        <f>AVERAGE('25.10 Lyantonde-Rushere'!I56,'26.10 Lyantonde-Rushere-24hr'!I56,'27.10 Lyantonde-Rushere'!I56,'28.10 Lyantonde-Rushere-24h'!I56,'29.10 Lyantonde-Rushere'!I56,'30.10 Lyantonde-Rushere'!I56,'31.10 Lyantonde-Rushere'!I56)</f>
        <v>0.7142857142857143</v>
      </c>
      <c r="J56" s="49">
        <f>AVERAGE('25.10 Lyantonde-Rushere'!J56,'26.10 Lyantonde-Rushere-24hr'!J56,'27.10 Lyantonde-Rushere'!J56,'28.10 Lyantonde-Rushere-24h'!J56,'29.10 Lyantonde-Rushere'!J56,'30.10 Lyantonde-Rushere'!J56,'31.10 Lyantonde-Rushere'!J56)</f>
        <v>0.8571428571428571</v>
      </c>
      <c r="K56" s="49">
        <f>AVERAGE('25.10 Lyantonde-Rushere'!K56,'26.10 Lyantonde-Rushere-24hr'!K56,'27.10 Lyantonde-Rushere'!K56,'28.10 Lyantonde-Rushere-24h'!K56,'29.10 Lyantonde-Rushere'!K56,'30.10 Lyantonde-Rushere'!K56,'31.10 Lyantonde-Rushere'!K56)</f>
        <v>0.42857142857142855</v>
      </c>
      <c r="L56" s="49">
        <f>AVERAGE('25.10 Lyantonde-Rushere'!L56,'26.10 Lyantonde-Rushere-24hr'!L56,'27.10 Lyantonde-Rushere'!L56,'28.10 Lyantonde-Rushere-24h'!L56,'29.10 Lyantonde-Rushere'!L56,'30.10 Lyantonde-Rushere'!L56,'31.10 Lyantonde-Rushere'!L56)</f>
        <v>0.2857142857142857</v>
      </c>
      <c r="M56" s="49">
        <f>AVERAGE('25.10 Lyantonde-Rushere'!M56,'26.10 Lyantonde-Rushere-24hr'!M56,'27.10 Lyantonde-Rushere'!M56,'28.10 Lyantonde-Rushere-24h'!M56,'29.10 Lyantonde-Rushere'!M56,'30.10 Lyantonde-Rushere'!M56,'31.10 Lyantonde-Rushere'!M56)</f>
        <v>7.7142857142857144</v>
      </c>
      <c r="N56" s="49">
        <f>AVERAGE('25.10 Lyantonde-Rushere'!N56,'26.10 Lyantonde-Rushere-24hr'!N56,'27.10 Lyantonde-Rushere'!N56,'28.10 Lyantonde-Rushere-24h'!N56,'29.10 Lyantonde-Rushere'!N56,'30.10 Lyantonde-Rushere'!N56,'31.10 Lyantonde-Rushere'!N56)</f>
        <v>0</v>
      </c>
      <c r="O56" s="15">
        <f t="shared" si="0"/>
        <v>11.571428571428571</v>
      </c>
      <c r="P56" s="15">
        <f t="shared" si="1"/>
        <v>19.285714285714285</v>
      </c>
      <c r="R56" s="8"/>
      <c r="T56"/>
    </row>
    <row r="57" spans="2:20" ht="23.1" customHeight="1" x14ac:dyDescent="0.25">
      <c r="B57" s="23" t="s">
        <v>84</v>
      </c>
      <c r="C57" s="49">
        <f>AVERAGE('25.10 Lyantonde-Rushere'!C57,'26.10 Lyantonde-Rushere-24hr'!C57,'27.10 Lyantonde-Rushere'!C57,'28.10 Lyantonde-Rushere-24h'!C57,'29.10 Lyantonde-Rushere'!C57,'30.10 Lyantonde-Rushere'!C57,'31.10 Lyantonde-Rushere'!C57)</f>
        <v>6.8571428571428568</v>
      </c>
      <c r="D57" s="49">
        <f>AVERAGE('25.10 Lyantonde-Rushere'!D57,'26.10 Lyantonde-Rushere-24hr'!D57,'27.10 Lyantonde-Rushere'!D57,'28.10 Lyantonde-Rushere-24h'!D57,'29.10 Lyantonde-Rushere'!D57,'30.10 Lyantonde-Rushere'!D57,'31.10 Lyantonde-Rushere'!D57)</f>
        <v>2.2857142857142856</v>
      </c>
      <c r="E57" s="49">
        <f>AVERAGE('25.10 Lyantonde-Rushere'!E57,'26.10 Lyantonde-Rushere-24hr'!E57,'27.10 Lyantonde-Rushere'!E57,'28.10 Lyantonde-Rushere-24h'!E57,'29.10 Lyantonde-Rushere'!E57,'30.10 Lyantonde-Rushere'!E57,'31.10 Lyantonde-Rushere'!E57)</f>
        <v>1.2857142857142858</v>
      </c>
      <c r="F57" s="49">
        <f>AVERAGE('25.10 Lyantonde-Rushere'!F57,'26.10 Lyantonde-Rushere-24hr'!F57,'27.10 Lyantonde-Rushere'!F57,'28.10 Lyantonde-Rushere-24h'!F57,'29.10 Lyantonde-Rushere'!F57,'30.10 Lyantonde-Rushere'!F57,'31.10 Lyantonde-Rushere'!F57)</f>
        <v>0.42857142857142855</v>
      </c>
      <c r="G57" s="49">
        <f>AVERAGE('25.10 Lyantonde-Rushere'!G57,'26.10 Lyantonde-Rushere-24hr'!G57,'27.10 Lyantonde-Rushere'!G57,'28.10 Lyantonde-Rushere-24h'!G57,'29.10 Lyantonde-Rushere'!G57,'30.10 Lyantonde-Rushere'!G57,'31.10 Lyantonde-Rushere'!G57)</f>
        <v>0</v>
      </c>
      <c r="H57" s="49">
        <f>AVERAGE('25.10 Lyantonde-Rushere'!H57,'26.10 Lyantonde-Rushere-24hr'!H57,'27.10 Lyantonde-Rushere'!H57,'28.10 Lyantonde-Rushere-24h'!H57,'29.10 Lyantonde-Rushere'!H57,'30.10 Lyantonde-Rushere'!H57,'31.10 Lyantonde-Rushere'!H57)</f>
        <v>0.14285714285714285</v>
      </c>
      <c r="I57" s="49">
        <f>AVERAGE('25.10 Lyantonde-Rushere'!I57,'26.10 Lyantonde-Rushere-24hr'!I57,'27.10 Lyantonde-Rushere'!I57,'28.10 Lyantonde-Rushere-24h'!I57,'29.10 Lyantonde-Rushere'!I57,'30.10 Lyantonde-Rushere'!I57,'31.10 Lyantonde-Rushere'!I57)</f>
        <v>1</v>
      </c>
      <c r="J57" s="49">
        <f>AVERAGE('25.10 Lyantonde-Rushere'!J57,'26.10 Lyantonde-Rushere-24hr'!J57,'27.10 Lyantonde-Rushere'!J57,'28.10 Lyantonde-Rushere-24h'!J57,'29.10 Lyantonde-Rushere'!J57,'30.10 Lyantonde-Rushere'!J57,'31.10 Lyantonde-Rushere'!J57)</f>
        <v>0.7142857142857143</v>
      </c>
      <c r="K57" s="49">
        <f>AVERAGE('25.10 Lyantonde-Rushere'!K57,'26.10 Lyantonde-Rushere-24hr'!K57,'27.10 Lyantonde-Rushere'!K57,'28.10 Lyantonde-Rushere-24h'!K57,'29.10 Lyantonde-Rushere'!K57,'30.10 Lyantonde-Rushere'!K57,'31.10 Lyantonde-Rushere'!K57)</f>
        <v>0.2857142857142857</v>
      </c>
      <c r="L57" s="49">
        <f>AVERAGE('25.10 Lyantonde-Rushere'!L57,'26.10 Lyantonde-Rushere-24hr'!L57,'27.10 Lyantonde-Rushere'!L57,'28.10 Lyantonde-Rushere-24h'!L57,'29.10 Lyantonde-Rushere'!L57,'30.10 Lyantonde-Rushere'!L57,'31.10 Lyantonde-Rushere'!L57)</f>
        <v>1.2857142857142858</v>
      </c>
      <c r="M57" s="49">
        <f>AVERAGE('25.10 Lyantonde-Rushere'!M57,'26.10 Lyantonde-Rushere-24hr'!M57,'27.10 Lyantonde-Rushere'!M57,'28.10 Lyantonde-Rushere-24h'!M57,'29.10 Lyantonde-Rushere'!M57,'30.10 Lyantonde-Rushere'!M57,'31.10 Lyantonde-Rushere'!M57)</f>
        <v>9</v>
      </c>
      <c r="N57" s="49">
        <f>AVERAGE('25.10 Lyantonde-Rushere'!N57,'26.10 Lyantonde-Rushere-24hr'!N57,'27.10 Lyantonde-Rushere'!N57,'28.10 Lyantonde-Rushere-24h'!N57,'29.10 Lyantonde-Rushere'!N57,'30.10 Lyantonde-Rushere'!N57,'31.10 Lyantonde-Rushere'!N57)</f>
        <v>0</v>
      </c>
      <c r="O57" s="15">
        <f t="shared" si="0"/>
        <v>14.285714285714286</v>
      </c>
      <c r="P57" s="15">
        <f t="shared" si="1"/>
        <v>23.285714285714285</v>
      </c>
      <c r="R57" s="8"/>
      <c r="T57"/>
    </row>
    <row r="58" spans="2:20" ht="23.1" customHeight="1" x14ac:dyDescent="0.25">
      <c r="B58" s="23" t="s">
        <v>99</v>
      </c>
      <c r="C58" s="49">
        <f>AVERAGE('26.10 Lyantonde-Rushere-24hr'!C58,'28.10 Lyantonde-Rushere-24h'!C58)</f>
        <v>6</v>
      </c>
      <c r="D58" s="49">
        <f>AVERAGE('26.10 Lyantonde-Rushere-24hr'!D58,'28.10 Lyantonde-Rushere-24h'!D58)</f>
        <v>4</v>
      </c>
      <c r="E58" s="49">
        <f>AVERAGE('26.10 Lyantonde-Rushere-24hr'!E58,'28.10 Lyantonde-Rushere-24h'!E58)</f>
        <v>0.5</v>
      </c>
      <c r="F58" s="49">
        <f>AVERAGE('26.10 Lyantonde-Rushere-24hr'!F58,'28.10 Lyantonde-Rushere-24h'!F58)</f>
        <v>0</v>
      </c>
      <c r="G58" s="49">
        <f>AVERAGE('26.10 Lyantonde-Rushere-24hr'!G58,'28.10 Lyantonde-Rushere-24h'!G58)</f>
        <v>0.5</v>
      </c>
      <c r="H58" s="49">
        <f>AVERAGE('26.10 Lyantonde-Rushere-24hr'!H58,'28.10 Lyantonde-Rushere-24h'!H58)</f>
        <v>0</v>
      </c>
      <c r="I58" s="49">
        <f>AVERAGE('26.10 Lyantonde-Rushere-24hr'!I58,'28.10 Lyantonde-Rushere-24h'!I58)</f>
        <v>0</v>
      </c>
      <c r="J58" s="49">
        <f>AVERAGE('26.10 Lyantonde-Rushere-24hr'!J58,'28.10 Lyantonde-Rushere-24h'!J58)</f>
        <v>0.5</v>
      </c>
      <c r="K58" s="49">
        <f>AVERAGE('26.10 Lyantonde-Rushere-24hr'!K58,'28.10 Lyantonde-Rushere-24h'!K58)</f>
        <v>0</v>
      </c>
      <c r="L58" s="49">
        <f>AVERAGE('26.10 Lyantonde-Rushere-24hr'!L58,'28.10 Lyantonde-Rushere-24h'!L58)</f>
        <v>0</v>
      </c>
      <c r="M58" s="49">
        <f>AVERAGE('26.10 Lyantonde-Rushere-24hr'!M58,'28.10 Lyantonde-Rushere-24h'!M58)</f>
        <v>4</v>
      </c>
      <c r="N58" s="49">
        <f>AVERAGE('26.10 Lyantonde-Rushere-24hr'!N58,'28.10 Lyantonde-Rushere-24h'!N58)</f>
        <v>0</v>
      </c>
      <c r="O58" s="15">
        <f t="shared" si="0"/>
        <v>11.5</v>
      </c>
      <c r="P58" s="15">
        <f t="shared" si="1"/>
        <v>15.5</v>
      </c>
      <c r="R58" s="8"/>
      <c r="T58"/>
    </row>
    <row r="59" spans="2:20" ht="23.1" customHeight="1" x14ac:dyDescent="0.25">
      <c r="B59" s="23" t="s">
        <v>100</v>
      </c>
      <c r="C59" s="49">
        <f>AVERAGE('26.10 Lyantonde-Rushere-24hr'!C59,'28.10 Lyantonde-Rushere-24h'!C59)</f>
        <v>7</v>
      </c>
      <c r="D59" s="49">
        <f>AVERAGE('26.10 Lyantonde-Rushere-24hr'!D59,'28.10 Lyantonde-Rushere-24h'!D59)</f>
        <v>0.5</v>
      </c>
      <c r="E59" s="49">
        <f>AVERAGE('26.10 Lyantonde-Rushere-24hr'!E59,'28.10 Lyantonde-Rushere-24h'!E59)</f>
        <v>1.5</v>
      </c>
      <c r="F59" s="49">
        <f>AVERAGE('26.10 Lyantonde-Rushere-24hr'!F59,'28.10 Lyantonde-Rushere-24h'!F59)</f>
        <v>0</v>
      </c>
      <c r="G59" s="49">
        <f>AVERAGE('26.10 Lyantonde-Rushere-24hr'!G59,'28.10 Lyantonde-Rushere-24h'!G59)</f>
        <v>0</v>
      </c>
      <c r="H59" s="49">
        <f>AVERAGE('26.10 Lyantonde-Rushere-24hr'!H59,'28.10 Lyantonde-Rushere-24h'!H59)</f>
        <v>0</v>
      </c>
      <c r="I59" s="49">
        <f>AVERAGE('26.10 Lyantonde-Rushere-24hr'!I59,'28.10 Lyantonde-Rushere-24h'!I59)</f>
        <v>0</v>
      </c>
      <c r="J59" s="49">
        <f>AVERAGE('26.10 Lyantonde-Rushere-24hr'!J59,'28.10 Lyantonde-Rushere-24h'!J59)</f>
        <v>0.5</v>
      </c>
      <c r="K59" s="49">
        <f>AVERAGE('26.10 Lyantonde-Rushere-24hr'!K59,'28.10 Lyantonde-Rushere-24h'!K59)</f>
        <v>0</v>
      </c>
      <c r="L59" s="49">
        <f>AVERAGE('26.10 Lyantonde-Rushere-24hr'!L59,'28.10 Lyantonde-Rushere-24h'!L59)</f>
        <v>0</v>
      </c>
      <c r="M59" s="49">
        <f>AVERAGE('26.10 Lyantonde-Rushere-24hr'!M59,'28.10 Lyantonde-Rushere-24h'!M59)</f>
        <v>5.5</v>
      </c>
      <c r="N59" s="49">
        <f>AVERAGE('26.10 Lyantonde-Rushere-24hr'!N59,'28.10 Lyantonde-Rushere-24h'!N59)</f>
        <v>0</v>
      </c>
      <c r="O59" s="15">
        <f t="shared" si="0"/>
        <v>9.5</v>
      </c>
      <c r="P59" s="15">
        <f t="shared" si="1"/>
        <v>15</v>
      </c>
      <c r="R59" s="8"/>
      <c r="T59"/>
    </row>
    <row r="60" spans="2:20" ht="23.1" customHeight="1" x14ac:dyDescent="0.25">
      <c r="B60" s="23" t="s">
        <v>101</v>
      </c>
      <c r="C60" s="49">
        <f>AVERAGE('26.10 Lyantonde-Rushere-24hr'!C60,'28.10 Lyantonde-Rushere-24h'!C60)</f>
        <v>5.5</v>
      </c>
      <c r="D60" s="49">
        <f>AVERAGE('26.10 Lyantonde-Rushere-24hr'!D60,'28.10 Lyantonde-Rushere-24h'!D60)</f>
        <v>1</v>
      </c>
      <c r="E60" s="49">
        <f>AVERAGE('26.10 Lyantonde-Rushere-24hr'!E60,'28.10 Lyantonde-Rushere-24h'!E60)</f>
        <v>0.5</v>
      </c>
      <c r="F60" s="49">
        <f>AVERAGE('26.10 Lyantonde-Rushere-24hr'!F60,'28.10 Lyantonde-Rushere-24h'!F60)</f>
        <v>0</v>
      </c>
      <c r="G60" s="49">
        <f>AVERAGE('26.10 Lyantonde-Rushere-24hr'!G60,'28.10 Lyantonde-Rushere-24h'!G60)</f>
        <v>0</v>
      </c>
      <c r="H60" s="49">
        <f>AVERAGE('26.10 Lyantonde-Rushere-24hr'!H60,'28.10 Lyantonde-Rushere-24h'!H60)</f>
        <v>0</v>
      </c>
      <c r="I60" s="49">
        <f>AVERAGE('26.10 Lyantonde-Rushere-24hr'!I60,'28.10 Lyantonde-Rushere-24h'!I60)</f>
        <v>0.5</v>
      </c>
      <c r="J60" s="49">
        <f>AVERAGE('26.10 Lyantonde-Rushere-24hr'!J60,'28.10 Lyantonde-Rushere-24h'!J60)</f>
        <v>0.5</v>
      </c>
      <c r="K60" s="49">
        <f>AVERAGE('26.10 Lyantonde-Rushere-24hr'!K60,'28.10 Lyantonde-Rushere-24h'!K60)</f>
        <v>0</v>
      </c>
      <c r="L60" s="49">
        <f>AVERAGE('26.10 Lyantonde-Rushere-24hr'!L60,'28.10 Lyantonde-Rushere-24h'!L60)</f>
        <v>0</v>
      </c>
      <c r="M60" s="49">
        <f>AVERAGE('26.10 Lyantonde-Rushere-24hr'!M60,'28.10 Lyantonde-Rushere-24h'!M60)</f>
        <v>4.5</v>
      </c>
      <c r="N60" s="49">
        <f>AVERAGE('26.10 Lyantonde-Rushere-24hr'!N60,'28.10 Lyantonde-Rushere-24h'!N60)</f>
        <v>0</v>
      </c>
      <c r="O60" s="15">
        <f t="shared" si="0"/>
        <v>8</v>
      </c>
      <c r="P60" s="15">
        <f t="shared" si="1"/>
        <v>12.5</v>
      </c>
      <c r="R60" s="8"/>
      <c r="T60"/>
    </row>
    <row r="61" spans="2:20" ht="23.1" customHeight="1" x14ac:dyDescent="0.25">
      <c r="B61" s="23" t="s">
        <v>102</v>
      </c>
      <c r="C61" s="49">
        <f>AVERAGE('26.10 Lyantonde-Rushere-24hr'!C61,'28.10 Lyantonde-Rushere-24h'!C61)</f>
        <v>6.5</v>
      </c>
      <c r="D61" s="49">
        <f>AVERAGE('26.10 Lyantonde-Rushere-24hr'!D61,'28.10 Lyantonde-Rushere-24h'!D61)</f>
        <v>1.5</v>
      </c>
      <c r="E61" s="49">
        <f>AVERAGE('26.10 Lyantonde-Rushere-24hr'!E61,'28.10 Lyantonde-Rushere-24h'!E61)</f>
        <v>0.5</v>
      </c>
      <c r="F61" s="49">
        <f>AVERAGE('26.10 Lyantonde-Rushere-24hr'!F61,'28.10 Lyantonde-Rushere-24h'!F61)</f>
        <v>0</v>
      </c>
      <c r="G61" s="49">
        <f>AVERAGE('26.10 Lyantonde-Rushere-24hr'!G61,'28.10 Lyantonde-Rushere-24h'!G61)</f>
        <v>0.5</v>
      </c>
      <c r="H61" s="49">
        <f>AVERAGE('26.10 Lyantonde-Rushere-24hr'!H61,'28.10 Lyantonde-Rushere-24h'!H61)</f>
        <v>0</v>
      </c>
      <c r="I61" s="49">
        <f>AVERAGE('26.10 Lyantonde-Rushere-24hr'!I61,'28.10 Lyantonde-Rushere-24h'!I61)</f>
        <v>0</v>
      </c>
      <c r="J61" s="49">
        <f>AVERAGE('26.10 Lyantonde-Rushere-24hr'!J61,'28.10 Lyantonde-Rushere-24h'!J61)</f>
        <v>0</v>
      </c>
      <c r="K61" s="49">
        <f>AVERAGE('26.10 Lyantonde-Rushere-24hr'!K61,'28.10 Lyantonde-Rushere-24h'!K61)</f>
        <v>0</v>
      </c>
      <c r="L61" s="49">
        <f>AVERAGE('26.10 Lyantonde-Rushere-24hr'!L61,'28.10 Lyantonde-Rushere-24h'!L61)</f>
        <v>1.5</v>
      </c>
      <c r="M61" s="49">
        <f>AVERAGE('26.10 Lyantonde-Rushere-24hr'!M61,'28.10 Lyantonde-Rushere-24h'!M61)</f>
        <v>6.5</v>
      </c>
      <c r="N61" s="49">
        <f>AVERAGE('26.10 Lyantonde-Rushere-24hr'!N61,'28.10 Lyantonde-Rushere-24h'!N61)</f>
        <v>0</v>
      </c>
      <c r="O61" s="15">
        <f t="shared" si="0"/>
        <v>10.5</v>
      </c>
      <c r="P61" s="15">
        <f t="shared" si="1"/>
        <v>17</v>
      </c>
      <c r="R61" s="8"/>
      <c r="T61"/>
    </row>
    <row r="62" spans="2:20" ht="23.1" customHeight="1" x14ac:dyDescent="0.25">
      <c r="B62" s="23" t="s">
        <v>107</v>
      </c>
      <c r="C62" s="49">
        <f>AVERAGE('26.10 Lyantonde-Rushere-24hr'!C62,'28.10 Lyantonde-Rushere-24h'!C62)</f>
        <v>6.5</v>
      </c>
      <c r="D62" s="49">
        <f>AVERAGE('26.10 Lyantonde-Rushere-24hr'!D62,'28.10 Lyantonde-Rushere-24h'!D62)</f>
        <v>2.5</v>
      </c>
      <c r="E62" s="49">
        <f>AVERAGE('26.10 Lyantonde-Rushere-24hr'!E62,'28.10 Lyantonde-Rushere-24h'!E62)</f>
        <v>1</v>
      </c>
      <c r="F62" s="49">
        <f>AVERAGE('26.10 Lyantonde-Rushere-24hr'!F62,'28.10 Lyantonde-Rushere-24h'!F62)</f>
        <v>0</v>
      </c>
      <c r="G62" s="49">
        <f>AVERAGE('26.10 Lyantonde-Rushere-24hr'!G62,'28.10 Lyantonde-Rushere-24h'!G62)</f>
        <v>0</v>
      </c>
      <c r="H62" s="49">
        <f>AVERAGE('26.10 Lyantonde-Rushere-24hr'!H62,'28.10 Lyantonde-Rushere-24h'!H62)</f>
        <v>0</v>
      </c>
      <c r="I62" s="49">
        <f>AVERAGE('26.10 Lyantonde-Rushere-24hr'!I62,'28.10 Lyantonde-Rushere-24h'!I62)</f>
        <v>0</v>
      </c>
      <c r="J62" s="49">
        <f>AVERAGE('26.10 Lyantonde-Rushere-24hr'!J62,'28.10 Lyantonde-Rushere-24h'!J62)</f>
        <v>0</v>
      </c>
      <c r="K62" s="49">
        <f>AVERAGE('26.10 Lyantonde-Rushere-24hr'!K62,'28.10 Lyantonde-Rushere-24h'!K62)</f>
        <v>0</v>
      </c>
      <c r="L62" s="49">
        <f>AVERAGE('26.10 Lyantonde-Rushere-24hr'!L62,'28.10 Lyantonde-Rushere-24h'!L62)</f>
        <v>1</v>
      </c>
      <c r="M62" s="49">
        <f>AVERAGE('26.10 Lyantonde-Rushere-24hr'!M62,'28.10 Lyantonde-Rushere-24h'!M62)</f>
        <v>3</v>
      </c>
      <c r="N62" s="49">
        <f>AVERAGE('26.10 Lyantonde-Rushere-24hr'!N62,'28.10 Lyantonde-Rushere-24h'!N62)</f>
        <v>0</v>
      </c>
      <c r="O62" s="15">
        <f t="shared" si="0"/>
        <v>11</v>
      </c>
      <c r="P62" s="15">
        <f t="shared" si="1"/>
        <v>14</v>
      </c>
      <c r="R62" s="8"/>
      <c r="T62"/>
    </row>
    <row r="63" spans="2:20" ht="23.1" customHeight="1" x14ac:dyDescent="0.25">
      <c r="B63" s="23" t="s">
        <v>108</v>
      </c>
      <c r="C63" s="49">
        <f>AVERAGE('26.10 Lyantonde-Rushere-24hr'!C63,'28.10 Lyantonde-Rushere-24h'!C63)</f>
        <v>4</v>
      </c>
      <c r="D63" s="49">
        <f>AVERAGE('26.10 Lyantonde-Rushere-24hr'!D63,'28.10 Lyantonde-Rushere-24h'!D63)</f>
        <v>0.5</v>
      </c>
      <c r="E63" s="49">
        <f>AVERAGE('26.10 Lyantonde-Rushere-24hr'!E63,'28.10 Lyantonde-Rushere-24h'!E63)</f>
        <v>0.5</v>
      </c>
      <c r="F63" s="49">
        <f>AVERAGE('26.10 Lyantonde-Rushere-24hr'!F63,'28.10 Lyantonde-Rushere-24h'!F63)</f>
        <v>0</v>
      </c>
      <c r="G63" s="49">
        <f>AVERAGE('26.10 Lyantonde-Rushere-24hr'!G63,'28.10 Lyantonde-Rushere-24h'!G63)</f>
        <v>0</v>
      </c>
      <c r="H63" s="49">
        <f>AVERAGE('26.10 Lyantonde-Rushere-24hr'!H63,'28.10 Lyantonde-Rushere-24h'!H63)</f>
        <v>0</v>
      </c>
      <c r="I63" s="49">
        <f>AVERAGE('26.10 Lyantonde-Rushere-24hr'!I63,'28.10 Lyantonde-Rushere-24h'!I63)</f>
        <v>0.5</v>
      </c>
      <c r="J63" s="49">
        <f>AVERAGE('26.10 Lyantonde-Rushere-24hr'!J63,'28.10 Lyantonde-Rushere-24h'!J63)</f>
        <v>0</v>
      </c>
      <c r="K63" s="49">
        <f>AVERAGE('26.10 Lyantonde-Rushere-24hr'!K63,'28.10 Lyantonde-Rushere-24h'!K63)</f>
        <v>1</v>
      </c>
      <c r="L63" s="49">
        <f>AVERAGE('26.10 Lyantonde-Rushere-24hr'!L63,'28.10 Lyantonde-Rushere-24h'!L63)</f>
        <v>0.5</v>
      </c>
      <c r="M63" s="49">
        <f>AVERAGE('26.10 Lyantonde-Rushere-24hr'!M63,'28.10 Lyantonde-Rushere-24h'!M63)</f>
        <v>4.5</v>
      </c>
      <c r="N63" s="49">
        <f>AVERAGE('26.10 Lyantonde-Rushere-24hr'!N63,'28.10 Lyantonde-Rushere-24h'!N63)</f>
        <v>0</v>
      </c>
      <c r="O63" s="15">
        <f t="shared" si="0"/>
        <v>7</v>
      </c>
      <c r="P63" s="15">
        <f t="shared" si="1"/>
        <v>11.5</v>
      </c>
      <c r="R63" s="8"/>
      <c r="T63"/>
    </row>
    <row r="64" spans="2:20" ht="23.1" customHeight="1" x14ac:dyDescent="0.25">
      <c r="B64" s="23" t="s">
        <v>109</v>
      </c>
      <c r="C64" s="49">
        <f>AVERAGE('26.10 Lyantonde-Rushere-24hr'!C64,'28.10 Lyantonde-Rushere-24h'!C64)</f>
        <v>3.5</v>
      </c>
      <c r="D64" s="49">
        <f>AVERAGE('26.10 Lyantonde-Rushere-24hr'!D64,'28.10 Lyantonde-Rushere-24h'!D64)</f>
        <v>2</v>
      </c>
      <c r="E64" s="49">
        <f>AVERAGE('26.10 Lyantonde-Rushere-24hr'!E64,'28.10 Lyantonde-Rushere-24h'!E64)</f>
        <v>1</v>
      </c>
      <c r="F64" s="49">
        <f>AVERAGE('26.10 Lyantonde-Rushere-24hr'!F64,'28.10 Lyantonde-Rushere-24h'!F64)</f>
        <v>0</v>
      </c>
      <c r="G64" s="49">
        <f>AVERAGE('26.10 Lyantonde-Rushere-24hr'!G64,'28.10 Lyantonde-Rushere-24h'!G64)</f>
        <v>0</v>
      </c>
      <c r="H64" s="49">
        <f>AVERAGE('26.10 Lyantonde-Rushere-24hr'!H64,'28.10 Lyantonde-Rushere-24h'!H64)</f>
        <v>0</v>
      </c>
      <c r="I64" s="49">
        <f>AVERAGE('26.10 Lyantonde-Rushere-24hr'!I64,'28.10 Lyantonde-Rushere-24h'!I64)</f>
        <v>0</v>
      </c>
      <c r="J64" s="49">
        <f>AVERAGE('26.10 Lyantonde-Rushere-24hr'!J64,'28.10 Lyantonde-Rushere-24h'!J64)</f>
        <v>1</v>
      </c>
      <c r="K64" s="49">
        <f>AVERAGE('26.10 Lyantonde-Rushere-24hr'!K64,'28.10 Lyantonde-Rushere-24h'!K64)</f>
        <v>0</v>
      </c>
      <c r="L64" s="49">
        <f>AVERAGE('26.10 Lyantonde-Rushere-24hr'!L64,'28.10 Lyantonde-Rushere-24h'!L64)</f>
        <v>0</v>
      </c>
      <c r="M64" s="49">
        <f>AVERAGE('26.10 Lyantonde-Rushere-24hr'!M64,'28.10 Lyantonde-Rushere-24h'!M64)</f>
        <v>3</v>
      </c>
      <c r="N64" s="49">
        <f>AVERAGE('26.10 Lyantonde-Rushere-24hr'!N64,'28.10 Lyantonde-Rushere-24h'!N64)</f>
        <v>0</v>
      </c>
      <c r="O64" s="15">
        <f t="shared" si="0"/>
        <v>7.5</v>
      </c>
      <c r="P64" s="15">
        <f t="shared" si="1"/>
        <v>10.5</v>
      </c>
      <c r="R64" s="8"/>
      <c r="T64"/>
    </row>
    <row r="65" spans="2:20" ht="23.1" customHeight="1" x14ac:dyDescent="0.25">
      <c r="B65" s="23" t="s">
        <v>158</v>
      </c>
      <c r="C65" s="49">
        <f>AVERAGE('26.10 Lyantonde-Rushere-24hr'!C65,'28.10 Lyantonde-Rushere-24h'!C65)</f>
        <v>3</v>
      </c>
      <c r="D65" s="49">
        <f>AVERAGE('26.10 Lyantonde-Rushere-24hr'!D65,'28.10 Lyantonde-Rushere-24h'!D65)</f>
        <v>0</v>
      </c>
      <c r="E65" s="49">
        <f>AVERAGE('26.10 Lyantonde-Rushere-24hr'!E65,'28.10 Lyantonde-Rushere-24h'!E65)</f>
        <v>1</v>
      </c>
      <c r="F65" s="49">
        <f>AVERAGE('26.10 Lyantonde-Rushere-24hr'!F65,'28.10 Lyantonde-Rushere-24h'!F65)</f>
        <v>0</v>
      </c>
      <c r="G65" s="49">
        <f>AVERAGE('26.10 Lyantonde-Rushere-24hr'!G65,'28.10 Lyantonde-Rushere-24h'!G65)</f>
        <v>0</v>
      </c>
      <c r="H65" s="49">
        <f>AVERAGE('26.10 Lyantonde-Rushere-24hr'!H65,'28.10 Lyantonde-Rushere-24h'!H65)</f>
        <v>0</v>
      </c>
      <c r="I65" s="49">
        <f>AVERAGE('26.10 Lyantonde-Rushere-24hr'!I65,'28.10 Lyantonde-Rushere-24h'!I65)</f>
        <v>0</v>
      </c>
      <c r="J65" s="49">
        <f>AVERAGE('26.10 Lyantonde-Rushere-24hr'!J65,'28.10 Lyantonde-Rushere-24h'!J65)</f>
        <v>0.5</v>
      </c>
      <c r="K65" s="49">
        <f>AVERAGE('26.10 Lyantonde-Rushere-24hr'!K65,'28.10 Lyantonde-Rushere-24h'!K65)</f>
        <v>0</v>
      </c>
      <c r="L65" s="49">
        <f>AVERAGE('26.10 Lyantonde-Rushere-24hr'!L65,'28.10 Lyantonde-Rushere-24h'!L65)</f>
        <v>0</v>
      </c>
      <c r="M65" s="49">
        <f>AVERAGE('26.10 Lyantonde-Rushere-24hr'!M65,'28.10 Lyantonde-Rushere-24h'!M65)</f>
        <v>4</v>
      </c>
      <c r="N65" s="49">
        <f>AVERAGE('26.10 Lyantonde-Rushere-24hr'!N65,'28.10 Lyantonde-Rushere-24h'!N65)</f>
        <v>0</v>
      </c>
      <c r="O65" s="15">
        <f t="shared" si="0"/>
        <v>4.5</v>
      </c>
      <c r="P65" s="15">
        <f t="shared" si="1"/>
        <v>8.5</v>
      </c>
      <c r="R65" s="8"/>
      <c r="T65"/>
    </row>
    <row r="66" spans="2:20" ht="23.1" customHeight="1" x14ac:dyDescent="0.25">
      <c r="B66" s="23" t="s">
        <v>103</v>
      </c>
      <c r="C66" s="49">
        <f>AVERAGE('26.10 Lyantonde-Rushere-24hr'!C66,'28.10 Lyantonde-Rushere-24h'!C66)</f>
        <v>5</v>
      </c>
      <c r="D66" s="49">
        <f>AVERAGE('26.10 Lyantonde-Rushere-24hr'!D66,'28.10 Lyantonde-Rushere-24h'!D66)</f>
        <v>2.5</v>
      </c>
      <c r="E66" s="49">
        <f>AVERAGE('26.10 Lyantonde-Rushere-24hr'!E66,'28.10 Lyantonde-Rushere-24h'!E66)</f>
        <v>0</v>
      </c>
      <c r="F66" s="49">
        <f>AVERAGE('26.10 Lyantonde-Rushere-24hr'!F66,'28.10 Lyantonde-Rushere-24h'!F66)</f>
        <v>0</v>
      </c>
      <c r="G66" s="49">
        <f>AVERAGE('26.10 Lyantonde-Rushere-24hr'!G66,'28.10 Lyantonde-Rushere-24h'!G66)</f>
        <v>0</v>
      </c>
      <c r="H66" s="49">
        <f>AVERAGE('26.10 Lyantonde-Rushere-24hr'!H66,'28.10 Lyantonde-Rushere-24h'!H66)</f>
        <v>0</v>
      </c>
      <c r="I66" s="49">
        <f>AVERAGE('26.10 Lyantonde-Rushere-24hr'!I66,'28.10 Lyantonde-Rushere-24h'!I66)</f>
        <v>2</v>
      </c>
      <c r="J66" s="49">
        <f>AVERAGE('26.10 Lyantonde-Rushere-24hr'!J66,'28.10 Lyantonde-Rushere-24h'!J66)</f>
        <v>1.5</v>
      </c>
      <c r="K66" s="49">
        <f>AVERAGE('26.10 Lyantonde-Rushere-24hr'!K66,'28.10 Lyantonde-Rushere-24h'!K66)</f>
        <v>0</v>
      </c>
      <c r="L66" s="49">
        <f>AVERAGE('26.10 Lyantonde-Rushere-24hr'!L66,'28.10 Lyantonde-Rushere-24h'!L66)</f>
        <v>1</v>
      </c>
      <c r="M66" s="49">
        <f>AVERAGE('26.10 Lyantonde-Rushere-24hr'!M66,'28.10 Lyantonde-Rushere-24h'!M66)</f>
        <v>2.5</v>
      </c>
      <c r="N66" s="49">
        <f>AVERAGE('26.10 Lyantonde-Rushere-24hr'!N66,'28.10 Lyantonde-Rushere-24h'!N66)</f>
        <v>0</v>
      </c>
      <c r="O66" s="15">
        <f t="shared" si="0"/>
        <v>12</v>
      </c>
      <c r="P66" s="15">
        <f t="shared" si="1"/>
        <v>14.5</v>
      </c>
      <c r="R66" s="8"/>
      <c r="T66"/>
    </row>
    <row r="67" spans="2:20" ht="23.1" customHeight="1" x14ac:dyDescent="0.25">
      <c r="B67" s="23" t="s">
        <v>104</v>
      </c>
      <c r="C67" s="49">
        <f>AVERAGE('26.10 Lyantonde-Rushere-24hr'!C67,'28.10 Lyantonde-Rushere-24h'!C67)</f>
        <v>4</v>
      </c>
      <c r="D67" s="49">
        <f>AVERAGE('26.10 Lyantonde-Rushere-24hr'!D67,'28.10 Lyantonde-Rushere-24h'!D67)</f>
        <v>2.5</v>
      </c>
      <c r="E67" s="49">
        <f>AVERAGE('26.10 Lyantonde-Rushere-24hr'!E67,'28.10 Lyantonde-Rushere-24h'!E67)</f>
        <v>1.5</v>
      </c>
      <c r="F67" s="49">
        <f>AVERAGE('26.10 Lyantonde-Rushere-24hr'!F67,'28.10 Lyantonde-Rushere-24h'!F67)</f>
        <v>1</v>
      </c>
      <c r="G67" s="49">
        <f>AVERAGE('26.10 Lyantonde-Rushere-24hr'!G67,'28.10 Lyantonde-Rushere-24h'!G67)</f>
        <v>0</v>
      </c>
      <c r="H67" s="49">
        <f>AVERAGE('26.10 Lyantonde-Rushere-24hr'!H67,'28.10 Lyantonde-Rushere-24h'!H67)</f>
        <v>0</v>
      </c>
      <c r="I67" s="49">
        <f>AVERAGE('26.10 Lyantonde-Rushere-24hr'!I67,'28.10 Lyantonde-Rushere-24h'!I67)</f>
        <v>1</v>
      </c>
      <c r="J67" s="49">
        <f>AVERAGE('26.10 Lyantonde-Rushere-24hr'!J67,'28.10 Lyantonde-Rushere-24h'!J67)</f>
        <v>0</v>
      </c>
      <c r="K67" s="49">
        <f>AVERAGE('26.10 Lyantonde-Rushere-24hr'!K67,'28.10 Lyantonde-Rushere-24h'!K67)</f>
        <v>0</v>
      </c>
      <c r="L67" s="49">
        <f>AVERAGE('26.10 Lyantonde-Rushere-24hr'!L67,'28.10 Lyantonde-Rushere-24h'!L67)</f>
        <v>0</v>
      </c>
      <c r="M67" s="49">
        <f>AVERAGE('26.10 Lyantonde-Rushere-24hr'!M67,'28.10 Lyantonde-Rushere-24h'!M67)</f>
        <v>3.5</v>
      </c>
      <c r="N67" s="49">
        <f>AVERAGE('26.10 Lyantonde-Rushere-24hr'!N67,'28.10 Lyantonde-Rushere-24h'!N67)</f>
        <v>0</v>
      </c>
      <c r="O67" s="15">
        <f t="shared" si="0"/>
        <v>10</v>
      </c>
      <c r="P67" s="15">
        <f t="shared" si="1"/>
        <v>13.5</v>
      </c>
      <c r="R67" s="8"/>
      <c r="T67"/>
    </row>
    <row r="68" spans="2:20" ht="23.1" customHeight="1" x14ac:dyDescent="0.25">
      <c r="B68" s="23" t="s">
        <v>105</v>
      </c>
      <c r="C68" s="49">
        <f>AVERAGE('26.10 Lyantonde-Rushere-24hr'!C68,'28.10 Lyantonde-Rushere-24h'!C68)</f>
        <v>3</v>
      </c>
      <c r="D68" s="49">
        <f>AVERAGE('26.10 Lyantonde-Rushere-24hr'!D68,'28.10 Lyantonde-Rushere-24h'!D68)</f>
        <v>1.5</v>
      </c>
      <c r="E68" s="49">
        <f>AVERAGE('26.10 Lyantonde-Rushere-24hr'!E68,'28.10 Lyantonde-Rushere-24h'!E68)</f>
        <v>0.5</v>
      </c>
      <c r="F68" s="49">
        <f>AVERAGE('26.10 Lyantonde-Rushere-24hr'!F68,'28.10 Lyantonde-Rushere-24h'!F68)</f>
        <v>0</v>
      </c>
      <c r="G68" s="49">
        <f>AVERAGE('26.10 Lyantonde-Rushere-24hr'!G68,'28.10 Lyantonde-Rushere-24h'!G68)</f>
        <v>0</v>
      </c>
      <c r="H68" s="49">
        <f>AVERAGE('26.10 Lyantonde-Rushere-24hr'!H68,'28.10 Lyantonde-Rushere-24h'!H68)</f>
        <v>0.5</v>
      </c>
      <c r="I68" s="49">
        <f>AVERAGE('26.10 Lyantonde-Rushere-24hr'!I68,'28.10 Lyantonde-Rushere-24h'!I68)</f>
        <v>1</v>
      </c>
      <c r="J68" s="49">
        <f>AVERAGE('26.10 Lyantonde-Rushere-24hr'!J68,'28.10 Lyantonde-Rushere-24h'!J68)</f>
        <v>0.5</v>
      </c>
      <c r="K68" s="49">
        <f>AVERAGE('26.10 Lyantonde-Rushere-24hr'!K68,'28.10 Lyantonde-Rushere-24h'!K68)</f>
        <v>0</v>
      </c>
      <c r="L68" s="49">
        <f>AVERAGE('26.10 Lyantonde-Rushere-24hr'!L68,'28.10 Lyantonde-Rushere-24h'!L68)</f>
        <v>1</v>
      </c>
      <c r="M68" s="49">
        <f>AVERAGE('26.10 Lyantonde-Rushere-24hr'!M68,'28.10 Lyantonde-Rushere-24h'!M68)</f>
        <v>2.5</v>
      </c>
      <c r="N68" s="49">
        <f>AVERAGE('26.10 Lyantonde-Rushere-24hr'!N68,'28.10 Lyantonde-Rushere-24h'!N68)</f>
        <v>0</v>
      </c>
      <c r="O68" s="15">
        <f t="shared" si="0"/>
        <v>8</v>
      </c>
      <c r="P68" s="15">
        <f t="shared" si="1"/>
        <v>10.5</v>
      </c>
      <c r="R68" s="8"/>
      <c r="T68"/>
    </row>
    <row r="69" spans="2:20" ht="23.1" customHeight="1" x14ac:dyDescent="0.25">
      <c r="B69" s="23" t="s">
        <v>106</v>
      </c>
      <c r="C69" s="49">
        <f>AVERAGE('26.10 Lyantonde-Rushere-24hr'!C69,'28.10 Lyantonde-Rushere-24h'!C69)</f>
        <v>3</v>
      </c>
      <c r="D69" s="49">
        <f>AVERAGE('26.10 Lyantonde-Rushere-24hr'!D69,'28.10 Lyantonde-Rushere-24h'!D69)</f>
        <v>1</v>
      </c>
      <c r="E69" s="49">
        <f>AVERAGE('26.10 Lyantonde-Rushere-24hr'!E69,'28.10 Lyantonde-Rushere-24h'!E69)</f>
        <v>0</v>
      </c>
      <c r="F69" s="49">
        <f>AVERAGE('26.10 Lyantonde-Rushere-24hr'!F69,'28.10 Lyantonde-Rushere-24h'!F69)</f>
        <v>0</v>
      </c>
      <c r="G69" s="49">
        <f>AVERAGE('26.10 Lyantonde-Rushere-24hr'!G69,'28.10 Lyantonde-Rushere-24h'!G69)</f>
        <v>0</v>
      </c>
      <c r="H69" s="49">
        <f>AVERAGE('26.10 Lyantonde-Rushere-24hr'!H69,'28.10 Lyantonde-Rushere-24h'!H69)</f>
        <v>0</v>
      </c>
      <c r="I69" s="49">
        <f>AVERAGE('26.10 Lyantonde-Rushere-24hr'!I69,'28.10 Lyantonde-Rushere-24h'!I69)</f>
        <v>0.5</v>
      </c>
      <c r="J69" s="49">
        <f>AVERAGE('26.10 Lyantonde-Rushere-24hr'!J69,'28.10 Lyantonde-Rushere-24h'!J69)</f>
        <v>0</v>
      </c>
      <c r="K69" s="49">
        <f>AVERAGE('26.10 Lyantonde-Rushere-24hr'!K69,'28.10 Lyantonde-Rushere-24h'!K69)</f>
        <v>0</v>
      </c>
      <c r="L69" s="49">
        <f>AVERAGE('26.10 Lyantonde-Rushere-24hr'!L69,'28.10 Lyantonde-Rushere-24h'!L69)</f>
        <v>0</v>
      </c>
      <c r="M69" s="49">
        <f>AVERAGE('26.10 Lyantonde-Rushere-24hr'!M69,'28.10 Lyantonde-Rushere-24h'!M69)</f>
        <v>1</v>
      </c>
      <c r="N69" s="49">
        <f>AVERAGE('26.10 Lyantonde-Rushere-24hr'!N69,'28.10 Lyantonde-Rushere-24h'!N69)</f>
        <v>1.5</v>
      </c>
      <c r="O69" s="15">
        <f t="shared" si="0"/>
        <v>6</v>
      </c>
      <c r="P69" s="15">
        <f t="shared" si="1"/>
        <v>7</v>
      </c>
      <c r="R69" s="8"/>
      <c r="T69"/>
    </row>
    <row r="70" spans="2:20" ht="23.1" customHeight="1" x14ac:dyDescent="0.25">
      <c r="B70" s="23" t="s">
        <v>110</v>
      </c>
      <c r="C70" s="49">
        <f>AVERAGE('26.10 Lyantonde-Rushere-24hr'!C70,'28.10 Lyantonde-Rushere-24h'!C70)</f>
        <v>3.5</v>
      </c>
      <c r="D70" s="49">
        <f>AVERAGE('26.10 Lyantonde-Rushere-24hr'!D70,'28.10 Lyantonde-Rushere-24h'!D70)</f>
        <v>2</v>
      </c>
      <c r="E70" s="49">
        <f>AVERAGE('26.10 Lyantonde-Rushere-24hr'!E70,'28.10 Lyantonde-Rushere-24h'!E70)</f>
        <v>1</v>
      </c>
      <c r="F70" s="49">
        <f>AVERAGE('26.10 Lyantonde-Rushere-24hr'!F70,'28.10 Lyantonde-Rushere-24h'!F70)</f>
        <v>0</v>
      </c>
      <c r="G70" s="49">
        <f>AVERAGE('26.10 Lyantonde-Rushere-24hr'!G70,'28.10 Lyantonde-Rushere-24h'!G70)</f>
        <v>0</v>
      </c>
      <c r="H70" s="49">
        <f>AVERAGE('26.10 Lyantonde-Rushere-24hr'!H70,'28.10 Lyantonde-Rushere-24h'!H70)</f>
        <v>0</v>
      </c>
      <c r="I70" s="49">
        <f>AVERAGE('26.10 Lyantonde-Rushere-24hr'!I70,'28.10 Lyantonde-Rushere-24h'!I70)</f>
        <v>2</v>
      </c>
      <c r="J70" s="49">
        <f>AVERAGE('26.10 Lyantonde-Rushere-24hr'!J70,'28.10 Lyantonde-Rushere-24h'!J70)</f>
        <v>0.5</v>
      </c>
      <c r="K70" s="49">
        <f>AVERAGE('26.10 Lyantonde-Rushere-24hr'!K70,'28.10 Lyantonde-Rushere-24h'!K70)</f>
        <v>1</v>
      </c>
      <c r="L70" s="49">
        <f>AVERAGE('26.10 Lyantonde-Rushere-24hr'!L70,'28.10 Lyantonde-Rushere-24h'!L70)</f>
        <v>0.5</v>
      </c>
      <c r="M70" s="49">
        <f>AVERAGE('26.10 Lyantonde-Rushere-24hr'!M70,'28.10 Lyantonde-Rushere-24h'!M70)</f>
        <v>3</v>
      </c>
      <c r="N70" s="49">
        <f>AVERAGE('26.10 Lyantonde-Rushere-24hr'!N70,'28.10 Lyantonde-Rushere-24h'!N70)</f>
        <v>0</v>
      </c>
      <c r="O70" s="15">
        <f t="shared" si="0"/>
        <v>10.5</v>
      </c>
      <c r="P70" s="15">
        <f t="shared" si="1"/>
        <v>13.5</v>
      </c>
      <c r="R70" s="8"/>
      <c r="T70"/>
    </row>
    <row r="71" spans="2:20" ht="23.1" customHeight="1" x14ac:dyDescent="0.25">
      <c r="B71" s="23" t="s">
        <v>111</v>
      </c>
      <c r="C71" s="49">
        <f>AVERAGE('26.10 Lyantonde-Rushere-24hr'!C71,'28.10 Lyantonde-Rushere-24h'!C71)</f>
        <v>4.5</v>
      </c>
      <c r="D71" s="49">
        <f>AVERAGE('26.10 Lyantonde-Rushere-24hr'!D71,'28.10 Lyantonde-Rushere-24h'!D71)</f>
        <v>1.5</v>
      </c>
      <c r="E71" s="49">
        <f>AVERAGE('26.10 Lyantonde-Rushere-24hr'!E71,'28.10 Lyantonde-Rushere-24h'!E71)</f>
        <v>0.5</v>
      </c>
      <c r="F71" s="49">
        <f>AVERAGE('26.10 Lyantonde-Rushere-24hr'!F71,'28.10 Lyantonde-Rushere-24h'!F71)</f>
        <v>0</v>
      </c>
      <c r="G71" s="49">
        <f>AVERAGE('26.10 Lyantonde-Rushere-24hr'!G71,'28.10 Lyantonde-Rushere-24h'!G71)</f>
        <v>0</v>
      </c>
      <c r="H71" s="49">
        <f>AVERAGE('26.10 Lyantonde-Rushere-24hr'!H71,'28.10 Lyantonde-Rushere-24h'!H71)</f>
        <v>0</v>
      </c>
      <c r="I71" s="49">
        <f>AVERAGE('26.10 Lyantonde-Rushere-24hr'!I71,'28.10 Lyantonde-Rushere-24h'!I71)</f>
        <v>0.5</v>
      </c>
      <c r="J71" s="49">
        <f>AVERAGE('26.10 Lyantonde-Rushere-24hr'!J71,'28.10 Lyantonde-Rushere-24h'!J71)</f>
        <v>0</v>
      </c>
      <c r="K71" s="49">
        <f>AVERAGE('26.10 Lyantonde-Rushere-24hr'!K71,'28.10 Lyantonde-Rushere-24h'!K71)</f>
        <v>1</v>
      </c>
      <c r="L71" s="49">
        <f>AVERAGE('26.10 Lyantonde-Rushere-24hr'!L71,'28.10 Lyantonde-Rushere-24h'!L71)</f>
        <v>1</v>
      </c>
      <c r="M71" s="49">
        <f>AVERAGE('26.10 Lyantonde-Rushere-24hr'!M71,'28.10 Lyantonde-Rushere-24h'!M71)</f>
        <v>2.5</v>
      </c>
      <c r="N71" s="49">
        <f>AVERAGE('26.10 Lyantonde-Rushere-24hr'!N71,'28.10 Lyantonde-Rushere-24h'!N71)</f>
        <v>0</v>
      </c>
      <c r="O71" s="15">
        <f t="shared" si="0"/>
        <v>9</v>
      </c>
      <c r="P71" s="15">
        <f t="shared" si="1"/>
        <v>11.5</v>
      </c>
      <c r="R71" s="8"/>
      <c r="T71"/>
    </row>
    <row r="72" spans="2:20" ht="23.1" customHeight="1" x14ac:dyDescent="0.25">
      <c r="B72" s="23" t="s">
        <v>112</v>
      </c>
      <c r="C72" s="49">
        <f>AVERAGE('26.10 Lyantonde-Rushere-24hr'!C72,'28.10 Lyantonde-Rushere-24h'!C72)</f>
        <v>3</v>
      </c>
      <c r="D72" s="49">
        <f>AVERAGE('26.10 Lyantonde-Rushere-24hr'!D72,'28.10 Lyantonde-Rushere-24h'!D72)</f>
        <v>0.5</v>
      </c>
      <c r="E72" s="49">
        <f>AVERAGE('26.10 Lyantonde-Rushere-24hr'!E72,'28.10 Lyantonde-Rushere-24h'!E72)</f>
        <v>0.5</v>
      </c>
      <c r="F72" s="49">
        <f>AVERAGE('26.10 Lyantonde-Rushere-24hr'!F72,'28.10 Lyantonde-Rushere-24h'!F72)</f>
        <v>0.5</v>
      </c>
      <c r="G72" s="49">
        <f>AVERAGE('26.10 Lyantonde-Rushere-24hr'!G72,'28.10 Lyantonde-Rushere-24h'!G72)</f>
        <v>0</v>
      </c>
      <c r="H72" s="49">
        <f>AVERAGE('26.10 Lyantonde-Rushere-24hr'!H72,'28.10 Lyantonde-Rushere-24h'!H72)</f>
        <v>0</v>
      </c>
      <c r="I72" s="49">
        <f>AVERAGE('26.10 Lyantonde-Rushere-24hr'!I72,'28.10 Lyantonde-Rushere-24h'!I72)</f>
        <v>2</v>
      </c>
      <c r="J72" s="49">
        <f>AVERAGE('26.10 Lyantonde-Rushere-24hr'!J72,'28.10 Lyantonde-Rushere-24h'!J72)</f>
        <v>0</v>
      </c>
      <c r="K72" s="49">
        <f>AVERAGE('26.10 Lyantonde-Rushere-24hr'!K72,'28.10 Lyantonde-Rushere-24h'!K72)</f>
        <v>1.5</v>
      </c>
      <c r="L72" s="49">
        <f>AVERAGE('26.10 Lyantonde-Rushere-24hr'!L72,'28.10 Lyantonde-Rushere-24h'!L72)</f>
        <v>2</v>
      </c>
      <c r="M72" s="49">
        <f>AVERAGE('26.10 Lyantonde-Rushere-24hr'!M72,'28.10 Lyantonde-Rushere-24h'!M72)</f>
        <v>2</v>
      </c>
      <c r="N72" s="49">
        <f>AVERAGE('26.10 Lyantonde-Rushere-24hr'!N72,'28.10 Lyantonde-Rushere-24h'!N72)</f>
        <v>0</v>
      </c>
      <c r="O72" s="15">
        <f t="shared" si="0"/>
        <v>10</v>
      </c>
      <c r="P72" s="15">
        <f t="shared" si="1"/>
        <v>12</v>
      </c>
      <c r="R72" s="8"/>
      <c r="T72"/>
    </row>
    <row r="73" spans="2:20" ht="23.1" customHeight="1" x14ac:dyDescent="0.25">
      <c r="B73" s="23" t="s">
        <v>113</v>
      </c>
      <c r="C73" s="49">
        <f>AVERAGE('26.10 Lyantonde-Rushere-24hr'!C73,'28.10 Lyantonde-Rushere-24h'!C73)</f>
        <v>2.5</v>
      </c>
      <c r="D73" s="49">
        <f>AVERAGE('26.10 Lyantonde-Rushere-24hr'!D73,'28.10 Lyantonde-Rushere-24h'!D73)</f>
        <v>1.5</v>
      </c>
      <c r="E73" s="49">
        <f>AVERAGE('26.10 Lyantonde-Rushere-24hr'!E73,'28.10 Lyantonde-Rushere-24h'!E73)</f>
        <v>1</v>
      </c>
      <c r="F73" s="49">
        <f>AVERAGE('26.10 Lyantonde-Rushere-24hr'!F73,'28.10 Lyantonde-Rushere-24h'!F73)</f>
        <v>0.5</v>
      </c>
      <c r="G73" s="49">
        <f>AVERAGE('26.10 Lyantonde-Rushere-24hr'!G73,'28.10 Lyantonde-Rushere-24h'!G73)</f>
        <v>0</v>
      </c>
      <c r="H73" s="49">
        <f>AVERAGE('26.10 Lyantonde-Rushere-24hr'!H73,'28.10 Lyantonde-Rushere-24h'!H73)</f>
        <v>0.5</v>
      </c>
      <c r="I73" s="49">
        <f>AVERAGE('26.10 Lyantonde-Rushere-24hr'!I73,'28.10 Lyantonde-Rushere-24h'!I73)</f>
        <v>1</v>
      </c>
      <c r="J73" s="49">
        <f>AVERAGE('26.10 Lyantonde-Rushere-24hr'!J73,'28.10 Lyantonde-Rushere-24h'!J73)</f>
        <v>1.5</v>
      </c>
      <c r="K73" s="49">
        <f>AVERAGE('26.10 Lyantonde-Rushere-24hr'!K73,'28.10 Lyantonde-Rushere-24h'!K73)</f>
        <v>0.5</v>
      </c>
      <c r="L73" s="49">
        <f>AVERAGE('26.10 Lyantonde-Rushere-24hr'!L73,'28.10 Lyantonde-Rushere-24h'!L73)</f>
        <v>0.5</v>
      </c>
      <c r="M73" s="49">
        <f>AVERAGE('26.10 Lyantonde-Rushere-24hr'!M73,'28.10 Lyantonde-Rushere-24h'!M73)</f>
        <v>1</v>
      </c>
      <c r="N73" s="49">
        <f>AVERAGE('26.10 Lyantonde-Rushere-24hr'!N73,'28.10 Lyantonde-Rushere-24h'!N73)</f>
        <v>0</v>
      </c>
      <c r="O73" s="15">
        <f t="shared" si="0"/>
        <v>9.5</v>
      </c>
      <c r="P73" s="15">
        <f t="shared" si="1"/>
        <v>10.5</v>
      </c>
      <c r="R73" s="8"/>
      <c r="T73"/>
    </row>
    <row r="74" spans="2:20" ht="23.1" customHeight="1" x14ac:dyDescent="0.25">
      <c r="B74" s="23" t="s">
        <v>114</v>
      </c>
      <c r="C74" s="49">
        <f>AVERAGE('26.10 Lyantonde-Rushere-24hr'!C74,'28.10 Lyantonde-Rushere-24h'!C74)</f>
        <v>4</v>
      </c>
      <c r="D74" s="49">
        <f>AVERAGE('26.10 Lyantonde-Rushere-24hr'!D74,'28.10 Lyantonde-Rushere-24h'!D74)</f>
        <v>4</v>
      </c>
      <c r="E74" s="49">
        <f>AVERAGE('26.10 Lyantonde-Rushere-24hr'!E74,'28.10 Lyantonde-Rushere-24h'!E74)</f>
        <v>0</v>
      </c>
      <c r="F74" s="49">
        <f>AVERAGE('26.10 Lyantonde-Rushere-24hr'!F74,'28.10 Lyantonde-Rushere-24h'!F74)</f>
        <v>1</v>
      </c>
      <c r="G74" s="49">
        <f>AVERAGE('26.10 Lyantonde-Rushere-24hr'!G74,'28.10 Lyantonde-Rushere-24h'!G74)</f>
        <v>0</v>
      </c>
      <c r="H74" s="49">
        <f>AVERAGE('26.10 Lyantonde-Rushere-24hr'!H74,'28.10 Lyantonde-Rushere-24h'!H74)</f>
        <v>0</v>
      </c>
      <c r="I74" s="49">
        <f>AVERAGE('26.10 Lyantonde-Rushere-24hr'!I74,'28.10 Lyantonde-Rushere-24h'!I74)</f>
        <v>0</v>
      </c>
      <c r="J74" s="49">
        <f>AVERAGE('26.10 Lyantonde-Rushere-24hr'!J74,'28.10 Lyantonde-Rushere-24h'!J74)</f>
        <v>1.5</v>
      </c>
      <c r="K74" s="49">
        <f>AVERAGE('26.10 Lyantonde-Rushere-24hr'!K74,'28.10 Lyantonde-Rushere-24h'!K74)</f>
        <v>1</v>
      </c>
      <c r="L74" s="49">
        <f>AVERAGE('26.10 Lyantonde-Rushere-24hr'!L74,'28.10 Lyantonde-Rushere-24h'!L74)</f>
        <v>1</v>
      </c>
      <c r="M74" s="49">
        <f>AVERAGE('26.10 Lyantonde-Rushere-24hr'!M74,'28.10 Lyantonde-Rushere-24h'!M74)</f>
        <v>1.5</v>
      </c>
      <c r="N74" s="49">
        <f>AVERAGE('26.10 Lyantonde-Rushere-24hr'!N74,'28.10 Lyantonde-Rushere-24h'!N74)</f>
        <v>0</v>
      </c>
      <c r="O74" s="15">
        <f t="shared" ref="O74:O105" si="35">SUM(C74:L74,N74)</f>
        <v>12.5</v>
      </c>
      <c r="P74" s="15">
        <f t="shared" ref="P74:P105" si="36">SUM(C74:N74)</f>
        <v>14</v>
      </c>
      <c r="R74" s="8"/>
      <c r="T74"/>
    </row>
    <row r="75" spans="2:20" ht="23.1" customHeight="1" x14ac:dyDescent="0.25">
      <c r="B75" s="23" t="s">
        <v>115</v>
      </c>
      <c r="C75" s="49">
        <f>AVERAGE('26.10 Lyantonde-Rushere-24hr'!C75,'28.10 Lyantonde-Rushere-24h'!C75)</f>
        <v>5</v>
      </c>
      <c r="D75" s="49">
        <f>AVERAGE('26.10 Lyantonde-Rushere-24hr'!D75,'28.10 Lyantonde-Rushere-24h'!D75)</f>
        <v>2.5</v>
      </c>
      <c r="E75" s="49">
        <f>AVERAGE('26.10 Lyantonde-Rushere-24hr'!E75,'28.10 Lyantonde-Rushere-24h'!E75)</f>
        <v>1</v>
      </c>
      <c r="F75" s="49">
        <f>AVERAGE('26.10 Lyantonde-Rushere-24hr'!F75,'28.10 Lyantonde-Rushere-24h'!F75)</f>
        <v>0</v>
      </c>
      <c r="G75" s="49">
        <f>AVERAGE('26.10 Lyantonde-Rushere-24hr'!G75,'28.10 Lyantonde-Rushere-24h'!G75)</f>
        <v>0</v>
      </c>
      <c r="H75" s="49">
        <f>AVERAGE('26.10 Lyantonde-Rushere-24hr'!H75,'28.10 Lyantonde-Rushere-24h'!H75)</f>
        <v>0</v>
      </c>
      <c r="I75" s="49">
        <f>AVERAGE('26.10 Lyantonde-Rushere-24hr'!I75,'28.10 Lyantonde-Rushere-24h'!I75)</f>
        <v>1</v>
      </c>
      <c r="J75" s="49">
        <f>AVERAGE('26.10 Lyantonde-Rushere-24hr'!J75,'28.10 Lyantonde-Rushere-24h'!J75)</f>
        <v>0.5</v>
      </c>
      <c r="K75" s="49">
        <f>AVERAGE('26.10 Lyantonde-Rushere-24hr'!K75,'28.10 Lyantonde-Rushere-24h'!K75)</f>
        <v>1</v>
      </c>
      <c r="L75" s="49">
        <f>AVERAGE('26.10 Lyantonde-Rushere-24hr'!L75,'28.10 Lyantonde-Rushere-24h'!L75)</f>
        <v>1.5</v>
      </c>
      <c r="M75" s="49">
        <f>AVERAGE('26.10 Lyantonde-Rushere-24hr'!M75,'28.10 Lyantonde-Rushere-24h'!M75)</f>
        <v>3.5</v>
      </c>
      <c r="N75" s="49">
        <f>AVERAGE('26.10 Lyantonde-Rushere-24hr'!N75,'28.10 Lyantonde-Rushere-24h'!N75)</f>
        <v>0</v>
      </c>
      <c r="O75" s="15">
        <f t="shared" si="35"/>
        <v>12.5</v>
      </c>
      <c r="P75" s="15">
        <f t="shared" si="36"/>
        <v>16</v>
      </c>
      <c r="R75" s="8"/>
      <c r="T75"/>
    </row>
    <row r="76" spans="2:20" ht="23.1" customHeight="1" x14ac:dyDescent="0.25">
      <c r="B76" s="23" t="s">
        <v>116</v>
      </c>
      <c r="C76" s="49">
        <f>AVERAGE('26.10 Lyantonde-Rushere-24hr'!C76,'28.10 Lyantonde-Rushere-24h'!C76)</f>
        <v>5.5</v>
      </c>
      <c r="D76" s="49">
        <f>AVERAGE('26.10 Lyantonde-Rushere-24hr'!D76,'28.10 Lyantonde-Rushere-24h'!D76)</f>
        <v>2</v>
      </c>
      <c r="E76" s="49">
        <f>AVERAGE('26.10 Lyantonde-Rushere-24hr'!E76,'28.10 Lyantonde-Rushere-24h'!E76)</f>
        <v>1.5</v>
      </c>
      <c r="F76" s="49">
        <f>AVERAGE('26.10 Lyantonde-Rushere-24hr'!F76,'28.10 Lyantonde-Rushere-24h'!F76)</f>
        <v>0.5</v>
      </c>
      <c r="G76" s="49">
        <f>AVERAGE('26.10 Lyantonde-Rushere-24hr'!G76,'28.10 Lyantonde-Rushere-24h'!G76)</f>
        <v>0</v>
      </c>
      <c r="H76" s="49">
        <f>AVERAGE('26.10 Lyantonde-Rushere-24hr'!H76,'28.10 Lyantonde-Rushere-24h'!H76)</f>
        <v>0</v>
      </c>
      <c r="I76" s="49">
        <f>AVERAGE('26.10 Lyantonde-Rushere-24hr'!I76,'28.10 Lyantonde-Rushere-24h'!I76)</f>
        <v>0</v>
      </c>
      <c r="J76" s="49">
        <f>AVERAGE('26.10 Lyantonde-Rushere-24hr'!J76,'28.10 Lyantonde-Rushere-24h'!J76)</f>
        <v>0</v>
      </c>
      <c r="K76" s="49">
        <f>AVERAGE('26.10 Lyantonde-Rushere-24hr'!K76,'28.10 Lyantonde-Rushere-24h'!K76)</f>
        <v>1.5</v>
      </c>
      <c r="L76" s="49">
        <f>AVERAGE('26.10 Lyantonde-Rushere-24hr'!L76,'28.10 Lyantonde-Rushere-24h'!L76)</f>
        <v>0.5</v>
      </c>
      <c r="M76" s="49">
        <f>AVERAGE('26.10 Lyantonde-Rushere-24hr'!M76,'28.10 Lyantonde-Rushere-24h'!M76)</f>
        <v>1.5</v>
      </c>
      <c r="N76" s="49">
        <f>AVERAGE('26.10 Lyantonde-Rushere-24hr'!N76,'28.10 Lyantonde-Rushere-24h'!N76)</f>
        <v>0</v>
      </c>
      <c r="O76" s="15">
        <f t="shared" si="35"/>
        <v>11.5</v>
      </c>
      <c r="P76" s="15">
        <f t="shared" si="36"/>
        <v>13</v>
      </c>
      <c r="R76" s="8"/>
      <c r="T76"/>
    </row>
    <row r="77" spans="2:20" ht="23.1" customHeight="1" x14ac:dyDescent="0.25">
      <c r="B77" s="23" t="s">
        <v>117</v>
      </c>
      <c r="C77" s="49">
        <f>AVERAGE('26.10 Lyantonde-Rushere-24hr'!C77,'28.10 Lyantonde-Rushere-24h'!C77)</f>
        <v>3.5</v>
      </c>
      <c r="D77" s="49">
        <f>AVERAGE('26.10 Lyantonde-Rushere-24hr'!D77,'28.10 Lyantonde-Rushere-24h'!D77)</f>
        <v>0.5</v>
      </c>
      <c r="E77" s="49">
        <f>AVERAGE('26.10 Lyantonde-Rushere-24hr'!E77,'28.10 Lyantonde-Rushere-24h'!E77)</f>
        <v>2</v>
      </c>
      <c r="F77" s="49">
        <f>AVERAGE('26.10 Lyantonde-Rushere-24hr'!F77,'28.10 Lyantonde-Rushere-24h'!F77)</f>
        <v>0</v>
      </c>
      <c r="G77" s="49">
        <f>AVERAGE('26.10 Lyantonde-Rushere-24hr'!G77,'28.10 Lyantonde-Rushere-24h'!G77)</f>
        <v>0</v>
      </c>
      <c r="H77" s="49">
        <f>AVERAGE('26.10 Lyantonde-Rushere-24hr'!H77,'28.10 Lyantonde-Rushere-24h'!H77)</f>
        <v>0</v>
      </c>
      <c r="I77" s="49">
        <f>AVERAGE('26.10 Lyantonde-Rushere-24hr'!I77,'28.10 Lyantonde-Rushere-24h'!I77)</f>
        <v>0</v>
      </c>
      <c r="J77" s="49">
        <f>AVERAGE('26.10 Lyantonde-Rushere-24hr'!J77,'28.10 Lyantonde-Rushere-24h'!J77)</f>
        <v>0</v>
      </c>
      <c r="K77" s="49">
        <f>AVERAGE('26.10 Lyantonde-Rushere-24hr'!K77,'28.10 Lyantonde-Rushere-24h'!K77)</f>
        <v>1.5</v>
      </c>
      <c r="L77" s="49">
        <f>AVERAGE('26.10 Lyantonde-Rushere-24hr'!L77,'28.10 Lyantonde-Rushere-24h'!L77)</f>
        <v>1.5</v>
      </c>
      <c r="M77" s="49">
        <f>AVERAGE('26.10 Lyantonde-Rushere-24hr'!M77,'28.10 Lyantonde-Rushere-24h'!M77)</f>
        <v>2</v>
      </c>
      <c r="N77" s="49">
        <f>AVERAGE('26.10 Lyantonde-Rushere-24hr'!N77,'28.10 Lyantonde-Rushere-24h'!N77)</f>
        <v>0</v>
      </c>
      <c r="O77" s="15">
        <f t="shared" si="35"/>
        <v>9</v>
      </c>
      <c r="P77" s="15">
        <f t="shared" si="36"/>
        <v>11</v>
      </c>
      <c r="R77" s="8"/>
      <c r="T77"/>
    </row>
    <row r="78" spans="2:20" ht="23.1" customHeight="1" x14ac:dyDescent="0.25">
      <c r="B78" s="24" t="s">
        <v>118</v>
      </c>
      <c r="C78" s="49">
        <f>AVERAGE('26.10 Lyantonde-Rushere-24hr'!C78,'28.10 Lyantonde-Rushere-24h'!C78)</f>
        <v>2.5</v>
      </c>
      <c r="D78" s="49">
        <f>AVERAGE('26.10 Lyantonde-Rushere-24hr'!D78,'28.10 Lyantonde-Rushere-24h'!D78)</f>
        <v>1.5</v>
      </c>
      <c r="E78" s="49">
        <f>AVERAGE('26.10 Lyantonde-Rushere-24hr'!E78,'28.10 Lyantonde-Rushere-24h'!E78)</f>
        <v>1</v>
      </c>
      <c r="F78" s="49">
        <f>AVERAGE('26.10 Lyantonde-Rushere-24hr'!F78,'28.10 Lyantonde-Rushere-24h'!F78)</f>
        <v>0</v>
      </c>
      <c r="G78" s="49">
        <f>AVERAGE('26.10 Lyantonde-Rushere-24hr'!G78,'28.10 Lyantonde-Rushere-24h'!G78)</f>
        <v>0</v>
      </c>
      <c r="H78" s="49">
        <f>AVERAGE('26.10 Lyantonde-Rushere-24hr'!H78,'28.10 Lyantonde-Rushere-24h'!H78)</f>
        <v>0</v>
      </c>
      <c r="I78" s="49">
        <f>AVERAGE('26.10 Lyantonde-Rushere-24hr'!I78,'28.10 Lyantonde-Rushere-24h'!I78)</f>
        <v>1</v>
      </c>
      <c r="J78" s="49">
        <f>AVERAGE('26.10 Lyantonde-Rushere-24hr'!J78,'28.10 Lyantonde-Rushere-24h'!J78)</f>
        <v>0</v>
      </c>
      <c r="K78" s="49">
        <f>AVERAGE('26.10 Lyantonde-Rushere-24hr'!K78,'28.10 Lyantonde-Rushere-24h'!K78)</f>
        <v>0.5</v>
      </c>
      <c r="L78" s="49">
        <f>AVERAGE('26.10 Lyantonde-Rushere-24hr'!L78,'28.10 Lyantonde-Rushere-24h'!L78)</f>
        <v>1</v>
      </c>
      <c r="M78" s="49">
        <f>AVERAGE('26.10 Lyantonde-Rushere-24hr'!M78,'28.10 Lyantonde-Rushere-24h'!M78)</f>
        <v>1.5</v>
      </c>
      <c r="N78" s="49">
        <f>AVERAGE('26.10 Lyantonde-Rushere-24hr'!N78,'28.10 Lyantonde-Rushere-24h'!N78)</f>
        <v>0</v>
      </c>
      <c r="O78" s="15">
        <f t="shared" si="35"/>
        <v>7.5</v>
      </c>
      <c r="P78" s="15">
        <f t="shared" si="36"/>
        <v>9</v>
      </c>
      <c r="R78" s="8"/>
      <c r="T78"/>
    </row>
    <row r="79" spans="2:20" ht="23.1" customHeight="1" x14ac:dyDescent="0.25">
      <c r="B79" s="23" t="s">
        <v>119</v>
      </c>
      <c r="C79" s="49">
        <f>AVERAGE('26.10 Lyantonde-Rushere-24hr'!C79,'28.10 Lyantonde-Rushere-24h'!C79)</f>
        <v>1</v>
      </c>
      <c r="D79" s="49">
        <f>AVERAGE('26.10 Lyantonde-Rushere-24hr'!D79,'28.10 Lyantonde-Rushere-24h'!D79)</f>
        <v>2.5</v>
      </c>
      <c r="E79" s="49">
        <f>AVERAGE('26.10 Lyantonde-Rushere-24hr'!E79,'28.10 Lyantonde-Rushere-24h'!E79)</f>
        <v>1</v>
      </c>
      <c r="F79" s="49">
        <f>AVERAGE('26.10 Lyantonde-Rushere-24hr'!F79,'28.10 Lyantonde-Rushere-24h'!F79)</f>
        <v>0</v>
      </c>
      <c r="G79" s="49">
        <f>AVERAGE('26.10 Lyantonde-Rushere-24hr'!G79,'28.10 Lyantonde-Rushere-24h'!G79)</f>
        <v>0.5</v>
      </c>
      <c r="H79" s="49">
        <f>AVERAGE('26.10 Lyantonde-Rushere-24hr'!H79,'28.10 Lyantonde-Rushere-24h'!H79)</f>
        <v>0</v>
      </c>
      <c r="I79" s="49">
        <f>AVERAGE('26.10 Lyantonde-Rushere-24hr'!I79,'28.10 Lyantonde-Rushere-24h'!I79)</f>
        <v>1</v>
      </c>
      <c r="J79" s="49">
        <f>AVERAGE('26.10 Lyantonde-Rushere-24hr'!J79,'28.10 Lyantonde-Rushere-24h'!J79)</f>
        <v>0</v>
      </c>
      <c r="K79" s="49">
        <f>AVERAGE('26.10 Lyantonde-Rushere-24hr'!K79,'28.10 Lyantonde-Rushere-24h'!K79)</f>
        <v>0</v>
      </c>
      <c r="L79" s="49">
        <f>AVERAGE('26.10 Lyantonde-Rushere-24hr'!L79,'28.10 Lyantonde-Rushere-24h'!L79)</f>
        <v>0</v>
      </c>
      <c r="M79" s="49">
        <f>AVERAGE('26.10 Lyantonde-Rushere-24hr'!M79,'28.10 Lyantonde-Rushere-24h'!M79)</f>
        <v>1</v>
      </c>
      <c r="N79" s="49">
        <f>AVERAGE('26.10 Lyantonde-Rushere-24hr'!N79,'28.10 Lyantonde-Rushere-24h'!N79)</f>
        <v>0</v>
      </c>
      <c r="O79" s="15">
        <f t="shared" si="35"/>
        <v>6</v>
      </c>
      <c r="P79" s="15">
        <f t="shared" si="36"/>
        <v>7</v>
      </c>
      <c r="R79" s="8"/>
      <c r="T79"/>
    </row>
    <row r="80" spans="2:20" ht="23.1" customHeight="1" x14ac:dyDescent="0.25">
      <c r="B80" s="25" t="s">
        <v>120</v>
      </c>
      <c r="C80" s="49">
        <f>AVERAGE('26.10 Lyantonde-Rushere-24hr'!C80,'28.10 Lyantonde-Rushere-24h'!C80)</f>
        <v>2.5</v>
      </c>
      <c r="D80" s="49">
        <f>AVERAGE('26.10 Lyantonde-Rushere-24hr'!D80,'28.10 Lyantonde-Rushere-24h'!D80)</f>
        <v>1.5</v>
      </c>
      <c r="E80" s="49">
        <f>AVERAGE('26.10 Lyantonde-Rushere-24hr'!E80,'28.10 Lyantonde-Rushere-24h'!E80)</f>
        <v>0.5</v>
      </c>
      <c r="F80" s="49">
        <f>AVERAGE('26.10 Lyantonde-Rushere-24hr'!F80,'28.10 Lyantonde-Rushere-24h'!F80)</f>
        <v>0</v>
      </c>
      <c r="G80" s="49">
        <f>AVERAGE('26.10 Lyantonde-Rushere-24hr'!G80,'28.10 Lyantonde-Rushere-24h'!G80)</f>
        <v>0</v>
      </c>
      <c r="H80" s="49">
        <f>AVERAGE('26.10 Lyantonde-Rushere-24hr'!H80,'28.10 Lyantonde-Rushere-24h'!H80)</f>
        <v>0</v>
      </c>
      <c r="I80" s="49">
        <f>AVERAGE('26.10 Lyantonde-Rushere-24hr'!I80,'28.10 Lyantonde-Rushere-24h'!I80)</f>
        <v>0</v>
      </c>
      <c r="J80" s="49">
        <f>AVERAGE('26.10 Lyantonde-Rushere-24hr'!J80,'28.10 Lyantonde-Rushere-24h'!J80)</f>
        <v>0</v>
      </c>
      <c r="K80" s="49">
        <f>AVERAGE('26.10 Lyantonde-Rushere-24hr'!K80,'28.10 Lyantonde-Rushere-24h'!K80)</f>
        <v>2</v>
      </c>
      <c r="L80" s="49">
        <f>AVERAGE('26.10 Lyantonde-Rushere-24hr'!L80,'28.10 Lyantonde-Rushere-24h'!L80)</f>
        <v>1.5</v>
      </c>
      <c r="M80" s="49">
        <f>AVERAGE('26.10 Lyantonde-Rushere-24hr'!M80,'28.10 Lyantonde-Rushere-24h'!M80)</f>
        <v>0</v>
      </c>
      <c r="N80" s="49">
        <f>AVERAGE('26.10 Lyantonde-Rushere-24hr'!N80,'28.10 Lyantonde-Rushere-24h'!N80)</f>
        <v>0</v>
      </c>
      <c r="O80" s="15">
        <f t="shared" si="35"/>
        <v>8</v>
      </c>
      <c r="P80" s="15">
        <f t="shared" si="36"/>
        <v>8</v>
      </c>
      <c r="R80" s="8"/>
      <c r="T80"/>
    </row>
    <row r="81" spans="2:20" ht="23.1" customHeight="1" x14ac:dyDescent="0.25">
      <c r="B81" s="23" t="s">
        <v>121</v>
      </c>
      <c r="C81" s="49">
        <f>AVERAGE('26.10 Lyantonde-Rushere-24hr'!C81,'28.10 Lyantonde-Rushere-24h'!C81)</f>
        <v>2.5</v>
      </c>
      <c r="D81" s="49">
        <f>AVERAGE('26.10 Lyantonde-Rushere-24hr'!D81,'28.10 Lyantonde-Rushere-24h'!D81)</f>
        <v>2</v>
      </c>
      <c r="E81" s="49">
        <f>AVERAGE('26.10 Lyantonde-Rushere-24hr'!E81,'28.10 Lyantonde-Rushere-24h'!E81)</f>
        <v>0.5</v>
      </c>
      <c r="F81" s="49">
        <f>AVERAGE('26.10 Lyantonde-Rushere-24hr'!F81,'28.10 Lyantonde-Rushere-24h'!F81)</f>
        <v>0</v>
      </c>
      <c r="G81" s="49">
        <f>AVERAGE('26.10 Lyantonde-Rushere-24hr'!G81,'28.10 Lyantonde-Rushere-24h'!G81)</f>
        <v>0</v>
      </c>
      <c r="H81" s="49">
        <f>AVERAGE('26.10 Lyantonde-Rushere-24hr'!H81,'28.10 Lyantonde-Rushere-24h'!H81)</f>
        <v>0</v>
      </c>
      <c r="I81" s="49">
        <f>AVERAGE('26.10 Lyantonde-Rushere-24hr'!I81,'28.10 Lyantonde-Rushere-24h'!I81)</f>
        <v>1</v>
      </c>
      <c r="J81" s="49">
        <f>AVERAGE('26.10 Lyantonde-Rushere-24hr'!J81,'28.10 Lyantonde-Rushere-24h'!J81)</f>
        <v>1</v>
      </c>
      <c r="K81" s="49">
        <f>AVERAGE('26.10 Lyantonde-Rushere-24hr'!K81,'28.10 Lyantonde-Rushere-24h'!K81)</f>
        <v>0.5</v>
      </c>
      <c r="L81" s="49">
        <f>AVERAGE('26.10 Lyantonde-Rushere-24hr'!L81,'28.10 Lyantonde-Rushere-24h'!L81)</f>
        <v>0.5</v>
      </c>
      <c r="M81" s="49">
        <f>AVERAGE('26.10 Lyantonde-Rushere-24hr'!M81,'28.10 Lyantonde-Rushere-24h'!M81)</f>
        <v>0</v>
      </c>
      <c r="N81" s="49">
        <f>AVERAGE('26.10 Lyantonde-Rushere-24hr'!N81,'28.10 Lyantonde-Rushere-24h'!N81)</f>
        <v>0</v>
      </c>
      <c r="O81" s="15">
        <f t="shared" si="35"/>
        <v>8</v>
      </c>
      <c r="P81" s="15">
        <f t="shared" si="36"/>
        <v>8</v>
      </c>
      <c r="R81" s="8"/>
      <c r="T81"/>
    </row>
    <row r="82" spans="2:20" ht="23.1" customHeight="1" x14ac:dyDescent="0.25">
      <c r="B82" s="24" t="s">
        <v>122</v>
      </c>
      <c r="C82" s="49">
        <f>AVERAGE('26.10 Lyantonde-Rushere-24hr'!C82,'28.10 Lyantonde-Rushere-24h'!C82)</f>
        <v>2</v>
      </c>
      <c r="D82" s="49">
        <f>AVERAGE('26.10 Lyantonde-Rushere-24hr'!D82,'28.10 Lyantonde-Rushere-24h'!D82)</f>
        <v>2</v>
      </c>
      <c r="E82" s="49">
        <f>AVERAGE('26.10 Lyantonde-Rushere-24hr'!E82,'28.10 Lyantonde-Rushere-24h'!E82)</f>
        <v>0</v>
      </c>
      <c r="F82" s="49">
        <f>AVERAGE('26.10 Lyantonde-Rushere-24hr'!F82,'28.10 Lyantonde-Rushere-24h'!F82)</f>
        <v>0</v>
      </c>
      <c r="G82" s="49">
        <f>AVERAGE('26.10 Lyantonde-Rushere-24hr'!G82,'28.10 Lyantonde-Rushere-24h'!G82)</f>
        <v>0</v>
      </c>
      <c r="H82" s="49">
        <f>AVERAGE('26.10 Lyantonde-Rushere-24hr'!H82,'28.10 Lyantonde-Rushere-24h'!H82)</f>
        <v>0</v>
      </c>
      <c r="I82" s="49">
        <f>AVERAGE('26.10 Lyantonde-Rushere-24hr'!I82,'28.10 Lyantonde-Rushere-24h'!I82)</f>
        <v>1</v>
      </c>
      <c r="J82" s="49">
        <f>AVERAGE('26.10 Lyantonde-Rushere-24hr'!J82,'28.10 Lyantonde-Rushere-24h'!J82)</f>
        <v>1</v>
      </c>
      <c r="K82" s="49">
        <f>AVERAGE('26.10 Lyantonde-Rushere-24hr'!K82,'28.10 Lyantonde-Rushere-24h'!K82)</f>
        <v>1.5</v>
      </c>
      <c r="L82" s="49">
        <f>AVERAGE('26.10 Lyantonde-Rushere-24hr'!L82,'28.10 Lyantonde-Rushere-24h'!L82)</f>
        <v>1.5</v>
      </c>
      <c r="M82" s="49">
        <f>AVERAGE('26.10 Lyantonde-Rushere-24hr'!M82,'28.10 Lyantonde-Rushere-24h'!M82)</f>
        <v>0</v>
      </c>
      <c r="N82" s="49">
        <f>AVERAGE('26.10 Lyantonde-Rushere-24hr'!N82,'28.10 Lyantonde-Rushere-24h'!N82)</f>
        <v>0</v>
      </c>
      <c r="O82" s="15">
        <f t="shared" si="35"/>
        <v>9</v>
      </c>
      <c r="P82" s="15">
        <f t="shared" si="36"/>
        <v>9</v>
      </c>
      <c r="R82" s="8"/>
      <c r="T82"/>
    </row>
    <row r="83" spans="2:20" ht="23.1" customHeight="1" x14ac:dyDescent="0.25">
      <c r="B83" s="23" t="s">
        <v>123</v>
      </c>
      <c r="C83" s="49">
        <f>AVERAGE('26.10 Lyantonde-Rushere-24hr'!C83,'28.10 Lyantonde-Rushere-24h'!C83)</f>
        <v>1</v>
      </c>
      <c r="D83" s="49">
        <f>AVERAGE('26.10 Lyantonde-Rushere-24hr'!D83,'28.10 Lyantonde-Rushere-24h'!D83)</f>
        <v>1</v>
      </c>
      <c r="E83" s="49">
        <f>AVERAGE('26.10 Lyantonde-Rushere-24hr'!E83,'28.10 Lyantonde-Rushere-24h'!E83)</f>
        <v>1.5</v>
      </c>
      <c r="F83" s="49">
        <f>AVERAGE('26.10 Lyantonde-Rushere-24hr'!F83,'28.10 Lyantonde-Rushere-24h'!F83)</f>
        <v>0</v>
      </c>
      <c r="G83" s="49">
        <f>AVERAGE('26.10 Lyantonde-Rushere-24hr'!G83,'28.10 Lyantonde-Rushere-24h'!G83)</f>
        <v>0</v>
      </c>
      <c r="H83" s="49">
        <f>AVERAGE('26.10 Lyantonde-Rushere-24hr'!H83,'28.10 Lyantonde-Rushere-24h'!H83)</f>
        <v>0</v>
      </c>
      <c r="I83" s="49">
        <f>AVERAGE('26.10 Lyantonde-Rushere-24hr'!I83,'28.10 Lyantonde-Rushere-24h'!I83)</f>
        <v>0</v>
      </c>
      <c r="J83" s="49">
        <f>AVERAGE('26.10 Lyantonde-Rushere-24hr'!J83,'28.10 Lyantonde-Rushere-24h'!J83)</f>
        <v>1</v>
      </c>
      <c r="K83" s="49">
        <f>AVERAGE('26.10 Lyantonde-Rushere-24hr'!K83,'28.10 Lyantonde-Rushere-24h'!K83)</f>
        <v>0</v>
      </c>
      <c r="L83" s="49">
        <f>AVERAGE('26.10 Lyantonde-Rushere-24hr'!L83,'28.10 Lyantonde-Rushere-24h'!L83)</f>
        <v>1</v>
      </c>
      <c r="M83" s="49">
        <f>AVERAGE('26.10 Lyantonde-Rushere-24hr'!M83,'28.10 Lyantonde-Rushere-24h'!M83)</f>
        <v>0.5</v>
      </c>
      <c r="N83" s="49">
        <f>AVERAGE('26.10 Lyantonde-Rushere-24hr'!N83,'28.10 Lyantonde-Rushere-24h'!N83)</f>
        <v>0</v>
      </c>
      <c r="O83" s="15">
        <f t="shared" si="35"/>
        <v>5.5</v>
      </c>
      <c r="P83" s="15">
        <f t="shared" si="36"/>
        <v>6</v>
      </c>
      <c r="R83" s="8"/>
      <c r="T83"/>
    </row>
    <row r="84" spans="2:20" ht="23.1" customHeight="1" x14ac:dyDescent="0.25">
      <c r="B84" s="25" t="s">
        <v>124</v>
      </c>
      <c r="C84" s="49">
        <f>AVERAGE('26.10 Lyantonde-Rushere-24hr'!C84,'28.10 Lyantonde-Rushere-24h'!C84)</f>
        <v>2</v>
      </c>
      <c r="D84" s="49">
        <f>AVERAGE('26.10 Lyantonde-Rushere-24hr'!D84,'28.10 Lyantonde-Rushere-24h'!D84)</f>
        <v>0.5</v>
      </c>
      <c r="E84" s="49">
        <f>AVERAGE('26.10 Lyantonde-Rushere-24hr'!E84,'28.10 Lyantonde-Rushere-24h'!E84)</f>
        <v>1</v>
      </c>
      <c r="F84" s="49">
        <f>AVERAGE('26.10 Lyantonde-Rushere-24hr'!F84,'28.10 Lyantonde-Rushere-24h'!F84)</f>
        <v>0</v>
      </c>
      <c r="G84" s="49">
        <f>AVERAGE('26.10 Lyantonde-Rushere-24hr'!G84,'28.10 Lyantonde-Rushere-24h'!G84)</f>
        <v>0</v>
      </c>
      <c r="H84" s="49">
        <f>AVERAGE('26.10 Lyantonde-Rushere-24hr'!H84,'28.10 Lyantonde-Rushere-24h'!H84)</f>
        <v>0</v>
      </c>
      <c r="I84" s="49">
        <f>AVERAGE('26.10 Lyantonde-Rushere-24hr'!I84,'28.10 Lyantonde-Rushere-24h'!I84)</f>
        <v>0</v>
      </c>
      <c r="J84" s="49">
        <f>AVERAGE('26.10 Lyantonde-Rushere-24hr'!J84,'28.10 Lyantonde-Rushere-24h'!J84)</f>
        <v>0.5</v>
      </c>
      <c r="K84" s="49">
        <f>AVERAGE('26.10 Lyantonde-Rushere-24hr'!K84,'28.10 Lyantonde-Rushere-24h'!K84)</f>
        <v>0.5</v>
      </c>
      <c r="L84" s="49">
        <f>AVERAGE('26.10 Lyantonde-Rushere-24hr'!L84,'28.10 Lyantonde-Rushere-24h'!L84)</f>
        <v>1</v>
      </c>
      <c r="M84" s="49">
        <f>AVERAGE('26.10 Lyantonde-Rushere-24hr'!M84,'28.10 Lyantonde-Rushere-24h'!M84)</f>
        <v>1</v>
      </c>
      <c r="N84" s="49">
        <f>AVERAGE('26.10 Lyantonde-Rushere-24hr'!N84,'28.10 Lyantonde-Rushere-24h'!N84)</f>
        <v>0</v>
      </c>
      <c r="O84" s="15">
        <f t="shared" si="35"/>
        <v>5.5</v>
      </c>
      <c r="P84" s="15">
        <f t="shared" si="36"/>
        <v>6.5</v>
      </c>
      <c r="R84" s="8"/>
      <c r="T84"/>
    </row>
    <row r="85" spans="2:20" ht="23.1" customHeight="1" x14ac:dyDescent="0.25">
      <c r="B85" s="23" t="s">
        <v>125</v>
      </c>
      <c r="C85" s="49">
        <f>AVERAGE('26.10 Lyantonde-Rushere-24hr'!C85,'28.10 Lyantonde-Rushere-24h'!C85)</f>
        <v>2</v>
      </c>
      <c r="D85" s="49">
        <f>AVERAGE('26.10 Lyantonde-Rushere-24hr'!D85,'28.10 Lyantonde-Rushere-24h'!D85)</f>
        <v>0.5</v>
      </c>
      <c r="E85" s="49">
        <f>AVERAGE('26.10 Lyantonde-Rushere-24hr'!E85,'28.10 Lyantonde-Rushere-24h'!E85)</f>
        <v>0</v>
      </c>
      <c r="F85" s="49">
        <f>AVERAGE('26.10 Lyantonde-Rushere-24hr'!F85,'28.10 Lyantonde-Rushere-24h'!F85)</f>
        <v>0</v>
      </c>
      <c r="G85" s="49">
        <f>AVERAGE('26.10 Lyantonde-Rushere-24hr'!G85,'28.10 Lyantonde-Rushere-24h'!G85)</f>
        <v>0</v>
      </c>
      <c r="H85" s="49">
        <f>AVERAGE('26.10 Lyantonde-Rushere-24hr'!H85,'28.10 Lyantonde-Rushere-24h'!H85)</f>
        <v>0</v>
      </c>
      <c r="I85" s="49">
        <f>AVERAGE('26.10 Lyantonde-Rushere-24hr'!I85,'28.10 Lyantonde-Rushere-24h'!I85)</f>
        <v>1</v>
      </c>
      <c r="J85" s="49">
        <f>AVERAGE('26.10 Lyantonde-Rushere-24hr'!J85,'28.10 Lyantonde-Rushere-24h'!J85)</f>
        <v>0.5</v>
      </c>
      <c r="K85" s="49">
        <f>AVERAGE('26.10 Lyantonde-Rushere-24hr'!K85,'28.10 Lyantonde-Rushere-24h'!K85)</f>
        <v>0.5</v>
      </c>
      <c r="L85" s="49">
        <f>AVERAGE('26.10 Lyantonde-Rushere-24hr'!L85,'28.10 Lyantonde-Rushere-24h'!L85)</f>
        <v>0</v>
      </c>
      <c r="M85" s="49">
        <f>AVERAGE('26.10 Lyantonde-Rushere-24hr'!M85,'28.10 Lyantonde-Rushere-24h'!M85)</f>
        <v>0.5</v>
      </c>
      <c r="N85" s="49">
        <f>AVERAGE('26.10 Lyantonde-Rushere-24hr'!N85,'28.10 Lyantonde-Rushere-24h'!N85)</f>
        <v>0</v>
      </c>
      <c r="O85" s="15">
        <f t="shared" si="35"/>
        <v>4.5</v>
      </c>
      <c r="P85" s="15">
        <f t="shared" si="36"/>
        <v>5</v>
      </c>
      <c r="R85" s="8"/>
      <c r="T85"/>
    </row>
    <row r="86" spans="2:20" ht="23.1" customHeight="1" x14ac:dyDescent="0.25">
      <c r="B86" s="24" t="s">
        <v>126</v>
      </c>
      <c r="C86" s="49">
        <f>AVERAGE('26.10 Lyantonde-Rushere-24hr'!C86,'28.10 Lyantonde-Rushere-24h'!C86)</f>
        <v>2</v>
      </c>
      <c r="D86" s="49">
        <f>AVERAGE('26.10 Lyantonde-Rushere-24hr'!D86,'28.10 Lyantonde-Rushere-24h'!D86)</f>
        <v>2</v>
      </c>
      <c r="E86" s="49">
        <f>AVERAGE('26.10 Lyantonde-Rushere-24hr'!E86,'28.10 Lyantonde-Rushere-24h'!E86)</f>
        <v>0</v>
      </c>
      <c r="F86" s="49">
        <f>AVERAGE('26.10 Lyantonde-Rushere-24hr'!F86,'28.10 Lyantonde-Rushere-24h'!F86)</f>
        <v>0</v>
      </c>
      <c r="G86" s="49">
        <f>AVERAGE('26.10 Lyantonde-Rushere-24hr'!G86,'28.10 Lyantonde-Rushere-24h'!G86)</f>
        <v>0</v>
      </c>
      <c r="H86" s="49">
        <f>AVERAGE('26.10 Lyantonde-Rushere-24hr'!H86,'28.10 Lyantonde-Rushere-24h'!H86)</f>
        <v>0</v>
      </c>
      <c r="I86" s="49">
        <f>AVERAGE('26.10 Lyantonde-Rushere-24hr'!I86,'28.10 Lyantonde-Rushere-24h'!I86)</f>
        <v>0</v>
      </c>
      <c r="J86" s="49">
        <f>AVERAGE('26.10 Lyantonde-Rushere-24hr'!J86,'28.10 Lyantonde-Rushere-24h'!J86)</f>
        <v>0</v>
      </c>
      <c r="K86" s="49">
        <f>AVERAGE('26.10 Lyantonde-Rushere-24hr'!K86,'28.10 Lyantonde-Rushere-24h'!K86)</f>
        <v>1.5</v>
      </c>
      <c r="L86" s="49">
        <f>AVERAGE('26.10 Lyantonde-Rushere-24hr'!L86,'28.10 Lyantonde-Rushere-24h'!L86)</f>
        <v>0.5</v>
      </c>
      <c r="M86" s="49">
        <f>AVERAGE('26.10 Lyantonde-Rushere-24hr'!M86,'28.10 Lyantonde-Rushere-24h'!M86)</f>
        <v>0</v>
      </c>
      <c r="N86" s="49">
        <f>AVERAGE('26.10 Lyantonde-Rushere-24hr'!N86,'28.10 Lyantonde-Rushere-24h'!N86)</f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23" t="s">
        <v>127</v>
      </c>
      <c r="C87" s="49">
        <f>AVERAGE('26.10 Lyantonde-Rushere-24hr'!C87,'28.10 Lyantonde-Rushere-24h'!C87)</f>
        <v>2</v>
      </c>
      <c r="D87" s="49">
        <f>AVERAGE('26.10 Lyantonde-Rushere-24hr'!D87,'28.10 Lyantonde-Rushere-24h'!D87)</f>
        <v>0</v>
      </c>
      <c r="E87" s="49">
        <f>AVERAGE('26.10 Lyantonde-Rushere-24hr'!E87,'28.10 Lyantonde-Rushere-24h'!E87)</f>
        <v>0</v>
      </c>
      <c r="F87" s="49">
        <f>AVERAGE('26.10 Lyantonde-Rushere-24hr'!F87,'28.10 Lyantonde-Rushere-24h'!F87)</f>
        <v>0</v>
      </c>
      <c r="G87" s="49">
        <f>AVERAGE('26.10 Lyantonde-Rushere-24hr'!G87,'28.10 Lyantonde-Rushere-24h'!G87)</f>
        <v>0</v>
      </c>
      <c r="H87" s="49">
        <f>AVERAGE('26.10 Lyantonde-Rushere-24hr'!H87,'28.10 Lyantonde-Rushere-24h'!H87)</f>
        <v>0</v>
      </c>
      <c r="I87" s="49">
        <f>AVERAGE('26.10 Lyantonde-Rushere-24hr'!I87,'28.10 Lyantonde-Rushere-24h'!I87)</f>
        <v>0.5</v>
      </c>
      <c r="J87" s="49">
        <f>AVERAGE('26.10 Lyantonde-Rushere-24hr'!J87,'28.10 Lyantonde-Rushere-24h'!J87)</f>
        <v>0</v>
      </c>
      <c r="K87" s="49">
        <f>AVERAGE('26.10 Lyantonde-Rushere-24hr'!K87,'28.10 Lyantonde-Rushere-24h'!K87)</f>
        <v>0.5</v>
      </c>
      <c r="L87" s="49">
        <f>AVERAGE('26.10 Lyantonde-Rushere-24hr'!L87,'28.10 Lyantonde-Rushere-24h'!L87)</f>
        <v>1</v>
      </c>
      <c r="M87" s="49">
        <f>AVERAGE('26.10 Lyantonde-Rushere-24hr'!M87,'28.10 Lyantonde-Rushere-24h'!M87)</f>
        <v>0</v>
      </c>
      <c r="N87" s="49">
        <f>AVERAGE('26.10 Lyantonde-Rushere-24hr'!N87,'28.10 Lyantonde-Rushere-24h'!N87)</f>
        <v>0</v>
      </c>
      <c r="O87" s="15">
        <f t="shared" si="35"/>
        <v>4</v>
      </c>
      <c r="P87" s="15">
        <f t="shared" si="36"/>
        <v>4</v>
      </c>
      <c r="R87" s="8"/>
      <c r="T87"/>
    </row>
    <row r="88" spans="2:20" ht="23.1" customHeight="1" x14ac:dyDescent="0.25">
      <c r="B88" s="25" t="s">
        <v>128</v>
      </c>
      <c r="C88" s="49">
        <f>AVERAGE('26.10 Lyantonde-Rushere-24hr'!C88,'28.10 Lyantonde-Rushere-24h'!C88)</f>
        <v>0</v>
      </c>
      <c r="D88" s="49">
        <f>AVERAGE('26.10 Lyantonde-Rushere-24hr'!D88,'28.10 Lyantonde-Rushere-24h'!D88)</f>
        <v>0</v>
      </c>
      <c r="E88" s="49">
        <f>AVERAGE('26.10 Lyantonde-Rushere-24hr'!E88,'28.10 Lyantonde-Rushere-24h'!E88)</f>
        <v>0</v>
      </c>
      <c r="F88" s="49">
        <f>AVERAGE('26.10 Lyantonde-Rushere-24hr'!F88,'28.10 Lyantonde-Rushere-24h'!F88)</f>
        <v>0</v>
      </c>
      <c r="G88" s="49">
        <f>AVERAGE('26.10 Lyantonde-Rushere-24hr'!G88,'28.10 Lyantonde-Rushere-24h'!G88)</f>
        <v>0</v>
      </c>
      <c r="H88" s="49">
        <f>AVERAGE('26.10 Lyantonde-Rushere-24hr'!H88,'28.10 Lyantonde-Rushere-24h'!H88)</f>
        <v>0</v>
      </c>
      <c r="I88" s="49">
        <f>AVERAGE('26.10 Lyantonde-Rushere-24hr'!I88,'28.10 Lyantonde-Rushere-24h'!I88)</f>
        <v>1</v>
      </c>
      <c r="J88" s="49">
        <f>AVERAGE('26.10 Lyantonde-Rushere-24hr'!J88,'28.10 Lyantonde-Rushere-24h'!J88)</f>
        <v>1.5</v>
      </c>
      <c r="K88" s="49">
        <f>AVERAGE('26.10 Lyantonde-Rushere-24hr'!K88,'28.10 Lyantonde-Rushere-24h'!K88)</f>
        <v>0</v>
      </c>
      <c r="L88" s="49">
        <f>AVERAGE('26.10 Lyantonde-Rushere-24hr'!L88,'28.10 Lyantonde-Rushere-24h'!L88)</f>
        <v>2</v>
      </c>
      <c r="M88" s="49">
        <f>AVERAGE('26.10 Lyantonde-Rushere-24hr'!M88,'28.10 Lyantonde-Rushere-24h'!M88)</f>
        <v>0</v>
      </c>
      <c r="N88" s="49">
        <f>AVERAGE('26.10 Lyantonde-Rushere-24hr'!N88,'28.10 Lyantonde-Rushere-24h'!N88)</f>
        <v>0</v>
      </c>
      <c r="O88" s="15">
        <f t="shared" si="35"/>
        <v>4.5</v>
      </c>
      <c r="P88" s="15">
        <f t="shared" si="36"/>
        <v>4.5</v>
      </c>
      <c r="R88" s="8"/>
      <c r="T88"/>
    </row>
    <row r="89" spans="2:20" ht="23.1" customHeight="1" x14ac:dyDescent="0.25">
      <c r="B89" s="23" t="s">
        <v>129</v>
      </c>
      <c r="C89" s="49">
        <f>AVERAGE('26.10 Lyantonde-Rushere-24hr'!C89,'28.10 Lyantonde-Rushere-24h'!C89)</f>
        <v>1.5</v>
      </c>
      <c r="D89" s="49">
        <f>AVERAGE('26.10 Lyantonde-Rushere-24hr'!D89,'28.10 Lyantonde-Rushere-24h'!D89)</f>
        <v>1.5</v>
      </c>
      <c r="E89" s="49">
        <f>AVERAGE('26.10 Lyantonde-Rushere-24hr'!E89,'28.10 Lyantonde-Rushere-24h'!E89)</f>
        <v>2.5</v>
      </c>
      <c r="F89" s="49">
        <f>AVERAGE('26.10 Lyantonde-Rushere-24hr'!F89,'28.10 Lyantonde-Rushere-24h'!F89)</f>
        <v>0</v>
      </c>
      <c r="G89" s="49">
        <f>AVERAGE('26.10 Lyantonde-Rushere-24hr'!G89,'28.10 Lyantonde-Rushere-24h'!G89)</f>
        <v>0</v>
      </c>
      <c r="H89" s="49">
        <f>AVERAGE('26.10 Lyantonde-Rushere-24hr'!H89,'28.10 Lyantonde-Rushere-24h'!H89)</f>
        <v>0</v>
      </c>
      <c r="I89" s="49">
        <f>AVERAGE('26.10 Lyantonde-Rushere-24hr'!I89,'28.10 Lyantonde-Rushere-24h'!I89)</f>
        <v>2</v>
      </c>
      <c r="J89" s="49">
        <f>AVERAGE('26.10 Lyantonde-Rushere-24hr'!J89,'28.10 Lyantonde-Rushere-24h'!J89)</f>
        <v>0</v>
      </c>
      <c r="K89" s="49">
        <f>AVERAGE('26.10 Lyantonde-Rushere-24hr'!K89,'28.10 Lyantonde-Rushere-24h'!K89)</f>
        <v>2</v>
      </c>
      <c r="L89" s="49">
        <f>AVERAGE('26.10 Lyantonde-Rushere-24hr'!L89,'28.10 Lyantonde-Rushere-24h'!L89)</f>
        <v>1</v>
      </c>
      <c r="M89" s="49">
        <f>AVERAGE('26.10 Lyantonde-Rushere-24hr'!M89,'28.10 Lyantonde-Rushere-24h'!M89)</f>
        <v>0</v>
      </c>
      <c r="N89" s="49">
        <f>AVERAGE('26.10 Lyantonde-Rushere-24hr'!N89,'28.10 Lyantonde-Rushere-24h'!N89)</f>
        <v>0</v>
      </c>
      <c r="O89" s="15">
        <f t="shared" si="35"/>
        <v>10.5</v>
      </c>
      <c r="P89" s="15">
        <f t="shared" si="36"/>
        <v>10.5</v>
      </c>
      <c r="R89" s="8"/>
      <c r="T89"/>
    </row>
    <row r="90" spans="2:20" ht="23.1" customHeight="1" x14ac:dyDescent="0.25">
      <c r="B90" s="24" t="s">
        <v>130</v>
      </c>
      <c r="C90" s="49">
        <f>AVERAGE('26.10 Lyantonde-Rushere-24hr'!C90,'28.10 Lyantonde-Rushere-24h'!C90)</f>
        <v>2</v>
      </c>
      <c r="D90" s="49">
        <f>AVERAGE('26.10 Lyantonde-Rushere-24hr'!D90,'28.10 Lyantonde-Rushere-24h'!D90)</f>
        <v>1.5</v>
      </c>
      <c r="E90" s="49">
        <f>AVERAGE('26.10 Lyantonde-Rushere-24hr'!E90,'28.10 Lyantonde-Rushere-24h'!E90)</f>
        <v>0</v>
      </c>
      <c r="F90" s="49">
        <f>AVERAGE('26.10 Lyantonde-Rushere-24hr'!F90,'28.10 Lyantonde-Rushere-24h'!F90)</f>
        <v>0.5</v>
      </c>
      <c r="G90" s="49">
        <f>AVERAGE('26.10 Lyantonde-Rushere-24hr'!G90,'28.10 Lyantonde-Rushere-24h'!G90)</f>
        <v>0</v>
      </c>
      <c r="H90" s="49">
        <f>AVERAGE('26.10 Lyantonde-Rushere-24hr'!H90,'28.10 Lyantonde-Rushere-24h'!H90)</f>
        <v>0</v>
      </c>
      <c r="I90" s="49">
        <f>AVERAGE('26.10 Lyantonde-Rushere-24hr'!I90,'28.10 Lyantonde-Rushere-24h'!I90)</f>
        <v>0</v>
      </c>
      <c r="J90" s="49">
        <f>AVERAGE('26.10 Lyantonde-Rushere-24hr'!J90,'28.10 Lyantonde-Rushere-24h'!J90)</f>
        <v>0</v>
      </c>
      <c r="K90" s="49">
        <f>AVERAGE('26.10 Lyantonde-Rushere-24hr'!K90,'28.10 Lyantonde-Rushere-24h'!K90)</f>
        <v>1.5</v>
      </c>
      <c r="L90" s="49">
        <f>AVERAGE('26.10 Lyantonde-Rushere-24hr'!L90,'28.10 Lyantonde-Rushere-24h'!L90)</f>
        <v>3</v>
      </c>
      <c r="M90" s="49">
        <f>AVERAGE('26.10 Lyantonde-Rushere-24hr'!M90,'28.10 Lyantonde-Rushere-24h'!M90)</f>
        <v>0</v>
      </c>
      <c r="N90" s="49">
        <f>AVERAGE('26.10 Lyantonde-Rushere-24hr'!N90,'28.10 Lyantonde-Rushere-24h'!N90)</f>
        <v>0</v>
      </c>
      <c r="O90" s="15">
        <f t="shared" si="35"/>
        <v>8.5</v>
      </c>
      <c r="P90" s="15">
        <f t="shared" si="36"/>
        <v>8.5</v>
      </c>
      <c r="R90" s="8"/>
      <c r="T90"/>
    </row>
    <row r="91" spans="2:20" ht="23.1" customHeight="1" x14ac:dyDescent="0.25">
      <c r="B91" s="23" t="s">
        <v>131</v>
      </c>
      <c r="C91" s="49">
        <f>AVERAGE('26.10 Lyantonde-Rushere-24hr'!C91,'28.10 Lyantonde-Rushere-24h'!C91)</f>
        <v>1.5</v>
      </c>
      <c r="D91" s="49">
        <f>AVERAGE('26.10 Lyantonde-Rushere-24hr'!D91,'28.10 Lyantonde-Rushere-24h'!D91)</f>
        <v>0.5</v>
      </c>
      <c r="E91" s="49">
        <f>AVERAGE('26.10 Lyantonde-Rushere-24hr'!E91,'28.10 Lyantonde-Rushere-24h'!E91)</f>
        <v>0.5</v>
      </c>
      <c r="F91" s="49">
        <f>AVERAGE('26.10 Lyantonde-Rushere-24hr'!F91,'28.10 Lyantonde-Rushere-24h'!F91)</f>
        <v>0</v>
      </c>
      <c r="G91" s="49">
        <f>AVERAGE('26.10 Lyantonde-Rushere-24hr'!G91,'28.10 Lyantonde-Rushere-24h'!G91)</f>
        <v>0</v>
      </c>
      <c r="H91" s="49">
        <f>AVERAGE('26.10 Lyantonde-Rushere-24hr'!H91,'28.10 Lyantonde-Rushere-24h'!H91)</f>
        <v>0</v>
      </c>
      <c r="I91" s="49">
        <f>AVERAGE('26.10 Lyantonde-Rushere-24hr'!I91,'28.10 Lyantonde-Rushere-24h'!I91)</f>
        <v>0</v>
      </c>
      <c r="J91" s="49">
        <f>AVERAGE('26.10 Lyantonde-Rushere-24hr'!J91,'28.10 Lyantonde-Rushere-24h'!J91)</f>
        <v>0</v>
      </c>
      <c r="K91" s="49">
        <f>AVERAGE('26.10 Lyantonde-Rushere-24hr'!K91,'28.10 Lyantonde-Rushere-24h'!K91)</f>
        <v>0</v>
      </c>
      <c r="L91" s="49">
        <f>AVERAGE('26.10 Lyantonde-Rushere-24hr'!L91,'28.10 Lyantonde-Rushere-24h'!L91)</f>
        <v>3.5</v>
      </c>
      <c r="M91" s="49">
        <f>AVERAGE('26.10 Lyantonde-Rushere-24hr'!M91,'28.10 Lyantonde-Rushere-24h'!M91)</f>
        <v>0</v>
      </c>
      <c r="N91" s="49">
        <f>AVERAGE('26.10 Lyantonde-Rushere-24hr'!N91,'28.10 Lyantonde-Rushere-24h'!N91)</f>
        <v>0</v>
      </c>
      <c r="O91" s="15">
        <f t="shared" si="35"/>
        <v>6</v>
      </c>
      <c r="P91" s="15">
        <f t="shared" si="36"/>
        <v>6</v>
      </c>
      <c r="R91" s="8"/>
      <c r="T91"/>
    </row>
    <row r="92" spans="2:20" ht="23.1" customHeight="1" x14ac:dyDescent="0.25">
      <c r="B92" s="25" t="s">
        <v>132</v>
      </c>
      <c r="C92" s="49">
        <f>AVERAGE('26.10 Lyantonde-Rushere-24hr'!C92,'28.10 Lyantonde-Rushere-24h'!C92)</f>
        <v>2.5</v>
      </c>
      <c r="D92" s="49">
        <f>AVERAGE('26.10 Lyantonde-Rushere-24hr'!D92,'28.10 Lyantonde-Rushere-24h'!D92)</f>
        <v>0</v>
      </c>
      <c r="E92" s="49">
        <f>AVERAGE('26.10 Lyantonde-Rushere-24hr'!E92,'28.10 Lyantonde-Rushere-24h'!E92)</f>
        <v>0</v>
      </c>
      <c r="F92" s="49">
        <f>AVERAGE('26.10 Lyantonde-Rushere-24hr'!F92,'28.10 Lyantonde-Rushere-24h'!F92)</f>
        <v>0</v>
      </c>
      <c r="G92" s="49">
        <f>AVERAGE('26.10 Lyantonde-Rushere-24hr'!G92,'28.10 Lyantonde-Rushere-24h'!G92)</f>
        <v>0</v>
      </c>
      <c r="H92" s="49">
        <f>AVERAGE('26.10 Lyantonde-Rushere-24hr'!H92,'28.10 Lyantonde-Rushere-24h'!H92)</f>
        <v>0</v>
      </c>
      <c r="I92" s="49">
        <f>AVERAGE('26.10 Lyantonde-Rushere-24hr'!I92,'28.10 Lyantonde-Rushere-24h'!I92)</f>
        <v>0</v>
      </c>
      <c r="J92" s="49">
        <f>AVERAGE('26.10 Lyantonde-Rushere-24hr'!J92,'28.10 Lyantonde-Rushere-24h'!J92)</f>
        <v>1.5</v>
      </c>
      <c r="K92" s="49">
        <f>AVERAGE('26.10 Lyantonde-Rushere-24hr'!K92,'28.10 Lyantonde-Rushere-24h'!K92)</f>
        <v>1</v>
      </c>
      <c r="L92" s="49">
        <f>AVERAGE('26.10 Lyantonde-Rushere-24hr'!L92,'28.10 Lyantonde-Rushere-24h'!L92)</f>
        <v>1.5</v>
      </c>
      <c r="M92" s="49">
        <f>AVERAGE('26.10 Lyantonde-Rushere-24hr'!M92,'28.10 Lyantonde-Rushere-24h'!M92)</f>
        <v>0</v>
      </c>
      <c r="N92" s="49">
        <f>AVERAGE('26.10 Lyantonde-Rushere-24hr'!N92,'28.10 Lyantonde-Rushere-24h'!N92)</f>
        <v>0</v>
      </c>
      <c r="O92" s="15">
        <f t="shared" si="35"/>
        <v>6.5</v>
      </c>
      <c r="P92" s="15">
        <f t="shared" si="36"/>
        <v>6.5</v>
      </c>
      <c r="R92" s="8"/>
      <c r="T92"/>
    </row>
    <row r="93" spans="2:20" ht="23.1" customHeight="1" x14ac:dyDescent="0.25">
      <c r="B93" s="23" t="s">
        <v>133</v>
      </c>
      <c r="C93" s="49">
        <f>AVERAGE('26.10 Lyantonde-Rushere-24hr'!C93,'28.10 Lyantonde-Rushere-24h'!C93)</f>
        <v>4</v>
      </c>
      <c r="D93" s="49">
        <f>AVERAGE('26.10 Lyantonde-Rushere-24hr'!D93,'28.10 Lyantonde-Rushere-24h'!D93)</f>
        <v>1</v>
      </c>
      <c r="E93" s="49">
        <f>AVERAGE('26.10 Lyantonde-Rushere-24hr'!E93,'28.10 Lyantonde-Rushere-24h'!E93)</f>
        <v>0.5</v>
      </c>
      <c r="F93" s="49">
        <f>AVERAGE('26.10 Lyantonde-Rushere-24hr'!F93,'28.10 Lyantonde-Rushere-24h'!F93)</f>
        <v>0</v>
      </c>
      <c r="G93" s="49">
        <f>AVERAGE('26.10 Lyantonde-Rushere-24hr'!G93,'28.10 Lyantonde-Rushere-24h'!G93)</f>
        <v>2</v>
      </c>
      <c r="H93" s="49">
        <f>AVERAGE('26.10 Lyantonde-Rushere-24hr'!H93,'28.10 Lyantonde-Rushere-24h'!H93)</f>
        <v>1</v>
      </c>
      <c r="I93" s="49">
        <f>AVERAGE('26.10 Lyantonde-Rushere-24hr'!I93,'28.10 Lyantonde-Rushere-24h'!I93)</f>
        <v>0</v>
      </c>
      <c r="J93" s="49">
        <f>AVERAGE('26.10 Lyantonde-Rushere-24hr'!J93,'28.10 Lyantonde-Rushere-24h'!J93)</f>
        <v>1</v>
      </c>
      <c r="K93" s="49">
        <f>AVERAGE('26.10 Lyantonde-Rushere-24hr'!K93,'28.10 Lyantonde-Rushere-24h'!K93)</f>
        <v>3</v>
      </c>
      <c r="L93" s="49">
        <f>AVERAGE('26.10 Lyantonde-Rushere-24hr'!L93,'28.10 Lyantonde-Rushere-24h'!L93)</f>
        <v>2.5</v>
      </c>
      <c r="M93" s="49">
        <f>AVERAGE('26.10 Lyantonde-Rushere-24hr'!M93,'28.10 Lyantonde-Rushere-24h'!M93)</f>
        <v>1</v>
      </c>
      <c r="N93" s="49">
        <f>AVERAGE('26.10 Lyantonde-Rushere-24hr'!N93,'28.10 Lyantonde-Rushere-24h'!N93)</f>
        <v>0</v>
      </c>
      <c r="O93" s="15">
        <f t="shared" si="35"/>
        <v>15</v>
      </c>
      <c r="P93" s="15">
        <f t="shared" si="36"/>
        <v>16</v>
      </c>
      <c r="R93" s="8"/>
      <c r="T93"/>
    </row>
    <row r="94" spans="2:20" ht="23.1" customHeight="1" x14ac:dyDescent="0.25">
      <c r="B94" s="24" t="s">
        <v>134</v>
      </c>
      <c r="C94" s="49">
        <f>AVERAGE('26.10 Lyantonde-Rushere-24hr'!C94,'28.10 Lyantonde-Rushere-24h'!C94)</f>
        <v>1</v>
      </c>
      <c r="D94" s="49">
        <f>AVERAGE('26.10 Lyantonde-Rushere-24hr'!D94,'28.10 Lyantonde-Rushere-24h'!D94)</f>
        <v>0</v>
      </c>
      <c r="E94" s="49">
        <f>AVERAGE('26.10 Lyantonde-Rushere-24hr'!E94,'28.10 Lyantonde-Rushere-24h'!E94)</f>
        <v>0</v>
      </c>
      <c r="F94" s="49">
        <f>AVERAGE('26.10 Lyantonde-Rushere-24hr'!F94,'28.10 Lyantonde-Rushere-24h'!F94)</f>
        <v>0</v>
      </c>
      <c r="G94" s="49">
        <f>AVERAGE('26.10 Lyantonde-Rushere-24hr'!G94,'28.10 Lyantonde-Rushere-24h'!G94)</f>
        <v>0</v>
      </c>
      <c r="H94" s="49">
        <f>AVERAGE('26.10 Lyantonde-Rushere-24hr'!H94,'28.10 Lyantonde-Rushere-24h'!H94)</f>
        <v>0</v>
      </c>
      <c r="I94" s="49">
        <f>AVERAGE('26.10 Lyantonde-Rushere-24hr'!I94,'28.10 Lyantonde-Rushere-24h'!I94)</f>
        <v>0</v>
      </c>
      <c r="J94" s="49">
        <f>AVERAGE('26.10 Lyantonde-Rushere-24hr'!J94,'28.10 Lyantonde-Rushere-24h'!J94)</f>
        <v>1</v>
      </c>
      <c r="K94" s="49">
        <f>AVERAGE('26.10 Lyantonde-Rushere-24hr'!K94,'28.10 Lyantonde-Rushere-24h'!K94)</f>
        <v>1</v>
      </c>
      <c r="L94" s="49">
        <f>AVERAGE('26.10 Lyantonde-Rushere-24hr'!L94,'28.10 Lyantonde-Rushere-24h'!L94)</f>
        <v>3</v>
      </c>
      <c r="M94" s="49">
        <f>AVERAGE('26.10 Lyantonde-Rushere-24hr'!M94,'28.10 Lyantonde-Rushere-24h'!M94)</f>
        <v>0</v>
      </c>
      <c r="N94" s="49">
        <f>AVERAGE('26.10 Lyantonde-Rushere-24hr'!N94,'28.10 Lyantonde-Rushere-24h'!N94)</f>
        <v>0</v>
      </c>
      <c r="O94" s="15">
        <f t="shared" si="35"/>
        <v>6</v>
      </c>
      <c r="P94" s="15">
        <f t="shared" si="36"/>
        <v>6</v>
      </c>
      <c r="R94" s="8"/>
      <c r="T94"/>
    </row>
    <row r="95" spans="2:20" ht="23.1" customHeight="1" x14ac:dyDescent="0.25">
      <c r="B95" s="23" t="s">
        <v>135</v>
      </c>
      <c r="C95" s="49">
        <f>AVERAGE('26.10 Lyantonde-Rushere-24hr'!C95,'28.10 Lyantonde-Rushere-24h'!C95)</f>
        <v>1.5</v>
      </c>
      <c r="D95" s="49">
        <f>AVERAGE('26.10 Lyantonde-Rushere-24hr'!D95,'28.10 Lyantonde-Rushere-24h'!D95)</f>
        <v>0</v>
      </c>
      <c r="E95" s="49">
        <f>AVERAGE('26.10 Lyantonde-Rushere-24hr'!E95,'28.10 Lyantonde-Rushere-24h'!E95)</f>
        <v>0</v>
      </c>
      <c r="F95" s="49">
        <f>AVERAGE('26.10 Lyantonde-Rushere-24hr'!F95,'28.10 Lyantonde-Rushere-24h'!F95)</f>
        <v>0</v>
      </c>
      <c r="G95" s="49">
        <f>AVERAGE('26.10 Lyantonde-Rushere-24hr'!G95,'28.10 Lyantonde-Rushere-24h'!G95)</f>
        <v>0</v>
      </c>
      <c r="H95" s="49">
        <f>AVERAGE('26.10 Lyantonde-Rushere-24hr'!H95,'28.10 Lyantonde-Rushere-24h'!H95)</f>
        <v>0.5</v>
      </c>
      <c r="I95" s="49">
        <f>AVERAGE('26.10 Lyantonde-Rushere-24hr'!I95,'28.10 Lyantonde-Rushere-24h'!I95)</f>
        <v>0</v>
      </c>
      <c r="J95" s="49">
        <f>AVERAGE('26.10 Lyantonde-Rushere-24hr'!J95,'28.10 Lyantonde-Rushere-24h'!J95)</f>
        <v>0</v>
      </c>
      <c r="K95" s="49">
        <f>AVERAGE('26.10 Lyantonde-Rushere-24hr'!K95,'28.10 Lyantonde-Rushere-24h'!K95)</f>
        <v>1.5</v>
      </c>
      <c r="L95" s="49">
        <f>AVERAGE('26.10 Lyantonde-Rushere-24hr'!L95,'28.10 Lyantonde-Rushere-24h'!L95)</f>
        <v>1</v>
      </c>
      <c r="M95" s="49">
        <f>AVERAGE('26.10 Lyantonde-Rushere-24hr'!M95,'28.10 Lyantonde-Rushere-24h'!M95)</f>
        <v>0</v>
      </c>
      <c r="N95" s="49">
        <f>AVERAGE('26.10 Lyantonde-Rushere-24hr'!N95,'28.10 Lyantonde-Rushere-24h'!N95)</f>
        <v>0</v>
      </c>
      <c r="O95" s="15">
        <f t="shared" si="35"/>
        <v>4.5</v>
      </c>
      <c r="P95" s="15">
        <f t="shared" si="36"/>
        <v>4.5</v>
      </c>
      <c r="R95" s="8"/>
      <c r="T95"/>
    </row>
    <row r="96" spans="2:20" ht="23.1" customHeight="1" x14ac:dyDescent="0.25">
      <c r="B96" s="25" t="s">
        <v>136</v>
      </c>
      <c r="C96" s="49">
        <f>AVERAGE('26.10 Lyantonde-Rushere-24hr'!C96,'28.10 Lyantonde-Rushere-24h'!C96)</f>
        <v>4</v>
      </c>
      <c r="D96" s="49">
        <f>AVERAGE('26.10 Lyantonde-Rushere-24hr'!D96,'28.10 Lyantonde-Rushere-24h'!D96)</f>
        <v>1</v>
      </c>
      <c r="E96" s="49">
        <f>AVERAGE('26.10 Lyantonde-Rushere-24hr'!E96,'28.10 Lyantonde-Rushere-24h'!E96)</f>
        <v>1</v>
      </c>
      <c r="F96" s="49">
        <f>AVERAGE('26.10 Lyantonde-Rushere-24hr'!F96,'28.10 Lyantonde-Rushere-24h'!F96)</f>
        <v>1</v>
      </c>
      <c r="G96" s="49">
        <f>AVERAGE('26.10 Lyantonde-Rushere-24hr'!G96,'28.10 Lyantonde-Rushere-24h'!G96)</f>
        <v>0</v>
      </c>
      <c r="H96" s="49">
        <f>AVERAGE('26.10 Lyantonde-Rushere-24hr'!H96,'28.10 Lyantonde-Rushere-24h'!H96)</f>
        <v>1</v>
      </c>
      <c r="I96" s="49">
        <f>AVERAGE('26.10 Lyantonde-Rushere-24hr'!I96,'28.10 Lyantonde-Rushere-24h'!I96)</f>
        <v>2.5</v>
      </c>
      <c r="J96" s="49">
        <f>AVERAGE('26.10 Lyantonde-Rushere-24hr'!J96,'28.10 Lyantonde-Rushere-24h'!J96)</f>
        <v>0</v>
      </c>
      <c r="K96" s="49">
        <f>AVERAGE('26.10 Lyantonde-Rushere-24hr'!K96,'28.10 Lyantonde-Rushere-24h'!K96)</f>
        <v>2</v>
      </c>
      <c r="L96" s="49">
        <f>AVERAGE('26.10 Lyantonde-Rushere-24hr'!L96,'28.10 Lyantonde-Rushere-24h'!L96)</f>
        <v>2</v>
      </c>
      <c r="M96" s="49">
        <f>AVERAGE('26.10 Lyantonde-Rushere-24hr'!M96,'28.10 Lyantonde-Rushere-24h'!M96)</f>
        <v>0</v>
      </c>
      <c r="N96" s="49">
        <f>AVERAGE('26.10 Lyantonde-Rushere-24hr'!N96,'28.10 Lyantonde-Rushere-24h'!N96)</f>
        <v>0</v>
      </c>
      <c r="O96" s="15">
        <f t="shared" si="35"/>
        <v>14.5</v>
      </c>
      <c r="P96" s="15">
        <f t="shared" si="36"/>
        <v>14.5</v>
      </c>
      <c r="R96" s="8"/>
      <c r="T96"/>
    </row>
    <row r="97" spans="2:20" ht="23.1" customHeight="1" x14ac:dyDescent="0.25">
      <c r="B97" s="23" t="s">
        <v>137</v>
      </c>
      <c r="C97" s="49">
        <f>AVERAGE('26.10 Lyantonde-Rushere-24hr'!C97,'28.10 Lyantonde-Rushere-24h'!C97)</f>
        <v>2.5</v>
      </c>
      <c r="D97" s="49">
        <f>AVERAGE('26.10 Lyantonde-Rushere-24hr'!D97,'28.10 Lyantonde-Rushere-24h'!D97)</f>
        <v>1</v>
      </c>
      <c r="E97" s="49">
        <f>AVERAGE('26.10 Lyantonde-Rushere-24hr'!E97,'28.10 Lyantonde-Rushere-24h'!E97)</f>
        <v>1.5</v>
      </c>
      <c r="F97" s="49">
        <f>AVERAGE('26.10 Lyantonde-Rushere-24hr'!F97,'28.10 Lyantonde-Rushere-24h'!F97)</f>
        <v>1.5</v>
      </c>
      <c r="G97" s="49">
        <f>AVERAGE('26.10 Lyantonde-Rushere-24hr'!G97,'28.10 Lyantonde-Rushere-24h'!G97)</f>
        <v>1</v>
      </c>
      <c r="H97" s="49">
        <f>AVERAGE('26.10 Lyantonde-Rushere-24hr'!H97,'28.10 Lyantonde-Rushere-24h'!H97)</f>
        <v>0.5</v>
      </c>
      <c r="I97" s="49">
        <f>AVERAGE('26.10 Lyantonde-Rushere-24hr'!I97,'28.10 Lyantonde-Rushere-24h'!I97)</f>
        <v>1</v>
      </c>
      <c r="J97" s="49">
        <f>AVERAGE('26.10 Lyantonde-Rushere-24hr'!J97,'28.10 Lyantonde-Rushere-24h'!J97)</f>
        <v>1</v>
      </c>
      <c r="K97" s="49">
        <f>AVERAGE('26.10 Lyantonde-Rushere-24hr'!K97,'28.10 Lyantonde-Rushere-24h'!K97)</f>
        <v>0.5</v>
      </c>
      <c r="L97" s="49">
        <f>AVERAGE('26.10 Lyantonde-Rushere-24hr'!L97,'28.10 Lyantonde-Rushere-24h'!L97)</f>
        <v>2</v>
      </c>
      <c r="M97" s="49">
        <f>AVERAGE('26.10 Lyantonde-Rushere-24hr'!M97,'28.10 Lyantonde-Rushere-24h'!M97)</f>
        <v>1.5</v>
      </c>
      <c r="N97" s="49">
        <f>AVERAGE('26.10 Lyantonde-Rushere-24hr'!N97,'28.10 Lyantonde-Rushere-24h'!N97)</f>
        <v>0</v>
      </c>
      <c r="O97" s="15">
        <f t="shared" si="35"/>
        <v>12.5</v>
      </c>
      <c r="P97" s="15">
        <f t="shared" si="36"/>
        <v>14</v>
      </c>
      <c r="R97" s="8"/>
      <c r="T97"/>
    </row>
    <row r="98" spans="2:20" ht="23.1" customHeight="1" x14ac:dyDescent="0.25">
      <c r="B98" s="24" t="s">
        <v>138</v>
      </c>
      <c r="C98" s="49">
        <f>AVERAGE('26.10 Lyantonde-Rushere-24hr'!C98,'28.10 Lyantonde-Rushere-24h'!C98)</f>
        <v>1</v>
      </c>
      <c r="D98" s="49">
        <f>AVERAGE('26.10 Lyantonde-Rushere-24hr'!D98,'28.10 Lyantonde-Rushere-24h'!D98)</f>
        <v>2.5</v>
      </c>
      <c r="E98" s="49">
        <f>AVERAGE('26.10 Lyantonde-Rushere-24hr'!E98,'28.10 Lyantonde-Rushere-24h'!E98)</f>
        <v>0</v>
      </c>
      <c r="F98" s="49">
        <f>AVERAGE('26.10 Lyantonde-Rushere-24hr'!F98,'28.10 Lyantonde-Rushere-24h'!F98)</f>
        <v>2</v>
      </c>
      <c r="G98" s="49">
        <f>AVERAGE('26.10 Lyantonde-Rushere-24hr'!G98,'28.10 Lyantonde-Rushere-24h'!G98)</f>
        <v>0</v>
      </c>
      <c r="H98" s="49">
        <f>AVERAGE('26.10 Lyantonde-Rushere-24hr'!H98,'28.10 Lyantonde-Rushere-24h'!H98)</f>
        <v>0</v>
      </c>
      <c r="I98" s="49">
        <f>AVERAGE('26.10 Lyantonde-Rushere-24hr'!I98,'28.10 Lyantonde-Rushere-24h'!I98)</f>
        <v>0</v>
      </c>
      <c r="J98" s="49">
        <f>AVERAGE('26.10 Lyantonde-Rushere-24hr'!J98,'28.10 Lyantonde-Rushere-24h'!J98)</f>
        <v>0</v>
      </c>
      <c r="K98" s="49">
        <f>AVERAGE('26.10 Lyantonde-Rushere-24hr'!K98,'28.10 Lyantonde-Rushere-24h'!K98)</f>
        <v>1.5</v>
      </c>
      <c r="L98" s="49">
        <f>AVERAGE('26.10 Lyantonde-Rushere-24hr'!L98,'28.10 Lyantonde-Rushere-24h'!L98)</f>
        <v>3</v>
      </c>
      <c r="M98" s="49">
        <f>AVERAGE('26.10 Lyantonde-Rushere-24hr'!M98,'28.10 Lyantonde-Rushere-24h'!M98)</f>
        <v>3</v>
      </c>
      <c r="N98" s="49">
        <f>AVERAGE('26.10 Lyantonde-Rushere-24hr'!N98,'28.10 Lyantonde-Rushere-24h'!N98)</f>
        <v>0</v>
      </c>
      <c r="O98" s="15">
        <f t="shared" si="35"/>
        <v>10</v>
      </c>
      <c r="P98" s="15">
        <f t="shared" si="36"/>
        <v>13</v>
      </c>
      <c r="R98" s="8"/>
      <c r="T98"/>
    </row>
    <row r="99" spans="2:20" ht="23.1" customHeight="1" x14ac:dyDescent="0.25">
      <c r="B99" s="23" t="s">
        <v>139</v>
      </c>
      <c r="C99" s="49">
        <f>AVERAGE('26.10 Lyantonde-Rushere-24hr'!C99,'28.10 Lyantonde-Rushere-24h'!C99)</f>
        <v>1.5</v>
      </c>
      <c r="D99" s="49">
        <f>AVERAGE('26.10 Lyantonde-Rushere-24hr'!D99,'28.10 Lyantonde-Rushere-24h'!D99)</f>
        <v>1.5</v>
      </c>
      <c r="E99" s="49">
        <f>AVERAGE('26.10 Lyantonde-Rushere-24hr'!E99,'28.10 Lyantonde-Rushere-24h'!E99)</f>
        <v>0.5</v>
      </c>
      <c r="F99" s="49">
        <f>AVERAGE('26.10 Lyantonde-Rushere-24hr'!F99,'28.10 Lyantonde-Rushere-24h'!F99)</f>
        <v>0</v>
      </c>
      <c r="G99" s="49">
        <f>AVERAGE('26.10 Lyantonde-Rushere-24hr'!G99,'28.10 Lyantonde-Rushere-24h'!G99)</f>
        <v>0</v>
      </c>
      <c r="H99" s="49">
        <f>AVERAGE('26.10 Lyantonde-Rushere-24hr'!H99,'28.10 Lyantonde-Rushere-24h'!H99)</f>
        <v>1</v>
      </c>
      <c r="I99" s="49">
        <f>AVERAGE('26.10 Lyantonde-Rushere-24hr'!I99,'28.10 Lyantonde-Rushere-24h'!I99)</f>
        <v>2</v>
      </c>
      <c r="J99" s="49">
        <f>AVERAGE('26.10 Lyantonde-Rushere-24hr'!J99,'28.10 Lyantonde-Rushere-24h'!J99)</f>
        <v>0.5</v>
      </c>
      <c r="K99" s="49">
        <f>AVERAGE('26.10 Lyantonde-Rushere-24hr'!K99,'28.10 Lyantonde-Rushere-24h'!K99)</f>
        <v>2</v>
      </c>
      <c r="L99" s="49">
        <f>AVERAGE('26.10 Lyantonde-Rushere-24hr'!L99,'28.10 Lyantonde-Rushere-24h'!L99)</f>
        <v>2.5</v>
      </c>
      <c r="M99" s="49">
        <f>AVERAGE('26.10 Lyantonde-Rushere-24hr'!M99,'28.10 Lyantonde-Rushere-24h'!M99)</f>
        <v>3</v>
      </c>
      <c r="N99" s="49">
        <f>AVERAGE('26.10 Lyantonde-Rushere-24hr'!N99,'28.10 Lyantonde-Rushere-24h'!N99)</f>
        <v>0</v>
      </c>
      <c r="O99" s="15">
        <f t="shared" si="35"/>
        <v>11.5</v>
      </c>
      <c r="P99" s="15">
        <f t="shared" si="36"/>
        <v>14.5</v>
      </c>
      <c r="R99" s="8"/>
      <c r="T99"/>
    </row>
    <row r="100" spans="2:20" ht="23.1" customHeight="1" x14ac:dyDescent="0.25">
      <c r="B100" s="25" t="s">
        <v>140</v>
      </c>
      <c r="C100" s="49">
        <f>AVERAGE('26.10 Lyantonde-Rushere-24hr'!C100,'28.10 Lyantonde-Rushere-24h'!C100)</f>
        <v>3.5</v>
      </c>
      <c r="D100" s="49">
        <f>AVERAGE('26.10 Lyantonde-Rushere-24hr'!D100,'28.10 Lyantonde-Rushere-24h'!D100)</f>
        <v>2</v>
      </c>
      <c r="E100" s="49">
        <f>AVERAGE('26.10 Lyantonde-Rushere-24hr'!E100,'28.10 Lyantonde-Rushere-24h'!E100)</f>
        <v>1.5</v>
      </c>
      <c r="F100" s="49">
        <f>AVERAGE('26.10 Lyantonde-Rushere-24hr'!F100,'28.10 Lyantonde-Rushere-24h'!F100)</f>
        <v>0</v>
      </c>
      <c r="G100" s="49">
        <f>AVERAGE('26.10 Lyantonde-Rushere-24hr'!G100,'28.10 Lyantonde-Rushere-24h'!G100)</f>
        <v>0</v>
      </c>
      <c r="H100" s="49">
        <f>AVERAGE('26.10 Lyantonde-Rushere-24hr'!H100,'28.10 Lyantonde-Rushere-24h'!H100)</f>
        <v>0.5</v>
      </c>
      <c r="I100" s="49">
        <f>AVERAGE('26.10 Lyantonde-Rushere-24hr'!I100,'28.10 Lyantonde-Rushere-24h'!I100)</f>
        <v>1</v>
      </c>
      <c r="J100" s="49">
        <f>AVERAGE('26.10 Lyantonde-Rushere-24hr'!J100,'28.10 Lyantonde-Rushere-24h'!J100)</f>
        <v>0</v>
      </c>
      <c r="K100" s="49">
        <f>AVERAGE('26.10 Lyantonde-Rushere-24hr'!K100,'28.10 Lyantonde-Rushere-24h'!K100)</f>
        <v>3</v>
      </c>
      <c r="L100" s="49">
        <f>AVERAGE('26.10 Lyantonde-Rushere-24hr'!L100,'28.10 Lyantonde-Rushere-24h'!L100)</f>
        <v>1</v>
      </c>
      <c r="M100" s="49">
        <f>AVERAGE('26.10 Lyantonde-Rushere-24hr'!M100,'28.10 Lyantonde-Rushere-24h'!M100)</f>
        <v>3</v>
      </c>
      <c r="N100" s="49">
        <f>AVERAGE('26.10 Lyantonde-Rushere-24hr'!N100,'28.10 Lyantonde-Rushere-24h'!N100)</f>
        <v>0</v>
      </c>
      <c r="O100" s="15">
        <f t="shared" si="35"/>
        <v>12.5</v>
      </c>
      <c r="P100" s="15">
        <f t="shared" si="36"/>
        <v>15.5</v>
      </c>
      <c r="R100" s="8"/>
      <c r="T100"/>
    </row>
    <row r="101" spans="2:20" ht="23.1" customHeight="1" x14ac:dyDescent="0.25">
      <c r="B101" s="23" t="s">
        <v>141</v>
      </c>
      <c r="C101" s="49">
        <f>AVERAGE('26.10 Lyantonde-Rushere-24hr'!C101,'28.10 Lyantonde-Rushere-24h'!C101)</f>
        <v>2.5</v>
      </c>
      <c r="D101" s="49">
        <f>AVERAGE('26.10 Lyantonde-Rushere-24hr'!D101,'28.10 Lyantonde-Rushere-24h'!D101)</f>
        <v>3</v>
      </c>
      <c r="E101" s="49">
        <f>AVERAGE('26.10 Lyantonde-Rushere-24hr'!E101,'28.10 Lyantonde-Rushere-24h'!E101)</f>
        <v>0.5</v>
      </c>
      <c r="F101" s="49">
        <f>AVERAGE('26.10 Lyantonde-Rushere-24hr'!F101,'28.10 Lyantonde-Rushere-24h'!F101)</f>
        <v>1.5</v>
      </c>
      <c r="G101" s="49">
        <f>AVERAGE('26.10 Lyantonde-Rushere-24hr'!G101,'28.10 Lyantonde-Rushere-24h'!G101)</f>
        <v>0</v>
      </c>
      <c r="H101" s="49">
        <f>AVERAGE('26.10 Lyantonde-Rushere-24hr'!H101,'28.10 Lyantonde-Rushere-24h'!H101)</f>
        <v>0</v>
      </c>
      <c r="I101" s="49">
        <f>AVERAGE('26.10 Lyantonde-Rushere-24hr'!I101,'28.10 Lyantonde-Rushere-24h'!I101)</f>
        <v>0</v>
      </c>
      <c r="J101" s="49">
        <f>AVERAGE('26.10 Lyantonde-Rushere-24hr'!J101,'28.10 Lyantonde-Rushere-24h'!J101)</f>
        <v>0.5</v>
      </c>
      <c r="K101" s="49">
        <f>AVERAGE('26.10 Lyantonde-Rushere-24hr'!K101,'28.10 Lyantonde-Rushere-24h'!K101)</f>
        <v>3.5</v>
      </c>
      <c r="L101" s="49">
        <f>AVERAGE('26.10 Lyantonde-Rushere-24hr'!L101,'28.10 Lyantonde-Rushere-24h'!L101)</f>
        <v>3.5</v>
      </c>
      <c r="M101" s="49">
        <f>AVERAGE('26.10 Lyantonde-Rushere-24hr'!M101,'28.10 Lyantonde-Rushere-24h'!M101)</f>
        <v>3.5</v>
      </c>
      <c r="N101" s="49">
        <f>AVERAGE('26.10 Lyantonde-Rushere-24hr'!N101,'28.10 Lyantonde-Rushere-24h'!N101)</f>
        <v>0</v>
      </c>
      <c r="O101" s="15">
        <f t="shared" si="35"/>
        <v>15</v>
      </c>
      <c r="P101" s="15">
        <f t="shared" si="36"/>
        <v>18.5</v>
      </c>
      <c r="R101" s="8"/>
      <c r="T101"/>
    </row>
    <row r="102" spans="2:20" ht="23.1" customHeight="1" x14ac:dyDescent="0.25">
      <c r="B102" s="24" t="s">
        <v>142</v>
      </c>
      <c r="C102" s="49">
        <f>AVERAGE('26.10 Lyantonde-Rushere-24hr'!C102,'28.10 Lyantonde-Rushere-24h'!C102)</f>
        <v>1</v>
      </c>
      <c r="D102" s="49">
        <f>AVERAGE('26.10 Lyantonde-Rushere-24hr'!D102,'28.10 Lyantonde-Rushere-24h'!D102)</f>
        <v>0</v>
      </c>
      <c r="E102" s="49">
        <f>AVERAGE('26.10 Lyantonde-Rushere-24hr'!E102,'28.10 Lyantonde-Rushere-24h'!E102)</f>
        <v>0</v>
      </c>
      <c r="F102" s="49">
        <f>AVERAGE('26.10 Lyantonde-Rushere-24hr'!F102,'28.10 Lyantonde-Rushere-24h'!F102)</f>
        <v>1</v>
      </c>
      <c r="G102" s="49">
        <f>AVERAGE('26.10 Lyantonde-Rushere-24hr'!G102,'28.10 Lyantonde-Rushere-24h'!G102)</f>
        <v>0</v>
      </c>
      <c r="H102" s="49">
        <f>AVERAGE('26.10 Lyantonde-Rushere-24hr'!H102,'28.10 Lyantonde-Rushere-24h'!H102)</f>
        <v>1</v>
      </c>
      <c r="I102" s="49">
        <f>AVERAGE('26.10 Lyantonde-Rushere-24hr'!I102,'28.10 Lyantonde-Rushere-24h'!I102)</f>
        <v>0</v>
      </c>
      <c r="J102" s="49">
        <f>AVERAGE('26.10 Lyantonde-Rushere-24hr'!J102,'28.10 Lyantonde-Rushere-24h'!J102)</f>
        <v>1</v>
      </c>
      <c r="K102" s="49">
        <f>AVERAGE('26.10 Lyantonde-Rushere-24hr'!K102,'28.10 Lyantonde-Rushere-24h'!K102)</f>
        <v>1.5</v>
      </c>
      <c r="L102" s="49">
        <f>AVERAGE('26.10 Lyantonde-Rushere-24hr'!L102,'28.10 Lyantonde-Rushere-24h'!L102)</f>
        <v>1</v>
      </c>
      <c r="M102" s="49">
        <f>AVERAGE('26.10 Lyantonde-Rushere-24hr'!M102,'28.10 Lyantonde-Rushere-24h'!M102)</f>
        <v>0</v>
      </c>
      <c r="N102" s="49">
        <f>AVERAGE('26.10 Lyantonde-Rushere-24hr'!N102,'28.10 Lyantonde-Rushere-24h'!N102)</f>
        <v>0.5</v>
      </c>
      <c r="O102" s="15">
        <f t="shared" si="35"/>
        <v>7</v>
      </c>
      <c r="P102" s="15">
        <f t="shared" si="36"/>
        <v>7</v>
      </c>
      <c r="R102" s="8"/>
      <c r="T102"/>
    </row>
    <row r="103" spans="2:20" ht="23.1" customHeight="1" x14ac:dyDescent="0.25">
      <c r="B103" s="23" t="s">
        <v>143</v>
      </c>
      <c r="C103" s="49">
        <f>AVERAGE('26.10 Lyantonde-Rushere-24hr'!C103,'28.10 Lyantonde-Rushere-24h'!C103)</f>
        <v>0</v>
      </c>
      <c r="D103" s="49">
        <f>AVERAGE('26.10 Lyantonde-Rushere-24hr'!D103,'28.10 Lyantonde-Rushere-24h'!D103)</f>
        <v>0</v>
      </c>
      <c r="E103" s="49">
        <f>AVERAGE('26.10 Lyantonde-Rushere-24hr'!E103,'28.10 Lyantonde-Rushere-24h'!E103)</f>
        <v>1</v>
      </c>
      <c r="F103" s="49">
        <f>AVERAGE('26.10 Lyantonde-Rushere-24hr'!F103,'28.10 Lyantonde-Rushere-24h'!F103)</f>
        <v>0</v>
      </c>
      <c r="G103" s="49">
        <f>AVERAGE('26.10 Lyantonde-Rushere-24hr'!G103,'28.10 Lyantonde-Rushere-24h'!G103)</f>
        <v>0</v>
      </c>
      <c r="H103" s="49">
        <f>AVERAGE('26.10 Lyantonde-Rushere-24hr'!H103,'28.10 Lyantonde-Rushere-24h'!H103)</f>
        <v>0</v>
      </c>
      <c r="I103" s="49">
        <f>AVERAGE('26.10 Lyantonde-Rushere-24hr'!I103,'28.10 Lyantonde-Rushere-24h'!I103)</f>
        <v>0</v>
      </c>
      <c r="J103" s="49">
        <f>AVERAGE('26.10 Lyantonde-Rushere-24hr'!J103,'28.10 Lyantonde-Rushere-24h'!J103)</f>
        <v>0</v>
      </c>
      <c r="K103" s="49">
        <f>AVERAGE('26.10 Lyantonde-Rushere-24hr'!K103,'28.10 Lyantonde-Rushere-24h'!K103)</f>
        <v>0.5</v>
      </c>
      <c r="L103" s="49">
        <f>AVERAGE('26.10 Lyantonde-Rushere-24hr'!L103,'28.10 Lyantonde-Rushere-24h'!L103)</f>
        <v>1</v>
      </c>
      <c r="M103" s="49">
        <f>AVERAGE('26.10 Lyantonde-Rushere-24hr'!M103,'28.10 Lyantonde-Rushere-24h'!M103)</f>
        <v>1</v>
      </c>
      <c r="N103" s="49">
        <f>AVERAGE('26.10 Lyantonde-Rushere-24hr'!N103,'28.10 Lyantonde-Rushere-24h'!N103)</f>
        <v>0</v>
      </c>
      <c r="O103" s="15">
        <f t="shared" si="35"/>
        <v>2.5</v>
      </c>
      <c r="P103" s="15">
        <f t="shared" si="36"/>
        <v>3.5</v>
      </c>
      <c r="R103" s="8"/>
      <c r="T103"/>
    </row>
    <row r="104" spans="2:20" ht="23.1" customHeight="1" x14ac:dyDescent="0.25">
      <c r="B104" s="25" t="s">
        <v>144</v>
      </c>
      <c r="C104" s="49">
        <f>AVERAGE('26.10 Lyantonde-Rushere-24hr'!C104,'28.10 Lyantonde-Rushere-24h'!C104)</f>
        <v>2</v>
      </c>
      <c r="D104" s="49">
        <f>AVERAGE('26.10 Lyantonde-Rushere-24hr'!D104,'28.10 Lyantonde-Rushere-24h'!D104)</f>
        <v>1.5</v>
      </c>
      <c r="E104" s="49">
        <f>AVERAGE('26.10 Lyantonde-Rushere-24hr'!E104,'28.10 Lyantonde-Rushere-24h'!E104)</f>
        <v>0</v>
      </c>
      <c r="F104" s="49">
        <f>AVERAGE('26.10 Lyantonde-Rushere-24hr'!F104,'28.10 Lyantonde-Rushere-24h'!F104)</f>
        <v>1</v>
      </c>
      <c r="G104" s="49">
        <f>AVERAGE('26.10 Lyantonde-Rushere-24hr'!G104,'28.10 Lyantonde-Rushere-24h'!G104)</f>
        <v>0</v>
      </c>
      <c r="H104" s="49">
        <f>AVERAGE('26.10 Lyantonde-Rushere-24hr'!H104,'28.10 Lyantonde-Rushere-24h'!H104)</f>
        <v>0</v>
      </c>
      <c r="I104" s="49">
        <f>AVERAGE('26.10 Lyantonde-Rushere-24hr'!I104,'28.10 Lyantonde-Rushere-24h'!I104)</f>
        <v>0</v>
      </c>
      <c r="J104" s="49">
        <f>AVERAGE('26.10 Lyantonde-Rushere-24hr'!J104,'28.10 Lyantonde-Rushere-24h'!J104)</f>
        <v>1</v>
      </c>
      <c r="K104" s="49">
        <f>AVERAGE('26.10 Lyantonde-Rushere-24hr'!K104,'28.10 Lyantonde-Rushere-24h'!K104)</f>
        <v>2.5</v>
      </c>
      <c r="L104" s="49">
        <f>AVERAGE('26.10 Lyantonde-Rushere-24hr'!L104,'28.10 Lyantonde-Rushere-24h'!L104)</f>
        <v>0.5</v>
      </c>
      <c r="M104" s="49">
        <f>AVERAGE('26.10 Lyantonde-Rushere-24hr'!M104,'28.10 Lyantonde-Rushere-24h'!M104)</f>
        <v>1.5</v>
      </c>
      <c r="N104" s="49">
        <f>AVERAGE('26.10 Lyantonde-Rushere-24hr'!N104,'28.10 Lyantonde-Rushere-24h'!N104)</f>
        <v>1.5</v>
      </c>
      <c r="O104" s="15">
        <f t="shared" si="35"/>
        <v>10</v>
      </c>
      <c r="P104" s="15">
        <f t="shared" si="36"/>
        <v>11.5</v>
      </c>
      <c r="R104" s="8"/>
      <c r="T104"/>
    </row>
    <row r="105" spans="2:20" ht="23.1" customHeight="1" x14ac:dyDescent="0.25">
      <c r="B105" s="23" t="s">
        <v>145</v>
      </c>
      <c r="C105" s="49">
        <f>AVERAGE('26.10 Lyantonde-Rushere-24hr'!C105,'28.10 Lyantonde-Rushere-24h'!C105)</f>
        <v>2.5</v>
      </c>
      <c r="D105" s="49">
        <f>AVERAGE('26.10 Lyantonde-Rushere-24hr'!D105,'28.10 Lyantonde-Rushere-24h'!D105)</f>
        <v>2</v>
      </c>
      <c r="E105" s="49">
        <f>AVERAGE('26.10 Lyantonde-Rushere-24hr'!E105,'28.10 Lyantonde-Rushere-24h'!E105)</f>
        <v>0</v>
      </c>
      <c r="F105" s="49">
        <f>AVERAGE('26.10 Lyantonde-Rushere-24hr'!F105,'28.10 Lyantonde-Rushere-24h'!F105)</f>
        <v>0.5</v>
      </c>
      <c r="G105" s="49">
        <f>AVERAGE('26.10 Lyantonde-Rushere-24hr'!G105,'28.10 Lyantonde-Rushere-24h'!G105)</f>
        <v>0</v>
      </c>
      <c r="H105" s="49">
        <f>AVERAGE('26.10 Lyantonde-Rushere-24hr'!H105,'28.10 Lyantonde-Rushere-24h'!H105)</f>
        <v>0.5</v>
      </c>
      <c r="I105" s="49">
        <f>AVERAGE('26.10 Lyantonde-Rushere-24hr'!I105,'28.10 Lyantonde-Rushere-24h'!I105)</f>
        <v>1.5</v>
      </c>
      <c r="J105" s="49">
        <f>AVERAGE('26.10 Lyantonde-Rushere-24hr'!J105,'28.10 Lyantonde-Rushere-24h'!J105)</f>
        <v>1</v>
      </c>
      <c r="K105" s="49">
        <f>AVERAGE('26.10 Lyantonde-Rushere-24hr'!K105,'28.10 Lyantonde-Rushere-24h'!K105)</f>
        <v>2</v>
      </c>
      <c r="L105" s="49">
        <f>AVERAGE('26.10 Lyantonde-Rushere-24hr'!L105,'28.10 Lyantonde-Rushere-24h'!L105)</f>
        <v>2.5</v>
      </c>
      <c r="M105" s="49">
        <f>AVERAGE('26.10 Lyantonde-Rushere-24hr'!M105,'28.10 Lyantonde-Rushere-24h'!M105)</f>
        <v>1.5</v>
      </c>
      <c r="N105" s="49">
        <f>AVERAGE('26.10 Lyantonde-Rushere-24hr'!N105,'28.10 Lyantonde-Rushere-24h'!N105)</f>
        <v>0.5</v>
      </c>
      <c r="O105" s="15">
        <f t="shared" si="35"/>
        <v>13</v>
      </c>
      <c r="P105" s="15">
        <f t="shared" si="36"/>
        <v>14.5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316.35714285714289</v>
      </c>
      <c r="D106" s="16">
        <f t="shared" ref="D106:P106" si="37">SUM(D10:D105)</f>
        <v>124.21428571428572</v>
      </c>
      <c r="E106" s="16">
        <f t="shared" si="37"/>
        <v>64.285714285714292</v>
      </c>
      <c r="F106" s="16">
        <f t="shared" si="37"/>
        <v>22.214285714285715</v>
      </c>
      <c r="G106" s="16">
        <f t="shared" si="37"/>
        <v>5.3571428571428568</v>
      </c>
      <c r="H106" s="16">
        <f t="shared" si="37"/>
        <v>9.2857142857142847</v>
      </c>
      <c r="I106" s="16">
        <f t="shared" si="37"/>
        <v>54.214285714285715</v>
      </c>
      <c r="J106" s="16">
        <f t="shared" si="37"/>
        <v>55.571428571428577</v>
      </c>
      <c r="K106" s="16">
        <f t="shared" si="37"/>
        <v>60.214285714285715</v>
      </c>
      <c r="L106" s="16">
        <f t="shared" si="37"/>
        <v>68.571428571428569</v>
      </c>
      <c r="M106" s="16">
        <f t="shared" si="37"/>
        <v>362.71428571428578</v>
      </c>
      <c r="N106" s="16">
        <f t="shared" si="37"/>
        <v>4.7142857142857144</v>
      </c>
      <c r="O106" s="16">
        <f t="shared" si="37"/>
        <v>785</v>
      </c>
      <c r="P106" s="16">
        <f t="shared" si="37"/>
        <v>1147.7142857142862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0.27564102564102555</v>
      </c>
      <c r="D107" s="43">
        <f t="shared" si="38"/>
        <v>0.1082275329848145</v>
      </c>
      <c r="E107" s="43">
        <f t="shared" si="38"/>
        <v>5.601194921583269E-2</v>
      </c>
      <c r="F107" s="43">
        <f t="shared" si="38"/>
        <v>1.935524022902663E-2</v>
      </c>
      <c r="G107" s="43">
        <f t="shared" si="38"/>
        <v>4.667662434652723E-3</v>
      </c>
      <c r="H107" s="43">
        <f t="shared" si="38"/>
        <v>8.0906148867313874E-3</v>
      </c>
      <c r="I107" s="43">
        <f t="shared" si="38"/>
        <v>4.7236743838685563E-2</v>
      </c>
      <c r="J107" s="43">
        <f t="shared" si="38"/>
        <v>4.8419218322130926E-2</v>
      </c>
      <c r="K107" s="43">
        <f t="shared" si="38"/>
        <v>5.2464525765496615E-2</v>
      </c>
      <c r="L107" s="43">
        <f t="shared" si="38"/>
        <v>5.9746079163554865E-2</v>
      </c>
      <c r="M107" s="43">
        <f t="shared" si="38"/>
        <v>0.31603186457555382</v>
      </c>
      <c r="N107" s="43">
        <f t="shared" si="38"/>
        <v>4.1075429424943972E-3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0.40300272975432216</v>
      </c>
      <c r="D108" s="44">
        <f t="shared" ref="D108:N108" si="39">D106/$O$106</f>
        <v>0.15823475887170155</v>
      </c>
      <c r="E108" s="44">
        <f t="shared" si="39"/>
        <v>8.1892629663330302E-2</v>
      </c>
      <c r="F108" s="44">
        <f t="shared" si="39"/>
        <v>2.8298453139217472E-2</v>
      </c>
      <c r="G108" s="44">
        <f t="shared" si="39"/>
        <v>6.8243858052775249E-3</v>
      </c>
      <c r="H108" s="44">
        <f t="shared" si="39"/>
        <v>1.1828935395814375E-2</v>
      </c>
      <c r="I108" s="44">
        <f t="shared" si="39"/>
        <v>6.906278434940856E-2</v>
      </c>
      <c r="J108" s="44">
        <f t="shared" si="39"/>
        <v>7.0791628753412203E-2</v>
      </c>
      <c r="K108" s="44">
        <f t="shared" si="39"/>
        <v>7.6706096451319386E-2</v>
      </c>
      <c r="L108" s="44">
        <f t="shared" si="39"/>
        <v>8.7352138307552313E-2</v>
      </c>
      <c r="M108" s="44"/>
      <c r="N108" s="44">
        <f t="shared" si="39"/>
        <v>6.0054595086442225E-3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F44" zoomScale="60" workbookViewId="0">
      <selection activeCell="AE69" sqref="AE6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'31.10 Rushere-Lyantonde'!C3:G3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'31.10 Rushere-Lyantonde'!G5:H5</f>
        <v>Kaguta road JTC</v>
      </c>
      <c r="H5" s="64"/>
      <c r="I5" s="14"/>
      <c r="J5" s="2" t="s">
        <v>5</v>
      </c>
      <c r="K5" s="63" t="s">
        <v>178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'31.10 Rushere-Lyantonde'!D6:E6</f>
        <v>Rushere</v>
      </c>
      <c r="E6" s="64"/>
      <c r="F6" s="2" t="s">
        <v>2</v>
      </c>
      <c r="G6" s="63" t="str">
        <f>'31.10 Rushere-Lyantonde'!G6:H6</f>
        <v>Lyantonde</v>
      </c>
      <c r="H6" s="64"/>
      <c r="J6" s="2" t="s">
        <v>21</v>
      </c>
      <c r="K6" s="63" t="str">
        <f>'31.10 Rushere-Lyantonde'!K6:L6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AVERAGE('25.10 Rushere-Lyantonde'!C10,'26.10 Rushere-Lyantonde-24hr'!C10,'27.10 Rushere-Lyantonde'!C10,'28.10 Rushere-Lyantonde-24h'!C10,'29.10 Rushere-Lyantonde'!C10,'30.10 Rushere-Lyantonde'!C10,'31.10 Rushere-Lyantonde'!C10)</f>
        <v>1.8571428571428572</v>
      </c>
      <c r="D10" s="49">
        <f>AVERAGE('25.10 Rushere-Lyantonde'!D10,'26.10 Rushere-Lyantonde-24hr'!D10,'27.10 Rushere-Lyantonde'!D10,'28.10 Rushere-Lyantonde-24h'!D10,'29.10 Rushere-Lyantonde'!D10,'30.10 Rushere-Lyantonde'!D10,'31.10 Rushere-Lyantonde'!D10)</f>
        <v>1.1428571428571428</v>
      </c>
      <c r="E10" s="49">
        <f>AVERAGE('25.10 Rushere-Lyantonde'!E10,'26.10 Rushere-Lyantonde-24hr'!E10,'27.10 Rushere-Lyantonde'!E10,'28.10 Rushere-Lyantonde-24h'!E10,'29.10 Rushere-Lyantonde'!E10,'30.10 Rushere-Lyantonde'!E10,'31.10 Rushere-Lyantonde'!E10)</f>
        <v>1</v>
      </c>
      <c r="F10" s="49">
        <f>AVERAGE('25.10 Rushere-Lyantonde'!F10,'26.10 Rushere-Lyantonde-24hr'!F10,'27.10 Rushere-Lyantonde'!F10,'28.10 Rushere-Lyantonde-24h'!F10,'29.10 Rushere-Lyantonde'!F10,'30.10 Rushere-Lyantonde'!F10,'31.10 Rushere-Lyantonde'!F10)</f>
        <v>1.4285714285714286</v>
      </c>
      <c r="G10" s="49">
        <f>AVERAGE('25.10 Rushere-Lyantonde'!G10,'26.10 Rushere-Lyantonde-24hr'!G10,'27.10 Rushere-Lyantonde'!G10,'28.10 Rushere-Lyantonde-24h'!G10,'29.10 Rushere-Lyantonde'!G10,'30.10 Rushere-Lyantonde'!G10,'31.10 Rushere-Lyantonde'!G10)</f>
        <v>0.14285714285714285</v>
      </c>
      <c r="H10" s="49">
        <f>AVERAGE('25.10 Rushere-Lyantonde'!H10,'26.10 Rushere-Lyantonde-24hr'!H10,'27.10 Rushere-Lyantonde'!H10,'28.10 Rushere-Lyantonde-24h'!H10,'29.10 Rushere-Lyantonde'!H10,'30.10 Rushere-Lyantonde'!H10,'31.10 Rushere-Lyantonde'!H10)</f>
        <v>0.14285714285714285</v>
      </c>
      <c r="I10" s="49">
        <f>AVERAGE('25.10 Rushere-Lyantonde'!I10,'26.10 Rushere-Lyantonde-24hr'!I10,'27.10 Rushere-Lyantonde'!I10,'28.10 Rushere-Lyantonde-24h'!I10,'29.10 Rushere-Lyantonde'!I10,'30.10 Rushere-Lyantonde'!I10,'31.10 Rushere-Lyantonde'!I10)</f>
        <v>0.5714285714285714</v>
      </c>
      <c r="J10" s="49">
        <f>AVERAGE('25.10 Rushere-Lyantonde'!J10,'26.10 Rushere-Lyantonde-24hr'!J10,'27.10 Rushere-Lyantonde'!J10,'28.10 Rushere-Lyantonde-24h'!J10,'29.10 Rushere-Lyantonde'!J10,'30.10 Rushere-Lyantonde'!J10,'31.10 Rushere-Lyantonde'!J10)</f>
        <v>1</v>
      </c>
      <c r="K10" s="49">
        <f>AVERAGE('25.10 Rushere-Lyantonde'!K10,'26.10 Rushere-Lyantonde-24hr'!K10,'27.10 Rushere-Lyantonde'!K10,'28.10 Rushere-Lyantonde-24h'!K10,'29.10 Rushere-Lyantonde'!K10,'30.10 Rushere-Lyantonde'!K10,'31.10 Rushere-Lyantonde'!K10)</f>
        <v>0</v>
      </c>
      <c r="L10" s="49">
        <f>AVERAGE('25.10 Rushere-Lyantonde'!L10,'26.10 Rushere-Lyantonde-24hr'!L10,'27.10 Rushere-Lyantonde'!L10,'28.10 Rushere-Lyantonde-24h'!L10,'29.10 Rushere-Lyantonde'!L10,'30.10 Rushere-Lyantonde'!L10,'31.10 Rushere-Lyantonde'!L10)</f>
        <v>0</v>
      </c>
      <c r="M10" s="49">
        <f>AVERAGE('25.10 Rushere-Lyantonde'!M10,'26.10 Rushere-Lyantonde-24hr'!M10,'27.10 Rushere-Lyantonde'!M10,'28.10 Rushere-Lyantonde-24h'!M10,'29.10 Rushere-Lyantonde'!M10,'30.10 Rushere-Lyantonde'!M10,'31.10 Rushere-Lyantonde'!M10)</f>
        <v>4</v>
      </c>
      <c r="N10" s="49">
        <f>AVERAGE('25.10 Rushere-Lyantonde'!N10,'26.10 Rushere-Lyantonde-24hr'!N10,'27.10 Rushere-Lyantonde'!N10,'28.10 Rushere-Lyantonde-24h'!N10,'29.10 Rushere-Lyantonde'!N10,'30.10 Rushere-Lyantonde'!N10,'31.10 Rushere-Lyantonde'!N10)</f>
        <v>0</v>
      </c>
      <c r="O10" s="15">
        <f t="shared" ref="O10:O73" si="0">SUM(C10:L10,N10)</f>
        <v>7.2857142857142865</v>
      </c>
      <c r="P10" s="15">
        <f t="shared" ref="P10:P73" si="1">SUM(C10:N10)</f>
        <v>11.285714285714286</v>
      </c>
      <c r="R10" s="1" t="s">
        <v>6</v>
      </c>
      <c r="S10" s="17">
        <f t="shared" ref="S10:AF10" si="2">SUM(C10:C13)</f>
        <v>10</v>
      </c>
      <c r="T10" s="17">
        <f t="shared" si="2"/>
        <v>4.2857142857142856</v>
      </c>
      <c r="U10" s="17">
        <f t="shared" si="2"/>
        <v>2.1428571428571428</v>
      </c>
      <c r="V10" s="17">
        <f t="shared" si="2"/>
        <v>2.5714285714285712</v>
      </c>
      <c r="W10" s="17">
        <f t="shared" si="2"/>
        <v>0.14285714285714285</v>
      </c>
      <c r="X10" s="17">
        <f t="shared" si="2"/>
        <v>0.2857142857142857</v>
      </c>
      <c r="Y10" s="17">
        <f t="shared" si="2"/>
        <v>2.1428571428571428</v>
      </c>
      <c r="Z10" s="17">
        <f t="shared" si="2"/>
        <v>1.5714285714285714</v>
      </c>
      <c r="AA10" s="17">
        <f t="shared" si="2"/>
        <v>1.2857142857142856</v>
      </c>
      <c r="AB10" s="17">
        <f t="shared" si="2"/>
        <v>0.14285714285714285</v>
      </c>
      <c r="AC10" s="17">
        <f t="shared" si="2"/>
        <v>14.285714285714286</v>
      </c>
      <c r="AD10" s="17">
        <f t="shared" si="2"/>
        <v>0</v>
      </c>
      <c r="AE10" s="31">
        <f t="shared" si="2"/>
        <v>24.571428571428577</v>
      </c>
      <c r="AF10" s="31">
        <f t="shared" si="2"/>
        <v>38.857142857142854</v>
      </c>
    </row>
    <row r="11" spans="2:32" s="6" customFormat="1" ht="23.1" customHeight="1" x14ac:dyDescent="0.25">
      <c r="B11" s="23" t="s">
        <v>38</v>
      </c>
      <c r="C11" s="49">
        <f>AVERAGE('25.10 Rushere-Lyantonde'!C11,'26.10 Rushere-Lyantonde-24hr'!C11,'27.10 Rushere-Lyantonde'!C11,'28.10 Rushere-Lyantonde-24h'!C11,'29.10 Rushere-Lyantonde'!C11,'30.10 Rushere-Lyantonde'!C11,'31.10 Rushere-Lyantonde'!C11)</f>
        <v>2.1428571428571428</v>
      </c>
      <c r="D11" s="49">
        <f>AVERAGE('25.10 Rushere-Lyantonde'!D11,'26.10 Rushere-Lyantonde-24hr'!D11,'27.10 Rushere-Lyantonde'!D11,'28.10 Rushere-Lyantonde-24h'!D11,'29.10 Rushere-Lyantonde'!D11,'30.10 Rushere-Lyantonde'!D11,'31.10 Rushere-Lyantonde'!D11)</f>
        <v>1.1428571428571428</v>
      </c>
      <c r="E11" s="49">
        <f>AVERAGE('25.10 Rushere-Lyantonde'!E11,'26.10 Rushere-Lyantonde-24hr'!E11,'27.10 Rushere-Lyantonde'!E11,'28.10 Rushere-Lyantonde-24h'!E11,'29.10 Rushere-Lyantonde'!E11,'30.10 Rushere-Lyantonde'!E11,'31.10 Rushere-Lyantonde'!E11)</f>
        <v>0.2857142857142857</v>
      </c>
      <c r="F11" s="49">
        <f>AVERAGE('25.10 Rushere-Lyantonde'!F11,'26.10 Rushere-Lyantonde-24hr'!F11,'27.10 Rushere-Lyantonde'!F11,'28.10 Rushere-Lyantonde-24h'!F11,'29.10 Rushere-Lyantonde'!F11,'30.10 Rushere-Lyantonde'!F11,'31.10 Rushere-Lyantonde'!F11)</f>
        <v>0.7142857142857143</v>
      </c>
      <c r="G11" s="49">
        <f>AVERAGE('25.10 Rushere-Lyantonde'!G11,'26.10 Rushere-Lyantonde-24hr'!G11,'27.10 Rushere-Lyantonde'!G11,'28.10 Rushere-Lyantonde-24h'!G11,'29.10 Rushere-Lyantonde'!G11,'30.10 Rushere-Lyantonde'!G11,'31.10 Rushere-Lyantonde'!G11)</f>
        <v>0</v>
      </c>
      <c r="H11" s="49">
        <f>AVERAGE('25.10 Rushere-Lyantonde'!H11,'26.10 Rushere-Lyantonde-24hr'!H11,'27.10 Rushere-Lyantonde'!H11,'28.10 Rushere-Lyantonde-24h'!H11,'29.10 Rushere-Lyantonde'!H11,'30.10 Rushere-Lyantonde'!H11,'31.10 Rushere-Lyantonde'!H11)</f>
        <v>0.14285714285714285</v>
      </c>
      <c r="I11" s="49">
        <f>AVERAGE('25.10 Rushere-Lyantonde'!I11,'26.10 Rushere-Lyantonde-24hr'!I11,'27.10 Rushere-Lyantonde'!I11,'28.10 Rushere-Lyantonde-24h'!I11,'29.10 Rushere-Lyantonde'!I11,'30.10 Rushere-Lyantonde'!I11,'31.10 Rushere-Lyantonde'!I11)</f>
        <v>0.8571428571428571</v>
      </c>
      <c r="J11" s="49">
        <f>AVERAGE('25.10 Rushere-Lyantonde'!J11,'26.10 Rushere-Lyantonde-24hr'!J11,'27.10 Rushere-Lyantonde'!J11,'28.10 Rushere-Lyantonde-24h'!J11,'29.10 Rushere-Lyantonde'!J11,'30.10 Rushere-Lyantonde'!J11,'31.10 Rushere-Lyantonde'!J11)</f>
        <v>0</v>
      </c>
      <c r="K11" s="49">
        <f>AVERAGE('25.10 Rushere-Lyantonde'!K11,'26.10 Rushere-Lyantonde-24hr'!K11,'27.10 Rushere-Lyantonde'!K11,'28.10 Rushere-Lyantonde-24h'!K11,'29.10 Rushere-Lyantonde'!K11,'30.10 Rushere-Lyantonde'!K11,'31.10 Rushere-Lyantonde'!K11)</f>
        <v>0.7142857142857143</v>
      </c>
      <c r="L11" s="49">
        <f>AVERAGE('25.10 Rushere-Lyantonde'!L11,'26.10 Rushere-Lyantonde-24hr'!L11,'27.10 Rushere-Lyantonde'!L11,'28.10 Rushere-Lyantonde-24h'!L11,'29.10 Rushere-Lyantonde'!L11,'30.10 Rushere-Lyantonde'!L11,'31.10 Rushere-Lyantonde'!L11)</f>
        <v>0</v>
      </c>
      <c r="M11" s="49">
        <f>AVERAGE('25.10 Rushere-Lyantonde'!M11,'26.10 Rushere-Lyantonde-24hr'!M11,'27.10 Rushere-Lyantonde'!M11,'28.10 Rushere-Lyantonde-24h'!M11,'29.10 Rushere-Lyantonde'!M11,'30.10 Rushere-Lyantonde'!M11,'31.10 Rushere-Lyantonde'!M11)</f>
        <v>3</v>
      </c>
      <c r="N11" s="49">
        <f>AVERAGE('25.10 Rushere-Lyantonde'!N11,'26.10 Rushere-Lyantonde-24hr'!N11,'27.10 Rushere-Lyantonde'!N11,'28.10 Rushere-Lyantonde-24h'!N11,'29.10 Rushere-Lyantonde'!N11,'30.10 Rushere-Lyantonde'!N11,'31.10 Rushere-Lyantonde'!N11)</f>
        <v>0</v>
      </c>
      <c r="O11" s="15">
        <f t="shared" si="0"/>
        <v>6</v>
      </c>
      <c r="P11" s="15">
        <f t="shared" si="1"/>
        <v>9</v>
      </c>
      <c r="R11" s="1" t="s">
        <v>7</v>
      </c>
      <c r="S11" s="17">
        <f t="shared" ref="S11:AF11" si="3">SUM(C14:C17)</f>
        <v>11.571428571428571</v>
      </c>
      <c r="T11" s="17">
        <f t="shared" si="3"/>
        <v>2.4285714285714288</v>
      </c>
      <c r="U11" s="17">
        <f t="shared" si="3"/>
        <v>0.85714285714285721</v>
      </c>
      <c r="V11" s="17">
        <f t="shared" si="3"/>
        <v>0.2857142857142857</v>
      </c>
      <c r="W11" s="17">
        <f t="shared" si="3"/>
        <v>0.14285714285714285</v>
      </c>
      <c r="X11" s="17">
        <f t="shared" si="3"/>
        <v>0.2857142857142857</v>
      </c>
      <c r="Y11" s="17">
        <f t="shared" si="3"/>
        <v>1.2857142857142856</v>
      </c>
      <c r="Z11" s="17">
        <f t="shared" si="3"/>
        <v>0.71428571428571419</v>
      </c>
      <c r="AA11" s="17">
        <f t="shared" si="3"/>
        <v>0.5714285714285714</v>
      </c>
      <c r="AB11" s="17">
        <f t="shared" si="3"/>
        <v>0</v>
      </c>
      <c r="AC11" s="17">
        <f t="shared" si="3"/>
        <v>17.142857142857142</v>
      </c>
      <c r="AD11" s="17">
        <f t="shared" si="3"/>
        <v>0</v>
      </c>
      <c r="AE11" s="31">
        <f t="shared" si="3"/>
        <v>18.142857142857146</v>
      </c>
      <c r="AF11" s="31">
        <f t="shared" si="3"/>
        <v>35.285714285714292</v>
      </c>
    </row>
    <row r="12" spans="2:32" ht="23.1" customHeight="1" x14ac:dyDescent="0.25">
      <c r="B12" s="23" t="s">
        <v>39</v>
      </c>
      <c r="C12" s="49">
        <f>AVERAGE('25.10 Rushere-Lyantonde'!C12,'26.10 Rushere-Lyantonde-24hr'!C12,'27.10 Rushere-Lyantonde'!C12,'28.10 Rushere-Lyantonde-24h'!C12,'29.10 Rushere-Lyantonde'!C12,'30.10 Rushere-Lyantonde'!C12,'31.10 Rushere-Lyantonde'!C12)</f>
        <v>3.1428571428571428</v>
      </c>
      <c r="D12" s="49">
        <f>AVERAGE('25.10 Rushere-Lyantonde'!D12,'26.10 Rushere-Lyantonde-24hr'!D12,'27.10 Rushere-Lyantonde'!D12,'28.10 Rushere-Lyantonde-24h'!D12,'29.10 Rushere-Lyantonde'!D12,'30.10 Rushere-Lyantonde'!D12,'31.10 Rushere-Lyantonde'!D12)</f>
        <v>0.7142857142857143</v>
      </c>
      <c r="E12" s="49">
        <f>AVERAGE('25.10 Rushere-Lyantonde'!E12,'26.10 Rushere-Lyantonde-24hr'!E12,'27.10 Rushere-Lyantonde'!E12,'28.10 Rushere-Lyantonde-24h'!E12,'29.10 Rushere-Lyantonde'!E12,'30.10 Rushere-Lyantonde'!E12,'31.10 Rushere-Lyantonde'!E12)</f>
        <v>0.42857142857142855</v>
      </c>
      <c r="F12" s="49">
        <f>AVERAGE('25.10 Rushere-Lyantonde'!F12,'26.10 Rushere-Lyantonde-24hr'!F12,'27.10 Rushere-Lyantonde'!F12,'28.10 Rushere-Lyantonde-24h'!F12,'29.10 Rushere-Lyantonde'!F12,'30.10 Rushere-Lyantonde'!F12,'31.10 Rushere-Lyantonde'!F12)</f>
        <v>0.14285714285714285</v>
      </c>
      <c r="G12" s="49">
        <f>AVERAGE('25.10 Rushere-Lyantonde'!G12,'26.10 Rushere-Lyantonde-24hr'!G12,'27.10 Rushere-Lyantonde'!G12,'28.10 Rushere-Lyantonde-24h'!G12,'29.10 Rushere-Lyantonde'!G12,'30.10 Rushere-Lyantonde'!G12,'31.10 Rushere-Lyantonde'!G12)</f>
        <v>0</v>
      </c>
      <c r="H12" s="49">
        <f>AVERAGE('25.10 Rushere-Lyantonde'!H12,'26.10 Rushere-Lyantonde-24hr'!H12,'27.10 Rushere-Lyantonde'!H12,'28.10 Rushere-Lyantonde-24h'!H12,'29.10 Rushere-Lyantonde'!H12,'30.10 Rushere-Lyantonde'!H12,'31.10 Rushere-Lyantonde'!H12)</f>
        <v>0</v>
      </c>
      <c r="I12" s="49">
        <f>AVERAGE('25.10 Rushere-Lyantonde'!I12,'26.10 Rushere-Lyantonde-24hr'!I12,'27.10 Rushere-Lyantonde'!I12,'28.10 Rushere-Lyantonde-24h'!I12,'29.10 Rushere-Lyantonde'!I12,'30.10 Rushere-Lyantonde'!I12,'31.10 Rushere-Lyantonde'!I12)</f>
        <v>0.7142857142857143</v>
      </c>
      <c r="J12" s="49">
        <f>AVERAGE('25.10 Rushere-Lyantonde'!J12,'26.10 Rushere-Lyantonde-24hr'!J12,'27.10 Rushere-Lyantonde'!J12,'28.10 Rushere-Lyantonde-24h'!J12,'29.10 Rushere-Lyantonde'!J12,'30.10 Rushere-Lyantonde'!J12,'31.10 Rushere-Lyantonde'!J12)</f>
        <v>0.14285714285714285</v>
      </c>
      <c r="K12" s="49">
        <f>AVERAGE('25.10 Rushere-Lyantonde'!K12,'26.10 Rushere-Lyantonde-24hr'!K12,'27.10 Rushere-Lyantonde'!K12,'28.10 Rushere-Lyantonde-24h'!K12,'29.10 Rushere-Lyantonde'!K12,'30.10 Rushere-Lyantonde'!K12,'31.10 Rushere-Lyantonde'!K12)</f>
        <v>0.5714285714285714</v>
      </c>
      <c r="L12" s="49">
        <f>AVERAGE('25.10 Rushere-Lyantonde'!L12,'26.10 Rushere-Lyantonde-24hr'!L12,'27.10 Rushere-Lyantonde'!L12,'28.10 Rushere-Lyantonde-24h'!L12,'29.10 Rushere-Lyantonde'!L12,'30.10 Rushere-Lyantonde'!L12,'31.10 Rushere-Lyantonde'!L12)</f>
        <v>0</v>
      </c>
      <c r="M12" s="49">
        <f>AVERAGE('25.10 Rushere-Lyantonde'!M12,'26.10 Rushere-Lyantonde-24hr'!M12,'27.10 Rushere-Lyantonde'!M12,'28.10 Rushere-Lyantonde-24h'!M12,'29.10 Rushere-Lyantonde'!M12,'30.10 Rushere-Lyantonde'!M12,'31.10 Rushere-Lyantonde'!M12)</f>
        <v>3.4285714285714284</v>
      </c>
      <c r="N12" s="49">
        <f>AVERAGE('25.10 Rushere-Lyantonde'!N12,'26.10 Rushere-Lyantonde-24hr'!N12,'27.10 Rushere-Lyantonde'!N12,'28.10 Rushere-Lyantonde-24h'!N12,'29.10 Rushere-Lyantonde'!N12,'30.10 Rushere-Lyantonde'!N12,'31.10 Rushere-Lyantonde'!N12)</f>
        <v>0</v>
      </c>
      <c r="O12" s="15">
        <f t="shared" si="0"/>
        <v>5.8571428571428577</v>
      </c>
      <c r="P12" s="15">
        <f t="shared" si="1"/>
        <v>9.2857142857142865</v>
      </c>
      <c r="R12" s="1" t="s">
        <v>8</v>
      </c>
      <c r="S12" s="17">
        <f t="shared" ref="S12:AF12" si="4">SUM(C18:C21)</f>
        <v>11.857142857142856</v>
      </c>
      <c r="T12" s="17">
        <f t="shared" si="4"/>
        <v>3.5714285714285712</v>
      </c>
      <c r="U12" s="17">
        <f t="shared" si="4"/>
        <v>1.4285714285714284</v>
      </c>
      <c r="V12" s="17">
        <f t="shared" si="4"/>
        <v>0.71428571428571419</v>
      </c>
      <c r="W12" s="17">
        <f t="shared" si="4"/>
        <v>0</v>
      </c>
      <c r="X12" s="17">
        <f t="shared" si="4"/>
        <v>0.71428571428571419</v>
      </c>
      <c r="Y12" s="17">
        <f t="shared" si="4"/>
        <v>1.1428571428571428</v>
      </c>
      <c r="Z12" s="17">
        <f t="shared" si="4"/>
        <v>0.71428571428571419</v>
      </c>
      <c r="AA12" s="17">
        <f t="shared" si="4"/>
        <v>0.71428571428571419</v>
      </c>
      <c r="AB12" s="17">
        <f t="shared" si="4"/>
        <v>0.14285714285714285</v>
      </c>
      <c r="AC12" s="17">
        <f t="shared" si="4"/>
        <v>21.142857142857146</v>
      </c>
      <c r="AD12" s="17">
        <f t="shared" si="4"/>
        <v>0</v>
      </c>
      <c r="AE12" s="31">
        <f t="shared" si="4"/>
        <v>21</v>
      </c>
      <c r="AF12" s="31">
        <f t="shared" si="4"/>
        <v>42.142857142857146</v>
      </c>
    </row>
    <row r="13" spans="2:32" ht="23.1" customHeight="1" x14ac:dyDescent="0.25">
      <c r="B13" s="23" t="s">
        <v>40</v>
      </c>
      <c r="C13" s="49">
        <f>AVERAGE('25.10 Rushere-Lyantonde'!C13,'26.10 Rushere-Lyantonde-24hr'!C13,'27.10 Rushere-Lyantonde'!C13,'28.10 Rushere-Lyantonde-24h'!C13,'29.10 Rushere-Lyantonde'!C13,'30.10 Rushere-Lyantonde'!C13,'31.10 Rushere-Lyantonde'!C13)</f>
        <v>2.8571428571428572</v>
      </c>
      <c r="D13" s="49">
        <f>AVERAGE('25.10 Rushere-Lyantonde'!D13,'26.10 Rushere-Lyantonde-24hr'!D13,'27.10 Rushere-Lyantonde'!D13,'28.10 Rushere-Lyantonde-24h'!D13,'29.10 Rushere-Lyantonde'!D13,'30.10 Rushere-Lyantonde'!D13,'31.10 Rushere-Lyantonde'!D13)</f>
        <v>1.2857142857142858</v>
      </c>
      <c r="E13" s="49">
        <f>AVERAGE('25.10 Rushere-Lyantonde'!E13,'26.10 Rushere-Lyantonde-24hr'!E13,'27.10 Rushere-Lyantonde'!E13,'28.10 Rushere-Lyantonde-24h'!E13,'29.10 Rushere-Lyantonde'!E13,'30.10 Rushere-Lyantonde'!E13,'31.10 Rushere-Lyantonde'!E13)</f>
        <v>0.42857142857142855</v>
      </c>
      <c r="F13" s="49">
        <f>AVERAGE('25.10 Rushere-Lyantonde'!F13,'26.10 Rushere-Lyantonde-24hr'!F13,'27.10 Rushere-Lyantonde'!F13,'28.10 Rushere-Lyantonde-24h'!F13,'29.10 Rushere-Lyantonde'!F13,'30.10 Rushere-Lyantonde'!F13,'31.10 Rushere-Lyantonde'!F13)</f>
        <v>0.2857142857142857</v>
      </c>
      <c r="G13" s="49">
        <f>AVERAGE('25.10 Rushere-Lyantonde'!G13,'26.10 Rushere-Lyantonde-24hr'!G13,'27.10 Rushere-Lyantonde'!G13,'28.10 Rushere-Lyantonde-24h'!G13,'29.10 Rushere-Lyantonde'!G13,'30.10 Rushere-Lyantonde'!G13,'31.10 Rushere-Lyantonde'!G13)</f>
        <v>0</v>
      </c>
      <c r="H13" s="49">
        <f>AVERAGE('25.10 Rushere-Lyantonde'!H13,'26.10 Rushere-Lyantonde-24hr'!H13,'27.10 Rushere-Lyantonde'!H13,'28.10 Rushere-Lyantonde-24h'!H13,'29.10 Rushere-Lyantonde'!H13,'30.10 Rushere-Lyantonde'!H13,'31.10 Rushere-Lyantonde'!H13)</f>
        <v>0</v>
      </c>
      <c r="I13" s="49">
        <f>AVERAGE('25.10 Rushere-Lyantonde'!I13,'26.10 Rushere-Lyantonde-24hr'!I13,'27.10 Rushere-Lyantonde'!I13,'28.10 Rushere-Lyantonde-24h'!I13,'29.10 Rushere-Lyantonde'!I13,'30.10 Rushere-Lyantonde'!I13,'31.10 Rushere-Lyantonde'!I13)</f>
        <v>0</v>
      </c>
      <c r="J13" s="49">
        <f>AVERAGE('25.10 Rushere-Lyantonde'!J13,'26.10 Rushere-Lyantonde-24hr'!J13,'27.10 Rushere-Lyantonde'!J13,'28.10 Rushere-Lyantonde-24h'!J13,'29.10 Rushere-Lyantonde'!J13,'30.10 Rushere-Lyantonde'!J13,'31.10 Rushere-Lyantonde'!J13)</f>
        <v>0.42857142857142855</v>
      </c>
      <c r="K13" s="49">
        <f>AVERAGE('25.10 Rushere-Lyantonde'!K13,'26.10 Rushere-Lyantonde-24hr'!K13,'27.10 Rushere-Lyantonde'!K13,'28.10 Rushere-Lyantonde-24h'!K13,'29.10 Rushere-Lyantonde'!K13,'30.10 Rushere-Lyantonde'!K13,'31.10 Rushere-Lyantonde'!K13)</f>
        <v>0</v>
      </c>
      <c r="L13" s="49">
        <f>AVERAGE('25.10 Rushere-Lyantonde'!L13,'26.10 Rushere-Lyantonde-24hr'!L13,'27.10 Rushere-Lyantonde'!L13,'28.10 Rushere-Lyantonde-24h'!L13,'29.10 Rushere-Lyantonde'!L13,'30.10 Rushere-Lyantonde'!L13,'31.10 Rushere-Lyantonde'!L13)</f>
        <v>0.14285714285714285</v>
      </c>
      <c r="M13" s="49">
        <f>AVERAGE('25.10 Rushere-Lyantonde'!M13,'26.10 Rushere-Lyantonde-24hr'!M13,'27.10 Rushere-Lyantonde'!M13,'28.10 Rushere-Lyantonde-24h'!M13,'29.10 Rushere-Lyantonde'!M13,'30.10 Rushere-Lyantonde'!M13,'31.10 Rushere-Lyantonde'!M13)</f>
        <v>3.8571428571428572</v>
      </c>
      <c r="N13" s="49">
        <f>AVERAGE('25.10 Rushere-Lyantonde'!N13,'26.10 Rushere-Lyantonde-24hr'!N13,'27.10 Rushere-Lyantonde'!N13,'28.10 Rushere-Lyantonde-24h'!N13,'29.10 Rushere-Lyantonde'!N13,'30.10 Rushere-Lyantonde'!N13,'31.10 Rushere-Lyantonde'!N13)</f>
        <v>0</v>
      </c>
      <c r="O13" s="15">
        <f t="shared" si="0"/>
        <v>5.4285714285714297</v>
      </c>
      <c r="P13" s="15">
        <f t="shared" si="1"/>
        <v>9.2857142857142865</v>
      </c>
      <c r="R13" s="1" t="s">
        <v>9</v>
      </c>
      <c r="S13" s="17">
        <f t="shared" ref="S13:AF13" si="5">SUM(C22:C25)</f>
        <v>15.285714285714286</v>
      </c>
      <c r="T13" s="17">
        <f t="shared" si="5"/>
        <v>3.7142857142857144</v>
      </c>
      <c r="U13" s="17">
        <f t="shared" si="5"/>
        <v>2.1428571428571428</v>
      </c>
      <c r="V13" s="17">
        <f t="shared" si="5"/>
        <v>0.42857142857142855</v>
      </c>
      <c r="W13" s="17">
        <f t="shared" si="5"/>
        <v>0.42857142857142855</v>
      </c>
      <c r="X13" s="17">
        <f t="shared" si="5"/>
        <v>0.71428571428571419</v>
      </c>
      <c r="Y13" s="17">
        <f t="shared" si="5"/>
        <v>2</v>
      </c>
      <c r="Z13" s="17">
        <f t="shared" si="5"/>
        <v>0.85714285714285698</v>
      </c>
      <c r="AA13" s="17">
        <f t="shared" si="5"/>
        <v>0.2857142857142857</v>
      </c>
      <c r="AB13" s="17">
        <f t="shared" si="5"/>
        <v>0</v>
      </c>
      <c r="AC13" s="17">
        <f t="shared" si="5"/>
        <v>23.142857142857139</v>
      </c>
      <c r="AD13" s="17">
        <f t="shared" si="5"/>
        <v>0.14285714285714285</v>
      </c>
      <c r="AE13" s="31">
        <f t="shared" si="5"/>
        <v>26.000000000000004</v>
      </c>
      <c r="AF13" s="31">
        <f t="shared" si="5"/>
        <v>49.142857142857146</v>
      </c>
    </row>
    <row r="14" spans="2:32" ht="23.1" customHeight="1" x14ac:dyDescent="0.25">
      <c r="B14" s="23" t="s">
        <v>41</v>
      </c>
      <c r="C14" s="49">
        <f>AVERAGE('25.10 Rushere-Lyantonde'!C14,'26.10 Rushere-Lyantonde-24hr'!C14,'27.10 Rushere-Lyantonde'!C14,'28.10 Rushere-Lyantonde-24h'!C14,'29.10 Rushere-Lyantonde'!C14,'30.10 Rushere-Lyantonde'!C14,'31.10 Rushere-Lyantonde'!C14)</f>
        <v>3.2857142857142856</v>
      </c>
      <c r="D14" s="49">
        <f>AVERAGE('25.10 Rushere-Lyantonde'!D14,'26.10 Rushere-Lyantonde-24hr'!D14,'27.10 Rushere-Lyantonde'!D14,'28.10 Rushere-Lyantonde-24h'!D14,'29.10 Rushere-Lyantonde'!D14,'30.10 Rushere-Lyantonde'!D14,'31.10 Rushere-Lyantonde'!D14)</f>
        <v>0.7142857142857143</v>
      </c>
      <c r="E14" s="49">
        <f>AVERAGE('25.10 Rushere-Lyantonde'!E14,'26.10 Rushere-Lyantonde-24hr'!E14,'27.10 Rushere-Lyantonde'!E14,'28.10 Rushere-Lyantonde-24h'!E14,'29.10 Rushere-Lyantonde'!E14,'30.10 Rushere-Lyantonde'!E14,'31.10 Rushere-Lyantonde'!E14)</f>
        <v>0.7142857142857143</v>
      </c>
      <c r="F14" s="49">
        <f>AVERAGE('25.10 Rushere-Lyantonde'!F14,'26.10 Rushere-Lyantonde-24hr'!F14,'27.10 Rushere-Lyantonde'!F14,'28.10 Rushere-Lyantonde-24h'!F14,'29.10 Rushere-Lyantonde'!F14,'30.10 Rushere-Lyantonde'!F14,'31.10 Rushere-Lyantonde'!F14)</f>
        <v>0</v>
      </c>
      <c r="G14" s="49">
        <f>AVERAGE('25.10 Rushere-Lyantonde'!G14,'26.10 Rushere-Lyantonde-24hr'!G14,'27.10 Rushere-Lyantonde'!G14,'28.10 Rushere-Lyantonde-24h'!G14,'29.10 Rushere-Lyantonde'!G14,'30.10 Rushere-Lyantonde'!G14,'31.10 Rushere-Lyantonde'!G14)</f>
        <v>0</v>
      </c>
      <c r="H14" s="49">
        <f>AVERAGE('25.10 Rushere-Lyantonde'!H14,'26.10 Rushere-Lyantonde-24hr'!H14,'27.10 Rushere-Lyantonde'!H14,'28.10 Rushere-Lyantonde-24h'!H14,'29.10 Rushere-Lyantonde'!H14,'30.10 Rushere-Lyantonde'!H14,'31.10 Rushere-Lyantonde'!H14)</f>
        <v>0</v>
      </c>
      <c r="I14" s="49">
        <f>AVERAGE('25.10 Rushere-Lyantonde'!I14,'26.10 Rushere-Lyantonde-24hr'!I14,'27.10 Rushere-Lyantonde'!I14,'28.10 Rushere-Lyantonde-24h'!I14,'29.10 Rushere-Lyantonde'!I14,'30.10 Rushere-Lyantonde'!I14,'31.10 Rushere-Lyantonde'!I14)</f>
        <v>0</v>
      </c>
      <c r="J14" s="49">
        <f>AVERAGE('25.10 Rushere-Lyantonde'!J14,'26.10 Rushere-Lyantonde-24hr'!J14,'27.10 Rushere-Lyantonde'!J14,'28.10 Rushere-Lyantonde-24h'!J14,'29.10 Rushere-Lyantonde'!J14,'30.10 Rushere-Lyantonde'!J14,'31.10 Rushere-Lyantonde'!J14)</f>
        <v>0.14285714285714285</v>
      </c>
      <c r="K14" s="49">
        <f>AVERAGE('25.10 Rushere-Lyantonde'!K14,'26.10 Rushere-Lyantonde-24hr'!K14,'27.10 Rushere-Lyantonde'!K14,'28.10 Rushere-Lyantonde-24h'!K14,'29.10 Rushere-Lyantonde'!K14,'30.10 Rushere-Lyantonde'!K14,'31.10 Rushere-Lyantonde'!K14)</f>
        <v>0.14285714285714285</v>
      </c>
      <c r="L14" s="49">
        <f>AVERAGE('25.10 Rushere-Lyantonde'!L14,'26.10 Rushere-Lyantonde-24hr'!L14,'27.10 Rushere-Lyantonde'!L14,'28.10 Rushere-Lyantonde-24h'!L14,'29.10 Rushere-Lyantonde'!L14,'30.10 Rushere-Lyantonde'!L14,'31.10 Rushere-Lyantonde'!L14)</f>
        <v>0</v>
      </c>
      <c r="M14" s="49">
        <f>AVERAGE('25.10 Rushere-Lyantonde'!M14,'26.10 Rushere-Lyantonde-24hr'!M14,'27.10 Rushere-Lyantonde'!M14,'28.10 Rushere-Lyantonde-24h'!M14,'29.10 Rushere-Lyantonde'!M14,'30.10 Rushere-Lyantonde'!M14,'31.10 Rushere-Lyantonde'!M14)</f>
        <v>3.1428571428571428</v>
      </c>
      <c r="N14" s="49">
        <f>AVERAGE('25.10 Rushere-Lyantonde'!N14,'26.10 Rushere-Lyantonde-24hr'!N14,'27.10 Rushere-Lyantonde'!N14,'28.10 Rushere-Lyantonde-24h'!N14,'29.10 Rushere-Lyantonde'!N14,'30.10 Rushere-Lyantonde'!N14,'31.10 Rushere-Lyantonde'!N14)</f>
        <v>0</v>
      </c>
      <c r="O14" s="15">
        <f t="shared" si="0"/>
        <v>5.0000000000000009</v>
      </c>
      <c r="P14" s="15">
        <f t="shared" si="1"/>
        <v>8.1428571428571441</v>
      </c>
      <c r="R14" s="1" t="s">
        <v>10</v>
      </c>
      <c r="S14" s="17">
        <f t="shared" ref="S14:AF14" si="6">SUM(C26:C29)</f>
        <v>12.714285714285715</v>
      </c>
      <c r="T14" s="17">
        <f t="shared" si="6"/>
        <v>5</v>
      </c>
      <c r="U14" s="17">
        <f t="shared" si="6"/>
        <v>2.1428571428571428</v>
      </c>
      <c r="V14" s="17">
        <f t="shared" si="6"/>
        <v>0.5714285714285714</v>
      </c>
      <c r="W14" s="17">
        <f t="shared" si="6"/>
        <v>0</v>
      </c>
      <c r="X14" s="17">
        <f t="shared" si="6"/>
        <v>0</v>
      </c>
      <c r="Y14" s="17">
        <f t="shared" si="6"/>
        <v>1.4285714285714286</v>
      </c>
      <c r="Z14" s="17">
        <f t="shared" si="6"/>
        <v>0.42857142857142855</v>
      </c>
      <c r="AA14" s="17">
        <f t="shared" si="6"/>
        <v>0.5714285714285714</v>
      </c>
      <c r="AB14" s="17">
        <f t="shared" si="6"/>
        <v>0.5714285714285714</v>
      </c>
      <c r="AC14" s="17">
        <f t="shared" si="6"/>
        <v>27.285714285714285</v>
      </c>
      <c r="AD14" s="17">
        <f t="shared" si="6"/>
        <v>0.14285714285714285</v>
      </c>
      <c r="AE14" s="31">
        <f t="shared" si="6"/>
        <v>23.571428571428577</v>
      </c>
      <c r="AF14" s="31">
        <f t="shared" si="6"/>
        <v>50.857142857142861</v>
      </c>
    </row>
    <row r="15" spans="2:32" ht="23.1" customHeight="1" x14ac:dyDescent="0.25">
      <c r="B15" s="23" t="s">
        <v>42</v>
      </c>
      <c r="C15" s="49">
        <f>AVERAGE('25.10 Rushere-Lyantonde'!C15,'26.10 Rushere-Lyantonde-24hr'!C15,'27.10 Rushere-Lyantonde'!C15,'28.10 Rushere-Lyantonde-24h'!C15,'29.10 Rushere-Lyantonde'!C15,'30.10 Rushere-Lyantonde'!C15,'31.10 Rushere-Lyantonde'!C15)</f>
        <v>2.8571428571428572</v>
      </c>
      <c r="D15" s="49">
        <f>AVERAGE('25.10 Rushere-Lyantonde'!D15,'26.10 Rushere-Lyantonde-24hr'!D15,'27.10 Rushere-Lyantonde'!D15,'28.10 Rushere-Lyantonde-24h'!D15,'29.10 Rushere-Lyantonde'!D15,'30.10 Rushere-Lyantonde'!D15,'31.10 Rushere-Lyantonde'!D15)</f>
        <v>0.42857142857142855</v>
      </c>
      <c r="E15" s="49">
        <f>AVERAGE('25.10 Rushere-Lyantonde'!E15,'26.10 Rushere-Lyantonde-24hr'!E15,'27.10 Rushere-Lyantonde'!E15,'28.10 Rushere-Lyantonde-24h'!E15,'29.10 Rushere-Lyantonde'!E15,'30.10 Rushere-Lyantonde'!E15,'31.10 Rushere-Lyantonde'!E15)</f>
        <v>0</v>
      </c>
      <c r="F15" s="49">
        <f>AVERAGE('25.10 Rushere-Lyantonde'!F15,'26.10 Rushere-Lyantonde-24hr'!F15,'27.10 Rushere-Lyantonde'!F15,'28.10 Rushere-Lyantonde-24h'!F15,'29.10 Rushere-Lyantonde'!F15,'30.10 Rushere-Lyantonde'!F15,'31.10 Rushere-Lyantonde'!F15)</f>
        <v>0.2857142857142857</v>
      </c>
      <c r="G15" s="49">
        <f>AVERAGE('25.10 Rushere-Lyantonde'!G15,'26.10 Rushere-Lyantonde-24hr'!G15,'27.10 Rushere-Lyantonde'!G15,'28.10 Rushere-Lyantonde-24h'!G15,'29.10 Rushere-Lyantonde'!G15,'30.10 Rushere-Lyantonde'!G15,'31.10 Rushere-Lyantonde'!G15)</f>
        <v>0</v>
      </c>
      <c r="H15" s="49">
        <f>AVERAGE('25.10 Rushere-Lyantonde'!H15,'26.10 Rushere-Lyantonde-24hr'!H15,'27.10 Rushere-Lyantonde'!H15,'28.10 Rushere-Lyantonde-24h'!H15,'29.10 Rushere-Lyantonde'!H15,'30.10 Rushere-Lyantonde'!H15,'31.10 Rushere-Lyantonde'!H15)</f>
        <v>0.2857142857142857</v>
      </c>
      <c r="I15" s="49">
        <f>AVERAGE('25.10 Rushere-Lyantonde'!I15,'26.10 Rushere-Lyantonde-24hr'!I15,'27.10 Rushere-Lyantonde'!I15,'28.10 Rushere-Lyantonde-24h'!I15,'29.10 Rushere-Lyantonde'!I15,'30.10 Rushere-Lyantonde'!I15,'31.10 Rushere-Lyantonde'!I15)</f>
        <v>0.42857142857142855</v>
      </c>
      <c r="J15" s="49">
        <f>AVERAGE('25.10 Rushere-Lyantonde'!J15,'26.10 Rushere-Lyantonde-24hr'!J15,'27.10 Rushere-Lyantonde'!J15,'28.10 Rushere-Lyantonde-24h'!J15,'29.10 Rushere-Lyantonde'!J15,'30.10 Rushere-Lyantonde'!J15,'31.10 Rushere-Lyantonde'!J15)</f>
        <v>0</v>
      </c>
      <c r="K15" s="49">
        <f>AVERAGE('25.10 Rushere-Lyantonde'!K15,'26.10 Rushere-Lyantonde-24hr'!K15,'27.10 Rushere-Lyantonde'!K15,'28.10 Rushere-Lyantonde-24h'!K15,'29.10 Rushere-Lyantonde'!K15,'30.10 Rushere-Lyantonde'!K15,'31.10 Rushere-Lyantonde'!K15)</f>
        <v>0</v>
      </c>
      <c r="L15" s="49">
        <f>AVERAGE('25.10 Rushere-Lyantonde'!L15,'26.10 Rushere-Lyantonde-24hr'!L15,'27.10 Rushere-Lyantonde'!L15,'28.10 Rushere-Lyantonde-24h'!L15,'29.10 Rushere-Lyantonde'!L15,'30.10 Rushere-Lyantonde'!L15,'31.10 Rushere-Lyantonde'!L15)</f>
        <v>0</v>
      </c>
      <c r="M15" s="49">
        <f>AVERAGE('25.10 Rushere-Lyantonde'!M15,'26.10 Rushere-Lyantonde-24hr'!M15,'27.10 Rushere-Lyantonde'!M15,'28.10 Rushere-Lyantonde-24h'!M15,'29.10 Rushere-Lyantonde'!M15,'30.10 Rushere-Lyantonde'!M15,'31.10 Rushere-Lyantonde'!M15)</f>
        <v>4</v>
      </c>
      <c r="N15" s="49">
        <f>AVERAGE('25.10 Rushere-Lyantonde'!N15,'26.10 Rushere-Lyantonde-24hr'!N15,'27.10 Rushere-Lyantonde'!N15,'28.10 Rushere-Lyantonde-24h'!N15,'29.10 Rushere-Lyantonde'!N15,'30.10 Rushere-Lyantonde'!N15,'31.10 Rushere-Lyantonde'!N15)</f>
        <v>0</v>
      </c>
      <c r="O15" s="15">
        <f t="shared" si="0"/>
        <v>4.2857142857142856</v>
      </c>
      <c r="P15" s="15">
        <f t="shared" si="1"/>
        <v>8.2857142857142847</v>
      </c>
      <c r="R15" s="1" t="s">
        <v>11</v>
      </c>
      <c r="S15" s="17">
        <f t="shared" ref="S15:AF15" si="7">SUM(C30:C33)</f>
        <v>15.571428571428571</v>
      </c>
      <c r="T15" s="17">
        <f t="shared" si="7"/>
        <v>7.7142857142857144</v>
      </c>
      <c r="U15" s="17">
        <f t="shared" si="7"/>
        <v>2.4285714285714284</v>
      </c>
      <c r="V15" s="17">
        <f t="shared" si="7"/>
        <v>0.8571428571428571</v>
      </c>
      <c r="W15" s="17">
        <f t="shared" si="7"/>
        <v>0</v>
      </c>
      <c r="X15" s="17">
        <f t="shared" si="7"/>
        <v>0</v>
      </c>
      <c r="Y15" s="17">
        <f t="shared" si="7"/>
        <v>1.7142857142857142</v>
      </c>
      <c r="Z15" s="17">
        <f t="shared" si="7"/>
        <v>1.2857142857142856</v>
      </c>
      <c r="AA15" s="17">
        <f t="shared" si="7"/>
        <v>0.14285714285714285</v>
      </c>
      <c r="AB15" s="17">
        <f t="shared" si="7"/>
        <v>0.5714285714285714</v>
      </c>
      <c r="AC15" s="17">
        <f t="shared" si="7"/>
        <v>26.142857142857146</v>
      </c>
      <c r="AD15" s="17">
        <f t="shared" si="7"/>
        <v>0</v>
      </c>
      <c r="AE15" s="31">
        <f t="shared" si="7"/>
        <v>30.285714285714285</v>
      </c>
      <c r="AF15" s="31">
        <f t="shared" si="7"/>
        <v>56.428571428571431</v>
      </c>
    </row>
    <row r="16" spans="2:32" ht="23.1" customHeight="1" x14ac:dyDescent="0.25">
      <c r="B16" s="23" t="s">
        <v>43</v>
      </c>
      <c r="C16" s="49">
        <f>AVERAGE('25.10 Rushere-Lyantonde'!C16,'26.10 Rushere-Lyantonde-24hr'!C16,'27.10 Rushere-Lyantonde'!C16,'28.10 Rushere-Lyantonde-24h'!C16,'29.10 Rushere-Lyantonde'!C16,'30.10 Rushere-Lyantonde'!C16,'31.10 Rushere-Lyantonde'!C16)</f>
        <v>2.5714285714285716</v>
      </c>
      <c r="D16" s="49">
        <f>AVERAGE('25.10 Rushere-Lyantonde'!D16,'26.10 Rushere-Lyantonde-24hr'!D16,'27.10 Rushere-Lyantonde'!D16,'28.10 Rushere-Lyantonde-24h'!D16,'29.10 Rushere-Lyantonde'!D16,'30.10 Rushere-Lyantonde'!D16,'31.10 Rushere-Lyantonde'!D16)</f>
        <v>0.7142857142857143</v>
      </c>
      <c r="E16" s="49">
        <f>AVERAGE('25.10 Rushere-Lyantonde'!E16,'26.10 Rushere-Lyantonde-24hr'!E16,'27.10 Rushere-Lyantonde'!E16,'28.10 Rushere-Lyantonde-24h'!E16,'29.10 Rushere-Lyantonde'!E16,'30.10 Rushere-Lyantonde'!E16,'31.10 Rushere-Lyantonde'!E16)</f>
        <v>0</v>
      </c>
      <c r="F16" s="49">
        <f>AVERAGE('25.10 Rushere-Lyantonde'!F16,'26.10 Rushere-Lyantonde-24hr'!F16,'27.10 Rushere-Lyantonde'!F16,'28.10 Rushere-Lyantonde-24h'!F16,'29.10 Rushere-Lyantonde'!F16,'30.10 Rushere-Lyantonde'!F16,'31.10 Rushere-Lyantonde'!F16)</f>
        <v>0</v>
      </c>
      <c r="G16" s="49">
        <f>AVERAGE('25.10 Rushere-Lyantonde'!G16,'26.10 Rushere-Lyantonde-24hr'!G16,'27.10 Rushere-Lyantonde'!G16,'28.10 Rushere-Lyantonde-24h'!G16,'29.10 Rushere-Lyantonde'!G16,'30.10 Rushere-Lyantonde'!G16,'31.10 Rushere-Lyantonde'!G16)</f>
        <v>0</v>
      </c>
      <c r="H16" s="49">
        <f>AVERAGE('25.10 Rushere-Lyantonde'!H16,'26.10 Rushere-Lyantonde-24hr'!H16,'27.10 Rushere-Lyantonde'!H16,'28.10 Rushere-Lyantonde-24h'!H16,'29.10 Rushere-Lyantonde'!H16,'30.10 Rushere-Lyantonde'!H16,'31.10 Rushere-Lyantonde'!H16)</f>
        <v>0</v>
      </c>
      <c r="I16" s="49">
        <f>AVERAGE('25.10 Rushere-Lyantonde'!I16,'26.10 Rushere-Lyantonde-24hr'!I16,'27.10 Rushere-Lyantonde'!I16,'28.10 Rushere-Lyantonde-24h'!I16,'29.10 Rushere-Lyantonde'!I16,'30.10 Rushere-Lyantonde'!I16,'31.10 Rushere-Lyantonde'!I16)</f>
        <v>0.42857142857142855</v>
      </c>
      <c r="J16" s="49">
        <f>AVERAGE('25.10 Rushere-Lyantonde'!J16,'26.10 Rushere-Lyantonde-24hr'!J16,'27.10 Rushere-Lyantonde'!J16,'28.10 Rushere-Lyantonde-24h'!J16,'29.10 Rushere-Lyantonde'!J16,'30.10 Rushere-Lyantonde'!J16,'31.10 Rushere-Lyantonde'!J16)</f>
        <v>0.14285714285714285</v>
      </c>
      <c r="K16" s="49">
        <f>AVERAGE('25.10 Rushere-Lyantonde'!K16,'26.10 Rushere-Lyantonde-24hr'!K16,'27.10 Rushere-Lyantonde'!K16,'28.10 Rushere-Lyantonde-24h'!K16,'29.10 Rushere-Lyantonde'!K16,'30.10 Rushere-Lyantonde'!K16,'31.10 Rushere-Lyantonde'!K16)</f>
        <v>0</v>
      </c>
      <c r="L16" s="49">
        <f>AVERAGE('25.10 Rushere-Lyantonde'!L16,'26.10 Rushere-Lyantonde-24hr'!L16,'27.10 Rushere-Lyantonde'!L16,'28.10 Rushere-Lyantonde-24h'!L16,'29.10 Rushere-Lyantonde'!L16,'30.10 Rushere-Lyantonde'!L16,'31.10 Rushere-Lyantonde'!L16)</f>
        <v>0</v>
      </c>
      <c r="M16" s="49">
        <f>AVERAGE('25.10 Rushere-Lyantonde'!M16,'26.10 Rushere-Lyantonde-24hr'!M16,'27.10 Rushere-Lyantonde'!M16,'28.10 Rushere-Lyantonde-24h'!M16,'29.10 Rushere-Lyantonde'!M16,'30.10 Rushere-Lyantonde'!M16,'31.10 Rushere-Lyantonde'!M16)</f>
        <v>5.1428571428571432</v>
      </c>
      <c r="N16" s="49">
        <f>AVERAGE('25.10 Rushere-Lyantonde'!N16,'26.10 Rushere-Lyantonde-24hr'!N16,'27.10 Rushere-Lyantonde'!N16,'28.10 Rushere-Lyantonde-24h'!N16,'29.10 Rushere-Lyantonde'!N16,'30.10 Rushere-Lyantonde'!N16,'31.10 Rushere-Lyantonde'!N16)</f>
        <v>0</v>
      </c>
      <c r="O16" s="15">
        <f t="shared" si="0"/>
        <v>3.8571428571428572</v>
      </c>
      <c r="P16" s="15">
        <f t="shared" si="1"/>
        <v>9</v>
      </c>
      <c r="R16" s="1" t="s">
        <v>12</v>
      </c>
      <c r="S16" s="17">
        <f t="shared" ref="S16:AF16" si="8">SUM(C34:C37)</f>
        <v>17.285714285714285</v>
      </c>
      <c r="T16" s="17">
        <f t="shared" si="8"/>
        <v>5.4285714285714288</v>
      </c>
      <c r="U16" s="17">
        <f t="shared" si="8"/>
        <v>2.8571428571428572</v>
      </c>
      <c r="V16" s="17">
        <f t="shared" si="8"/>
        <v>0.8571428571428571</v>
      </c>
      <c r="W16" s="17">
        <f t="shared" si="8"/>
        <v>0.14285714285714285</v>
      </c>
      <c r="X16" s="17">
        <f t="shared" si="8"/>
        <v>0</v>
      </c>
      <c r="Y16" s="17">
        <f t="shared" si="8"/>
        <v>3.7142857142857144</v>
      </c>
      <c r="Z16" s="17">
        <f t="shared" si="8"/>
        <v>1.4285714285714284</v>
      </c>
      <c r="AA16" s="17">
        <f t="shared" si="8"/>
        <v>0.85714285714285698</v>
      </c>
      <c r="AB16" s="17">
        <f t="shared" si="8"/>
        <v>0.99999999999999989</v>
      </c>
      <c r="AC16" s="17">
        <f t="shared" si="8"/>
        <v>19.857142857142858</v>
      </c>
      <c r="AD16" s="17">
        <f t="shared" si="8"/>
        <v>0.2857142857142857</v>
      </c>
      <c r="AE16" s="31">
        <f t="shared" si="8"/>
        <v>33.857142857142861</v>
      </c>
      <c r="AF16" s="31">
        <f t="shared" si="8"/>
        <v>53.714285714285715</v>
      </c>
    </row>
    <row r="17" spans="2:32" ht="23.1" customHeight="1" x14ac:dyDescent="0.25">
      <c r="B17" s="23" t="s">
        <v>44</v>
      </c>
      <c r="C17" s="49">
        <f>AVERAGE('25.10 Rushere-Lyantonde'!C17,'26.10 Rushere-Lyantonde-24hr'!C17,'27.10 Rushere-Lyantonde'!C17,'28.10 Rushere-Lyantonde-24h'!C17,'29.10 Rushere-Lyantonde'!C17,'30.10 Rushere-Lyantonde'!C17,'31.10 Rushere-Lyantonde'!C17)</f>
        <v>2.8571428571428572</v>
      </c>
      <c r="D17" s="49">
        <f>AVERAGE('25.10 Rushere-Lyantonde'!D17,'26.10 Rushere-Lyantonde-24hr'!D17,'27.10 Rushere-Lyantonde'!D17,'28.10 Rushere-Lyantonde-24h'!D17,'29.10 Rushere-Lyantonde'!D17,'30.10 Rushere-Lyantonde'!D17,'31.10 Rushere-Lyantonde'!D17)</f>
        <v>0.5714285714285714</v>
      </c>
      <c r="E17" s="49">
        <f>AVERAGE('25.10 Rushere-Lyantonde'!E17,'26.10 Rushere-Lyantonde-24hr'!E17,'27.10 Rushere-Lyantonde'!E17,'28.10 Rushere-Lyantonde-24h'!E17,'29.10 Rushere-Lyantonde'!E17,'30.10 Rushere-Lyantonde'!E17,'31.10 Rushere-Lyantonde'!E17)</f>
        <v>0.14285714285714285</v>
      </c>
      <c r="F17" s="49">
        <f>AVERAGE('25.10 Rushere-Lyantonde'!F17,'26.10 Rushere-Lyantonde-24hr'!F17,'27.10 Rushere-Lyantonde'!F17,'28.10 Rushere-Lyantonde-24h'!F17,'29.10 Rushere-Lyantonde'!F17,'30.10 Rushere-Lyantonde'!F17,'31.10 Rushere-Lyantonde'!F17)</f>
        <v>0</v>
      </c>
      <c r="G17" s="49">
        <f>AVERAGE('25.10 Rushere-Lyantonde'!G17,'26.10 Rushere-Lyantonde-24hr'!G17,'27.10 Rushere-Lyantonde'!G17,'28.10 Rushere-Lyantonde-24h'!G17,'29.10 Rushere-Lyantonde'!G17,'30.10 Rushere-Lyantonde'!G17,'31.10 Rushere-Lyantonde'!G17)</f>
        <v>0.14285714285714285</v>
      </c>
      <c r="H17" s="49">
        <f>AVERAGE('25.10 Rushere-Lyantonde'!H17,'26.10 Rushere-Lyantonde-24hr'!H17,'27.10 Rushere-Lyantonde'!H17,'28.10 Rushere-Lyantonde-24h'!H17,'29.10 Rushere-Lyantonde'!H17,'30.10 Rushere-Lyantonde'!H17,'31.10 Rushere-Lyantonde'!H17)</f>
        <v>0</v>
      </c>
      <c r="I17" s="49">
        <f>AVERAGE('25.10 Rushere-Lyantonde'!I17,'26.10 Rushere-Lyantonde-24hr'!I17,'27.10 Rushere-Lyantonde'!I17,'28.10 Rushere-Lyantonde-24h'!I17,'29.10 Rushere-Lyantonde'!I17,'30.10 Rushere-Lyantonde'!I17,'31.10 Rushere-Lyantonde'!I17)</f>
        <v>0.42857142857142855</v>
      </c>
      <c r="J17" s="49">
        <f>AVERAGE('25.10 Rushere-Lyantonde'!J17,'26.10 Rushere-Lyantonde-24hr'!J17,'27.10 Rushere-Lyantonde'!J17,'28.10 Rushere-Lyantonde-24h'!J17,'29.10 Rushere-Lyantonde'!J17,'30.10 Rushere-Lyantonde'!J17,'31.10 Rushere-Lyantonde'!J17)</f>
        <v>0.42857142857142855</v>
      </c>
      <c r="K17" s="49">
        <f>AVERAGE('25.10 Rushere-Lyantonde'!K17,'26.10 Rushere-Lyantonde-24hr'!K17,'27.10 Rushere-Lyantonde'!K17,'28.10 Rushere-Lyantonde-24h'!K17,'29.10 Rushere-Lyantonde'!K17,'30.10 Rushere-Lyantonde'!K17,'31.10 Rushere-Lyantonde'!K17)</f>
        <v>0.42857142857142855</v>
      </c>
      <c r="L17" s="49">
        <f>AVERAGE('25.10 Rushere-Lyantonde'!L17,'26.10 Rushere-Lyantonde-24hr'!L17,'27.10 Rushere-Lyantonde'!L17,'28.10 Rushere-Lyantonde-24h'!L17,'29.10 Rushere-Lyantonde'!L17,'30.10 Rushere-Lyantonde'!L17,'31.10 Rushere-Lyantonde'!L17)</f>
        <v>0</v>
      </c>
      <c r="M17" s="49">
        <f>AVERAGE('25.10 Rushere-Lyantonde'!M17,'26.10 Rushere-Lyantonde-24hr'!M17,'27.10 Rushere-Lyantonde'!M17,'28.10 Rushere-Lyantonde-24h'!M17,'29.10 Rushere-Lyantonde'!M17,'30.10 Rushere-Lyantonde'!M17,'31.10 Rushere-Lyantonde'!M17)</f>
        <v>4.8571428571428568</v>
      </c>
      <c r="N17" s="49">
        <f>AVERAGE('25.10 Rushere-Lyantonde'!N17,'26.10 Rushere-Lyantonde-24hr'!N17,'27.10 Rushere-Lyantonde'!N17,'28.10 Rushere-Lyantonde-24h'!N17,'29.10 Rushere-Lyantonde'!N17,'30.10 Rushere-Lyantonde'!N17,'31.10 Rushere-Lyantonde'!N17)</f>
        <v>0</v>
      </c>
      <c r="O17" s="15">
        <f t="shared" si="0"/>
        <v>5.0000000000000009</v>
      </c>
      <c r="P17" s="15">
        <f t="shared" si="1"/>
        <v>9.8571428571428577</v>
      </c>
      <c r="R17" s="1" t="s">
        <v>13</v>
      </c>
      <c r="S17" s="17">
        <f t="shared" ref="S17:AF17" si="9">SUM(C38:C41)</f>
        <v>18</v>
      </c>
      <c r="T17" s="17">
        <f t="shared" si="9"/>
        <v>6.8571428571428568</v>
      </c>
      <c r="U17" s="17">
        <f t="shared" si="9"/>
        <v>2.5714285714285712</v>
      </c>
      <c r="V17" s="17">
        <f t="shared" si="9"/>
        <v>0.2857142857142857</v>
      </c>
      <c r="W17" s="17">
        <f t="shared" si="9"/>
        <v>0</v>
      </c>
      <c r="X17" s="17">
        <f t="shared" si="9"/>
        <v>0</v>
      </c>
      <c r="Y17" s="17">
        <f t="shared" si="9"/>
        <v>3.4285714285714284</v>
      </c>
      <c r="Z17" s="17">
        <f t="shared" si="9"/>
        <v>1.7142857142857142</v>
      </c>
      <c r="AA17" s="17">
        <f t="shared" si="9"/>
        <v>1.5714285714285714</v>
      </c>
      <c r="AB17" s="17">
        <f t="shared" si="9"/>
        <v>1.2857142857142856</v>
      </c>
      <c r="AC17" s="17">
        <f t="shared" si="9"/>
        <v>27.714285714285715</v>
      </c>
      <c r="AD17" s="17">
        <f t="shared" si="9"/>
        <v>0</v>
      </c>
      <c r="AE17" s="31">
        <f t="shared" si="9"/>
        <v>35.714285714285715</v>
      </c>
      <c r="AF17" s="31">
        <f t="shared" si="9"/>
        <v>63.428571428571431</v>
      </c>
    </row>
    <row r="18" spans="2:32" ht="23.1" customHeight="1" x14ac:dyDescent="0.25">
      <c r="B18" s="23" t="s">
        <v>45</v>
      </c>
      <c r="C18" s="49">
        <f>AVERAGE('25.10 Rushere-Lyantonde'!C18,'26.10 Rushere-Lyantonde-24hr'!C18,'27.10 Rushere-Lyantonde'!C18,'28.10 Rushere-Lyantonde-24h'!C18,'29.10 Rushere-Lyantonde'!C18,'30.10 Rushere-Lyantonde'!C18,'31.10 Rushere-Lyantonde'!C18)</f>
        <v>2.7142857142857144</v>
      </c>
      <c r="D18" s="49">
        <f>AVERAGE('25.10 Rushere-Lyantonde'!D18,'26.10 Rushere-Lyantonde-24hr'!D18,'27.10 Rushere-Lyantonde'!D18,'28.10 Rushere-Lyantonde-24h'!D18,'29.10 Rushere-Lyantonde'!D18,'30.10 Rushere-Lyantonde'!D18,'31.10 Rushere-Lyantonde'!D18)</f>
        <v>0.7142857142857143</v>
      </c>
      <c r="E18" s="49">
        <f>AVERAGE('25.10 Rushere-Lyantonde'!E18,'26.10 Rushere-Lyantonde-24hr'!E18,'27.10 Rushere-Lyantonde'!E18,'28.10 Rushere-Lyantonde-24h'!E18,'29.10 Rushere-Lyantonde'!E18,'30.10 Rushere-Lyantonde'!E18,'31.10 Rushere-Lyantonde'!E18)</f>
        <v>0.5714285714285714</v>
      </c>
      <c r="F18" s="49">
        <f>AVERAGE('25.10 Rushere-Lyantonde'!F18,'26.10 Rushere-Lyantonde-24hr'!F18,'27.10 Rushere-Lyantonde'!F18,'28.10 Rushere-Lyantonde-24h'!F18,'29.10 Rushere-Lyantonde'!F18,'30.10 Rushere-Lyantonde'!F18,'31.10 Rushere-Lyantonde'!F18)</f>
        <v>0.42857142857142855</v>
      </c>
      <c r="G18" s="49">
        <f>AVERAGE('25.10 Rushere-Lyantonde'!G18,'26.10 Rushere-Lyantonde-24hr'!G18,'27.10 Rushere-Lyantonde'!G18,'28.10 Rushere-Lyantonde-24h'!G18,'29.10 Rushere-Lyantonde'!G18,'30.10 Rushere-Lyantonde'!G18,'31.10 Rushere-Lyantonde'!G18)</f>
        <v>0</v>
      </c>
      <c r="H18" s="49">
        <f>AVERAGE('25.10 Rushere-Lyantonde'!H18,'26.10 Rushere-Lyantonde-24hr'!H18,'27.10 Rushere-Lyantonde'!H18,'28.10 Rushere-Lyantonde-24h'!H18,'29.10 Rushere-Lyantonde'!H18,'30.10 Rushere-Lyantonde'!H18,'31.10 Rushere-Lyantonde'!H18)</f>
        <v>0</v>
      </c>
      <c r="I18" s="49">
        <f>AVERAGE('25.10 Rushere-Lyantonde'!I18,'26.10 Rushere-Lyantonde-24hr'!I18,'27.10 Rushere-Lyantonde'!I18,'28.10 Rushere-Lyantonde-24h'!I18,'29.10 Rushere-Lyantonde'!I18,'30.10 Rushere-Lyantonde'!I18,'31.10 Rushere-Lyantonde'!I18)</f>
        <v>0</v>
      </c>
      <c r="J18" s="49">
        <f>AVERAGE('25.10 Rushere-Lyantonde'!J18,'26.10 Rushere-Lyantonde-24hr'!J18,'27.10 Rushere-Lyantonde'!J18,'28.10 Rushere-Lyantonde-24h'!J18,'29.10 Rushere-Lyantonde'!J18,'30.10 Rushere-Lyantonde'!J18,'31.10 Rushere-Lyantonde'!J18)</f>
        <v>0.2857142857142857</v>
      </c>
      <c r="K18" s="49">
        <f>AVERAGE('25.10 Rushere-Lyantonde'!K18,'26.10 Rushere-Lyantonde-24hr'!K18,'27.10 Rushere-Lyantonde'!K18,'28.10 Rushere-Lyantonde-24h'!K18,'29.10 Rushere-Lyantonde'!K18,'30.10 Rushere-Lyantonde'!K18,'31.10 Rushere-Lyantonde'!K18)</f>
        <v>0.2857142857142857</v>
      </c>
      <c r="L18" s="49">
        <f>AVERAGE('25.10 Rushere-Lyantonde'!L18,'26.10 Rushere-Lyantonde-24hr'!L18,'27.10 Rushere-Lyantonde'!L18,'28.10 Rushere-Lyantonde-24h'!L18,'29.10 Rushere-Lyantonde'!L18,'30.10 Rushere-Lyantonde'!L18,'31.10 Rushere-Lyantonde'!L18)</f>
        <v>0</v>
      </c>
      <c r="M18" s="49">
        <f>AVERAGE('25.10 Rushere-Lyantonde'!M18,'26.10 Rushere-Lyantonde-24hr'!M18,'27.10 Rushere-Lyantonde'!M18,'28.10 Rushere-Lyantonde-24h'!M18,'29.10 Rushere-Lyantonde'!M18,'30.10 Rushere-Lyantonde'!M18,'31.10 Rushere-Lyantonde'!M18)</f>
        <v>4.7142857142857144</v>
      </c>
      <c r="N18" s="49">
        <f>AVERAGE('25.10 Rushere-Lyantonde'!N18,'26.10 Rushere-Lyantonde-24hr'!N18,'27.10 Rushere-Lyantonde'!N18,'28.10 Rushere-Lyantonde-24h'!N18,'29.10 Rushere-Lyantonde'!N18,'30.10 Rushere-Lyantonde'!N18,'31.10 Rushere-Lyantonde'!N18)</f>
        <v>0</v>
      </c>
      <c r="O18" s="15">
        <f t="shared" si="0"/>
        <v>5</v>
      </c>
      <c r="P18" s="15">
        <f t="shared" si="1"/>
        <v>9.7142857142857153</v>
      </c>
      <c r="R18" s="1" t="s">
        <v>14</v>
      </c>
      <c r="S18" s="17">
        <f t="shared" ref="S18:AF18" si="10">SUM(C42:C45)</f>
        <v>15.714285714285715</v>
      </c>
      <c r="T18" s="17">
        <f t="shared" si="10"/>
        <v>4.5714285714285712</v>
      </c>
      <c r="U18" s="17">
        <f t="shared" si="10"/>
        <v>4.5714285714285712</v>
      </c>
      <c r="V18" s="17">
        <f t="shared" si="10"/>
        <v>0.2857142857142857</v>
      </c>
      <c r="W18" s="17">
        <f t="shared" si="10"/>
        <v>0</v>
      </c>
      <c r="X18" s="17">
        <f t="shared" si="10"/>
        <v>0</v>
      </c>
      <c r="Y18" s="17">
        <f t="shared" si="10"/>
        <v>4.2857142857142856</v>
      </c>
      <c r="Z18" s="17">
        <f t="shared" si="10"/>
        <v>3.1428571428571423</v>
      </c>
      <c r="AA18" s="17">
        <f t="shared" si="10"/>
        <v>0.71428571428571419</v>
      </c>
      <c r="AB18" s="17">
        <f t="shared" si="10"/>
        <v>0.8571428571428571</v>
      </c>
      <c r="AC18" s="17">
        <f t="shared" si="10"/>
        <v>25.857142857142854</v>
      </c>
      <c r="AD18" s="17">
        <f t="shared" si="10"/>
        <v>0</v>
      </c>
      <c r="AE18" s="31">
        <f t="shared" si="10"/>
        <v>34.142857142857139</v>
      </c>
      <c r="AF18" s="31">
        <f t="shared" si="10"/>
        <v>60</v>
      </c>
    </row>
    <row r="19" spans="2:32" ht="23.1" customHeight="1" x14ac:dyDescent="0.25">
      <c r="B19" s="23" t="s">
        <v>46</v>
      </c>
      <c r="C19" s="49">
        <f>AVERAGE('25.10 Rushere-Lyantonde'!C19,'26.10 Rushere-Lyantonde-24hr'!C19,'27.10 Rushere-Lyantonde'!C19,'28.10 Rushere-Lyantonde-24h'!C19,'29.10 Rushere-Lyantonde'!C19,'30.10 Rushere-Lyantonde'!C19,'31.10 Rushere-Lyantonde'!C19)</f>
        <v>2.4285714285714284</v>
      </c>
      <c r="D19" s="49">
        <f>AVERAGE('25.10 Rushere-Lyantonde'!D19,'26.10 Rushere-Lyantonde-24hr'!D19,'27.10 Rushere-Lyantonde'!D19,'28.10 Rushere-Lyantonde-24h'!D19,'29.10 Rushere-Lyantonde'!D19,'30.10 Rushere-Lyantonde'!D19,'31.10 Rushere-Lyantonde'!D19)</f>
        <v>0.7142857142857143</v>
      </c>
      <c r="E19" s="49">
        <f>AVERAGE('25.10 Rushere-Lyantonde'!E19,'26.10 Rushere-Lyantonde-24hr'!E19,'27.10 Rushere-Lyantonde'!E19,'28.10 Rushere-Lyantonde-24h'!E19,'29.10 Rushere-Lyantonde'!E19,'30.10 Rushere-Lyantonde'!E19,'31.10 Rushere-Lyantonde'!E19)</f>
        <v>0.14285714285714285</v>
      </c>
      <c r="F19" s="49">
        <f>AVERAGE('25.10 Rushere-Lyantonde'!F19,'26.10 Rushere-Lyantonde-24hr'!F19,'27.10 Rushere-Lyantonde'!F19,'28.10 Rushere-Lyantonde-24h'!F19,'29.10 Rushere-Lyantonde'!F19,'30.10 Rushere-Lyantonde'!F19,'31.10 Rushere-Lyantonde'!F19)</f>
        <v>0</v>
      </c>
      <c r="G19" s="49">
        <f>AVERAGE('25.10 Rushere-Lyantonde'!G19,'26.10 Rushere-Lyantonde-24hr'!G19,'27.10 Rushere-Lyantonde'!G19,'28.10 Rushere-Lyantonde-24h'!G19,'29.10 Rushere-Lyantonde'!G19,'30.10 Rushere-Lyantonde'!G19,'31.10 Rushere-Lyantonde'!G19)</f>
        <v>0</v>
      </c>
      <c r="H19" s="49">
        <f>AVERAGE('25.10 Rushere-Lyantonde'!H19,'26.10 Rushere-Lyantonde-24hr'!H19,'27.10 Rushere-Lyantonde'!H19,'28.10 Rushere-Lyantonde-24h'!H19,'29.10 Rushere-Lyantonde'!H19,'30.10 Rushere-Lyantonde'!H19,'31.10 Rushere-Lyantonde'!H19)</f>
        <v>0.2857142857142857</v>
      </c>
      <c r="I19" s="49">
        <f>AVERAGE('25.10 Rushere-Lyantonde'!I19,'26.10 Rushere-Lyantonde-24hr'!I19,'27.10 Rushere-Lyantonde'!I19,'28.10 Rushere-Lyantonde-24h'!I19,'29.10 Rushere-Lyantonde'!I19,'30.10 Rushere-Lyantonde'!I19,'31.10 Rushere-Lyantonde'!I19)</f>
        <v>0.2857142857142857</v>
      </c>
      <c r="J19" s="49">
        <f>AVERAGE('25.10 Rushere-Lyantonde'!J19,'26.10 Rushere-Lyantonde-24hr'!J19,'27.10 Rushere-Lyantonde'!J19,'28.10 Rushere-Lyantonde-24h'!J19,'29.10 Rushere-Lyantonde'!J19,'30.10 Rushere-Lyantonde'!J19,'31.10 Rushere-Lyantonde'!J19)</f>
        <v>0.14285714285714285</v>
      </c>
      <c r="K19" s="49">
        <f>AVERAGE('25.10 Rushere-Lyantonde'!K19,'26.10 Rushere-Lyantonde-24hr'!K19,'27.10 Rushere-Lyantonde'!K19,'28.10 Rushere-Lyantonde-24h'!K19,'29.10 Rushere-Lyantonde'!K19,'30.10 Rushere-Lyantonde'!K19,'31.10 Rushere-Lyantonde'!K19)</f>
        <v>0.14285714285714285</v>
      </c>
      <c r="L19" s="49">
        <f>AVERAGE('25.10 Rushere-Lyantonde'!L19,'26.10 Rushere-Lyantonde-24hr'!L19,'27.10 Rushere-Lyantonde'!L19,'28.10 Rushere-Lyantonde-24h'!L19,'29.10 Rushere-Lyantonde'!L19,'30.10 Rushere-Lyantonde'!L19,'31.10 Rushere-Lyantonde'!L19)</f>
        <v>0</v>
      </c>
      <c r="M19" s="49">
        <f>AVERAGE('25.10 Rushere-Lyantonde'!M19,'26.10 Rushere-Lyantonde-24hr'!M19,'27.10 Rushere-Lyantonde'!M19,'28.10 Rushere-Lyantonde-24h'!M19,'29.10 Rushere-Lyantonde'!M19,'30.10 Rushere-Lyantonde'!M19,'31.10 Rushere-Lyantonde'!M19)</f>
        <v>6</v>
      </c>
      <c r="N19" s="49">
        <f>AVERAGE('25.10 Rushere-Lyantonde'!N19,'26.10 Rushere-Lyantonde-24hr'!N19,'27.10 Rushere-Lyantonde'!N19,'28.10 Rushere-Lyantonde-24h'!N19,'29.10 Rushere-Lyantonde'!N19,'30.10 Rushere-Lyantonde'!N19,'31.10 Rushere-Lyantonde'!N19)</f>
        <v>0</v>
      </c>
      <c r="O19" s="15">
        <f t="shared" si="0"/>
        <v>4.1428571428571423</v>
      </c>
      <c r="P19" s="15">
        <f t="shared" si="1"/>
        <v>10.142857142857142</v>
      </c>
      <c r="R19" s="1" t="s">
        <v>15</v>
      </c>
      <c r="S19" s="17">
        <f t="shared" ref="S19:AF19" si="11">SUM(C46:C49)</f>
        <v>17.285714285714285</v>
      </c>
      <c r="T19" s="17">
        <f t="shared" si="11"/>
        <v>6.5714285714285712</v>
      </c>
      <c r="U19" s="17">
        <f t="shared" si="11"/>
        <v>4.2857142857142856</v>
      </c>
      <c r="V19" s="17">
        <f t="shared" si="11"/>
        <v>0.71428571428571419</v>
      </c>
      <c r="W19" s="17">
        <f t="shared" si="11"/>
        <v>0.2857142857142857</v>
      </c>
      <c r="X19" s="17">
        <f t="shared" si="11"/>
        <v>0</v>
      </c>
      <c r="Y19" s="17">
        <f t="shared" si="11"/>
        <v>5.4285714285714279</v>
      </c>
      <c r="Z19" s="17">
        <f t="shared" si="11"/>
        <v>5.5714285714285721</v>
      </c>
      <c r="AA19" s="17">
        <f t="shared" si="11"/>
        <v>1.2857142857142856</v>
      </c>
      <c r="AB19" s="17">
        <f t="shared" si="11"/>
        <v>0.5714285714285714</v>
      </c>
      <c r="AC19" s="17">
        <f t="shared" si="11"/>
        <v>35.857142857142854</v>
      </c>
      <c r="AD19" s="17">
        <f t="shared" si="11"/>
        <v>0</v>
      </c>
      <c r="AE19" s="31">
        <f t="shared" si="11"/>
        <v>42</v>
      </c>
      <c r="AF19" s="31">
        <f t="shared" si="11"/>
        <v>77.857142857142861</v>
      </c>
    </row>
    <row r="20" spans="2:32" ht="23.1" customHeight="1" x14ac:dyDescent="0.25">
      <c r="B20" s="23" t="s">
        <v>47</v>
      </c>
      <c r="C20" s="49">
        <f>AVERAGE('25.10 Rushere-Lyantonde'!C20,'26.10 Rushere-Lyantonde-24hr'!C20,'27.10 Rushere-Lyantonde'!C20,'28.10 Rushere-Lyantonde-24h'!C20,'29.10 Rushere-Lyantonde'!C20,'30.10 Rushere-Lyantonde'!C20,'31.10 Rushere-Lyantonde'!C20)</f>
        <v>3.1428571428571428</v>
      </c>
      <c r="D20" s="49">
        <f>AVERAGE('25.10 Rushere-Lyantonde'!D20,'26.10 Rushere-Lyantonde-24hr'!D20,'27.10 Rushere-Lyantonde'!D20,'28.10 Rushere-Lyantonde-24h'!D20,'29.10 Rushere-Lyantonde'!D20,'30.10 Rushere-Lyantonde'!D20,'31.10 Rushere-Lyantonde'!D20)</f>
        <v>0.5714285714285714</v>
      </c>
      <c r="E20" s="49">
        <f>AVERAGE('25.10 Rushere-Lyantonde'!E20,'26.10 Rushere-Lyantonde-24hr'!E20,'27.10 Rushere-Lyantonde'!E20,'28.10 Rushere-Lyantonde-24h'!E20,'29.10 Rushere-Lyantonde'!E20,'30.10 Rushere-Lyantonde'!E20,'31.10 Rushere-Lyantonde'!E20)</f>
        <v>0.42857142857142855</v>
      </c>
      <c r="F20" s="49">
        <f>AVERAGE('25.10 Rushere-Lyantonde'!F20,'26.10 Rushere-Lyantonde-24hr'!F20,'27.10 Rushere-Lyantonde'!F20,'28.10 Rushere-Lyantonde-24h'!F20,'29.10 Rushere-Lyantonde'!F20,'30.10 Rushere-Lyantonde'!F20,'31.10 Rushere-Lyantonde'!F20)</f>
        <v>0.14285714285714285</v>
      </c>
      <c r="G20" s="49">
        <f>AVERAGE('25.10 Rushere-Lyantonde'!G20,'26.10 Rushere-Lyantonde-24hr'!G20,'27.10 Rushere-Lyantonde'!G20,'28.10 Rushere-Lyantonde-24h'!G20,'29.10 Rushere-Lyantonde'!G20,'30.10 Rushere-Lyantonde'!G20,'31.10 Rushere-Lyantonde'!G20)</f>
        <v>0</v>
      </c>
      <c r="H20" s="49">
        <f>AVERAGE('25.10 Rushere-Lyantonde'!H20,'26.10 Rushere-Lyantonde-24hr'!H20,'27.10 Rushere-Lyantonde'!H20,'28.10 Rushere-Lyantonde-24h'!H20,'29.10 Rushere-Lyantonde'!H20,'30.10 Rushere-Lyantonde'!H20,'31.10 Rushere-Lyantonde'!H20)</f>
        <v>0.42857142857142855</v>
      </c>
      <c r="I20" s="49">
        <f>AVERAGE('25.10 Rushere-Lyantonde'!I20,'26.10 Rushere-Lyantonde-24hr'!I20,'27.10 Rushere-Lyantonde'!I20,'28.10 Rushere-Lyantonde-24h'!I20,'29.10 Rushere-Lyantonde'!I20,'30.10 Rushere-Lyantonde'!I20,'31.10 Rushere-Lyantonde'!I20)</f>
        <v>0.7142857142857143</v>
      </c>
      <c r="J20" s="49">
        <f>AVERAGE('25.10 Rushere-Lyantonde'!J20,'26.10 Rushere-Lyantonde-24hr'!J20,'27.10 Rushere-Lyantonde'!J20,'28.10 Rushere-Lyantonde-24h'!J20,'29.10 Rushere-Lyantonde'!J20,'30.10 Rushere-Lyantonde'!J20,'31.10 Rushere-Lyantonde'!J20)</f>
        <v>0</v>
      </c>
      <c r="K20" s="49">
        <f>AVERAGE('25.10 Rushere-Lyantonde'!K20,'26.10 Rushere-Lyantonde-24hr'!K20,'27.10 Rushere-Lyantonde'!K20,'28.10 Rushere-Lyantonde-24h'!K20,'29.10 Rushere-Lyantonde'!K20,'30.10 Rushere-Lyantonde'!K20,'31.10 Rushere-Lyantonde'!K20)</f>
        <v>0.2857142857142857</v>
      </c>
      <c r="L20" s="49">
        <f>AVERAGE('25.10 Rushere-Lyantonde'!L20,'26.10 Rushere-Lyantonde-24hr'!L20,'27.10 Rushere-Lyantonde'!L20,'28.10 Rushere-Lyantonde-24h'!L20,'29.10 Rushere-Lyantonde'!L20,'30.10 Rushere-Lyantonde'!L20,'31.10 Rushere-Lyantonde'!L20)</f>
        <v>0.14285714285714285</v>
      </c>
      <c r="M20" s="49">
        <f>AVERAGE('25.10 Rushere-Lyantonde'!M20,'26.10 Rushere-Lyantonde-24hr'!M20,'27.10 Rushere-Lyantonde'!M20,'28.10 Rushere-Lyantonde-24h'!M20,'29.10 Rushere-Lyantonde'!M20,'30.10 Rushere-Lyantonde'!M20,'31.10 Rushere-Lyantonde'!M20)</f>
        <v>4.7142857142857144</v>
      </c>
      <c r="N20" s="49">
        <f>AVERAGE('25.10 Rushere-Lyantonde'!N20,'26.10 Rushere-Lyantonde-24hr'!N20,'27.10 Rushere-Lyantonde'!N20,'28.10 Rushere-Lyantonde-24h'!N20,'29.10 Rushere-Lyantonde'!N20,'30.10 Rushere-Lyantonde'!N20,'31.10 Rushere-Lyantonde'!N20)</f>
        <v>0</v>
      </c>
      <c r="O20" s="15">
        <f t="shared" si="0"/>
        <v>5.8571428571428585</v>
      </c>
      <c r="P20" s="15">
        <f t="shared" si="1"/>
        <v>10.571428571428573</v>
      </c>
      <c r="R20" s="1" t="s">
        <v>16</v>
      </c>
      <c r="S20" s="17">
        <f t="shared" ref="S20:AF20" si="12">SUM(C50:C53)</f>
        <v>21.714285714285715</v>
      </c>
      <c r="T20" s="17">
        <f t="shared" si="12"/>
        <v>8.4285714285714288</v>
      </c>
      <c r="U20" s="17">
        <f t="shared" si="12"/>
        <v>4.5714285714285712</v>
      </c>
      <c r="V20" s="17">
        <f t="shared" si="12"/>
        <v>0.99999999999999978</v>
      </c>
      <c r="W20" s="17">
        <f t="shared" si="12"/>
        <v>0</v>
      </c>
      <c r="X20" s="17">
        <f t="shared" si="12"/>
        <v>0</v>
      </c>
      <c r="Y20" s="17">
        <f t="shared" si="12"/>
        <v>6.8571428571428577</v>
      </c>
      <c r="Z20" s="17">
        <f t="shared" si="12"/>
        <v>4.1428571428571423</v>
      </c>
      <c r="AA20" s="17">
        <f t="shared" si="12"/>
        <v>3.2857142857142856</v>
      </c>
      <c r="AB20" s="17">
        <f t="shared" si="12"/>
        <v>0.5714285714285714</v>
      </c>
      <c r="AC20" s="17">
        <f t="shared" si="12"/>
        <v>33.285714285714285</v>
      </c>
      <c r="AD20" s="17">
        <f t="shared" si="12"/>
        <v>0</v>
      </c>
      <c r="AE20" s="31">
        <f t="shared" si="12"/>
        <v>50.571428571428569</v>
      </c>
      <c r="AF20" s="31">
        <f t="shared" si="12"/>
        <v>83.857142857142847</v>
      </c>
    </row>
    <row r="21" spans="2:32" ht="23.1" customHeight="1" x14ac:dyDescent="0.25">
      <c r="B21" s="23" t="s">
        <v>48</v>
      </c>
      <c r="C21" s="49">
        <f>AVERAGE('25.10 Rushere-Lyantonde'!C21,'26.10 Rushere-Lyantonde-24hr'!C21,'27.10 Rushere-Lyantonde'!C21,'28.10 Rushere-Lyantonde-24h'!C21,'29.10 Rushere-Lyantonde'!C21,'30.10 Rushere-Lyantonde'!C21,'31.10 Rushere-Lyantonde'!C21)</f>
        <v>3.5714285714285716</v>
      </c>
      <c r="D21" s="49">
        <f>AVERAGE('25.10 Rushere-Lyantonde'!D21,'26.10 Rushere-Lyantonde-24hr'!D21,'27.10 Rushere-Lyantonde'!D21,'28.10 Rushere-Lyantonde-24h'!D21,'29.10 Rushere-Lyantonde'!D21,'30.10 Rushere-Lyantonde'!D21,'31.10 Rushere-Lyantonde'!D21)</f>
        <v>1.5714285714285714</v>
      </c>
      <c r="E21" s="49">
        <f>AVERAGE('25.10 Rushere-Lyantonde'!E21,'26.10 Rushere-Lyantonde-24hr'!E21,'27.10 Rushere-Lyantonde'!E21,'28.10 Rushere-Lyantonde-24h'!E21,'29.10 Rushere-Lyantonde'!E21,'30.10 Rushere-Lyantonde'!E21,'31.10 Rushere-Lyantonde'!E21)</f>
        <v>0.2857142857142857</v>
      </c>
      <c r="F21" s="49">
        <f>AVERAGE('25.10 Rushere-Lyantonde'!F21,'26.10 Rushere-Lyantonde-24hr'!F21,'27.10 Rushere-Lyantonde'!F21,'28.10 Rushere-Lyantonde-24h'!F21,'29.10 Rushere-Lyantonde'!F21,'30.10 Rushere-Lyantonde'!F21,'31.10 Rushere-Lyantonde'!F21)</f>
        <v>0.14285714285714285</v>
      </c>
      <c r="G21" s="49">
        <f>AVERAGE('25.10 Rushere-Lyantonde'!G21,'26.10 Rushere-Lyantonde-24hr'!G21,'27.10 Rushere-Lyantonde'!G21,'28.10 Rushere-Lyantonde-24h'!G21,'29.10 Rushere-Lyantonde'!G21,'30.10 Rushere-Lyantonde'!G21,'31.10 Rushere-Lyantonde'!G21)</f>
        <v>0</v>
      </c>
      <c r="H21" s="49">
        <f>AVERAGE('25.10 Rushere-Lyantonde'!H21,'26.10 Rushere-Lyantonde-24hr'!H21,'27.10 Rushere-Lyantonde'!H21,'28.10 Rushere-Lyantonde-24h'!H21,'29.10 Rushere-Lyantonde'!H21,'30.10 Rushere-Lyantonde'!H21,'31.10 Rushere-Lyantonde'!H21)</f>
        <v>0</v>
      </c>
      <c r="I21" s="49">
        <f>AVERAGE('25.10 Rushere-Lyantonde'!I21,'26.10 Rushere-Lyantonde-24hr'!I21,'27.10 Rushere-Lyantonde'!I21,'28.10 Rushere-Lyantonde-24h'!I21,'29.10 Rushere-Lyantonde'!I21,'30.10 Rushere-Lyantonde'!I21,'31.10 Rushere-Lyantonde'!I21)</f>
        <v>0.14285714285714285</v>
      </c>
      <c r="J21" s="49">
        <f>AVERAGE('25.10 Rushere-Lyantonde'!J21,'26.10 Rushere-Lyantonde-24hr'!J21,'27.10 Rushere-Lyantonde'!J21,'28.10 Rushere-Lyantonde-24h'!J21,'29.10 Rushere-Lyantonde'!J21,'30.10 Rushere-Lyantonde'!J21,'31.10 Rushere-Lyantonde'!J21)</f>
        <v>0.2857142857142857</v>
      </c>
      <c r="K21" s="49">
        <f>AVERAGE('25.10 Rushere-Lyantonde'!K21,'26.10 Rushere-Lyantonde-24hr'!K21,'27.10 Rushere-Lyantonde'!K21,'28.10 Rushere-Lyantonde-24h'!K21,'29.10 Rushere-Lyantonde'!K21,'30.10 Rushere-Lyantonde'!K21,'31.10 Rushere-Lyantonde'!K21)</f>
        <v>0</v>
      </c>
      <c r="L21" s="49">
        <f>AVERAGE('25.10 Rushere-Lyantonde'!L21,'26.10 Rushere-Lyantonde-24hr'!L21,'27.10 Rushere-Lyantonde'!L21,'28.10 Rushere-Lyantonde-24h'!L21,'29.10 Rushere-Lyantonde'!L21,'30.10 Rushere-Lyantonde'!L21,'31.10 Rushere-Lyantonde'!L21)</f>
        <v>0</v>
      </c>
      <c r="M21" s="49">
        <f>AVERAGE('25.10 Rushere-Lyantonde'!M21,'26.10 Rushere-Lyantonde-24hr'!M21,'27.10 Rushere-Lyantonde'!M21,'28.10 Rushere-Lyantonde-24h'!M21,'29.10 Rushere-Lyantonde'!M21,'30.10 Rushere-Lyantonde'!M21,'31.10 Rushere-Lyantonde'!M21)</f>
        <v>5.7142857142857144</v>
      </c>
      <c r="N21" s="49">
        <f>AVERAGE('25.10 Rushere-Lyantonde'!N21,'26.10 Rushere-Lyantonde-24hr'!N21,'27.10 Rushere-Lyantonde'!N21,'28.10 Rushere-Lyantonde-24h'!N21,'29.10 Rushere-Lyantonde'!N21,'30.10 Rushere-Lyantonde'!N21,'31.10 Rushere-Lyantonde'!N21)</f>
        <v>0</v>
      </c>
      <c r="O21" s="15">
        <f t="shared" si="0"/>
        <v>6.0000000000000009</v>
      </c>
      <c r="P21" s="15">
        <f t="shared" si="1"/>
        <v>11.714285714285715</v>
      </c>
      <c r="R21" s="36" t="s">
        <v>20</v>
      </c>
      <c r="S21" s="34">
        <f t="shared" ref="S21:AF21" si="13">SUM(C54:C57)</f>
        <v>15.142857142857144</v>
      </c>
      <c r="T21" s="17">
        <f t="shared" si="13"/>
        <v>6.1428571428571432</v>
      </c>
      <c r="U21" s="17">
        <f t="shared" si="13"/>
        <v>4.4285714285714288</v>
      </c>
      <c r="V21" s="17">
        <f t="shared" si="13"/>
        <v>1.1428571428571428</v>
      </c>
      <c r="W21" s="17">
        <f t="shared" si="13"/>
        <v>0.2857142857142857</v>
      </c>
      <c r="X21" s="17">
        <f t="shared" si="13"/>
        <v>0.2857142857142857</v>
      </c>
      <c r="Y21" s="17">
        <f t="shared" si="13"/>
        <v>5.4285714285714288</v>
      </c>
      <c r="Z21" s="17">
        <f t="shared" si="13"/>
        <v>3</v>
      </c>
      <c r="AA21" s="17">
        <f t="shared" si="13"/>
        <v>2.714285714285714</v>
      </c>
      <c r="AB21" s="17">
        <f t="shared" si="13"/>
        <v>1.4285714285714286</v>
      </c>
      <c r="AC21" s="17">
        <f t="shared" si="13"/>
        <v>24.714285714285712</v>
      </c>
      <c r="AD21" s="17">
        <f t="shared" si="13"/>
        <v>0</v>
      </c>
      <c r="AE21" s="31">
        <f t="shared" si="13"/>
        <v>40</v>
      </c>
      <c r="AF21" s="31">
        <f t="shared" si="13"/>
        <v>64.714285714285708</v>
      </c>
    </row>
    <row r="22" spans="2:32" ht="23.1" customHeight="1" x14ac:dyDescent="0.25">
      <c r="B22" s="23" t="s">
        <v>49</v>
      </c>
      <c r="C22" s="49">
        <f>AVERAGE('25.10 Rushere-Lyantonde'!C22,'26.10 Rushere-Lyantonde-24hr'!C22,'27.10 Rushere-Lyantonde'!C22,'28.10 Rushere-Lyantonde-24h'!C22,'29.10 Rushere-Lyantonde'!C22,'30.10 Rushere-Lyantonde'!C22,'31.10 Rushere-Lyantonde'!C22)</f>
        <v>4.7142857142857144</v>
      </c>
      <c r="D22" s="49">
        <f>AVERAGE('25.10 Rushere-Lyantonde'!D22,'26.10 Rushere-Lyantonde-24hr'!D22,'27.10 Rushere-Lyantonde'!D22,'28.10 Rushere-Lyantonde-24h'!D22,'29.10 Rushere-Lyantonde'!D22,'30.10 Rushere-Lyantonde'!D22,'31.10 Rushere-Lyantonde'!D22)</f>
        <v>1.1428571428571428</v>
      </c>
      <c r="E22" s="49">
        <f>AVERAGE('25.10 Rushere-Lyantonde'!E22,'26.10 Rushere-Lyantonde-24hr'!E22,'27.10 Rushere-Lyantonde'!E22,'28.10 Rushere-Lyantonde-24h'!E22,'29.10 Rushere-Lyantonde'!E22,'30.10 Rushere-Lyantonde'!E22,'31.10 Rushere-Lyantonde'!E22)</f>
        <v>0.42857142857142855</v>
      </c>
      <c r="F22" s="49">
        <f>AVERAGE('25.10 Rushere-Lyantonde'!F22,'26.10 Rushere-Lyantonde-24hr'!F22,'27.10 Rushere-Lyantonde'!F22,'28.10 Rushere-Lyantonde-24h'!F22,'29.10 Rushere-Lyantonde'!F22,'30.10 Rushere-Lyantonde'!F22,'31.10 Rushere-Lyantonde'!F22)</f>
        <v>0.14285714285714285</v>
      </c>
      <c r="G22" s="49">
        <f>AVERAGE('25.10 Rushere-Lyantonde'!G22,'26.10 Rushere-Lyantonde-24hr'!G22,'27.10 Rushere-Lyantonde'!G22,'28.10 Rushere-Lyantonde-24h'!G22,'29.10 Rushere-Lyantonde'!G22,'30.10 Rushere-Lyantonde'!G22,'31.10 Rushere-Lyantonde'!G22)</f>
        <v>0.14285714285714285</v>
      </c>
      <c r="H22" s="49">
        <f>AVERAGE('25.10 Rushere-Lyantonde'!H22,'26.10 Rushere-Lyantonde-24hr'!H22,'27.10 Rushere-Lyantonde'!H22,'28.10 Rushere-Lyantonde-24h'!H22,'29.10 Rushere-Lyantonde'!H22,'30.10 Rushere-Lyantonde'!H22,'31.10 Rushere-Lyantonde'!H22)</f>
        <v>0</v>
      </c>
      <c r="I22" s="49">
        <f>AVERAGE('25.10 Rushere-Lyantonde'!I22,'26.10 Rushere-Lyantonde-24hr'!I22,'27.10 Rushere-Lyantonde'!I22,'28.10 Rushere-Lyantonde-24h'!I22,'29.10 Rushere-Lyantonde'!I22,'30.10 Rushere-Lyantonde'!I22,'31.10 Rushere-Lyantonde'!I22)</f>
        <v>0.2857142857142857</v>
      </c>
      <c r="J22" s="49">
        <f>AVERAGE('25.10 Rushere-Lyantonde'!J22,'26.10 Rushere-Lyantonde-24hr'!J22,'27.10 Rushere-Lyantonde'!J22,'28.10 Rushere-Lyantonde-24h'!J22,'29.10 Rushere-Lyantonde'!J22,'30.10 Rushere-Lyantonde'!J22,'31.10 Rushere-Lyantonde'!J22)</f>
        <v>0.2857142857142857</v>
      </c>
      <c r="K22" s="49">
        <f>AVERAGE('25.10 Rushere-Lyantonde'!K22,'26.10 Rushere-Lyantonde-24hr'!K22,'27.10 Rushere-Lyantonde'!K22,'28.10 Rushere-Lyantonde-24h'!K22,'29.10 Rushere-Lyantonde'!K22,'30.10 Rushere-Lyantonde'!K22,'31.10 Rushere-Lyantonde'!K22)</f>
        <v>0.14285714285714285</v>
      </c>
      <c r="L22" s="49">
        <f>AVERAGE('25.10 Rushere-Lyantonde'!L22,'26.10 Rushere-Lyantonde-24hr'!L22,'27.10 Rushere-Lyantonde'!L22,'28.10 Rushere-Lyantonde-24h'!L22,'29.10 Rushere-Lyantonde'!L22,'30.10 Rushere-Lyantonde'!L22,'31.10 Rushere-Lyantonde'!L22)</f>
        <v>0</v>
      </c>
      <c r="M22" s="49">
        <f>AVERAGE('25.10 Rushere-Lyantonde'!M22,'26.10 Rushere-Lyantonde-24hr'!M22,'27.10 Rushere-Lyantonde'!M22,'28.10 Rushere-Lyantonde-24h'!M22,'29.10 Rushere-Lyantonde'!M22,'30.10 Rushere-Lyantonde'!M22,'31.10 Rushere-Lyantonde'!M22)</f>
        <v>5.5714285714285712</v>
      </c>
      <c r="N22" s="49">
        <f>AVERAGE('25.10 Rushere-Lyantonde'!N22,'26.10 Rushere-Lyantonde-24hr'!N22,'27.10 Rushere-Lyantonde'!N22,'28.10 Rushere-Lyantonde-24h'!N22,'29.10 Rushere-Lyantonde'!N22,'30.10 Rushere-Lyantonde'!N22,'31.10 Rushere-Lyantonde'!N22)</f>
        <v>0</v>
      </c>
      <c r="O22" s="15">
        <f t="shared" si="0"/>
        <v>7.2857142857142874</v>
      </c>
      <c r="P22" s="15">
        <f t="shared" si="1"/>
        <v>12.857142857142858</v>
      </c>
      <c r="R22" s="1" t="s">
        <v>146</v>
      </c>
      <c r="S22" s="34">
        <f>SUM(C58:C61)</f>
        <v>14.5</v>
      </c>
      <c r="T22" s="34">
        <f t="shared" ref="T22:AF22" si="14">SUM(D58:D61)</f>
        <v>4.5</v>
      </c>
      <c r="U22" s="34">
        <f t="shared" si="14"/>
        <v>3</v>
      </c>
      <c r="V22" s="34">
        <f t="shared" si="14"/>
        <v>2</v>
      </c>
      <c r="W22" s="34">
        <f t="shared" si="14"/>
        <v>0.5</v>
      </c>
      <c r="X22" s="34">
        <f t="shared" si="14"/>
        <v>0.5</v>
      </c>
      <c r="Y22" s="34">
        <f t="shared" si="14"/>
        <v>1</v>
      </c>
      <c r="Z22" s="34">
        <f t="shared" si="14"/>
        <v>3.5</v>
      </c>
      <c r="AA22" s="34">
        <f t="shared" si="14"/>
        <v>2.5</v>
      </c>
      <c r="AB22" s="34">
        <f t="shared" si="14"/>
        <v>1</v>
      </c>
      <c r="AC22" s="34">
        <f t="shared" si="14"/>
        <v>8.5</v>
      </c>
      <c r="AD22" s="34">
        <f t="shared" si="14"/>
        <v>0</v>
      </c>
      <c r="AE22" s="31">
        <f t="shared" si="14"/>
        <v>33</v>
      </c>
      <c r="AF22" s="31">
        <f t="shared" si="14"/>
        <v>41.5</v>
      </c>
    </row>
    <row r="23" spans="2:32" ht="23.1" customHeight="1" x14ac:dyDescent="0.25">
      <c r="B23" s="23" t="s">
        <v>50</v>
      </c>
      <c r="C23" s="49">
        <f>AVERAGE('25.10 Rushere-Lyantonde'!C23,'26.10 Rushere-Lyantonde-24hr'!C23,'27.10 Rushere-Lyantonde'!C23,'28.10 Rushere-Lyantonde-24h'!C23,'29.10 Rushere-Lyantonde'!C23,'30.10 Rushere-Lyantonde'!C23,'31.10 Rushere-Lyantonde'!C23)</f>
        <v>3.8571428571428572</v>
      </c>
      <c r="D23" s="49">
        <f>AVERAGE('25.10 Rushere-Lyantonde'!D23,'26.10 Rushere-Lyantonde-24hr'!D23,'27.10 Rushere-Lyantonde'!D23,'28.10 Rushere-Lyantonde-24h'!D23,'29.10 Rushere-Lyantonde'!D23,'30.10 Rushere-Lyantonde'!D23,'31.10 Rushere-Lyantonde'!D23)</f>
        <v>0.5714285714285714</v>
      </c>
      <c r="E23" s="49">
        <f>AVERAGE('25.10 Rushere-Lyantonde'!E23,'26.10 Rushere-Lyantonde-24hr'!E23,'27.10 Rushere-Lyantonde'!E23,'28.10 Rushere-Lyantonde-24h'!E23,'29.10 Rushere-Lyantonde'!E23,'30.10 Rushere-Lyantonde'!E23,'31.10 Rushere-Lyantonde'!E23)</f>
        <v>0.5714285714285714</v>
      </c>
      <c r="F23" s="49">
        <f>AVERAGE('25.10 Rushere-Lyantonde'!F23,'26.10 Rushere-Lyantonde-24hr'!F23,'27.10 Rushere-Lyantonde'!F23,'28.10 Rushere-Lyantonde-24h'!F23,'29.10 Rushere-Lyantonde'!F23,'30.10 Rushere-Lyantonde'!F23,'31.10 Rushere-Lyantonde'!F23)</f>
        <v>0.14285714285714285</v>
      </c>
      <c r="G23" s="49">
        <f>AVERAGE('25.10 Rushere-Lyantonde'!G23,'26.10 Rushere-Lyantonde-24hr'!G23,'27.10 Rushere-Lyantonde'!G23,'28.10 Rushere-Lyantonde-24h'!G23,'29.10 Rushere-Lyantonde'!G23,'30.10 Rushere-Lyantonde'!G23,'31.10 Rushere-Lyantonde'!G23)</f>
        <v>0</v>
      </c>
      <c r="H23" s="49">
        <f>AVERAGE('25.10 Rushere-Lyantonde'!H23,'26.10 Rushere-Lyantonde-24hr'!H23,'27.10 Rushere-Lyantonde'!H23,'28.10 Rushere-Lyantonde-24h'!H23,'29.10 Rushere-Lyantonde'!H23,'30.10 Rushere-Lyantonde'!H23,'31.10 Rushere-Lyantonde'!H23)</f>
        <v>0.2857142857142857</v>
      </c>
      <c r="I23" s="49">
        <f>AVERAGE('25.10 Rushere-Lyantonde'!I23,'26.10 Rushere-Lyantonde-24hr'!I23,'27.10 Rushere-Lyantonde'!I23,'28.10 Rushere-Lyantonde-24h'!I23,'29.10 Rushere-Lyantonde'!I23,'30.10 Rushere-Lyantonde'!I23,'31.10 Rushere-Lyantonde'!I23)</f>
        <v>0.8571428571428571</v>
      </c>
      <c r="J23" s="49">
        <f>AVERAGE('25.10 Rushere-Lyantonde'!J23,'26.10 Rushere-Lyantonde-24hr'!J23,'27.10 Rushere-Lyantonde'!J23,'28.10 Rushere-Lyantonde-24h'!J23,'29.10 Rushere-Lyantonde'!J23,'30.10 Rushere-Lyantonde'!J23,'31.10 Rushere-Lyantonde'!J23)</f>
        <v>0.2857142857142857</v>
      </c>
      <c r="K23" s="49">
        <f>AVERAGE('25.10 Rushere-Lyantonde'!K23,'26.10 Rushere-Lyantonde-24hr'!K23,'27.10 Rushere-Lyantonde'!K23,'28.10 Rushere-Lyantonde-24h'!K23,'29.10 Rushere-Lyantonde'!K23,'30.10 Rushere-Lyantonde'!K23,'31.10 Rushere-Lyantonde'!K23)</f>
        <v>0</v>
      </c>
      <c r="L23" s="49">
        <f>AVERAGE('25.10 Rushere-Lyantonde'!L23,'26.10 Rushere-Lyantonde-24hr'!L23,'27.10 Rushere-Lyantonde'!L23,'28.10 Rushere-Lyantonde-24h'!L23,'29.10 Rushere-Lyantonde'!L23,'30.10 Rushere-Lyantonde'!L23,'31.10 Rushere-Lyantonde'!L23)</f>
        <v>0</v>
      </c>
      <c r="M23" s="49">
        <f>AVERAGE('25.10 Rushere-Lyantonde'!M23,'26.10 Rushere-Lyantonde-24hr'!M23,'27.10 Rushere-Lyantonde'!M23,'28.10 Rushere-Lyantonde-24h'!M23,'29.10 Rushere-Lyantonde'!M23,'30.10 Rushere-Lyantonde'!M23,'31.10 Rushere-Lyantonde'!M23)</f>
        <v>4.4285714285714288</v>
      </c>
      <c r="N23" s="49">
        <f>AVERAGE('25.10 Rushere-Lyantonde'!N23,'26.10 Rushere-Lyantonde-24hr'!N23,'27.10 Rushere-Lyantonde'!N23,'28.10 Rushere-Lyantonde-24h'!N23,'29.10 Rushere-Lyantonde'!N23,'30.10 Rushere-Lyantonde'!N23,'31.10 Rushere-Lyantonde'!N23)</f>
        <v>0</v>
      </c>
      <c r="O23" s="15">
        <f t="shared" si="0"/>
        <v>6.5714285714285712</v>
      </c>
      <c r="P23" s="15">
        <f t="shared" si="1"/>
        <v>11</v>
      </c>
      <c r="R23" s="1" t="s">
        <v>147</v>
      </c>
      <c r="S23" s="34">
        <f>SUM(C62:C65)</f>
        <v>19</v>
      </c>
      <c r="T23" s="34">
        <f t="shared" ref="T23:AF23" si="15">SUM(D62:D65)</f>
        <v>3.5</v>
      </c>
      <c r="U23" s="34">
        <f t="shared" si="15"/>
        <v>3.5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1.5</v>
      </c>
      <c r="Z23" s="34">
        <f t="shared" si="15"/>
        <v>1.5</v>
      </c>
      <c r="AA23" s="34">
        <f t="shared" si="15"/>
        <v>1</v>
      </c>
      <c r="AB23" s="34">
        <f t="shared" si="15"/>
        <v>2</v>
      </c>
      <c r="AC23" s="34">
        <f t="shared" si="15"/>
        <v>8</v>
      </c>
      <c r="AD23" s="34">
        <f t="shared" si="15"/>
        <v>0</v>
      </c>
      <c r="AE23" s="31">
        <f t="shared" si="15"/>
        <v>34</v>
      </c>
      <c r="AF23" s="31">
        <f t="shared" si="15"/>
        <v>42</v>
      </c>
    </row>
    <row r="24" spans="2:32" ht="23.1" customHeight="1" x14ac:dyDescent="0.25">
      <c r="B24" s="23" t="s">
        <v>51</v>
      </c>
      <c r="C24" s="49">
        <f>AVERAGE('25.10 Rushere-Lyantonde'!C24,'26.10 Rushere-Lyantonde-24hr'!C24,'27.10 Rushere-Lyantonde'!C24,'28.10 Rushere-Lyantonde-24h'!C24,'29.10 Rushere-Lyantonde'!C24,'30.10 Rushere-Lyantonde'!C24,'31.10 Rushere-Lyantonde'!C24)</f>
        <v>2.8571428571428572</v>
      </c>
      <c r="D24" s="49">
        <f>AVERAGE('25.10 Rushere-Lyantonde'!D24,'26.10 Rushere-Lyantonde-24hr'!D24,'27.10 Rushere-Lyantonde'!D24,'28.10 Rushere-Lyantonde-24h'!D24,'29.10 Rushere-Lyantonde'!D24,'30.10 Rushere-Lyantonde'!D24,'31.10 Rushere-Lyantonde'!D24)</f>
        <v>1.2857142857142858</v>
      </c>
      <c r="E24" s="49">
        <f>AVERAGE('25.10 Rushere-Lyantonde'!E24,'26.10 Rushere-Lyantonde-24hr'!E24,'27.10 Rushere-Lyantonde'!E24,'28.10 Rushere-Lyantonde-24h'!E24,'29.10 Rushere-Lyantonde'!E24,'30.10 Rushere-Lyantonde'!E24,'31.10 Rushere-Lyantonde'!E24)</f>
        <v>0.7142857142857143</v>
      </c>
      <c r="F24" s="49">
        <f>AVERAGE('25.10 Rushere-Lyantonde'!F24,'26.10 Rushere-Lyantonde-24hr'!F24,'27.10 Rushere-Lyantonde'!F24,'28.10 Rushere-Lyantonde-24h'!F24,'29.10 Rushere-Lyantonde'!F24,'30.10 Rushere-Lyantonde'!F24,'31.10 Rushere-Lyantonde'!F24)</f>
        <v>0.14285714285714285</v>
      </c>
      <c r="G24" s="49">
        <f>AVERAGE('25.10 Rushere-Lyantonde'!G24,'26.10 Rushere-Lyantonde-24hr'!G24,'27.10 Rushere-Lyantonde'!G24,'28.10 Rushere-Lyantonde-24h'!G24,'29.10 Rushere-Lyantonde'!G24,'30.10 Rushere-Lyantonde'!G24,'31.10 Rushere-Lyantonde'!G24)</f>
        <v>0.2857142857142857</v>
      </c>
      <c r="H24" s="49">
        <f>AVERAGE('25.10 Rushere-Lyantonde'!H24,'26.10 Rushere-Lyantonde-24hr'!H24,'27.10 Rushere-Lyantonde'!H24,'28.10 Rushere-Lyantonde-24h'!H24,'29.10 Rushere-Lyantonde'!H24,'30.10 Rushere-Lyantonde'!H24,'31.10 Rushere-Lyantonde'!H24)</f>
        <v>0.42857142857142855</v>
      </c>
      <c r="I24" s="49">
        <f>AVERAGE('25.10 Rushere-Lyantonde'!I24,'26.10 Rushere-Lyantonde-24hr'!I24,'27.10 Rushere-Lyantonde'!I24,'28.10 Rushere-Lyantonde-24h'!I24,'29.10 Rushere-Lyantonde'!I24,'30.10 Rushere-Lyantonde'!I24,'31.10 Rushere-Lyantonde'!I24)</f>
        <v>0.42857142857142855</v>
      </c>
      <c r="J24" s="49">
        <f>AVERAGE('25.10 Rushere-Lyantonde'!J24,'26.10 Rushere-Lyantonde-24hr'!J24,'27.10 Rushere-Lyantonde'!J24,'28.10 Rushere-Lyantonde-24h'!J24,'29.10 Rushere-Lyantonde'!J24,'30.10 Rushere-Lyantonde'!J24,'31.10 Rushere-Lyantonde'!J24)</f>
        <v>0.14285714285714285</v>
      </c>
      <c r="K24" s="49">
        <f>AVERAGE('25.10 Rushere-Lyantonde'!K24,'26.10 Rushere-Lyantonde-24hr'!K24,'27.10 Rushere-Lyantonde'!K24,'28.10 Rushere-Lyantonde-24h'!K24,'29.10 Rushere-Lyantonde'!K24,'30.10 Rushere-Lyantonde'!K24,'31.10 Rushere-Lyantonde'!K24)</f>
        <v>0</v>
      </c>
      <c r="L24" s="49">
        <f>AVERAGE('25.10 Rushere-Lyantonde'!L24,'26.10 Rushere-Lyantonde-24hr'!L24,'27.10 Rushere-Lyantonde'!L24,'28.10 Rushere-Lyantonde-24h'!L24,'29.10 Rushere-Lyantonde'!L24,'30.10 Rushere-Lyantonde'!L24,'31.10 Rushere-Lyantonde'!L24)</f>
        <v>0</v>
      </c>
      <c r="M24" s="49">
        <f>AVERAGE('25.10 Rushere-Lyantonde'!M24,'26.10 Rushere-Lyantonde-24hr'!M24,'27.10 Rushere-Lyantonde'!M24,'28.10 Rushere-Lyantonde-24h'!M24,'29.10 Rushere-Lyantonde'!M24,'30.10 Rushere-Lyantonde'!M24,'31.10 Rushere-Lyantonde'!M24)</f>
        <v>6.5714285714285712</v>
      </c>
      <c r="N24" s="49">
        <f>AVERAGE('25.10 Rushere-Lyantonde'!N24,'26.10 Rushere-Lyantonde-24hr'!N24,'27.10 Rushere-Lyantonde'!N24,'28.10 Rushere-Lyantonde-24h'!N24,'29.10 Rushere-Lyantonde'!N24,'30.10 Rushere-Lyantonde'!N24,'31.10 Rushere-Lyantonde'!N24)</f>
        <v>0.14285714285714285</v>
      </c>
      <c r="O24" s="15">
        <f t="shared" si="0"/>
        <v>6.4285714285714306</v>
      </c>
      <c r="P24" s="15">
        <f t="shared" si="1"/>
        <v>13</v>
      </c>
      <c r="R24" s="1" t="s">
        <v>148</v>
      </c>
      <c r="S24" s="34">
        <f>SUM(C66:C69)</f>
        <v>12.5</v>
      </c>
      <c r="T24" s="34">
        <f t="shared" ref="T24:AF24" si="16">SUM(D66:D69)</f>
        <v>4</v>
      </c>
      <c r="U24" s="34">
        <f t="shared" si="16"/>
        <v>3.5</v>
      </c>
      <c r="V24" s="34">
        <f t="shared" si="16"/>
        <v>0.5</v>
      </c>
      <c r="W24" s="34">
        <f t="shared" si="16"/>
        <v>1.5</v>
      </c>
      <c r="X24" s="34">
        <f t="shared" si="16"/>
        <v>1</v>
      </c>
      <c r="Y24" s="34">
        <f t="shared" si="16"/>
        <v>6</v>
      </c>
      <c r="Z24" s="34">
        <f t="shared" si="16"/>
        <v>3.5</v>
      </c>
      <c r="AA24" s="34">
        <f t="shared" si="16"/>
        <v>1</v>
      </c>
      <c r="AB24" s="34">
        <f t="shared" si="16"/>
        <v>0</v>
      </c>
      <c r="AC24" s="34">
        <f t="shared" si="16"/>
        <v>0</v>
      </c>
      <c r="AD24" s="34">
        <f t="shared" si="16"/>
        <v>0</v>
      </c>
      <c r="AE24" s="31">
        <f t="shared" si="16"/>
        <v>33.5</v>
      </c>
      <c r="AF24" s="31">
        <f t="shared" si="16"/>
        <v>33.5</v>
      </c>
    </row>
    <row r="25" spans="2:32" ht="23.1" customHeight="1" x14ac:dyDescent="0.25">
      <c r="B25" s="23" t="s">
        <v>52</v>
      </c>
      <c r="C25" s="49">
        <f>AVERAGE('25.10 Rushere-Lyantonde'!C25,'26.10 Rushere-Lyantonde-24hr'!C25,'27.10 Rushere-Lyantonde'!C25,'28.10 Rushere-Lyantonde-24h'!C25,'29.10 Rushere-Lyantonde'!C25,'30.10 Rushere-Lyantonde'!C25,'31.10 Rushere-Lyantonde'!C25)</f>
        <v>3.8571428571428572</v>
      </c>
      <c r="D25" s="49">
        <f>AVERAGE('25.10 Rushere-Lyantonde'!D25,'26.10 Rushere-Lyantonde-24hr'!D25,'27.10 Rushere-Lyantonde'!D25,'28.10 Rushere-Lyantonde-24h'!D25,'29.10 Rushere-Lyantonde'!D25,'30.10 Rushere-Lyantonde'!D25,'31.10 Rushere-Lyantonde'!D25)</f>
        <v>0.7142857142857143</v>
      </c>
      <c r="E25" s="49">
        <f>AVERAGE('25.10 Rushere-Lyantonde'!E25,'26.10 Rushere-Lyantonde-24hr'!E25,'27.10 Rushere-Lyantonde'!E25,'28.10 Rushere-Lyantonde-24h'!E25,'29.10 Rushere-Lyantonde'!E25,'30.10 Rushere-Lyantonde'!E25,'31.10 Rushere-Lyantonde'!E25)</f>
        <v>0.42857142857142855</v>
      </c>
      <c r="F25" s="49">
        <f>AVERAGE('25.10 Rushere-Lyantonde'!F25,'26.10 Rushere-Lyantonde-24hr'!F25,'27.10 Rushere-Lyantonde'!F25,'28.10 Rushere-Lyantonde-24h'!F25,'29.10 Rushere-Lyantonde'!F25,'30.10 Rushere-Lyantonde'!F25,'31.10 Rushere-Lyantonde'!F25)</f>
        <v>0</v>
      </c>
      <c r="G25" s="49">
        <f>AVERAGE('25.10 Rushere-Lyantonde'!G25,'26.10 Rushere-Lyantonde-24hr'!G25,'27.10 Rushere-Lyantonde'!G25,'28.10 Rushere-Lyantonde-24h'!G25,'29.10 Rushere-Lyantonde'!G25,'30.10 Rushere-Lyantonde'!G25,'31.10 Rushere-Lyantonde'!G25)</f>
        <v>0</v>
      </c>
      <c r="H25" s="49">
        <f>AVERAGE('25.10 Rushere-Lyantonde'!H25,'26.10 Rushere-Lyantonde-24hr'!H25,'27.10 Rushere-Lyantonde'!H25,'28.10 Rushere-Lyantonde-24h'!H25,'29.10 Rushere-Lyantonde'!H25,'30.10 Rushere-Lyantonde'!H25,'31.10 Rushere-Lyantonde'!H25)</f>
        <v>0</v>
      </c>
      <c r="I25" s="49">
        <f>AVERAGE('25.10 Rushere-Lyantonde'!I25,'26.10 Rushere-Lyantonde-24hr'!I25,'27.10 Rushere-Lyantonde'!I25,'28.10 Rushere-Lyantonde-24h'!I25,'29.10 Rushere-Lyantonde'!I25,'30.10 Rushere-Lyantonde'!I25,'31.10 Rushere-Lyantonde'!I25)</f>
        <v>0.42857142857142855</v>
      </c>
      <c r="J25" s="49">
        <f>AVERAGE('25.10 Rushere-Lyantonde'!J25,'26.10 Rushere-Lyantonde-24hr'!J25,'27.10 Rushere-Lyantonde'!J25,'28.10 Rushere-Lyantonde-24h'!J25,'29.10 Rushere-Lyantonde'!J25,'30.10 Rushere-Lyantonde'!J25,'31.10 Rushere-Lyantonde'!J25)</f>
        <v>0.14285714285714285</v>
      </c>
      <c r="K25" s="49">
        <f>AVERAGE('25.10 Rushere-Lyantonde'!K25,'26.10 Rushere-Lyantonde-24hr'!K25,'27.10 Rushere-Lyantonde'!K25,'28.10 Rushere-Lyantonde-24h'!K25,'29.10 Rushere-Lyantonde'!K25,'30.10 Rushere-Lyantonde'!K25,'31.10 Rushere-Lyantonde'!K25)</f>
        <v>0.14285714285714285</v>
      </c>
      <c r="L25" s="49">
        <f>AVERAGE('25.10 Rushere-Lyantonde'!L25,'26.10 Rushere-Lyantonde-24hr'!L25,'27.10 Rushere-Lyantonde'!L25,'28.10 Rushere-Lyantonde-24h'!L25,'29.10 Rushere-Lyantonde'!L25,'30.10 Rushere-Lyantonde'!L25,'31.10 Rushere-Lyantonde'!L25)</f>
        <v>0</v>
      </c>
      <c r="M25" s="49">
        <f>AVERAGE('25.10 Rushere-Lyantonde'!M25,'26.10 Rushere-Lyantonde-24hr'!M25,'27.10 Rushere-Lyantonde'!M25,'28.10 Rushere-Lyantonde-24h'!M25,'29.10 Rushere-Lyantonde'!M25,'30.10 Rushere-Lyantonde'!M25,'31.10 Rushere-Lyantonde'!M25)</f>
        <v>6.5714285714285712</v>
      </c>
      <c r="N25" s="49">
        <f>AVERAGE('25.10 Rushere-Lyantonde'!N25,'26.10 Rushere-Lyantonde-24hr'!N25,'27.10 Rushere-Lyantonde'!N25,'28.10 Rushere-Lyantonde-24h'!N25,'29.10 Rushere-Lyantonde'!N25,'30.10 Rushere-Lyantonde'!N25,'31.10 Rushere-Lyantonde'!N25)</f>
        <v>0</v>
      </c>
      <c r="O25" s="15">
        <f t="shared" si="0"/>
        <v>5.7142857142857153</v>
      </c>
      <c r="P25" s="15">
        <f t="shared" si="1"/>
        <v>12.285714285714286</v>
      </c>
      <c r="R25" s="1" t="s">
        <v>149</v>
      </c>
      <c r="S25" s="34">
        <f>SUM(C70:C73)</f>
        <v>5</v>
      </c>
      <c r="T25" s="34">
        <f t="shared" ref="T25:AF25" si="17">SUM(D70:D73)</f>
        <v>4</v>
      </c>
      <c r="U25" s="34">
        <f t="shared" si="17"/>
        <v>4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5</v>
      </c>
      <c r="AA25" s="34">
        <f t="shared" si="17"/>
        <v>0.5</v>
      </c>
      <c r="AB25" s="34">
        <f t="shared" si="17"/>
        <v>1</v>
      </c>
      <c r="AC25" s="34">
        <f t="shared" si="17"/>
        <v>0</v>
      </c>
      <c r="AD25" s="34">
        <f t="shared" si="17"/>
        <v>0</v>
      </c>
      <c r="AE25" s="31">
        <f t="shared" si="17"/>
        <v>21.5</v>
      </c>
      <c r="AF25" s="31">
        <f t="shared" si="17"/>
        <v>21.5</v>
      </c>
    </row>
    <row r="26" spans="2:32" ht="23.1" customHeight="1" x14ac:dyDescent="0.25">
      <c r="B26" s="23" t="s">
        <v>53</v>
      </c>
      <c r="C26" s="49">
        <f>AVERAGE('25.10 Rushere-Lyantonde'!C26,'26.10 Rushere-Lyantonde-24hr'!C26,'27.10 Rushere-Lyantonde'!C26,'28.10 Rushere-Lyantonde-24h'!C26,'29.10 Rushere-Lyantonde'!C26,'30.10 Rushere-Lyantonde'!C26,'31.10 Rushere-Lyantonde'!C26)</f>
        <v>3</v>
      </c>
      <c r="D26" s="49">
        <f>AVERAGE('25.10 Rushere-Lyantonde'!D26,'26.10 Rushere-Lyantonde-24hr'!D26,'27.10 Rushere-Lyantonde'!D26,'28.10 Rushere-Lyantonde-24h'!D26,'29.10 Rushere-Lyantonde'!D26,'30.10 Rushere-Lyantonde'!D26,'31.10 Rushere-Lyantonde'!D26)</f>
        <v>1.4285714285714286</v>
      </c>
      <c r="E26" s="49">
        <f>AVERAGE('25.10 Rushere-Lyantonde'!E26,'26.10 Rushere-Lyantonde-24hr'!E26,'27.10 Rushere-Lyantonde'!E26,'28.10 Rushere-Lyantonde-24h'!E26,'29.10 Rushere-Lyantonde'!E26,'30.10 Rushere-Lyantonde'!E26,'31.10 Rushere-Lyantonde'!E26)</f>
        <v>0.5714285714285714</v>
      </c>
      <c r="F26" s="49">
        <f>AVERAGE('25.10 Rushere-Lyantonde'!F26,'26.10 Rushere-Lyantonde-24hr'!F26,'27.10 Rushere-Lyantonde'!F26,'28.10 Rushere-Lyantonde-24h'!F26,'29.10 Rushere-Lyantonde'!F26,'30.10 Rushere-Lyantonde'!F26,'31.10 Rushere-Lyantonde'!F26)</f>
        <v>0.42857142857142855</v>
      </c>
      <c r="G26" s="49">
        <f>AVERAGE('25.10 Rushere-Lyantonde'!G26,'26.10 Rushere-Lyantonde-24hr'!G26,'27.10 Rushere-Lyantonde'!G26,'28.10 Rushere-Lyantonde-24h'!G26,'29.10 Rushere-Lyantonde'!G26,'30.10 Rushere-Lyantonde'!G26,'31.10 Rushere-Lyantonde'!G26)</f>
        <v>0</v>
      </c>
      <c r="H26" s="49">
        <f>AVERAGE('25.10 Rushere-Lyantonde'!H26,'26.10 Rushere-Lyantonde-24hr'!H26,'27.10 Rushere-Lyantonde'!H26,'28.10 Rushere-Lyantonde-24h'!H26,'29.10 Rushere-Lyantonde'!H26,'30.10 Rushere-Lyantonde'!H26,'31.10 Rushere-Lyantonde'!H26)</f>
        <v>0</v>
      </c>
      <c r="I26" s="49">
        <f>AVERAGE('25.10 Rushere-Lyantonde'!I26,'26.10 Rushere-Lyantonde-24hr'!I26,'27.10 Rushere-Lyantonde'!I26,'28.10 Rushere-Lyantonde-24h'!I26,'29.10 Rushere-Lyantonde'!I26,'30.10 Rushere-Lyantonde'!I26,'31.10 Rushere-Lyantonde'!I26)</f>
        <v>0.5714285714285714</v>
      </c>
      <c r="J26" s="49">
        <f>AVERAGE('25.10 Rushere-Lyantonde'!J26,'26.10 Rushere-Lyantonde-24hr'!J26,'27.10 Rushere-Lyantonde'!J26,'28.10 Rushere-Lyantonde-24h'!J26,'29.10 Rushere-Lyantonde'!J26,'30.10 Rushere-Lyantonde'!J26,'31.10 Rushere-Lyantonde'!J26)</f>
        <v>0</v>
      </c>
      <c r="K26" s="49">
        <f>AVERAGE('25.10 Rushere-Lyantonde'!K26,'26.10 Rushere-Lyantonde-24hr'!K26,'27.10 Rushere-Lyantonde'!K26,'28.10 Rushere-Lyantonde-24h'!K26,'29.10 Rushere-Lyantonde'!K26,'30.10 Rushere-Lyantonde'!K26,'31.10 Rushere-Lyantonde'!K26)</f>
        <v>0.42857142857142855</v>
      </c>
      <c r="L26" s="49">
        <f>AVERAGE('25.10 Rushere-Lyantonde'!L26,'26.10 Rushere-Lyantonde-24hr'!L26,'27.10 Rushere-Lyantonde'!L26,'28.10 Rushere-Lyantonde-24h'!L26,'29.10 Rushere-Lyantonde'!L26,'30.10 Rushere-Lyantonde'!L26,'31.10 Rushere-Lyantonde'!L26)</f>
        <v>0</v>
      </c>
      <c r="M26" s="49">
        <f>AVERAGE('25.10 Rushere-Lyantonde'!M26,'26.10 Rushere-Lyantonde-24hr'!M26,'27.10 Rushere-Lyantonde'!M26,'28.10 Rushere-Lyantonde-24h'!M26,'29.10 Rushere-Lyantonde'!M26,'30.10 Rushere-Lyantonde'!M26,'31.10 Rushere-Lyantonde'!M26)</f>
        <v>6.5714285714285712</v>
      </c>
      <c r="N26" s="49">
        <f>AVERAGE('25.10 Rushere-Lyantonde'!N26,'26.10 Rushere-Lyantonde-24hr'!N26,'27.10 Rushere-Lyantonde'!N26,'28.10 Rushere-Lyantonde-24h'!N26,'29.10 Rushere-Lyantonde'!N26,'30.10 Rushere-Lyantonde'!N26,'31.10 Rushere-Lyantonde'!N26)</f>
        <v>0.14285714285714285</v>
      </c>
      <c r="O26" s="15">
        <f t="shared" si="0"/>
        <v>6.5714285714285721</v>
      </c>
      <c r="P26" s="15">
        <f t="shared" si="1"/>
        <v>13.142857142857142</v>
      </c>
      <c r="R26" s="1" t="s">
        <v>150</v>
      </c>
      <c r="S26" s="34">
        <f>SUM(C74:C77)</f>
        <v>5.5</v>
      </c>
      <c r="T26" s="34">
        <f t="shared" ref="T26:AF26" si="18">SUM(D74:D77)</f>
        <v>3</v>
      </c>
      <c r="U26" s="34">
        <f t="shared" si="18"/>
        <v>1.5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2.5</v>
      </c>
      <c r="Z26" s="34">
        <f t="shared" si="18"/>
        <v>4.5</v>
      </c>
      <c r="AA26" s="34">
        <f t="shared" si="18"/>
        <v>1.5</v>
      </c>
      <c r="AB26" s="34">
        <f t="shared" si="18"/>
        <v>0.5</v>
      </c>
      <c r="AC26" s="34">
        <f t="shared" si="18"/>
        <v>0</v>
      </c>
      <c r="AD26" s="34">
        <f t="shared" si="18"/>
        <v>0</v>
      </c>
      <c r="AE26" s="31">
        <f t="shared" si="18"/>
        <v>19</v>
      </c>
      <c r="AF26" s="31">
        <f t="shared" si="18"/>
        <v>19</v>
      </c>
    </row>
    <row r="27" spans="2:32" ht="23.1" customHeight="1" x14ac:dyDescent="0.25">
      <c r="B27" s="23" t="s">
        <v>54</v>
      </c>
      <c r="C27" s="49">
        <f>AVERAGE('25.10 Rushere-Lyantonde'!C27,'26.10 Rushere-Lyantonde-24hr'!C27,'27.10 Rushere-Lyantonde'!C27,'28.10 Rushere-Lyantonde-24h'!C27,'29.10 Rushere-Lyantonde'!C27,'30.10 Rushere-Lyantonde'!C27,'31.10 Rushere-Lyantonde'!C27)</f>
        <v>2.8571428571428572</v>
      </c>
      <c r="D27" s="49">
        <f>AVERAGE('25.10 Rushere-Lyantonde'!D27,'26.10 Rushere-Lyantonde-24hr'!D27,'27.10 Rushere-Lyantonde'!D27,'28.10 Rushere-Lyantonde-24h'!D27,'29.10 Rushere-Lyantonde'!D27,'30.10 Rushere-Lyantonde'!D27,'31.10 Rushere-Lyantonde'!D27)</f>
        <v>0.2857142857142857</v>
      </c>
      <c r="E27" s="49">
        <f>AVERAGE('25.10 Rushere-Lyantonde'!E27,'26.10 Rushere-Lyantonde-24hr'!E27,'27.10 Rushere-Lyantonde'!E27,'28.10 Rushere-Lyantonde-24h'!E27,'29.10 Rushere-Lyantonde'!E27,'30.10 Rushere-Lyantonde'!E27,'31.10 Rushere-Lyantonde'!E27)</f>
        <v>0.5714285714285714</v>
      </c>
      <c r="F27" s="49">
        <f>AVERAGE('25.10 Rushere-Lyantonde'!F27,'26.10 Rushere-Lyantonde-24hr'!F27,'27.10 Rushere-Lyantonde'!F27,'28.10 Rushere-Lyantonde-24h'!F27,'29.10 Rushere-Lyantonde'!F27,'30.10 Rushere-Lyantonde'!F27,'31.10 Rushere-Lyantonde'!F27)</f>
        <v>0</v>
      </c>
      <c r="G27" s="49">
        <f>AVERAGE('25.10 Rushere-Lyantonde'!G27,'26.10 Rushere-Lyantonde-24hr'!G27,'27.10 Rushere-Lyantonde'!G27,'28.10 Rushere-Lyantonde-24h'!G27,'29.10 Rushere-Lyantonde'!G27,'30.10 Rushere-Lyantonde'!G27,'31.10 Rushere-Lyantonde'!G27)</f>
        <v>0</v>
      </c>
      <c r="H27" s="49">
        <f>AVERAGE('25.10 Rushere-Lyantonde'!H27,'26.10 Rushere-Lyantonde-24hr'!H27,'27.10 Rushere-Lyantonde'!H27,'28.10 Rushere-Lyantonde-24h'!H27,'29.10 Rushere-Lyantonde'!H27,'30.10 Rushere-Lyantonde'!H27,'31.10 Rushere-Lyantonde'!H27)</f>
        <v>0</v>
      </c>
      <c r="I27" s="49">
        <f>AVERAGE('25.10 Rushere-Lyantonde'!I27,'26.10 Rushere-Lyantonde-24hr'!I27,'27.10 Rushere-Lyantonde'!I27,'28.10 Rushere-Lyantonde-24h'!I27,'29.10 Rushere-Lyantonde'!I27,'30.10 Rushere-Lyantonde'!I27,'31.10 Rushere-Lyantonde'!I27)</f>
        <v>0.42857142857142855</v>
      </c>
      <c r="J27" s="49">
        <f>AVERAGE('25.10 Rushere-Lyantonde'!J27,'26.10 Rushere-Lyantonde-24hr'!J27,'27.10 Rushere-Lyantonde'!J27,'28.10 Rushere-Lyantonde-24h'!J27,'29.10 Rushere-Lyantonde'!J27,'30.10 Rushere-Lyantonde'!J27,'31.10 Rushere-Lyantonde'!J27)</f>
        <v>0</v>
      </c>
      <c r="K27" s="49">
        <f>AVERAGE('25.10 Rushere-Lyantonde'!K27,'26.10 Rushere-Lyantonde-24hr'!K27,'27.10 Rushere-Lyantonde'!K27,'28.10 Rushere-Lyantonde-24h'!K27,'29.10 Rushere-Lyantonde'!K27,'30.10 Rushere-Lyantonde'!K27,'31.10 Rushere-Lyantonde'!K27)</f>
        <v>0.14285714285714285</v>
      </c>
      <c r="L27" s="49">
        <f>AVERAGE('25.10 Rushere-Lyantonde'!L27,'26.10 Rushere-Lyantonde-24hr'!L27,'27.10 Rushere-Lyantonde'!L27,'28.10 Rushere-Lyantonde-24h'!L27,'29.10 Rushere-Lyantonde'!L27,'30.10 Rushere-Lyantonde'!L27,'31.10 Rushere-Lyantonde'!L27)</f>
        <v>0.14285714285714285</v>
      </c>
      <c r="M27" s="49">
        <f>AVERAGE('25.10 Rushere-Lyantonde'!M27,'26.10 Rushere-Lyantonde-24hr'!M27,'27.10 Rushere-Lyantonde'!M27,'28.10 Rushere-Lyantonde-24h'!M27,'29.10 Rushere-Lyantonde'!M27,'30.10 Rushere-Lyantonde'!M27,'31.10 Rushere-Lyantonde'!M27)</f>
        <v>6</v>
      </c>
      <c r="N27" s="49">
        <f>AVERAGE('25.10 Rushere-Lyantonde'!N27,'26.10 Rushere-Lyantonde-24hr'!N27,'27.10 Rushere-Lyantonde'!N27,'28.10 Rushere-Lyantonde-24h'!N27,'29.10 Rushere-Lyantonde'!N27,'30.10 Rushere-Lyantonde'!N27,'31.10 Rushere-Lyantonde'!N27)</f>
        <v>0</v>
      </c>
      <c r="O27" s="15">
        <f t="shared" si="0"/>
        <v>4.4285714285714297</v>
      </c>
      <c r="P27" s="15">
        <f t="shared" si="1"/>
        <v>10.428571428571431</v>
      </c>
      <c r="R27" s="1" t="s">
        <v>151</v>
      </c>
      <c r="S27" s="34">
        <f>SUM(C78:C81)</f>
        <v>3</v>
      </c>
      <c r="T27" s="34">
        <f t="shared" ref="T27:AF27" si="19">SUM(D78:D81)</f>
        <v>1.5</v>
      </c>
      <c r="U27" s="34">
        <f t="shared" si="19"/>
        <v>4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4.5</v>
      </c>
      <c r="Z27" s="34">
        <f t="shared" si="19"/>
        <v>5.5</v>
      </c>
      <c r="AA27" s="34">
        <f t="shared" si="19"/>
        <v>2.5</v>
      </c>
      <c r="AB27" s="34">
        <f t="shared" si="19"/>
        <v>3</v>
      </c>
      <c r="AC27" s="34">
        <f t="shared" si="19"/>
        <v>0</v>
      </c>
      <c r="AD27" s="34">
        <f t="shared" si="19"/>
        <v>0</v>
      </c>
      <c r="AE27" s="31">
        <f t="shared" si="19"/>
        <v>24</v>
      </c>
      <c r="AF27" s="31">
        <f t="shared" si="19"/>
        <v>24</v>
      </c>
    </row>
    <row r="28" spans="2:32" ht="23.1" customHeight="1" x14ac:dyDescent="0.25">
      <c r="B28" s="23" t="s">
        <v>55</v>
      </c>
      <c r="C28" s="49">
        <f>AVERAGE('25.10 Rushere-Lyantonde'!C28,'26.10 Rushere-Lyantonde-24hr'!C28,'27.10 Rushere-Lyantonde'!C28,'28.10 Rushere-Lyantonde-24h'!C28,'29.10 Rushere-Lyantonde'!C28,'30.10 Rushere-Lyantonde'!C28,'31.10 Rushere-Lyantonde'!C28)</f>
        <v>3.5714285714285716</v>
      </c>
      <c r="D28" s="49">
        <f>AVERAGE('25.10 Rushere-Lyantonde'!D28,'26.10 Rushere-Lyantonde-24hr'!D28,'27.10 Rushere-Lyantonde'!D28,'28.10 Rushere-Lyantonde-24h'!D28,'29.10 Rushere-Lyantonde'!D28,'30.10 Rushere-Lyantonde'!D28,'31.10 Rushere-Lyantonde'!D28)</f>
        <v>1.5714285714285714</v>
      </c>
      <c r="E28" s="49">
        <f>AVERAGE('25.10 Rushere-Lyantonde'!E28,'26.10 Rushere-Lyantonde-24hr'!E28,'27.10 Rushere-Lyantonde'!E28,'28.10 Rushere-Lyantonde-24h'!E28,'29.10 Rushere-Lyantonde'!E28,'30.10 Rushere-Lyantonde'!E28,'31.10 Rushere-Lyantonde'!E28)</f>
        <v>0.7142857142857143</v>
      </c>
      <c r="F28" s="49">
        <f>AVERAGE('25.10 Rushere-Lyantonde'!F28,'26.10 Rushere-Lyantonde-24hr'!F28,'27.10 Rushere-Lyantonde'!F28,'28.10 Rushere-Lyantonde-24h'!F28,'29.10 Rushere-Lyantonde'!F28,'30.10 Rushere-Lyantonde'!F28,'31.10 Rushere-Lyantonde'!F28)</f>
        <v>0</v>
      </c>
      <c r="G28" s="49">
        <f>AVERAGE('25.10 Rushere-Lyantonde'!G28,'26.10 Rushere-Lyantonde-24hr'!G28,'27.10 Rushere-Lyantonde'!G28,'28.10 Rushere-Lyantonde-24h'!G28,'29.10 Rushere-Lyantonde'!G28,'30.10 Rushere-Lyantonde'!G28,'31.10 Rushere-Lyantonde'!G28)</f>
        <v>0</v>
      </c>
      <c r="H28" s="49">
        <f>AVERAGE('25.10 Rushere-Lyantonde'!H28,'26.10 Rushere-Lyantonde-24hr'!H28,'27.10 Rushere-Lyantonde'!H28,'28.10 Rushere-Lyantonde-24h'!H28,'29.10 Rushere-Lyantonde'!H28,'30.10 Rushere-Lyantonde'!H28,'31.10 Rushere-Lyantonde'!H28)</f>
        <v>0</v>
      </c>
      <c r="I28" s="49">
        <f>AVERAGE('25.10 Rushere-Lyantonde'!I28,'26.10 Rushere-Lyantonde-24hr'!I28,'27.10 Rushere-Lyantonde'!I28,'28.10 Rushere-Lyantonde-24h'!I28,'29.10 Rushere-Lyantonde'!I28,'30.10 Rushere-Lyantonde'!I28,'31.10 Rushere-Lyantonde'!I28)</f>
        <v>0.42857142857142855</v>
      </c>
      <c r="J28" s="49">
        <f>AVERAGE('25.10 Rushere-Lyantonde'!J28,'26.10 Rushere-Lyantonde-24hr'!J28,'27.10 Rushere-Lyantonde'!J28,'28.10 Rushere-Lyantonde-24h'!J28,'29.10 Rushere-Lyantonde'!J28,'30.10 Rushere-Lyantonde'!J28,'31.10 Rushere-Lyantonde'!J28)</f>
        <v>0.14285714285714285</v>
      </c>
      <c r="K28" s="49">
        <f>AVERAGE('25.10 Rushere-Lyantonde'!K28,'26.10 Rushere-Lyantonde-24hr'!K28,'27.10 Rushere-Lyantonde'!K28,'28.10 Rushere-Lyantonde-24h'!K28,'29.10 Rushere-Lyantonde'!K28,'30.10 Rushere-Lyantonde'!K28,'31.10 Rushere-Lyantonde'!K28)</f>
        <v>0</v>
      </c>
      <c r="L28" s="49">
        <f>AVERAGE('25.10 Rushere-Lyantonde'!L28,'26.10 Rushere-Lyantonde-24hr'!L28,'27.10 Rushere-Lyantonde'!L28,'28.10 Rushere-Lyantonde-24h'!L28,'29.10 Rushere-Lyantonde'!L28,'30.10 Rushere-Lyantonde'!L28,'31.10 Rushere-Lyantonde'!L28)</f>
        <v>0.42857142857142855</v>
      </c>
      <c r="M28" s="49">
        <f>AVERAGE('25.10 Rushere-Lyantonde'!M28,'26.10 Rushere-Lyantonde-24hr'!M28,'27.10 Rushere-Lyantonde'!M28,'28.10 Rushere-Lyantonde-24h'!M28,'29.10 Rushere-Lyantonde'!M28,'30.10 Rushere-Lyantonde'!M28,'31.10 Rushere-Lyantonde'!M28)</f>
        <v>7.5714285714285712</v>
      </c>
      <c r="N28" s="49">
        <f>AVERAGE('25.10 Rushere-Lyantonde'!N28,'26.10 Rushere-Lyantonde-24hr'!N28,'27.10 Rushere-Lyantonde'!N28,'28.10 Rushere-Lyantonde-24h'!N28,'29.10 Rushere-Lyantonde'!N28,'30.10 Rushere-Lyantonde'!N28,'31.10 Rushere-Lyantonde'!N28)</f>
        <v>0</v>
      </c>
      <c r="O28" s="15">
        <f t="shared" si="0"/>
        <v>6.8571428571428585</v>
      </c>
      <c r="P28" s="15">
        <f t="shared" si="1"/>
        <v>14.428571428571431</v>
      </c>
      <c r="R28" s="1" t="s">
        <v>152</v>
      </c>
      <c r="S28" s="34">
        <f>SUM(C82:C85)</f>
        <v>1</v>
      </c>
      <c r="T28" s="34">
        <f t="shared" ref="T28:AF28" si="20">SUM(D82:D85)</f>
        <v>1</v>
      </c>
      <c r="U28" s="34">
        <f t="shared" si="20"/>
        <v>5.5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</v>
      </c>
      <c r="AA28" s="34">
        <f t="shared" si="20"/>
        <v>1.5</v>
      </c>
      <c r="AB28" s="34">
        <f t="shared" si="20"/>
        <v>4</v>
      </c>
      <c r="AC28" s="34">
        <f t="shared" si="20"/>
        <v>0</v>
      </c>
      <c r="AD28" s="34">
        <f t="shared" si="20"/>
        <v>0</v>
      </c>
      <c r="AE28" s="31">
        <f t="shared" si="20"/>
        <v>13.5</v>
      </c>
      <c r="AF28" s="31">
        <f t="shared" si="20"/>
        <v>13.5</v>
      </c>
    </row>
    <row r="29" spans="2:32" ht="23.1" customHeight="1" x14ac:dyDescent="0.25">
      <c r="B29" s="23" t="s">
        <v>56</v>
      </c>
      <c r="C29" s="49">
        <f>AVERAGE('25.10 Rushere-Lyantonde'!C29,'26.10 Rushere-Lyantonde-24hr'!C29,'27.10 Rushere-Lyantonde'!C29,'28.10 Rushere-Lyantonde-24h'!C29,'29.10 Rushere-Lyantonde'!C29,'30.10 Rushere-Lyantonde'!C29,'31.10 Rushere-Lyantonde'!C29)</f>
        <v>3.2857142857142856</v>
      </c>
      <c r="D29" s="49">
        <f>AVERAGE('25.10 Rushere-Lyantonde'!D29,'26.10 Rushere-Lyantonde-24hr'!D29,'27.10 Rushere-Lyantonde'!D29,'28.10 Rushere-Lyantonde-24h'!D29,'29.10 Rushere-Lyantonde'!D29,'30.10 Rushere-Lyantonde'!D29,'31.10 Rushere-Lyantonde'!D29)</f>
        <v>1.7142857142857142</v>
      </c>
      <c r="E29" s="49">
        <f>AVERAGE('25.10 Rushere-Lyantonde'!E29,'26.10 Rushere-Lyantonde-24hr'!E29,'27.10 Rushere-Lyantonde'!E29,'28.10 Rushere-Lyantonde-24h'!E29,'29.10 Rushere-Lyantonde'!E29,'30.10 Rushere-Lyantonde'!E29,'31.10 Rushere-Lyantonde'!E29)</f>
        <v>0.2857142857142857</v>
      </c>
      <c r="F29" s="49">
        <f>AVERAGE('25.10 Rushere-Lyantonde'!F29,'26.10 Rushere-Lyantonde-24hr'!F29,'27.10 Rushere-Lyantonde'!F29,'28.10 Rushere-Lyantonde-24h'!F29,'29.10 Rushere-Lyantonde'!F29,'30.10 Rushere-Lyantonde'!F29,'31.10 Rushere-Lyantonde'!F29)</f>
        <v>0.14285714285714285</v>
      </c>
      <c r="G29" s="49">
        <f>AVERAGE('25.10 Rushere-Lyantonde'!G29,'26.10 Rushere-Lyantonde-24hr'!G29,'27.10 Rushere-Lyantonde'!G29,'28.10 Rushere-Lyantonde-24h'!G29,'29.10 Rushere-Lyantonde'!G29,'30.10 Rushere-Lyantonde'!G29,'31.10 Rushere-Lyantonde'!G29)</f>
        <v>0</v>
      </c>
      <c r="H29" s="49">
        <f>AVERAGE('25.10 Rushere-Lyantonde'!H29,'26.10 Rushere-Lyantonde-24hr'!H29,'27.10 Rushere-Lyantonde'!H29,'28.10 Rushere-Lyantonde-24h'!H29,'29.10 Rushere-Lyantonde'!H29,'30.10 Rushere-Lyantonde'!H29,'31.10 Rushere-Lyantonde'!H29)</f>
        <v>0</v>
      </c>
      <c r="I29" s="49">
        <f>AVERAGE('25.10 Rushere-Lyantonde'!I29,'26.10 Rushere-Lyantonde-24hr'!I29,'27.10 Rushere-Lyantonde'!I29,'28.10 Rushere-Lyantonde-24h'!I29,'29.10 Rushere-Lyantonde'!I29,'30.10 Rushere-Lyantonde'!I29,'31.10 Rushere-Lyantonde'!I29)</f>
        <v>0</v>
      </c>
      <c r="J29" s="49">
        <f>AVERAGE('25.10 Rushere-Lyantonde'!J29,'26.10 Rushere-Lyantonde-24hr'!J29,'27.10 Rushere-Lyantonde'!J29,'28.10 Rushere-Lyantonde-24h'!J29,'29.10 Rushere-Lyantonde'!J29,'30.10 Rushere-Lyantonde'!J29,'31.10 Rushere-Lyantonde'!J29)</f>
        <v>0.2857142857142857</v>
      </c>
      <c r="K29" s="49">
        <f>AVERAGE('25.10 Rushere-Lyantonde'!K29,'26.10 Rushere-Lyantonde-24hr'!K29,'27.10 Rushere-Lyantonde'!K29,'28.10 Rushere-Lyantonde-24h'!K29,'29.10 Rushere-Lyantonde'!K29,'30.10 Rushere-Lyantonde'!K29,'31.10 Rushere-Lyantonde'!K29)</f>
        <v>0</v>
      </c>
      <c r="L29" s="49">
        <f>AVERAGE('25.10 Rushere-Lyantonde'!L29,'26.10 Rushere-Lyantonde-24hr'!L29,'27.10 Rushere-Lyantonde'!L29,'28.10 Rushere-Lyantonde-24h'!L29,'29.10 Rushere-Lyantonde'!L29,'30.10 Rushere-Lyantonde'!L29,'31.10 Rushere-Lyantonde'!L29)</f>
        <v>0</v>
      </c>
      <c r="M29" s="49">
        <f>AVERAGE('25.10 Rushere-Lyantonde'!M29,'26.10 Rushere-Lyantonde-24hr'!M29,'27.10 Rushere-Lyantonde'!M29,'28.10 Rushere-Lyantonde-24h'!M29,'29.10 Rushere-Lyantonde'!M29,'30.10 Rushere-Lyantonde'!M29,'31.10 Rushere-Lyantonde'!M29)</f>
        <v>7.1428571428571432</v>
      </c>
      <c r="N29" s="49">
        <f>AVERAGE('25.10 Rushere-Lyantonde'!N29,'26.10 Rushere-Lyantonde-24hr'!N29,'27.10 Rushere-Lyantonde'!N29,'28.10 Rushere-Lyantonde-24h'!N29,'29.10 Rushere-Lyantonde'!N29,'30.10 Rushere-Lyantonde'!N29,'31.10 Rushere-Lyantonde'!N29)</f>
        <v>0</v>
      </c>
      <c r="O29" s="15">
        <f t="shared" si="0"/>
        <v>5.7142857142857144</v>
      </c>
      <c r="P29" s="15">
        <f t="shared" si="1"/>
        <v>12.857142857142858</v>
      </c>
      <c r="R29" s="1" t="s">
        <v>153</v>
      </c>
      <c r="S29" s="34">
        <f>SUM(C86:C89)</f>
        <v>4</v>
      </c>
      <c r="T29" s="34">
        <f t="shared" ref="T29:AF29" si="21">SUM(D86:D89)</f>
        <v>2</v>
      </c>
      <c r="U29" s="34">
        <f t="shared" si="21"/>
        <v>4</v>
      </c>
      <c r="V29" s="34">
        <f t="shared" si="21"/>
        <v>0</v>
      </c>
      <c r="W29" s="34">
        <f t="shared" si="21"/>
        <v>0</v>
      </c>
      <c r="X29" s="34">
        <f t="shared" si="21"/>
        <v>0.5</v>
      </c>
      <c r="Y29" s="34">
        <f t="shared" si="21"/>
        <v>2</v>
      </c>
      <c r="Z29" s="34">
        <f t="shared" si="21"/>
        <v>0</v>
      </c>
      <c r="AA29" s="34">
        <f t="shared" si="21"/>
        <v>3</v>
      </c>
      <c r="AB29" s="34">
        <f t="shared" si="21"/>
        <v>1</v>
      </c>
      <c r="AC29" s="34">
        <f t="shared" si="21"/>
        <v>0</v>
      </c>
      <c r="AD29" s="34">
        <f t="shared" si="21"/>
        <v>0</v>
      </c>
      <c r="AE29" s="31">
        <f t="shared" si="21"/>
        <v>16.5</v>
      </c>
      <c r="AF29" s="31">
        <f t="shared" si="21"/>
        <v>16.5</v>
      </c>
    </row>
    <row r="30" spans="2:32" ht="23.1" customHeight="1" x14ac:dyDescent="0.25">
      <c r="B30" s="23" t="s">
        <v>57</v>
      </c>
      <c r="C30" s="49">
        <f>AVERAGE('25.10 Rushere-Lyantonde'!C30,'26.10 Rushere-Lyantonde-24hr'!C30,'27.10 Rushere-Lyantonde'!C30,'28.10 Rushere-Lyantonde-24h'!C30,'29.10 Rushere-Lyantonde'!C30,'30.10 Rushere-Lyantonde'!C30,'31.10 Rushere-Lyantonde'!C30)</f>
        <v>2.1428571428571428</v>
      </c>
      <c r="D30" s="49">
        <f>AVERAGE('25.10 Rushere-Lyantonde'!D30,'26.10 Rushere-Lyantonde-24hr'!D30,'27.10 Rushere-Lyantonde'!D30,'28.10 Rushere-Lyantonde-24h'!D30,'29.10 Rushere-Lyantonde'!D30,'30.10 Rushere-Lyantonde'!D30,'31.10 Rushere-Lyantonde'!D30)</f>
        <v>1.1428571428571428</v>
      </c>
      <c r="E30" s="49">
        <f>AVERAGE('25.10 Rushere-Lyantonde'!E30,'26.10 Rushere-Lyantonde-24hr'!E30,'27.10 Rushere-Lyantonde'!E30,'28.10 Rushere-Lyantonde-24h'!E30,'29.10 Rushere-Lyantonde'!E30,'30.10 Rushere-Lyantonde'!E30,'31.10 Rushere-Lyantonde'!E30)</f>
        <v>0.2857142857142857</v>
      </c>
      <c r="F30" s="49">
        <f>AVERAGE('25.10 Rushere-Lyantonde'!F30,'26.10 Rushere-Lyantonde-24hr'!F30,'27.10 Rushere-Lyantonde'!F30,'28.10 Rushere-Lyantonde-24h'!F30,'29.10 Rushere-Lyantonde'!F30,'30.10 Rushere-Lyantonde'!F30,'31.10 Rushere-Lyantonde'!F30)</f>
        <v>0.2857142857142857</v>
      </c>
      <c r="G30" s="49">
        <f>AVERAGE('25.10 Rushere-Lyantonde'!G30,'26.10 Rushere-Lyantonde-24hr'!G30,'27.10 Rushere-Lyantonde'!G30,'28.10 Rushere-Lyantonde-24h'!G30,'29.10 Rushere-Lyantonde'!G30,'30.10 Rushere-Lyantonde'!G30,'31.10 Rushere-Lyantonde'!G30)</f>
        <v>0</v>
      </c>
      <c r="H30" s="49">
        <f>AVERAGE('25.10 Rushere-Lyantonde'!H30,'26.10 Rushere-Lyantonde-24hr'!H30,'27.10 Rushere-Lyantonde'!H30,'28.10 Rushere-Lyantonde-24h'!H30,'29.10 Rushere-Lyantonde'!H30,'30.10 Rushere-Lyantonde'!H30,'31.10 Rushere-Lyantonde'!H30)</f>
        <v>0</v>
      </c>
      <c r="I30" s="49">
        <f>AVERAGE('25.10 Rushere-Lyantonde'!I30,'26.10 Rushere-Lyantonde-24hr'!I30,'27.10 Rushere-Lyantonde'!I30,'28.10 Rushere-Lyantonde-24h'!I30,'29.10 Rushere-Lyantonde'!I30,'30.10 Rushere-Lyantonde'!I30,'31.10 Rushere-Lyantonde'!I30)</f>
        <v>0.42857142857142855</v>
      </c>
      <c r="J30" s="49">
        <f>AVERAGE('25.10 Rushere-Lyantonde'!J30,'26.10 Rushere-Lyantonde-24hr'!J30,'27.10 Rushere-Lyantonde'!J30,'28.10 Rushere-Lyantonde-24h'!J30,'29.10 Rushere-Lyantonde'!J30,'30.10 Rushere-Lyantonde'!J30,'31.10 Rushere-Lyantonde'!J30)</f>
        <v>0.14285714285714285</v>
      </c>
      <c r="K30" s="49">
        <f>AVERAGE('25.10 Rushere-Lyantonde'!K30,'26.10 Rushere-Lyantonde-24hr'!K30,'27.10 Rushere-Lyantonde'!K30,'28.10 Rushere-Lyantonde-24h'!K30,'29.10 Rushere-Lyantonde'!K30,'30.10 Rushere-Lyantonde'!K30,'31.10 Rushere-Lyantonde'!K30)</f>
        <v>0</v>
      </c>
      <c r="L30" s="49">
        <f>AVERAGE('25.10 Rushere-Lyantonde'!L30,'26.10 Rushere-Lyantonde-24hr'!L30,'27.10 Rushere-Lyantonde'!L30,'28.10 Rushere-Lyantonde-24h'!L30,'29.10 Rushere-Lyantonde'!L30,'30.10 Rushere-Lyantonde'!L30,'31.10 Rushere-Lyantonde'!L30)</f>
        <v>0</v>
      </c>
      <c r="M30" s="49">
        <f>AVERAGE('25.10 Rushere-Lyantonde'!M30,'26.10 Rushere-Lyantonde-24hr'!M30,'27.10 Rushere-Lyantonde'!M30,'28.10 Rushere-Lyantonde-24h'!M30,'29.10 Rushere-Lyantonde'!M30,'30.10 Rushere-Lyantonde'!M30,'31.10 Rushere-Lyantonde'!M30)</f>
        <v>6.2857142857142856</v>
      </c>
      <c r="N30" s="49">
        <f>AVERAGE('25.10 Rushere-Lyantonde'!N30,'26.10 Rushere-Lyantonde-24hr'!N30,'27.10 Rushere-Lyantonde'!N30,'28.10 Rushere-Lyantonde-24h'!N30,'29.10 Rushere-Lyantonde'!N30,'30.10 Rushere-Lyantonde'!N30,'31.10 Rushere-Lyantonde'!N30)</f>
        <v>0</v>
      </c>
      <c r="O30" s="15">
        <f t="shared" si="0"/>
        <v>4.4285714285714288</v>
      </c>
      <c r="P30" s="15">
        <f t="shared" si="1"/>
        <v>10.714285714285715</v>
      </c>
      <c r="R30" s="1" t="s">
        <v>154</v>
      </c>
      <c r="S30" s="34">
        <f>SUM(C90:C93)</f>
        <v>3</v>
      </c>
      <c r="T30" s="34">
        <f t="shared" ref="T30:AF30" si="22">SUM(D90:D93)</f>
        <v>2</v>
      </c>
      <c r="U30" s="34">
        <f t="shared" si="22"/>
        <v>1.5</v>
      </c>
      <c r="V30" s="34">
        <f t="shared" si="22"/>
        <v>0.5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5</v>
      </c>
      <c r="AA30" s="34">
        <f t="shared" si="22"/>
        <v>1.5</v>
      </c>
      <c r="AB30" s="34">
        <f t="shared" si="22"/>
        <v>0.5</v>
      </c>
      <c r="AC30" s="34">
        <f t="shared" si="22"/>
        <v>0</v>
      </c>
      <c r="AD30" s="34">
        <f t="shared" si="22"/>
        <v>0</v>
      </c>
      <c r="AE30" s="31">
        <f t="shared" si="22"/>
        <v>15</v>
      </c>
      <c r="AF30" s="31">
        <f t="shared" si="22"/>
        <v>15</v>
      </c>
    </row>
    <row r="31" spans="2:32" ht="23.1" customHeight="1" x14ac:dyDescent="0.25">
      <c r="B31" s="24" t="s">
        <v>58</v>
      </c>
      <c r="C31" s="49">
        <f>AVERAGE('25.10 Rushere-Lyantonde'!C31,'26.10 Rushere-Lyantonde-24hr'!C31,'27.10 Rushere-Lyantonde'!C31,'28.10 Rushere-Lyantonde-24h'!C31,'29.10 Rushere-Lyantonde'!C31,'30.10 Rushere-Lyantonde'!C31,'31.10 Rushere-Lyantonde'!C31)</f>
        <v>5.2857142857142856</v>
      </c>
      <c r="D31" s="49">
        <f>AVERAGE('25.10 Rushere-Lyantonde'!D31,'26.10 Rushere-Lyantonde-24hr'!D31,'27.10 Rushere-Lyantonde'!D31,'28.10 Rushere-Lyantonde-24h'!D31,'29.10 Rushere-Lyantonde'!D31,'30.10 Rushere-Lyantonde'!D31,'31.10 Rushere-Lyantonde'!D31)</f>
        <v>2.7142857142857144</v>
      </c>
      <c r="E31" s="49">
        <f>AVERAGE('25.10 Rushere-Lyantonde'!E31,'26.10 Rushere-Lyantonde-24hr'!E31,'27.10 Rushere-Lyantonde'!E31,'28.10 Rushere-Lyantonde-24h'!E31,'29.10 Rushere-Lyantonde'!E31,'30.10 Rushere-Lyantonde'!E31,'31.10 Rushere-Lyantonde'!E31)</f>
        <v>0.42857142857142855</v>
      </c>
      <c r="F31" s="49">
        <f>AVERAGE('25.10 Rushere-Lyantonde'!F31,'26.10 Rushere-Lyantonde-24hr'!F31,'27.10 Rushere-Lyantonde'!F31,'28.10 Rushere-Lyantonde-24h'!F31,'29.10 Rushere-Lyantonde'!F31,'30.10 Rushere-Lyantonde'!F31,'31.10 Rushere-Lyantonde'!F31)</f>
        <v>0</v>
      </c>
      <c r="G31" s="49">
        <f>AVERAGE('25.10 Rushere-Lyantonde'!G31,'26.10 Rushere-Lyantonde-24hr'!G31,'27.10 Rushere-Lyantonde'!G31,'28.10 Rushere-Lyantonde-24h'!G31,'29.10 Rushere-Lyantonde'!G31,'30.10 Rushere-Lyantonde'!G31,'31.10 Rushere-Lyantonde'!G31)</f>
        <v>0</v>
      </c>
      <c r="H31" s="49">
        <f>AVERAGE('25.10 Rushere-Lyantonde'!H31,'26.10 Rushere-Lyantonde-24hr'!H31,'27.10 Rushere-Lyantonde'!H31,'28.10 Rushere-Lyantonde-24h'!H31,'29.10 Rushere-Lyantonde'!H31,'30.10 Rushere-Lyantonde'!H31,'31.10 Rushere-Lyantonde'!H31)</f>
        <v>0</v>
      </c>
      <c r="I31" s="49">
        <f>AVERAGE('25.10 Rushere-Lyantonde'!I31,'26.10 Rushere-Lyantonde-24hr'!I31,'27.10 Rushere-Lyantonde'!I31,'28.10 Rushere-Lyantonde-24h'!I31,'29.10 Rushere-Lyantonde'!I31,'30.10 Rushere-Lyantonde'!I31,'31.10 Rushere-Lyantonde'!I31)</f>
        <v>1</v>
      </c>
      <c r="J31" s="49">
        <f>AVERAGE('25.10 Rushere-Lyantonde'!J31,'26.10 Rushere-Lyantonde-24hr'!J31,'27.10 Rushere-Lyantonde'!J31,'28.10 Rushere-Lyantonde-24h'!J31,'29.10 Rushere-Lyantonde'!J31,'30.10 Rushere-Lyantonde'!J31,'31.10 Rushere-Lyantonde'!J31)</f>
        <v>0.42857142857142855</v>
      </c>
      <c r="K31" s="49">
        <f>AVERAGE('25.10 Rushere-Lyantonde'!K31,'26.10 Rushere-Lyantonde-24hr'!K31,'27.10 Rushere-Lyantonde'!K31,'28.10 Rushere-Lyantonde-24h'!K31,'29.10 Rushere-Lyantonde'!K31,'30.10 Rushere-Lyantonde'!K31,'31.10 Rushere-Lyantonde'!K31)</f>
        <v>0</v>
      </c>
      <c r="L31" s="49">
        <f>AVERAGE('25.10 Rushere-Lyantonde'!L31,'26.10 Rushere-Lyantonde-24hr'!L31,'27.10 Rushere-Lyantonde'!L31,'28.10 Rushere-Lyantonde-24h'!L31,'29.10 Rushere-Lyantonde'!L31,'30.10 Rushere-Lyantonde'!L31,'31.10 Rushere-Lyantonde'!L31)</f>
        <v>0.5714285714285714</v>
      </c>
      <c r="M31" s="49">
        <f>AVERAGE('25.10 Rushere-Lyantonde'!M31,'26.10 Rushere-Lyantonde-24hr'!M31,'27.10 Rushere-Lyantonde'!M31,'28.10 Rushere-Lyantonde-24h'!M31,'29.10 Rushere-Lyantonde'!M31,'30.10 Rushere-Lyantonde'!M31,'31.10 Rushere-Lyantonde'!M31)</f>
        <v>6.1428571428571432</v>
      </c>
      <c r="N31" s="49">
        <f>AVERAGE('25.10 Rushere-Lyantonde'!N31,'26.10 Rushere-Lyantonde-24hr'!N31,'27.10 Rushere-Lyantonde'!N31,'28.10 Rushere-Lyantonde-24h'!N31,'29.10 Rushere-Lyantonde'!N31,'30.10 Rushere-Lyantonde'!N31,'31.10 Rushere-Lyantonde'!N31)</f>
        <v>0</v>
      </c>
      <c r="O31" s="15">
        <f t="shared" si="0"/>
        <v>10.428571428571429</v>
      </c>
      <c r="P31" s="15">
        <f t="shared" si="1"/>
        <v>16.571428571428573</v>
      </c>
      <c r="R31" s="1" t="s">
        <v>155</v>
      </c>
      <c r="S31" s="34">
        <f>SUM(C94:C97)</f>
        <v>3.5</v>
      </c>
      <c r="T31" s="34">
        <f t="shared" ref="T31:AF31" si="23">SUM(D94:D97)</f>
        <v>0.5</v>
      </c>
      <c r="U31" s="34">
        <f t="shared" si="23"/>
        <v>3</v>
      </c>
      <c r="V31" s="34">
        <f t="shared" si="23"/>
        <v>1</v>
      </c>
      <c r="W31" s="34">
        <f t="shared" si="23"/>
        <v>0.5</v>
      </c>
      <c r="X31" s="34">
        <f t="shared" si="23"/>
        <v>0.5</v>
      </c>
      <c r="Y31" s="34">
        <f t="shared" si="23"/>
        <v>1.5</v>
      </c>
      <c r="Z31" s="34">
        <f t="shared" si="23"/>
        <v>2.5</v>
      </c>
      <c r="AA31" s="34">
        <f t="shared" si="23"/>
        <v>2.5</v>
      </c>
      <c r="AB31" s="34">
        <f t="shared" si="23"/>
        <v>1.5</v>
      </c>
      <c r="AC31" s="34">
        <f t="shared" si="23"/>
        <v>0</v>
      </c>
      <c r="AD31" s="34">
        <f t="shared" si="23"/>
        <v>0</v>
      </c>
      <c r="AE31" s="31">
        <f t="shared" si="23"/>
        <v>17</v>
      </c>
      <c r="AF31" s="31">
        <f t="shared" si="23"/>
        <v>17</v>
      </c>
    </row>
    <row r="32" spans="2:32" ht="23.1" customHeight="1" x14ac:dyDescent="0.25">
      <c r="B32" s="24" t="s">
        <v>59</v>
      </c>
      <c r="C32" s="49">
        <f>AVERAGE('25.10 Rushere-Lyantonde'!C32,'26.10 Rushere-Lyantonde-24hr'!C32,'27.10 Rushere-Lyantonde'!C32,'28.10 Rushere-Lyantonde-24h'!C32,'29.10 Rushere-Lyantonde'!C32,'30.10 Rushere-Lyantonde'!C32,'31.10 Rushere-Lyantonde'!C32)</f>
        <v>4.5714285714285712</v>
      </c>
      <c r="D32" s="49">
        <f>AVERAGE('25.10 Rushere-Lyantonde'!D32,'26.10 Rushere-Lyantonde-24hr'!D32,'27.10 Rushere-Lyantonde'!D32,'28.10 Rushere-Lyantonde-24h'!D32,'29.10 Rushere-Lyantonde'!D32,'30.10 Rushere-Lyantonde'!D32,'31.10 Rushere-Lyantonde'!D32)</f>
        <v>1.5714285714285714</v>
      </c>
      <c r="E32" s="49">
        <f>AVERAGE('25.10 Rushere-Lyantonde'!E32,'26.10 Rushere-Lyantonde-24hr'!E32,'27.10 Rushere-Lyantonde'!E32,'28.10 Rushere-Lyantonde-24h'!E32,'29.10 Rushere-Lyantonde'!E32,'30.10 Rushere-Lyantonde'!E32,'31.10 Rushere-Lyantonde'!E32)</f>
        <v>0.8571428571428571</v>
      </c>
      <c r="F32" s="49">
        <f>AVERAGE('25.10 Rushere-Lyantonde'!F32,'26.10 Rushere-Lyantonde-24hr'!F32,'27.10 Rushere-Lyantonde'!F32,'28.10 Rushere-Lyantonde-24h'!F32,'29.10 Rushere-Lyantonde'!F32,'30.10 Rushere-Lyantonde'!F32,'31.10 Rushere-Lyantonde'!F32)</f>
        <v>0.2857142857142857</v>
      </c>
      <c r="G32" s="49">
        <f>AVERAGE('25.10 Rushere-Lyantonde'!G32,'26.10 Rushere-Lyantonde-24hr'!G32,'27.10 Rushere-Lyantonde'!G32,'28.10 Rushere-Lyantonde-24h'!G32,'29.10 Rushere-Lyantonde'!G32,'30.10 Rushere-Lyantonde'!G32,'31.10 Rushere-Lyantonde'!G32)</f>
        <v>0</v>
      </c>
      <c r="H32" s="49">
        <f>AVERAGE('25.10 Rushere-Lyantonde'!H32,'26.10 Rushere-Lyantonde-24hr'!H32,'27.10 Rushere-Lyantonde'!H32,'28.10 Rushere-Lyantonde-24h'!H32,'29.10 Rushere-Lyantonde'!H32,'30.10 Rushere-Lyantonde'!H32,'31.10 Rushere-Lyantonde'!H32)</f>
        <v>0</v>
      </c>
      <c r="I32" s="49">
        <f>AVERAGE('25.10 Rushere-Lyantonde'!I32,'26.10 Rushere-Lyantonde-24hr'!I32,'27.10 Rushere-Lyantonde'!I32,'28.10 Rushere-Lyantonde-24h'!I32,'29.10 Rushere-Lyantonde'!I32,'30.10 Rushere-Lyantonde'!I32,'31.10 Rushere-Lyantonde'!I32)</f>
        <v>0.14285714285714285</v>
      </c>
      <c r="J32" s="49">
        <f>AVERAGE('25.10 Rushere-Lyantonde'!J32,'26.10 Rushere-Lyantonde-24hr'!J32,'27.10 Rushere-Lyantonde'!J32,'28.10 Rushere-Lyantonde-24h'!J32,'29.10 Rushere-Lyantonde'!J32,'30.10 Rushere-Lyantonde'!J32,'31.10 Rushere-Lyantonde'!J32)</f>
        <v>0.5714285714285714</v>
      </c>
      <c r="K32" s="49">
        <f>AVERAGE('25.10 Rushere-Lyantonde'!K32,'26.10 Rushere-Lyantonde-24hr'!K32,'27.10 Rushere-Lyantonde'!K32,'28.10 Rushere-Lyantonde-24h'!K32,'29.10 Rushere-Lyantonde'!K32,'30.10 Rushere-Lyantonde'!K32,'31.10 Rushere-Lyantonde'!K32)</f>
        <v>0.14285714285714285</v>
      </c>
      <c r="L32" s="49">
        <f>AVERAGE('25.10 Rushere-Lyantonde'!L32,'26.10 Rushere-Lyantonde-24hr'!L32,'27.10 Rushere-Lyantonde'!L32,'28.10 Rushere-Lyantonde-24h'!L32,'29.10 Rushere-Lyantonde'!L32,'30.10 Rushere-Lyantonde'!L32,'31.10 Rushere-Lyantonde'!L32)</f>
        <v>0</v>
      </c>
      <c r="M32" s="49">
        <f>AVERAGE('25.10 Rushere-Lyantonde'!M32,'26.10 Rushere-Lyantonde-24hr'!M32,'27.10 Rushere-Lyantonde'!M32,'28.10 Rushere-Lyantonde-24h'!M32,'29.10 Rushere-Lyantonde'!M32,'30.10 Rushere-Lyantonde'!M32,'31.10 Rushere-Lyantonde'!M32)</f>
        <v>6.2857142857142856</v>
      </c>
      <c r="N32" s="49">
        <f>AVERAGE('25.10 Rushere-Lyantonde'!N32,'26.10 Rushere-Lyantonde-24hr'!N32,'27.10 Rushere-Lyantonde'!N32,'28.10 Rushere-Lyantonde-24h'!N32,'29.10 Rushere-Lyantonde'!N32,'30.10 Rushere-Lyantonde'!N32,'31.10 Rushere-Lyantonde'!N32)</f>
        <v>0</v>
      </c>
      <c r="O32" s="15">
        <f t="shared" si="0"/>
        <v>8.1428571428571423</v>
      </c>
      <c r="P32" s="15">
        <f t="shared" si="1"/>
        <v>14.428571428571427</v>
      </c>
      <c r="R32" s="1" t="s">
        <v>156</v>
      </c>
      <c r="S32" s="34">
        <f>SUM(C98:C101)</f>
        <v>8.5</v>
      </c>
      <c r="T32" s="34">
        <f t="shared" ref="T32:AF32" si="24">SUM(D98:D101)</f>
        <v>4.5</v>
      </c>
      <c r="U32" s="34">
        <f t="shared" si="24"/>
        <v>3</v>
      </c>
      <c r="V32" s="34">
        <f t="shared" si="24"/>
        <v>0.5</v>
      </c>
      <c r="W32" s="34">
        <f t="shared" si="24"/>
        <v>0</v>
      </c>
      <c r="X32" s="34">
        <f t="shared" si="24"/>
        <v>1.5</v>
      </c>
      <c r="Y32" s="34">
        <f t="shared" si="24"/>
        <v>1.5</v>
      </c>
      <c r="Z32" s="34">
        <f t="shared" si="24"/>
        <v>5.5</v>
      </c>
      <c r="AA32" s="34">
        <f t="shared" si="24"/>
        <v>2</v>
      </c>
      <c r="AB32" s="34">
        <f t="shared" si="24"/>
        <v>2</v>
      </c>
      <c r="AC32" s="34">
        <f t="shared" si="24"/>
        <v>3</v>
      </c>
      <c r="AD32" s="34">
        <f t="shared" si="24"/>
        <v>0</v>
      </c>
      <c r="AE32" s="31">
        <f t="shared" si="24"/>
        <v>29</v>
      </c>
      <c r="AF32" s="31">
        <f t="shared" si="24"/>
        <v>32</v>
      </c>
    </row>
    <row r="33" spans="2:32" ht="23.1" customHeight="1" x14ac:dyDescent="0.25">
      <c r="B33" s="23" t="s">
        <v>60</v>
      </c>
      <c r="C33" s="49">
        <f>AVERAGE('25.10 Rushere-Lyantonde'!C33,'26.10 Rushere-Lyantonde-24hr'!C33,'27.10 Rushere-Lyantonde'!C33,'28.10 Rushere-Lyantonde-24h'!C33,'29.10 Rushere-Lyantonde'!C33,'30.10 Rushere-Lyantonde'!C33,'31.10 Rushere-Lyantonde'!C33)</f>
        <v>3.5714285714285716</v>
      </c>
      <c r="D33" s="49">
        <f>AVERAGE('25.10 Rushere-Lyantonde'!D33,'26.10 Rushere-Lyantonde-24hr'!D33,'27.10 Rushere-Lyantonde'!D33,'28.10 Rushere-Lyantonde-24h'!D33,'29.10 Rushere-Lyantonde'!D33,'30.10 Rushere-Lyantonde'!D33,'31.10 Rushere-Lyantonde'!D33)</f>
        <v>2.2857142857142856</v>
      </c>
      <c r="E33" s="49">
        <f>AVERAGE('25.10 Rushere-Lyantonde'!E33,'26.10 Rushere-Lyantonde-24hr'!E33,'27.10 Rushere-Lyantonde'!E33,'28.10 Rushere-Lyantonde-24h'!E33,'29.10 Rushere-Lyantonde'!E33,'30.10 Rushere-Lyantonde'!E33,'31.10 Rushere-Lyantonde'!E33)</f>
        <v>0.8571428571428571</v>
      </c>
      <c r="F33" s="49">
        <f>AVERAGE('25.10 Rushere-Lyantonde'!F33,'26.10 Rushere-Lyantonde-24hr'!F33,'27.10 Rushere-Lyantonde'!F33,'28.10 Rushere-Lyantonde-24h'!F33,'29.10 Rushere-Lyantonde'!F33,'30.10 Rushere-Lyantonde'!F33,'31.10 Rushere-Lyantonde'!F33)</f>
        <v>0.2857142857142857</v>
      </c>
      <c r="G33" s="49">
        <f>AVERAGE('25.10 Rushere-Lyantonde'!G33,'26.10 Rushere-Lyantonde-24hr'!G33,'27.10 Rushere-Lyantonde'!G33,'28.10 Rushere-Lyantonde-24h'!G33,'29.10 Rushere-Lyantonde'!G33,'30.10 Rushere-Lyantonde'!G33,'31.10 Rushere-Lyantonde'!G33)</f>
        <v>0</v>
      </c>
      <c r="H33" s="49">
        <f>AVERAGE('25.10 Rushere-Lyantonde'!H33,'26.10 Rushere-Lyantonde-24hr'!H33,'27.10 Rushere-Lyantonde'!H33,'28.10 Rushere-Lyantonde-24h'!H33,'29.10 Rushere-Lyantonde'!H33,'30.10 Rushere-Lyantonde'!H33,'31.10 Rushere-Lyantonde'!H33)</f>
        <v>0</v>
      </c>
      <c r="I33" s="49">
        <f>AVERAGE('25.10 Rushere-Lyantonde'!I33,'26.10 Rushere-Lyantonde-24hr'!I33,'27.10 Rushere-Lyantonde'!I33,'28.10 Rushere-Lyantonde-24h'!I33,'29.10 Rushere-Lyantonde'!I33,'30.10 Rushere-Lyantonde'!I33,'31.10 Rushere-Lyantonde'!I33)</f>
        <v>0.14285714285714285</v>
      </c>
      <c r="J33" s="49">
        <f>AVERAGE('25.10 Rushere-Lyantonde'!J33,'26.10 Rushere-Lyantonde-24hr'!J33,'27.10 Rushere-Lyantonde'!J33,'28.10 Rushere-Lyantonde-24h'!J33,'29.10 Rushere-Lyantonde'!J33,'30.10 Rushere-Lyantonde'!J33,'31.10 Rushere-Lyantonde'!J33)</f>
        <v>0.14285714285714285</v>
      </c>
      <c r="K33" s="49">
        <f>AVERAGE('25.10 Rushere-Lyantonde'!K33,'26.10 Rushere-Lyantonde-24hr'!K33,'27.10 Rushere-Lyantonde'!K33,'28.10 Rushere-Lyantonde-24h'!K33,'29.10 Rushere-Lyantonde'!K33,'30.10 Rushere-Lyantonde'!K33,'31.10 Rushere-Lyantonde'!K33)</f>
        <v>0</v>
      </c>
      <c r="L33" s="49">
        <f>AVERAGE('25.10 Rushere-Lyantonde'!L33,'26.10 Rushere-Lyantonde-24hr'!L33,'27.10 Rushere-Lyantonde'!L33,'28.10 Rushere-Lyantonde-24h'!L33,'29.10 Rushere-Lyantonde'!L33,'30.10 Rushere-Lyantonde'!L33,'31.10 Rushere-Lyantonde'!L33)</f>
        <v>0</v>
      </c>
      <c r="M33" s="49">
        <f>AVERAGE('25.10 Rushere-Lyantonde'!M33,'26.10 Rushere-Lyantonde-24hr'!M33,'27.10 Rushere-Lyantonde'!M33,'28.10 Rushere-Lyantonde-24h'!M33,'29.10 Rushere-Lyantonde'!M33,'30.10 Rushere-Lyantonde'!M33,'31.10 Rushere-Lyantonde'!M33)</f>
        <v>7.4285714285714288</v>
      </c>
      <c r="N33" s="49">
        <f>AVERAGE('25.10 Rushere-Lyantonde'!N33,'26.10 Rushere-Lyantonde-24hr'!N33,'27.10 Rushere-Lyantonde'!N33,'28.10 Rushere-Lyantonde-24h'!N33,'29.10 Rushere-Lyantonde'!N33,'30.10 Rushere-Lyantonde'!N33,'31.10 Rushere-Lyantonde'!N33)</f>
        <v>0</v>
      </c>
      <c r="O33" s="15">
        <f t="shared" si="0"/>
        <v>7.2857142857142865</v>
      </c>
      <c r="P33" s="15">
        <f t="shared" si="1"/>
        <v>14.714285714285715</v>
      </c>
      <c r="R33" s="1" t="s">
        <v>157</v>
      </c>
      <c r="S33" s="34">
        <f>SUM(C102:C105)</f>
        <v>9</v>
      </c>
      <c r="T33" s="34">
        <f t="shared" ref="T33:AF33" si="25">SUM(D102:D105)</f>
        <v>6</v>
      </c>
      <c r="U33" s="34">
        <f t="shared" si="25"/>
        <v>5</v>
      </c>
      <c r="V33" s="34">
        <f t="shared" si="25"/>
        <v>2</v>
      </c>
      <c r="W33" s="34">
        <f t="shared" si="25"/>
        <v>0.5</v>
      </c>
      <c r="X33" s="34">
        <f t="shared" si="25"/>
        <v>1</v>
      </c>
      <c r="Y33" s="34">
        <f t="shared" si="25"/>
        <v>3</v>
      </c>
      <c r="Z33" s="34">
        <f t="shared" si="25"/>
        <v>4</v>
      </c>
      <c r="AA33" s="34">
        <f t="shared" si="25"/>
        <v>1.5</v>
      </c>
      <c r="AB33" s="34">
        <f t="shared" si="25"/>
        <v>0</v>
      </c>
      <c r="AC33" s="34">
        <f t="shared" si="25"/>
        <v>12</v>
      </c>
      <c r="AD33" s="34">
        <f t="shared" si="25"/>
        <v>0</v>
      </c>
      <c r="AE33" s="31">
        <f t="shared" si="25"/>
        <v>32</v>
      </c>
      <c r="AF33" s="31">
        <f t="shared" si="25"/>
        <v>44</v>
      </c>
    </row>
    <row r="34" spans="2:32" ht="23.1" customHeight="1" x14ac:dyDescent="0.25">
      <c r="B34" s="24" t="s">
        <v>61</v>
      </c>
      <c r="C34" s="49">
        <f>AVERAGE('25.10 Rushere-Lyantonde'!C34,'26.10 Rushere-Lyantonde-24hr'!C34,'27.10 Rushere-Lyantonde'!C34,'28.10 Rushere-Lyantonde-24h'!C34,'29.10 Rushere-Lyantonde'!C34,'30.10 Rushere-Lyantonde'!C34,'31.10 Rushere-Lyantonde'!C34)</f>
        <v>4.7142857142857144</v>
      </c>
      <c r="D34" s="49">
        <f>AVERAGE('25.10 Rushere-Lyantonde'!D34,'26.10 Rushere-Lyantonde-24hr'!D34,'27.10 Rushere-Lyantonde'!D34,'28.10 Rushere-Lyantonde-24h'!D34,'29.10 Rushere-Lyantonde'!D34,'30.10 Rushere-Lyantonde'!D34,'31.10 Rushere-Lyantonde'!D34)</f>
        <v>1</v>
      </c>
      <c r="E34" s="49">
        <f>AVERAGE('25.10 Rushere-Lyantonde'!E34,'26.10 Rushere-Lyantonde-24hr'!E34,'27.10 Rushere-Lyantonde'!E34,'28.10 Rushere-Lyantonde-24h'!E34,'29.10 Rushere-Lyantonde'!E34,'30.10 Rushere-Lyantonde'!E34,'31.10 Rushere-Lyantonde'!E34)</f>
        <v>0.5714285714285714</v>
      </c>
      <c r="F34" s="49">
        <f>AVERAGE('25.10 Rushere-Lyantonde'!F34,'26.10 Rushere-Lyantonde-24hr'!F34,'27.10 Rushere-Lyantonde'!F34,'28.10 Rushere-Lyantonde-24h'!F34,'29.10 Rushere-Lyantonde'!F34,'30.10 Rushere-Lyantonde'!F34,'31.10 Rushere-Lyantonde'!F34)</f>
        <v>0.2857142857142857</v>
      </c>
      <c r="G34" s="49">
        <f>AVERAGE('25.10 Rushere-Lyantonde'!G34,'26.10 Rushere-Lyantonde-24hr'!G34,'27.10 Rushere-Lyantonde'!G34,'28.10 Rushere-Lyantonde-24h'!G34,'29.10 Rushere-Lyantonde'!G34,'30.10 Rushere-Lyantonde'!G34,'31.10 Rushere-Lyantonde'!G34)</f>
        <v>0</v>
      </c>
      <c r="H34" s="49">
        <f>AVERAGE('25.10 Rushere-Lyantonde'!H34,'26.10 Rushere-Lyantonde-24hr'!H34,'27.10 Rushere-Lyantonde'!H34,'28.10 Rushere-Lyantonde-24h'!H34,'29.10 Rushere-Lyantonde'!H34,'30.10 Rushere-Lyantonde'!H34,'31.10 Rushere-Lyantonde'!H34)</f>
        <v>0</v>
      </c>
      <c r="I34" s="49">
        <f>AVERAGE('25.10 Rushere-Lyantonde'!I34,'26.10 Rushere-Lyantonde-24hr'!I34,'27.10 Rushere-Lyantonde'!I34,'28.10 Rushere-Lyantonde-24h'!I34,'29.10 Rushere-Lyantonde'!I34,'30.10 Rushere-Lyantonde'!I34,'31.10 Rushere-Lyantonde'!I34)</f>
        <v>0.5714285714285714</v>
      </c>
      <c r="J34" s="49">
        <f>AVERAGE('25.10 Rushere-Lyantonde'!J34,'26.10 Rushere-Lyantonde-24hr'!J34,'27.10 Rushere-Lyantonde'!J34,'28.10 Rushere-Lyantonde-24h'!J34,'29.10 Rushere-Lyantonde'!J34,'30.10 Rushere-Lyantonde'!J34,'31.10 Rushere-Lyantonde'!J34)</f>
        <v>0.42857142857142855</v>
      </c>
      <c r="K34" s="49">
        <f>AVERAGE('25.10 Rushere-Lyantonde'!K34,'26.10 Rushere-Lyantonde-24hr'!K34,'27.10 Rushere-Lyantonde'!K34,'28.10 Rushere-Lyantonde-24h'!K34,'29.10 Rushere-Lyantonde'!K34,'30.10 Rushere-Lyantonde'!K34,'31.10 Rushere-Lyantonde'!K34)</f>
        <v>0.14285714285714285</v>
      </c>
      <c r="L34" s="49">
        <f>AVERAGE('25.10 Rushere-Lyantonde'!L34,'26.10 Rushere-Lyantonde-24hr'!L34,'27.10 Rushere-Lyantonde'!L34,'28.10 Rushere-Lyantonde-24h'!L34,'29.10 Rushere-Lyantonde'!L34,'30.10 Rushere-Lyantonde'!L34,'31.10 Rushere-Lyantonde'!L34)</f>
        <v>0.14285714285714285</v>
      </c>
      <c r="M34" s="49">
        <f>AVERAGE('25.10 Rushere-Lyantonde'!M34,'26.10 Rushere-Lyantonde-24hr'!M34,'27.10 Rushere-Lyantonde'!M34,'28.10 Rushere-Lyantonde-24h'!M34,'29.10 Rushere-Lyantonde'!M34,'30.10 Rushere-Lyantonde'!M34,'31.10 Rushere-Lyantonde'!M34)</f>
        <v>6.7142857142857144</v>
      </c>
      <c r="N34" s="49">
        <f>AVERAGE('25.10 Rushere-Lyantonde'!N34,'26.10 Rushere-Lyantonde-24hr'!N34,'27.10 Rushere-Lyantonde'!N34,'28.10 Rushere-Lyantonde-24h'!N34,'29.10 Rushere-Lyantonde'!N34,'30.10 Rushere-Lyantonde'!N34,'31.10 Rushere-Lyantonde'!N34)</f>
        <v>0</v>
      </c>
      <c r="O34" s="15">
        <f t="shared" si="0"/>
        <v>7.8571428571428577</v>
      </c>
      <c r="P34" s="15">
        <f t="shared" si="1"/>
        <v>14.571428571428573</v>
      </c>
      <c r="R34" s="38" t="s">
        <v>90</v>
      </c>
      <c r="S34" s="39">
        <f t="shared" ref="S34:AF34" si="26">MAX(S10:S12)</f>
        <v>11.857142857142856</v>
      </c>
      <c r="T34" s="39">
        <f t="shared" si="26"/>
        <v>4.2857142857142856</v>
      </c>
      <c r="U34" s="39">
        <f t="shared" si="26"/>
        <v>2.1428571428571428</v>
      </c>
      <c r="V34" s="39">
        <f t="shared" si="26"/>
        <v>2.5714285714285712</v>
      </c>
      <c r="W34" s="39">
        <f t="shared" si="26"/>
        <v>0.14285714285714285</v>
      </c>
      <c r="X34" s="39">
        <f t="shared" si="26"/>
        <v>0.71428571428571419</v>
      </c>
      <c r="Y34" s="39">
        <f t="shared" si="26"/>
        <v>2.1428571428571428</v>
      </c>
      <c r="Z34" s="39">
        <f t="shared" si="26"/>
        <v>1.5714285714285714</v>
      </c>
      <c r="AA34" s="39">
        <f t="shared" si="26"/>
        <v>1.2857142857142856</v>
      </c>
      <c r="AB34" s="39">
        <f t="shared" si="26"/>
        <v>0.14285714285714285</v>
      </c>
      <c r="AC34" s="39">
        <f t="shared" si="26"/>
        <v>21.142857142857146</v>
      </c>
      <c r="AD34" s="39">
        <f t="shared" si="26"/>
        <v>0</v>
      </c>
      <c r="AE34" s="40">
        <f t="shared" si="26"/>
        <v>24.571428571428577</v>
      </c>
      <c r="AF34" s="40">
        <f t="shared" si="26"/>
        <v>42.142857142857146</v>
      </c>
    </row>
    <row r="35" spans="2:32" ht="23.1" customHeight="1" x14ac:dyDescent="0.25">
      <c r="B35" s="24" t="s">
        <v>62</v>
      </c>
      <c r="C35" s="49">
        <f>AVERAGE('25.10 Rushere-Lyantonde'!C35,'26.10 Rushere-Lyantonde-24hr'!C35,'27.10 Rushere-Lyantonde'!C35,'28.10 Rushere-Lyantonde-24h'!C35,'29.10 Rushere-Lyantonde'!C35,'30.10 Rushere-Lyantonde'!C35,'31.10 Rushere-Lyantonde'!C35)</f>
        <v>4.8571428571428568</v>
      </c>
      <c r="D35" s="49">
        <f>AVERAGE('25.10 Rushere-Lyantonde'!D35,'26.10 Rushere-Lyantonde-24hr'!D35,'27.10 Rushere-Lyantonde'!D35,'28.10 Rushere-Lyantonde-24h'!D35,'29.10 Rushere-Lyantonde'!D35,'30.10 Rushere-Lyantonde'!D35,'31.10 Rushere-Lyantonde'!D35)</f>
        <v>0.8571428571428571</v>
      </c>
      <c r="E35" s="49">
        <f>AVERAGE('25.10 Rushere-Lyantonde'!E35,'26.10 Rushere-Lyantonde-24hr'!E35,'27.10 Rushere-Lyantonde'!E35,'28.10 Rushere-Lyantonde-24h'!E35,'29.10 Rushere-Lyantonde'!E35,'30.10 Rushere-Lyantonde'!E35,'31.10 Rushere-Lyantonde'!E35)</f>
        <v>1</v>
      </c>
      <c r="F35" s="49">
        <f>AVERAGE('25.10 Rushere-Lyantonde'!F35,'26.10 Rushere-Lyantonde-24hr'!F35,'27.10 Rushere-Lyantonde'!F35,'28.10 Rushere-Lyantonde-24h'!F35,'29.10 Rushere-Lyantonde'!F35,'30.10 Rushere-Lyantonde'!F35,'31.10 Rushere-Lyantonde'!F35)</f>
        <v>0.14285714285714285</v>
      </c>
      <c r="G35" s="49">
        <f>AVERAGE('25.10 Rushere-Lyantonde'!G35,'26.10 Rushere-Lyantonde-24hr'!G35,'27.10 Rushere-Lyantonde'!G35,'28.10 Rushere-Lyantonde-24h'!G35,'29.10 Rushere-Lyantonde'!G35,'30.10 Rushere-Lyantonde'!G35,'31.10 Rushere-Lyantonde'!G35)</f>
        <v>0</v>
      </c>
      <c r="H35" s="49">
        <f>AVERAGE('25.10 Rushere-Lyantonde'!H35,'26.10 Rushere-Lyantonde-24hr'!H35,'27.10 Rushere-Lyantonde'!H35,'28.10 Rushere-Lyantonde-24h'!H35,'29.10 Rushere-Lyantonde'!H35,'30.10 Rushere-Lyantonde'!H35,'31.10 Rushere-Lyantonde'!H35)</f>
        <v>0</v>
      </c>
      <c r="I35" s="49">
        <f>AVERAGE('25.10 Rushere-Lyantonde'!I35,'26.10 Rushere-Lyantonde-24hr'!I35,'27.10 Rushere-Lyantonde'!I35,'28.10 Rushere-Lyantonde-24h'!I35,'29.10 Rushere-Lyantonde'!I35,'30.10 Rushere-Lyantonde'!I35,'31.10 Rushere-Lyantonde'!I35)</f>
        <v>0.42857142857142855</v>
      </c>
      <c r="J35" s="49">
        <f>AVERAGE('25.10 Rushere-Lyantonde'!J35,'26.10 Rushere-Lyantonde-24hr'!J35,'27.10 Rushere-Lyantonde'!J35,'28.10 Rushere-Lyantonde-24h'!J35,'29.10 Rushere-Lyantonde'!J35,'30.10 Rushere-Lyantonde'!J35,'31.10 Rushere-Lyantonde'!J35)</f>
        <v>0.2857142857142857</v>
      </c>
      <c r="K35" s="49">
        <f>AVERAGE('25.10 Rushere-Lyantonde'!K35,'26.10 Rushere-Lyantonde-24hr'!K35,'27.10 Rushere-Lyantonde'!K35,'28.10 Rushere-Lyantonde-24h'!K35,'29.10 Rushere-Lyantonde'!K35,'30.10 Rushere-Lyantonde'!K35,'31.10 Rushere-Lyantonde'!K35)</f>
        <v>0.42857142857142855</v>
      </c>
      <c r="L35" s="49">
        <f>AVERAGE('25.10 Rushere-Lyantonde'!L35,'26.10 Rushere-Lyantonde-24hr'!L35,'27.10 Rushere-Lyantonde'!L35,'28.10 Rushere-Lyantonde-24h'!L35,'29.10 Rushere-Lyantonde'!L35,'30.10 Rushere-Lyantonde'!L35,'31.10 Rushere-Lyantonde'!L35)</f>
        <v>0.14285714285714285</v>
      </c>
      <c r="M35" s="49">
        <f>AVERAGE('25.10 Rushere-Lyantonde'!M35,'26.10 Rushere-Lyantonde-24hr'!M35,'27.10 Rushere-Lyantonde'!M35,'28.10 Rushere-Lyantonde-24h'!M35,'29.10 Rushere-Lyantonde'!M35,'30.10 Rushere-Lyantonde'!M35,'31.10 Rushere-Lyantonde'!M35)</f>
        <v>4</v>
      </c>
      <c r="N35" s="49">
        <f>AVERAGE('25.10 Rushere-Lyantonde'!N35,'26.10 Rushere-Lyantonde-24hr'!N35,'27.10 Rushere-Lyantonde'!N35,'28.10 Rushere-Lyantonde-24h'!N35,'29.10 Rushere-Lyantonde'!N35,'30.10 Rushere-Lyantonde'!N35,'31.10 Rushere-Lyantonde'!N35)</f>
        <v>0</v>
      </c>
      <c r="O35" s="15">
        <f t="shared" si="0"/>
        <v>8.1428571428571423</v>
      </c>
      <c r="P35" s="15">
        <f t="shared" si="1"/>
        <v>12.142857142857142</v>
      </c>
      <c r="R35" s="38" t="s">
        <v>91</v>
      </c>
      <c r="S35" s="39">
        <f t="shared" ref="S35:AF35" si="27">MAX(S13:S18)</f>
        <v>18</v>
      </c>
      <c r="T35" s="39">
        <f t="shared" si="27"/>
        <v>7.7142857142857144</v>
      </c>
      <c r="U35" s="39">
        <f t="shared" si="27"/>
        <v>4.5714285714285712</v>
      </c>
      <c r="V35" s="39">
        <f t="shared" si="27"/>
        <v>0.8571428571428571</v>
      </c>
      <c r="W35" s="39">
        <f t="shared" si="27"/>
        <v>0.42857142857142855</v>
      </c>
      <c r="X35" s="39">
        <f t="shared" si="27"/>
        <v>0.71428571428571419</v>
      </c>
      <c r="Y35" s="39">
        <f t="shared" si="27"/>
        <v>4.2857142857142856</v>
      </c>
      <c r="Z35" s="39">
        <f t="shared" si="27"/>
        <v>3.1428571428571423</v>
      </c>
      <c r="AA35" s="39">
        <f t="shared" si="27"/>
        <v>1.5714285714285714</v>
      </c>
      <c r="AB35" s="39">
        <f t="shared" si="27"/>
        <v>1.2857142857142856</v>
      </c>
      <c r="AC35" s="39">
        <f t="shared" si="27"/>
        <v>27.714285714285715</v>
      </c>
      <c r="AD35" s="39">
        <f t="shared" si="27"/>
        <v>0.2857142857142857</v>
      </c>
      <c r="AE35" s="40">
        <f t="shared" si="27"/>
        <v>35.714285714285715</v>
      </c>
      <c r="AF35" s="40">
        <f t="shared" si="27"/>
        <v>63.428571428571431</v>
      </c>
    </row>
    <row r="36" spans="2:32" ht="23.1" customHeight="1" x14ac:dyDescent="0.25">
      <c r="B36" s="24" t="s">
        <v>63</v>
      </c>
      <c r="C36" s="49">
        <f>AVERAGE('25.10 Rushere-Lyantonde'!C36,'26.10 Rushere-Lyantonde-24hr'!C36,'27.10 Rushere-Lyantonde'!C36,'28.10 Rushere-Lyantonde-24h'!C36,'29.10 Rushere-Lyantonde'!C36,'30.10 Rushere-Lyantonde'!C36,'31.10 Rushere-Lyantonde'!C36)</f>
        <v>3.7142857142857144</v>
      </c>
      <c r="D36" s="49">
        <f>AVERAGE('25.10 Rushere-Lyantonde'!D36,'26.10 Rushere-Lyantonde-24hr'!D36,'27.10 Rushere-Lyantonde'!D36,'28.10 Rushere-Lyantonde-24h'!D36,'29.10 Rushere-Lyantonde'!D36,'30.10 Rushere-Lyantonde'!D36,'31.10 Rushere-Lyantonde'!D36)</f>
        <v>1.7142857142857142</v>
      </c>
      <c r="E36" s="49">
        <f>AVERAGE('25.10 Rushere-Lyantonde'!E36,'26.10 Rushere-Lyantonde-24hr'!E36,'27.10 Rushere-Lyantonde'!E36,'28.10 Rushere-Lyantonde-24h'!E36,'29.10 Rushere-Lyantonde'!E36,'30.10 Rushere-Lyantonde'!E36,'31.10 Rushere-Lyantonde'!E36)</f>
        <v>1.1428571428571428</v>
      </c>
      <c r="F36" s="49">
        <f>AVERAGE('25.10 Rushere-Lyantonde'!F36,'26.10 Rushere-Lyantonde-24hr'!F36,'27.10 Rushere-Lyantonde'!F36,'28.10 Rushere-Lyantonde-24h'!F36,'29.10 Rushere-Lyantonde'!F36,'30.10 Rushere-Lyantonde'!F36,'31.10 Rushere-Lyantonde'!F36)</f>
        <v>0.42857142857142855</v>
      </c>
      <c r="G36" s="49">
        <f>AVERAGE('25.10 Rushere-Lyantonde'!G36,'26.10 Rushere-Lyantonde-24hr'!G36,'27.10 Rushere-Lyantonde'!G36,'28.10 Rushere-Lyantonde-24h'!G36,'29.10 Rushere-Lyantonde'!G36,'30.10 Rushere-Lyantonde'!G36,'31.10 Rushere-Lyantonde'!G36)</f>
        <v>0.14285714285714285</v>
      </c>
      <c r="H36" s="49">
        <f>AVERAGE('25.10 Rushere-Lyantonde'!H36,'26.10 Rushere-Lyantonde-24hr'!H36,'27.10 Rushere-Lyantonde'!H36,'28.10 Rushere-Lyantonde-24h'!H36,'29.10 Rushere-Lyantonde'!H36,'30.10 Rushere-Lyantonde'!H36,'31.10 Rushere-Lyantonde'!H36)</f>
        <v>0</v>
      </c>
      <c r="I36" s="49">
        <f>AVERAGE('25.10 Rushere-Lyantonde'!I36,'26.10 Rushere-Lyantonde-24hr'!I36,'27.10 Rushere-Lyantonde'!I36,'28.10 Rushere-Lyantonde-24h'!I36,'29.10 Rushere-Lyantonde'!I36,'30.10 Rushere-Lyantonde'!I36,'31.10 Rushere-Lyantonde'!I36)</f>
        <v>1</v>
      </c>
      <c r="J36" s="49">
        <f>AVERAGE('25.10 Rushere-Lyantonde'!J36,'26.10 Rushere-Lyantonde-24hr'!J36,'27.10 Rushere-Lyantonde'!J36,'28.10 Rushere-Lyantonde-24h'!J36,'29.10 Rushere-Lyantonde'!J36,'30.10 Rushere-Lyantonde'!J36,'31.10 Rushere-Lyantonde'!J36)</f>
        <v>0.2857142857142857</v>
      </c>
      <c r="K36" s="49">
        <f>AVERAGE('25.10 Rushere-Lyantonde'!K36,'26.10 Rushere-Lyantonde-24hr'!K36,'27.10 Rushere-Lyantonde'!K36,'28.10 Rushere-Lyantonde-24h'!K36,'29.10 Rushere-Lyantonde'!K36,'30.10 Rushere-Lyantonde'!K36,'31.10 Rushere-Lyantonde'!K36)</f>
        <v>0.14285714285714285</v>
      </c>
      <c r="L36" s="49">
        <f>AVERAGE('25.10 Rushere-Lyantonde'!L36,'26.10 Rushere-Lyantonde-24hr'!L36,'27.10 Rushere-Lyantonde'!L36,'28.10 Rushere-Lyantonde-24h'!L36,'29.10 Rushere-Lyantonde'!L36,'30.10 Rushere-Lyantonde'!L36,'31.10 Rushere-Lyantonde'!L36)</f>
        <v>0.42857142857142855</v>
      </c>
      <c r="M36" s="49">
        <f>AVERAGE('25.10 Rushere-Lyantonde'!M36,'26.10 Rushere-Lyantonde-24hr'!M36,'27.10 Rushere-Lyantonde'!M36,'28.10 Rushere-Lyantonde-24h'!M36,'29.10 Rushere-Lyantonde'!M36,'30.10 Rushere-Lyantonde'!M36,'31.10 Rushere-Lyantonde'!M36)</f>
        <v>4.8571428571428568</v>
      </c>
      <c r="N36" s="49">
        <f>AVERAGE('25.10 Rushere-Lyantonde'!N36,'26.10 Rushere-Lyantonde-24hr'!N36,'27.10 Rushere-Lyantonde'!N36,'28.10 Rushere-Lyantonde-24h'!N36,'29.10 Rushere-Lyantonde'!N36,'30.10 Rushere-Lyantonde'!N36,'31.10 Rushere-Lyantonde'!N36)</f>
        <v>0</v>
      </c>
      <c r="O36" s="15">
        <f t="shared" si="0"/>
        <v>9</v>
      </c>
      <c r="P36" s="15">
        <f t="shared" si="1"/>
        <v>13.857142857142858</v>
      </c>
      <c r="R36" s="38" t="s">
        <v>92</v>
      </c>
      <c r="S36" s="39">
        <f t="shared" ref="S36:AF36" si="28">MAX(S19:S21)</f>
        <v>21.714285714285715</v>
      </c>
      <c r="T36" s="39">
        <f t="shared" si="28"/>
        <v>8.4285714285714288</v>
      </c>
      <c r="U36" s="39">
        <f t="shared" si="28"/>
        <v>4.5714285714285712</v>
      </c>
      <c r="V36" s="39">
        <f t="shared" si="28"/>
        <v>1.1428571428571428</v>
      </c>
      <c r="W36" s="39">
        <f t="shared" si="28"/>
        <v>0.2857142857142857</v>
      </c>
      <c r="X36" s="39">
        <f t="shared" si="28"/>
        <v>0.2857142857142857</v>
      </c>
      <c r="Y36" s="39">
        <f t="shared" si="28"/>
        <v>6.8571428571428577</v>
      </c>
      <c r="Z36" s="39">
        <f t="shared" si="28"/>
        <v>5.5714285714285721</v>
      </c>
      <c r="AA36" s="39">
        <f t="shared" si="28"/>
        <v>3.2857142857142856</v>
      </c>
      <c r="AB36" s="39">
        <f t="shared" si="28"/>
        <v>1.4285714285714286</v>
      </c>
      <c r="AC36" s="39">
        <f t="shared" si="28"/>
        <v>35.857142857142854</v>
      </c>
      <c r="AD36" s="39">
        <f t="shared" si="28"/>
        <v>0</v>
      </c>
      <c r="AE36" s="40">
        <f t="shared" si="28"/>
        <v>50.571428571428569</v>
      </c>
      <c r="AF36" s="40">
        <f t="shared" si="28"/>
        <v>83.857142857142847</v>
      </c>
    </row>
    <row r="37" spans="2:32" ht="23.1" customHeight="1" x14ac:dyDescent="0.25">
      <c r="B37" s="23" t="s">
        <v>64</v>
      </c>
      <c r="C37" s="49">
        <f>AVERAGE('25.10 Rushere-Lyantonde'!C37,'26.10 Rushere-Lyantonde-24hr'!C37,'27.10 Rushere-Lyantonde'!C37,'28.10 Rushere-Lyantonde-24h'!C37,'29.10 Rushere-Lyantonde'!C37,'30.10 Rushere-Lyantonde'!C37,'31.10 Rushere-Lyantonde'!C37)</f>
        <v>4</v>
      </c>
      <c r="D37" s="49">
        <f>AVERAGE('25.10 Rushere-Lyantonde'!D37,'26.10 Rushere-Lyantonde-24hr'!D37,'27.10 Rushere-Lyantonde'!D37,'28.10 Rushere-Lyantonde-24h'!D37,'29.10 Rushere-Lyantonde'!D37,'30.10 Rushere-Lyantonde'!D37,'31.10 Rushere-Lyantonde'!D37)</f>
        <v>1.8571428571428572</v>
      </c>
      <c r="E37" s="49">
        <f>AVERAGE('25.10 Rushere-Lyantonde'!E37,'26.10 Rushere-Lyantonde-24hr'!E37,'27.10 Rushere-Lyantonde'!E37,'28.10 Rushere-Lyantonde-24h'!E37,'29.10 Rushere-Lyantonde'!E37,'30.10 Rushere-Lyantonde'!E37,'31.10 Rushere-Lyantonde'!E37)</f>
        <v>0.14285714285714285</v>
      </c>
      <c r="F37" s="49">
        <f>AVERAGE('25.10 Rushere-Lyantonde'!F37,'26.10 Rushere-Lyantonde-24hr'!F37,'27.10 Rushere-Lyantonde'!F37,'28.10 Rushere-Lyantonde-24h'!F37,'29.10 Rushere-Lyantonde'!F37,'30.10 Rushere-Lyantonde'!F37,'31.10 Rushere-Lyantonde'!F37)</f>
        <v>0</v>
      </c>
      <c r="G37" s="49">
        <f>AVERAGE('25.10 Rushere-Lyantonde'!G37,'26.10 Rushere-Lyantonde-24hr'!G37,'27.10 Rushere-Lyantonde'!G37,'28.10 Rushere-Lyantonde-24h'!G37,'29.10 Rushere-Lyantonde'!G37,'30.10 Rushere-Lyantonde'!G37,'31.10 Rushere-Lyantonde'!G37)</f>
        <v>0</v>
      </c>
      <c r="H37" s="49">
        <f>AVERAGE('25.10 Rushere-Lyantonde'!H37,'26.10 Rushere-Lyantonde-24hr'!H37,'27.10 Rushere-Lyantonde'!H37,'28.10 Rushere-Lyantonde-24h'!H37,'29.10 Rushere-Lyantonde'!H37,'30.10 Rushere-Lyantonde'!H37,'31.10 Rushere-Lyantonde'!H37)</f>
        <v>0</v>
      </c>
      <c r="I37" s="49">
        <f>AVERAGE('25.10 Rushere-Lyantonde'!I37,'26.10 Rushere-Lyantonde-24hr'!I37,'27.10 Rushere-Lyantonde'!I37,'28.10 Rushere-Lyantonde-24h'!I37,'29.10 Rushere-Lyantonde'!I37,'30.10 Rushere-Lyantonde'!I37,'31.10 Rushere-Lyantonde'!I37)</f>
        <v>1.7142857142857142</v>
      </c>
      <c r="J37" s="49">
        <f>AVERAGE('25.10 Rushere-Lyantonde'!J37,'26.10 Rushere-Lyantonde-24hr'!J37,'27.10 Rushere-Lyantonde'!J37,'28.10 Rushere-Lyantonde-24h'!J37,'29.10 Rushere-Lyantonde'!J37,'30.10 Rushere-Lyantonde'!J37,'31.10 Rushere-Lyantonde'!J37)</f>
        <v>0.42857142857142855</v>
      </c>
      <c r="K37" s="49">
        <f>AVERAGE('25.10 Rushere-Lyantonde'!K37,'26.10 Rushere-Lyantonde-24hr'!K37,'27.10 Rushere-Lyantonde'!K37,'28.10 Rushere-Lyantonde-24h'!K37,'29.10 Rushere-Lyantonde'!K37,'30.10 Rushere-Lyantonde'!K37,'31.10 Rushere-Lyantonde'!K37)</f>
        <v>0.14285714285714285</v>
      </c>
      <c r="L37" s="49">
        <f>AVERAGE('25.10 Rushere-Lyantonde'!L37,'26.10 Rushere-Lyantonde-24hr'!L37,'27.10 Rushere-Lyantonde'!L37,'28.10 Rushere-Lyantonde-24h'!L37,'29.10 Rushere-Lyantonde'!L37,'30.10 Rushere-Lyantonde'!L37,'31.10 Rushere-Lyantonde'!L37)</f>
        <v>0.2857142857142857</v>
      </c>
      <c r="M37" s="49">
        <f>AVERAGE('25.10 Rushere-Lyantonde'!M37,'26.10 Rushere-Lyantonde-24hr'!M37,'27.10 Rushere-Lyantonde'!M37,'28.10 Rushere-Lyantonde-24h'!M37,'29.10 Rushere-Lyantonde'!M37,'30.10 Rushere-Lyantonde'!M37,'31.10 Rushere-Lyantonde'!M37)</f>
        <v>4.2857142857142856</v>
      </c>
      <c r="N37" s="49">
        <f>AVERAGE('25.10 Rushere-Lyantonde'!N37,'26.10 Rushere-Lyantonde-24hr'!N37,'27.10 Rushere-Lyantonde'!N37,'28.10 Rushere-Lyantonde-24h'!N37,'29.10 Rushere-Lyantonde'!N37,'30.10 Rushere-Lyantonde'!N37,'31.10 Rushere-Lyantonde'!N37)</f>
        <v>0.2857142857142857</v>
      </c>
      <c r="O37" s="15">
        <f t="shared" si="0"/>
        <v>8.8571428571428594</v>
      </c>
      <c r="P37" s="15">
        <f t="shared" si="1"/>
        <v>13.142857142857144</v>
      </c>
      <c r="R37" s="37" t="s">
        <v>85</v>
      </c>
      <c r="S37" s="35">
        <f t="shared" ref="S37:AF37" si="29">SUM(S10:S12)</f>
        <v>33.428571428571423</v>
      </c>
      <c r="T37" s="16">
        <f t="shared" si="29"/>
        <v>10.285714285714285</v>
      </c>
      <c r="U37" s="16">
        <f t="shared" si="29"/>
        <v>4.4285714285714288</v>
      </c>
      <c r="V37" s="16">
        <f t="shared" si="29"/>
        <v>3.5714285714285712</v>
      </c>
      <c r="W37" s="16">
        <f t="shared" si="29"/>
        <v>0.2857142857142857</v>
      </c>
      <c r="X37" s="16">
        <f t="shared" si="29"/>
        <v>1.2857142857142856</v>
      </c>
      <c r="Y37" s="16">
        <f t="shared" si="29"/>
        <v>4.5714285714285712</v>
      </c>
      <c r="Z37" s="16">
        <f t="shared" si="29"/>
        <v>3</v>
      </c>
      <c r="AA37" s="16">
        <f t="shared" si="29"/>
        <v>2.5714285714285712</v>
      </c>
      <c r="AB37" s="16">
        <f t="shared" si="29"/>
        <v>0.2857142857142857</v>
      </c>
      <c r="AC37" s="16">
        <f t="shared" si="29"/>
        <v>52.571428571428577</v>
      </c>
      <c r="AD37" s="16">
        <f t="shared" si="29"/>
        <v>0</v>
      </c>
      <c r="AE37" s="32">
        <f t="shared" si="29"/>
        <v>63.714285714285722</v>
      </c>
      <c r="AF37" s="32">
        <f t="shared" si="29"/>
        <v>116.28571428571428</v>
      </c>
    </row>
    <row r="38" spans="2:32" ht="23.1" customHeight="1" x14ac:dyDescent="0.25">
      <c r="B38" s="24" t="s">
        <v>65</v>
      </c>
      <c r="C38" s="49">
        <f>AVERAGE('25.10 Rushere-Lyantonde'!C38,'26.10 Rushere-Lyantonde-24hr'!C38,'27.10 Rushere-Lyantonde'!C38,'28.10 Rushere-Lyantonde-24h'!C38,'29.10 Rushere-Lyantonde'!C38,'30.10 Rushere-Lyantonde'!C38,'31.10 Rushere-Lyantonde'!C38)</f>
        <v>4.5714285714285712</v>
      </c>
      <c r="D38" s="49">
        <f>AVERAGE('25.10 Rushere-Lyantonde'!D38,'26.10 Rushere-Lyantonde-24hr'!D38,'27.10 Rushere-Lyantonde'!D38,'28.10 Rushere-Lyantonde-24h'!D38,'29.10 Rushere-Lyantonde'!D38,'30.10 Rushere-Lyantonde'!D38,'31.10 Rushere-Lyantonde'!D38)</f>
        <v>1.2857142857142858</v>
      </c>
      <c r="E38" s="49">
        <f>AVERAGE('25.10 Rushere-Lyantonde'!E38,'26.10 Rushere-Lyantonde-24hr'!E38,'27.10 Rushere-Lyantonde'!E38,'28.10 Rushere-Lyantonde-24h'!E38,'29.10 Rushere-Lyantonde'!E38,'30.10 Rushere-Lyantonde'!E38,'31.10 Rushere-Lyantonde'!E38)</f>
        <v>0</v>
      </c>
      <c r="F38" s="49">
        <f>AVERAGE('25.10 Rushere-Lyantonde'!F38,'26.10 Rushere-Lyantonde-24hr'!F38,'27.10 Rushere-Lyantonde'!F38,'28.10 Rushere-Lyantonde-24h'!F38,'29.10 Rushere-Lyantonde'!F38,'30.10 Rushere-Lyantonde'!F38,'31.10 Rushere-Lyantonde'!F38)</f>
        <v>0</v>
      </c>
      <c r="G38" s="49">
        <f>AVERAGE('25.10 Rushere-Lyantonde'!G38,'26.10 Rushere-Lyantonde-24hr'!G38,'27.10 Rushere-Lyantonde'!G38,'28.10 Rushere-Lyantonde-24h'!G38,'29.10 Rushere-Lyantonde'!G38,'30.10 Rushere-Lyantonde'!G38,'31.10 Rushere-Lyantonde'!G38)</f>
        <v>0</v>
      </c>
      <c r="H38" s="49">
        <f>AVERAGE('25.10 Rushere-Lyantonde'!H38,'26.10 Rushere-Lyantonde-24hr'!H38,'27.10 Rushere-Lyantonde'!H38,'28.10 Rushere-Lyantonde-24h'!H38,'29.10 Rushere-Lyantonde'!H38,'30.10 Rushere-Lyantonde'!H38,'31.10 Rushere-Lyantonde'!H38)</f>
        <v>0</v>
      </c>
      <c r="I38" s="49">
        <f>AVERAGE('25.10 Rushere-Lyantonde'!I38,'26.10 Rushere-Lyantonde-24hr'!I38,'27.10 Rushere-Lyantonde'!I38,'28.10 Rushere-Lyantonde-24h'!I38,'29.10 Rushere-Lyantonde'!I38,'30.10 Rushere-Lyantonde'!I38,'31.10 Rushere-Lyantonde'!I38)</f>
        <v>0.7142857142857143</v>
      </c>
      <c r="J38" s="49">
        <f>AVERAGE('25.10 Rushere-Lyantonde'!J38,'26.10 Rushere-Lyantonde-24hr'!J38,'27.10 Rushere-Lyantonde'!J38,'28.10 Rushere-Lyantonde-24h'!J38,'29.10 Rushere-Lyantonde'!J38,'30.10 Rushere-Lyantonde'!J38,'31.10 Rushere-Lyantonde'!J38)</f>
        <v>0.42857142857142855</v>
      </c>
      <c r="K38" s="49">
        <f>AVERAGE('25.10 Rushere-Lyantonde'!K38,'26.10 Rushere-Lyantonde-24hr'!K38,'27.10 Rushere-Lyantonde'!K38,'28.10 Rushere-Lyantonde-24h'!K38,'29.10 Rushere-Lyantonde'!K38,'30.10 Rushere-Lyantonde'!K38,'31.10 Rushere-Lyantonde'!K38)</f>
        <v>0.5714285714285714</v>
      </c>
      <c r="L38" s="49">
        <f>AVERAGE('25.10 Rushere-Lyantonde'!L38,'26.10 Rushere-Lyantonde-24hr'!L38,'27.10 Rushere-Lyantonde'!L38,'28.10 Rushere-Lyantonde-24h'!L38,'29.10 Rushere-Lyantonde'!L38,'30.10 Rushere-Lyantonde'!L38,'31.10 Rushere-Lyantonde'!L38)</f>
        <v>0.5714285714285714</v>
      </c>
      <c r="M38" s="49">
        <f>AVERAGE('25.10 Rushere-Lyantonde'!M38,'26.10 Rushere-Lyantonde-24hr'!M38,'27.10 Rushere-Lyantonde'!M38,'28.10 Rushere-Lyantonde-24h'!M38,'29.10 Rushere-Lyantonde'!M38,'30.10 Rushere-Lyantonde'!M38,'31.10 Rushere-Lyantonde'!M38)</f>
        <v>7.2857142857142856</v>
      </c>
      <c r="N38" s="49">
        <f>AVERAGE('25.10 Rushere-Lyantonde'!N38,'26.10 Rushere-Lyantonde-24hr'!N38,'27.10 Rushere-Lyantonde'!N38,'28.10 Rushere-Lyantonde-24h'!N38,'29.10 Rushere-Lyantonde'!N38,'30.10 Rushere-Lyantonde'!N38,'31.10 Rushere-Lyantonde'!N38)</f>
        <v>0</v>
      </c>
      <c r="O38" s="15">
        <f t="shared" si="0"/>
        <v>8.1428571428571423</v>
      </c>
      <c r="P38" s="15">
        <f t="shared" si="1"/>
        <v>15.428571428571427</v>
      </c>
      <c r="R38" s="28" t="s">
        <v>86</v>
      </c>
      <c r="S38" s="16">
        <f t="shared" ref="S38:AF38" si="30">SUM(S13:S18)</f>
        <v>94.571428571428584</v>
      </c>
      <c r="T38" s="16">
        <f t="shared" si="30"/>
        <v>33.285714285714292</v>
      </c>
      <c r="U38" s="16">
        <f t="shared" si="30"/>
        <v>16.714285714285715</v>
      </c>
      <c r="V38" s="16">
        <f t="shared" si="30"/>
        <v>3.2857142857142856</v>
      </c>
      <c r="W38" s="16">
        <f t="shared" si="30"/>
        <v>0.5714285714285714</v>
      </c>
      <c r="X38" s="16">
        <f t="shared" si="30"/>
        <v>0.71428571428571419</v>
      </c>
      <c r="Y38" s="16">
        <f t="shared" si="30"/>
        <v>16.571428571428573</v>
      </c>
      <c r="Z38" s="16">
        <f t="shared" si="30"/>
        <v>8.8571428571428559</v>
      </c>
      <c r="AA38" s="16">
        <f t="shared" si="30"/>
        <v>4.1428571428571423</v>
      </c>
      <c r="AB38" s="16">
        <f t="shared" si="30"/>
        <v>4.2857142857142856</v>
      </c>
      <c r="AC38" s="16">
        <f t="shared" si="30"/>
        <v>150</v>
      </c>
      <c r="AD38" s="16">
        <f t="shared" si="30"/>
        <v>0.5714285714285714</v>
      </c>
      <c r="AE38" s="32">
        <f t="shared" si="30"/>
        <v>183.57142857142858</v>
      </c>
      <c r="AF38" s="32">
        <f t="shared" si="30"/>
        <v>333.57142857142861</v>
      </c>
    </row>
    <row r="39" spans="2:32" ht="23.1" customHeight="1" x14ac:dyDescent="0.25">
      <c r="B39" s="24" t="s">
        <v>66</v>
      </c>
      <c r="C39" s="49">
        <f>AVERAGE('25.10 Rushere-Lyantonde'!C39,'26.10 Rushere-Lyantonde-24hr'!C39,'27.10 Rushere-Lyantonde'!C39,'28.10 Rushere-Lyantonde-24h'!C39,'29.10 Rushere-Lyantonde'!C39,'30.10 Rushere-Lyantonde'!C39,'31.10 Rushere-Lyantonde'!C39)</f>
        <v>4.2857142857142856</v>
      </c>
      <c r="D39" s="49">
        <f>AVERAGE('25.10 Rushere-Lyantonde'!D39,'26.10 Rushere-Lyantonde-24hr'!D39,'27.10 Rushere-Lyantonde'!D39,'28.10 Rushere-Lyantonde-24h'!D39,'29.10 Rushere-Lyantonde'!D39,'30.10 Rushere-Lyantonde'!D39,'31.10 Rushere-Lyantonde'!D39)</f>
        <v>2.2857142857142856</v>
      </c>
      <c r="E39" s="49">
        <f>AVERAGE('25.10 Rushere-Lyantonde'!E39,'26.10 Rushere-Lyantonde-24hr'!E39,'27.10 Rushere-Lyantonde'!E39,'28.10 Rushere-Lyantonde-24h'!E39,'29.10 Rushere-Lyantonde'!E39,'30.10 Rushere-Lyantonde'!E39,'31.10 Rushere-Lyantonde'!E39)</f>
        <v>0.42857142857142855</v>
      </c>
      <c r="F39" s="49">
        <f>AVERAGE('25.10 Rushere-Lyantonde'!F39,'26.10 Rushere-Lyantonde-24hr'!F39,'27.10 Rushere-Lyantonde'!F39,'28.10 Rushere-Lyantonde-24h'!F39,'29.10 Rushere-Lyantonde'!F39,'30.10 Rushere-Lyantonde'!F39,'31.10 Rushere-Lyantonde'!F39)</f>
        <v>0.2857142857142857</v>
      </c>
      <c r="G39" s="49">
        <f>AVERAGE('25.10 Rushere-Lyantonde'!G39,'26.10 Rushere-Lyantonde-24hr'!G39,'27.10 Rushere-Lyantonde'!G39,'28.10 Rushere-Lyantonde-24h'!G39,'29.10 Rushere-Lyantonde'!G39,'30.10 Rushere-Lyantonde'!G39,'31.10 Rushere-Lyantonde'!G39)</f>
        <v>0</v>
      </c>
      <c r="H39" s="49">
        <f>AVERAGE('25.10 Rushere-Lyantonde'!H39,'26.10 Rushere-Lyantonde-24hr'!H39,'27.10 Rushere-Lyantonde'!H39,'28.10 Rushere-Lyantonde-24h'!H39,'29.10 Rushere-Lyantonde'!H39,'30.10 Rushere-Lyantonde'!H39,'31.10 Rushere-Lyantonde'!H39)</f>
        <v>0</v>
      </c>
      <c r="I39" s="49">
        <f>AVERAGE('25.10 Rushere-Lyantonde'!I39,'26.10 Rushere-Lyantonde-24hr'!I39,'27.10 Rushere-Lyantonde'!I39,'28.10 Rushere-Lyantonde-24h'!I39,'29.10 Rushere-Lyantonde'!I39,'30.10 Rushere-Lyantonde'!I39,'31.10 Rushere-Lyantonde'!I39)</f>
        <v>0.7142857142857143</v>
      </c>
      <c r="J39" s="49">
        <f>AVERAGE('25.10 Rushere-Lyantonde'!J39,'26.10 Rushere-Lyantonde-24hr'!J39,'27.10 Rushere-Lyantonde'!J39,'28.10 Rushere-Lyantonde-24h'!J39,'29.10 Rushere-Lyantonde'!J39,'30.10 Rushere-Lyantonde'!J39,'31.10 Rushere-Lyantonde'!J39)</f>
        <v>0.2857142857142857</v>
      </c>
      <c r="K39" s="49">
        <f>AVERAGE('25.10 Rushere-Lyantonde'!K39,'26.10 Rushere-Lyantonde-24hr'!K39,'27.10 Rushere-Lyantonde'!K39,'28.10 Rushere-Lyantonde-24h'!K39,'29.10 Rushere-Lyantonde'!K39,'30.10 Rushere-Lyantonde'!K39,'31.10 Rushere-Lyantonde'!K39)</f>
        <v>0.2857142857142857</v>
      </c>
      <c r="L39" s="49">
        <f>AVERAGE('25.10 Rushere-Lyantonde'!L39,'26.10 Rushere-Lyantonde-24hr'!L39,'27.10 Rushere-Lyantonde'!L39,'28.10 Rushere-Lyantonde-24h'!L39,'29.10 Rushere-Lyantonde'!L39,'30.10 Rushere-Lyantonde'!L39,'31.10 Rushere-Lyantonde'!L39)</f>
        <v>0.14285714285714285</v>
      </c>
      <c r="M39" s="49">
        <f>AVERAGE('25.10 Rushere-Lyantonde'!M39,'26.10 Rushere-Lyantonde-24hr'!M39,'27.10 Rushere-Lyantonde'!M39,'28.10 Rushere-Lyantonde-24h'!M39,'29.10 Rushere-Lyantonde'!M39,'30.10 Rushere-Lyantonde'!M39,'31.10 Rushere-Lyantonde'!M39)</f>
        <v>5.8571428571428568</v>
      </c>
      <c r="N39" s="49">
        <f>AVERAGE('25.10 Rushere-Lyantonde'!N39,'26.10 Rushere-Lyantonde-24hr'!N39,'27.10 Rushere-Lyantonde'!N39,'28.10 Rushere-Lyantonde-24h'!N39,'29.10 Rushere-Lyantonde'!N39,'30.10 Rushere-Lyantonde'!N39,'31.10 Rushere-Lyantonde'!N39)</f>
        <v>0</v>
      </c>
      <c r="O39" s="15">
        <f t="shared" si="0"/>
        <v>8.7142857142857153</v>
      </c>
      <c r="P39" s="15">
        <f t="shared" si="1"/>
        <v>14.571428571428573</v>
      </c>
      <c r="R39" s="29" t="s">
        <v>87</v>
      </c>
      <c r="S39" s="16">
        <f t="shared" ref="S39:AF39" si="31">SUM(S19:S21)</f>
        <v>54.142857142857146</v>
      </c>
      <c r="T39" s="16">
        <f t="shared" si="31"/>
        <v>21.142857142857142</v>
      </c>
      <c r="U39" s="16">
        <f t="shared" si="31"/>
        <v>13.285714285714286</v>
      </c>
      <c r="V39" s="16">
        <f t="shared" si="31"/>
        <v>2.8571428571428568</v>
      </c>
      <c r="W39" s="16">
        <f t="shared" si="31"/>
        <v>0.5714285714285714</v>
      </c>
      <c r="X39" s="16">
        <f t="shared" si="31"/>
        <v>0.2857142857142857</v>
      </c>
      <c r="Y39" s="16">
        <f t="shared" si="31"/>
        <v>17.714285714285715</v>
      </c>
      <c r="Z39" s="16">
        <f t="shared" si="31"/>
        <v>12.714285714285715</v>
      </c>
      <c r="AA39" s="16">
        <f t="shared" si="31"/>
        <v>7.2857142857142847</v>
      </c>
      <c r="AB39" s="16">
        <f t="shared" si="31"/>
        <v>2.5714285714285712</v>
      </c>
      <c r="AC39" s="16">
        <f t="shared" si="31"/>
        <v>93.857142857142847</v>
      </c>
      <c r="AD39" s="16">
        <f t="shared" si="31"/>
        <v>0</v>
      </c>
      <c r="AE39" s="32">
        <f t="shared" si="31"/>
        <v>132.57142857142856</v>
      </c>
      <c r="AF39" s="32">
        <f t="shared" si="31"/>
        <v>226.42857142857144</v>
      </c>
    </row>
    <row r="40" spans="2:32" ht="23.1" customHeight="1" x14ac:dyDescent="0.25">
      <c r="B40" s="24" t="s">
        <v>67</v>
      </c>
      <c r="C40" s="49">
        <f>AVERAGE('25.10 Rushere-Lyantonde'!C40,'26.10 Rushere-Lyantonde-24hr'!C40,'27.10 Rushere-Lyantonde'!C40,'28.10 Rushere-Lyantonde-24h'!C40,'29.10 Rushere-Lyantonde'!C40,'30.10 Rushere-Lyantonde'!C40,'31.10 Rushere-Lyantonde'!C40)</f>
        <v>4.4285714285714288</v>
      </c>
      <c r="D40" s="49">
        <f>AVERAGE('25.10 Rushere-Lyantonde'!D40,'26.10 Rushere-Lyantonde-24hr'!D40,'27.10 Rushere-Lyantonde'!D40,'28.10 Rushere-Lyantonde-24h'!D40,'29.10 Rushere-Lyantonde'!D40,'30.10 Rushere-Lyantonde'!D40,'31.10 Rushere-Lyantonde'!D40)</f>
        <v>1.5714285714285714</v>
      </c>
      <c r="E40" s="49">
        <f>AVERAGE('25.10 Rushere-Lyantonde'!E40,'26.10 Rushere-Lyantonde-24hr'!E40,'27.10 Rushere-Lyantonde'!E40,'28.10 Rushere-Lyantonde-24h'!E40,'29.10 Rushere-Lyantonde'!E40,'30.10 Rushere-Lyantonde'!E40,'31.10 Rushere-Lyantonde'!E40)</f>
        <v>0.8571428571428571</v>
      </c>
      <c r="F40" s="49">
        <f>AVERAGE('25.10 Rushere-Lyantonde'!F40,'26.10 Rushere-Lyantonde-24hr'!F40,'27.10 Rushere-Lyantonde'!F40,'28.10 Rushere-Lyantonde-24h'!F40,'29.10 Rushere-Lyantonde'!F40,'30.10 Rushere-Lyantonde'!F40,'31.10 Rushere-Lyantonde'!F40)</f>
        <v>0</v>
      </c>
      <c r="G40" s="49">
        <f>AVERAGE('25.10 Rushere-Lyantonde'!G40,'26.10 Rushere-Lyantonde-24hr'!G40,'27.10 Rushere-Lyantonde'!G40,'28.10 Rushere-Lyantonde-24h'!G40,'29.10 Rushere-Lyantonde'!G40,'30.10 Rushere-Lyantonde'!G40,'31.10 Rushere-Lyantonde'!G40)</f>
        <v>0</v>
      </c>
      <c r="H40" s="49">
        <f>AVERAGE('25.10 Rushere-Lyantonde'!H40,'26.10 Rushere-Lyantonde-24hr'!H40,'27.10 Rushere-Lyantonde'!H40,'28.10 Rushere-Lyantonde-24h'!H40,'29.10 Rushere-Lyantonde'!H40,'30.10 Rushere-Lyantonde'!H40,'31.10 Rushere-Lyantonde'!H40)</f>
        <v>0</v>
      </c>
      <c r="I40" s="49">
        <f>AVERAGE('25.10 Rushere-Lyantonde'!I40,'26.10 Rushere-Lyantonde-24hr'!I40,'27.10 Rushere-Lyantonde'!I40,'28.10 Rushere-Lyantonde-24h'!I40,'29.10 Rushere-Lyantonde'!I40,'30.10 Rushere-Lyantonde'!I40,'31.10 Rushere-Lyantonde'!I40)</f>
        <v>0.8571428571428571</v>
      </c>
      <c r="J40" s="49">
        <f>AVERAGE('25.10 Rushere-Lyantonde'!J40,'26.10 Rushere-Lyantonde-24hr'!J40,'27.10 Rushere-Lyantonde'!J40,'28.10 Rushere-Lyantonde-24h'!J40,'29.10 Rushere-Lyantonde'!J40,'30.10 Rushere-Lyantonde'!J40,'31.10 Rushere-Lyantonde'!J40)</f>
        <v>0.42857142857142855</v>
      </c>
      <c r="K40" s="49">
        <f>AVERAGE('25.10 Rushere-Lyantonde'!K40,'26.10 Rushere-Lyantonde-24hr'!K40,'27.10 Rushere-Lyantonde'!K40,'28.10 Rushere-Lyantonde-24h'!K40,'29.10 Rushere-Lyantonde'!K40,'30.10 Rushere-Lyantonde'!K40,'31.10 Rushere-Lyantonde'!K40)</f>
        <v>0.14285714285714285</v>
      </c>
      <c r="L40" s="49">
        <f>AVERAGE('25.10 Rushere-Lyantonde'!L40,'26.10 Rushere-Lyantonde-24hr'!L40,'27.10 Rushere-Lyantonde'!L40,'28.10 Rushere-Lyantonde-24h'!L40,'29.10 Rushere-Lyantonde'!L40,'30.10 Rushere-Lyantonde'!L40,'31.10 Rushere-Lyantonde'!L40)</f>
        <v>0.5714285714285714</v>
      </c>
      <c r="M40" s="49">
        <f>AVERAGE('25.10 Rushere-Lyantonde'!M40,'26.10 Rushere-Lyantonde-24hr'!M40,'27.10 Rushere-Lyantonde'!M40,'28.10 Rushere-Lyantonde-24h'!M40,'29.10 Rushere-Lyantonde'!M40,'30.10 Rushere-Lyantonde'!M40,'31.10 Rushere-Lyantonde'!M40)</f>
        <v>7.5714285714285712</v>
      </c>
      <c r="N40" s="49">
        <f>AVERAGE('25.10 Rushere-Lyantonde'!N40,'26.10 Rushere-Lyantonde-24hr'!N40,'27.10 Rushere-Lyantonde'!N40,'28.10 Rushere-Lyantonde-24h'!N40,'29.10 Rushere-Lyantonde'!N40,'30.10 Rushere-Lyantonde'!N40,'31.10 Rushere-Lyantonde'!N40)</f>
        <v>0</v>
      </c>
      <c r="O40" s="15">
        <f t="shared" si="0"/>
        <v>8.8571428571428559</v>
      </c>
      <c r="P40" s="15">
        <f t="shared" si="1"/>
        <v>16.428571428571427</v>
      </c>
      <c r="R40" s="5" t="s">
        <v>17</v>
      </c>
      <c r="S40" s="16">
        <f t="shared" ref="S40:AF40" si="32">SUM(S10:S21)</f>
        <v>182.14285714285714</v>
      </c>
      <c r="T40" s="16">
        <f t="shared" si="32"/>
        <v>64.714285714285708</v>
      </c>
      <c r="U40" s="16">
        <f t="shared" si="32"/>
        <v>34.428571428571423</v>
      </c>
      <c r="V40" s="16">
        <f t="shared" si="32"/>
        <v>9.7142857142857117</v>
      </c>
      <c r="W40" s="16">
        <f t="shared" si="32"/>
        <v>1.4285714285714284</v>
      </c>
      <c r="X40" s="16">
        <f t="shared" si="32"/>
        <v>2.2857142857142856</v>
      </c>
      <c r="Y40" s="16">
        <f t="shared" si="32"/>
        <v>38.857142857142854</v>
      </c>
      <c r="Z40" s="16">
        <f t="shared" si="32"/>
        <v>24.571428571428569</v>
      </c>
      <c r="AA40" s="16">
        <f t="shared" si="32"/>
        <v>13.999999999999998</v>
      </c>
      <c r="AB40" s="16">
        <f t="shared" si="32"/>
        <v>7.1428571428571423</v>
      </c>
      <c r="AC40" s="16">
        <f t="shared" si="32"/>
        <v>296.42857142857144</v>
      </c>
      <c r="AD40" s="16">
        <f t="shared" si="32"/>
        <v>0.5714285714285714</v>
      </c>
      <c r="AE40" s="32">
        <f t="shared" si="32"/>
        <v>379.85714285714289</v>
      </c>
      <c r="AF40" s="32">
        <f t="shared" si="32"/>
        <v>676.28571428571433</v>
      </c>
    </row>
    <row r="41" spans="2:32" ht="23.1" customHeight="1" x14ac:dyDescent="0.25">
      <c r="B41" s="23" t="s">
        <v>68</v>
      </c>
      <c r="C41" s="49">
        <f>AVERAGE('25.10 Rushere-Lyantonde'!C41,'26.10 Rushere-Lyantonde-24hr'!C41,'27.10 Rushere-Lyantonde'!C41,'28.10 Rushere-Lyantonde-24h'!C41,'29.10 Rushere-Lyantonde'!C41,'30.10 Rushere-Lyantonde'!C41,'31.10 Rushere-Lyantonde'!C41)</f>
        <v>4.7142857142857144</v>
      </c>
      <c r="D41" s="49">
        <f>AVERAGE('25.10 Rushere-Lyantonde'!D41,'26.10 Rushere-Lyantonde-24hr'!D41,'27.10 Rushere-Lyantonde'!D41,'28.10 Rushere-Lyantonde-24h'!D41,'29.10 Rushere-Lyantonde'!D41,'30.10 Rushere-Lyantonde'!D41,'31.10 Rushere-Lyantonde'!D41)</f>
        <v>1.7142857142857142</v>
      </c>
      <c r="E41" s="49">
        <f>AVERAGE('25.10 Rushere-Lyantonde'!E41,'26.10 Rushere-Lyantonde-24hr'!E41,'27.10 Rushere-Lyantonde'!E41,'28.10 Rushere-Lyantonde-24h'!E41,'29.10 Rushere-Lyantonde'!E41,'30.10 Rushere-Lyantonde'!E41,'31.10 Rushere-Lyantonde'!E41)</f>
        <v>1.2857142857142858</v>
      </c>
      <c r="F41" s="49">
        <f>AVERAGE('25.10 Rushere-Lyantonde'!F41,'26.10 Rushere-Lyantonde-24hr'!F41,'27.10 Rushere-Lyantonde'!F41,'28.10 Rushere-Lyantonde-24h'!F41,'29.10 Rushere-Lyantonde'!F41,'30.10 Rushere-Lyantonde'!F41,'31.10 Rushere-Lyantonde'!F41)</f>
        <v>0</v>
      </c>
      <c r="G41" s="49">
        <f>AVERAGE('25.10 Rushere-Lyantonde'!G41,'26.10 Rushere-Lyantonde-24hr'!G41,'27.10 Rushere-Lyantonde'!G41,'28.10 Rushere-Lyantonde-24h'!G41,'29.10 Rushere-Lyantonde'!G41,'30.10 Rushere-Lyantonde'!G41,'31.10 Rushere-Lyantonde'!G41)</f>
        <v>0</v>
      </c>
      <c r="H41" s="49">
        <f>AVERAGE('25.10 Rushere-Lyantonde'!H41,'26.10 Rushere-Lyantonde-24hr'!H41,'27.10 Rushere-Lyantonde'!H41,'28.10 Rushere-Lyantonde-24h'!H41,'29.10 Rushere-Lyantonde'!H41,'30.10 Rushere-Lyantonde'!H41,'31.10 Rushere-Lyantonde'!H41)</f>
        <v>0</v>
      </c>
      <c r="I41" s="49">
        <f>AVERAGE('25.10 Rushere-Lyantonde'!I41,'26.10 Rushere-Lyantonde-24hr'!I41,'27.10 Rushere-Lyantonde'!I41,'28.10 Rushere-Lyantonde-24h'!I41,'29.10 Rushere-Lyantonde'!I41,'30.10 Rushere-Lyantonde'!I41,'31.10 Rushere-Lyantonde'!I41)</f>
        <v>1.1428571428571428</v>
      </c>
      <c r="J41" s="49">
        <f>AVERAGE('25.10 Rushere-Lyantonde'!J41,'26.10 Rushere-Lyantonde-24hr'!J41,'27.10 Rushere-Lyantonde'!J41,'28.10 Rushere-Lyantonde-24h'!J41,'29.10 Rushere-Lyantonde'!J41,'30.10 Rushere-Lyantonde'!J41,'31.10 Rushere-Lyantonde'!J41)</f>
        <v>0.5714285714285714</v>
      </c>
      <c r="K41" s="49">
        <f>AVERAGE('25.10 Rushere-Lyantonde'!K41,'26.10 Rushere-Lyantonde-24hr'!K41,'27.10 Rushere-Lyantonde'!K41,'28.10 Rushere-Lyantonde-24h'!K41,'29.10 Rushere-Lyantonde'!K41,'30.10 Rushere-Lyantonde'!K41,'31.10 Rushere-Lyantonde'!K41)</f>
        <v>0.5714285714285714</v>
      </c>
      <c r="L41" s="49">
        <f>AVERAGE('25.10 Rushere-Lyantonde'!L41,'26.10 Rushere-Lyantonde-24hr'!L41,'27.10 Rushere-Lyantonde'!L41,'28.10 Rushere-Lyantonde-24h'!L41,'29.10 Rushere-Lyantonde'!L41,'30.10 Rushere-Lyantonde'!L41,'31.10 Rushere-Lyantonde'!L41)</f>
        <v>0</v>
      </c>
      <c r="M41" s="49">
        <f>AVERAGE('25.10 Rushere-Lyantonde'!M41,'26.10 Rushere-Lyantonde-24hr'!M41,'27.10 Rushere-Lyantonde'!M41,'28.10 Rushere-Lyantonde-24h'!M41,'29.10 Rushere-Lyantonde'!M41,'30.10 Rushere-Lyantonde'!M41,'31.10 Rushere-Lyantonde'!M41)</f>
        <v>7</v>
      </c>
      <c r="N41" s="49">
        <f>AVERAGE('25.10 Rushere-Lyantonde'!N41,'26.10 Rushere-Lyantonde-24hr'!N41,'27.10 Rushere-Lyantonde'!N41,'28.10 Rushere-Lyantonde-24h'!N41,'29.10 Rushere-Lyantonde'!N41,'30.10 Rushere-Lyantonde'!N41,'31.10 Rushere-Lyantonde'!N41)</f>
        <v>0</v>
      </c>
      <c r="O41" s="15">
        <f t="shared" si="0"/>
        <v>10</v>
      </c>
      <c r="P41" s="15">
        <f t="shared" si="1"/>
        <v>17</v>
      </c>
      <c r="R41" s="5" t="s">
        <v>179</v>
      </c>
      <c r="S41" s="52">
        <f>SUM(S10:S33)</f>
        <v>270.64285714285711</v>
      </c>
      <c r="T41" s="52">
        <f t="shared" ref="T41:AD41" si="33">SUM(T10:T33)</f>
        <v>101.21428571428571</v>
      </c>
      <c r="U41" s="52">
        <f t="shared" si="33"/>
        <v>75.928571428571416</v>
      </c>
      <c r="V41" s="52">
        <f t="shared" si="33"/>
        <v>18.214285714285712</v>
      </c>
      <c r="W41" s="52">
        <f t="shared" si="33"/>
        <v>4.4285714285714288</v>
      </c>
      <c r="X41" s="52">
        <f t="shared" si="33"/>
        <v>7.2857142857142856</v>
      </c>
      <c r="Y41" s="52">
        <f t="shared" si="33"/>
        <v>65.857142857142861</v>
      </c>
      <c r="Z41" s="52">
        <f t="shared" si="33"/>
        <v>65.071428571428569</v>
      </c>
      <c r="AA41" s="52">
        <f t="shared" si="33"/>
        <v>35</v>
      </c>
      <c r="AB41" s="52">
        <f t="shared" si="33"/>
        <v>23.642857142857142</v>
      </c>
      <c r="AC41" s="52">
        <f t="shared" si="33"/>
        <v>327.92857142857144</v>
      </c>
      <c r="AD41" s="52">
        <f t="shared" si="33"/>
        <v>0.5714285714285714</v>
      </c>
      <c r="AE41" s="53">
        <f>SUM(AE10:AE33)</f>
        <v>667.85714285714289</v>
      </c>
      <c r="AF41" s="53">
        <f>SUM(AF10:AF33)</f>
        <v>995.78571428571433</v>
      </c>
    </row>
    <row r="42" spans="2:32" ht="23.1" customHeight="1" x14ac:dyDescent="0.25">
      <c r="B42" s="24" t="s">
        <v>69</v>
      </c>
      <c r="C42" s="49">
        <f>AVERAGE('25.10 Rushere-Lyantonde'!C42,'26.10 Rushere-Lyantonde-24hr'!C42,'27.10 Rushere-Lyantonde'!C42,'28.10 Rushere-Lyantonde-24h'!C42,'29.10 Rushere-Lyantonde'!C42,'30.10 Rushere-Lyantonde'!C42,'31.10 Rushere-Lyantonde'!C42)</f>
        <v>3.2857142857142856</v>
      </c>
      <c r="D42" s="49">
        <f>AVERAGE('25.10 Rushere-Lyantonde'!D42,'26.10 Rushere-Lyantonde-24hr'!D42,'27.10 Rushere-Lyantonde'!D42,'28.10 Rushere-Lyantonde-24h'!D42,'29.10 Rushere-Lyantonde'!D42,'30.10 Rushere-Lyantonde'!D42,'31.10 Rushere-Lyantonde'!D42)</f>
        <v>1.1428571428571428</v>
      </c>
      <c r="E42" s="49">
        <f>AVERAGE('25.10 Rushere-Lyantonde'!E42,'26.10 Rushere-Lyantonde-24hr'!E42,'27.10 Rushere-Lyantonde'!E42,'28.10 Rushere-Lyantonde-24h'!E42,'29.10 Rushere-Lyantonde'!E42,'30.10 Rushere-Lyantonde'!E42,'31.10 Rushere-Lyantonde'!E42)</f>
        <v>1.4285714285714286</v>
      </c>
      <c r="F42" s="49">
        <f>AVERAGE('25.10 Rushere-Lyantonde'!F42,'26.10 Rushere-Lyantonde-24hr'!F42,'27.10 Rushere-Lyantonde'!F42,'28.10 Rushere-Lyantonde-24h'!F42,'29.10 Rushere-Lyantonde'!F42,'30.10 Rushere-Lyantonde'!F42,'31.10 Rushere-Lyantonde'!F42)</f>
        <v>0</v>
      </c>
      <c r="G42" s="49">
        <f>AVERAGE('25.10 Rushere-Lyantonde'!G42,'26.10 Rushere-Lyantonde-24hr'!G42,'27.10 Rushere-Lyantonde'!G42,'28.10 Rushere-Lyantonde-24h'!G42,'29.10 Rushere-Lyantonde'!G42,'30.10 Rushere-Lyantonde'!G42,'31.10 Rushere-Lyantonde'!G42)</f>
        <v>0</v>
      </c>
      <c r="H42" s="49">
        <f>AVERAGE('25.10 Rushere-Lyantonde'!H42,'26.10 Rushere-Lyantonde-24hr'!H42,'27.10 Rushere-Lyantonde'!H42,'28.10 Rushere-Lyantonde-24h'!H42,'29.10 Rushere-Lyantonde'!H42,'30.10 Rushere-Lyantonde'!H42,'31.10 Rushere-Lyantonde'!H42)</f>
        <v>0</v>
      </c>
      <c r="I42" s="49">
        <f>AVERAGE('25.10 Rushere-Lyantonde'!I42,'26.10 Rushere-Lyantonde-24hr'!I42,'27.10 Rushere-Lyantonde'!I42,'28.10 Rushere-Lyantonde-24h'!I42,'29.10 Rushere-Lyantonde'!I42,'30.10 Rushere-Lyantonde'!I42,'31.10 Rushere-Lyantonde'!I42)</f>
        <v>1.2857142857142858</v>
      </c>
      <c r="J42" s="49">
        <f>AVERAGE('25.10 Rushere-Lyantonde'!J42,'26.10 Rushere-Lyantonde-24hr'!J42,'27.10 Rushere-Lyantonde'!J42,'28.10 Rushere-Lyantonde-24h'!J42,'29.10 Rushere-Lyantonde'!J42,'30.10 Rushere-Lyantonde'!J42,'31.10 Rushere-Lyantonde'!J42)</f>
        <v>0.5714285714285714</v>
      </c>
      <c r="K42" s="49">
        <f>AVERAGE('25.10 Rushere-Lyantonde'!K42,'26.10 Rushere-Lyantonde-24hr'!K42,'27.10 Rushere-Lyantonde'!K42,'28.10 Rushere-Lyantonde-24h'!K42,'29.10 Rushere-Lyantonde'!K42,'30.10 Rushere-Lyantonde'!K42,'31.10 Rushere-Lyantonde'!K42)</f>
        <v>0</v>
      </c>
      <c r="L42" s="49">
        <f>AVERAGE('25.10 Rushere-Lyantonde'!L42,'26.10 Rushere-Lyantonde-24hr'!L42,'27.10 Rushere-Lyantonde'!L42,'28.10 Rushere-Lyantonde-24h'!L42,'29.10 Rushere-Lyantonde'!L42,'30.10 Rushere-Lyantonde'!L42,'31.10 Rushere-Lyantonde'!L42)</f>
        <v>0.42857142857142855</v>
      </c>
      <c r="M42" s="49">
        <f>AVERAGE('25.10 Rushere-Lyantonde'!M42,'26.10 Rushere-Lyantonde-24hr'!M42,'27.10 Rushere-Lyantonde'!M42,'28.10 Rushere-Lyantonde-24h'!M42,'29.10 Rushere-Lyantonde'!M42,'30.10 Rushere-Lyantonde'!M42,'31.10 Rushere-Lyantonde'!M42)</f>
        <v>6</v>
      </c>
      <c r="N42" s="49">
        <f>AVERAGE('25.10 Rushere-Lyantonde'!N42,'26.10 Rushere-Lyantonde-24hr'!N42,'27.10 Rushere-Lyantonde'!N42,'28.10 Rushere-Lyantonde-24h'!N42,'29.10 Rushere-Lyantonde'!N42,'30.10 Rushere-Lyantonde'!N42,'31.10 Rushere-Lyantonde'!N42)</f>
        <v>0</v>
      </c>
      <c r="O42" s="15">
        <f t="shared" si="0"/>
        <v>8.1428571428571423</v>
      </c>
      <c r="P42" s="15">
        <f t="shared" si="1"/>
        <v>14.142857142857142</v>
      </c>
      <c r="R42" s="5" t="s">
        <v>160</v>
      </c>
      <c r="S42" s="48">
        <f>S41/S40</f>
        <v>1.4858823529411764</v>
      </c>
      <c r="T42" s="48">
        <f t="shared" ref="T42:AF42" si="34">T41/T40</f>
        <v>1.5640176600441502</v>
      </c>
      <c r="U42" s="48">
        <f t="shared" si="34"/>
        <v>2.2053941908713695</v>
      </c>
      <c r="V42" s="48">
        <f t="shared" si="34"/>
        <v>1.8750000000000002</v>
      </c>
      <c r="W42" s="48">
        <f t="shared" si="34"/>
        <v>3.1000000000000005</v>
      </c>
      <c r="X42" s="48">
        <f t="shared" si="34"/>
        <v>3.1875</v>
      </c>
      <c r="Y42" s="48">
        <f t="shared" si="34"/>
        <v>1.6948529411764708</v>
      </c>
      <c r="Z42" s="48">
        <f t="shared" si="34"/>
        <v>2.6482558139534884</v>
      </c>
      <c r="AA42" s="48">
        <f t="shared" si="34"/>
        <v>2.5000000000000004</v>
      </c>
      <c r="AB42" s="48">
        <f t="shared" si="34"/>
        <v>3.31</v>
      </c>
      <c r="AC42" s="48">
        <f t="shared" si="34"/>
        <v>1.1062650602409638</v>
      </c>
      <c r="AD42" s="48">
        <f t="shared" si="34"/>
        <v>1</v>
      </c>
      <c r="AE42" s="51">
        <f t="shared" si="34"/>
        <v>1.7581797668296351</v>
      </c>
      <c r="AF42" s="51">
        <f t="shared" si="34"/>
        <v>1.4724334600760456</v>
      </c>
    </row>
    <row r="43" spans="2:32" ht="23.1" customHeight="1" x14ac:dyDescent="0.25">
      <c r="B43" s="23" t="s">
        <v>70</v>
      </c>
      <c r="C43" s="49">
        <f>AVERAGE('25.10 Rushere-Lyantonde'!C43,'26.10 Rushere-Lyantonde-24hr'!C43,'27.10 Rushere-Lyantonde'!C43,'28.10 Rushere-Lyantonde-24h'!C43,'29.10 Rushere-Lyantonde'!C43,'30.10 Rushere-Lyantonde'!C43,'31.10 Rushere-Lyantonde'!C43)</f>
        <v>4.5714285714285712</v>
      </c>
      <c r="D43" s="49">
        <f>AVERAGE('25.10 Rushere-Lyantonde'!D43,'26.10 Rushere-Lyantonde-24hr'!D43,'27.10 Rushere-Lyantonde'!D43,'28.10 Rushere-Lyantonde-24h'!D43,'29.10 Rushere-Lyantonde'!D43,'30.10 Rushere-Lyantonde'!D43,'31.10 Rushere-Lyantonde'!D43)</f>
        <v>0.8571428571428571</v>
      </c>
      <c r="E43" s="49">
        <f>AVERAGE('25.10 Rushere-Lyantonde'!E43,'26.10 Rushere-Lyantonde-24hr'!E43,'27.10 Rushere-Lyantonde'!E43,'28.10 Rushere-Lyantonde-24h'!E43,'29.10 Rushere-Lyantonde'!E43,'30.10 Rushere-Lyantonde'!E43,'31.10 Rushere-Lyantonde'!E43)</f>
        <v>0.8571428571428571</v>
      </c>
      <c r="F43" s="49">
        <f>AVERAGE('25.10 Rushere-Lyantonde'!F43,'26.10 Rushere-Lyantonde-24hr'!F43,'27.10 Rushere-Lyantonde'!F43,'28.10 Rushere-Lyantonde-24h'!F43,'29.10 Rushere-Lyantonde'!F43,'30.10 Rushere-Lyantonde'!F43,'31.10 Rushere-Lyantonde'!F43)</f>
        <v>0.14285714285714285</v>
      </c>
      <c r="G43" s="49">
        <f>AVERAGE('25.10 Rushere-Lyantonde'!G43,'26.10 Rushere-Lyantonde-24hr'!G43,'27.10 Rushere-Lyantonde'!G43,'28.10 Rushere-Lyantonde-24h'!G43,'29.10 Rushere-Lyantonde'!G43,'30.10 Rushere-Lyantonde'!G43,'31.10 Rushere-Lyantonde'!G43)</f>
        <v>0</v>
      </c>
      <c r="H43" s="49">
        <f>AVERAGE('25.10 Rushere-Lyantonde'!H43,'26.10 Rushere-Lyantonde-24hr'!H43,'27.10 Rushere-Lyantonde'!H43,'28.10 Rushere-Lyantonde-24h'!H43,'29.10 Rushere-Lyantonde'!H43,'30.10 Rushere-Lyantonde'!H43,'31.10 Rushere-Lyantonde'!H43)</f>
        <v>0</v>
      </c>
      <c r="I43" s="49">
        <f>AVERAGE('25.10 Rushere-Lyantonde'!I43,'26.10 Rushere-Lyantonde-24hr'!I43,'27.10 Rushere-Lyantonde'!I43,'28.10 Rushere-Lyantonde-24h'!I43,'29.10 Rushere-Lyantonde'!I43,'30.10 Rushere-Lyantonde'!I43,'31.10 Rushere-Lyantonde'!I43)</f>
        <v>1</v>
      </c>
      <c r="J43" s="49">
        <f>AVERAGE('25.10 Rushere-Lyantonde'!J43,'26.10 Rushere-Lyantonde-24hr'!J43,'27.10 Rushere-Lyantonde'!J43,'28.10 Rushere-Lyantonde-24h'!J43,'29.10 Rushere-Lyantonde'!J43,'30.10 Rushere-Lyantonde'!J43,'31.10 Rushere-Lyantonde'!J43)</f>
        <v>0.8571428571428571</v>
      </c>
      <c r="K43" s="49">
        <f>AVERAGE('25.10 Rushere-Lyantonde'!K43,'26.10 Rushere-Lyantonde-24hr'!K43,'27.10 Rushere-Lyantonde'!K43,'28.10 Rushere-Lyantonde-24h'!K43,'29.10 Rushere-Lyantonde'!K43,'30.10 Rushere-Lyantonde'!K43,'31.10 Rushere-Lyantonde'!K43)</f>
        <v>0</v>
      </c>
      <c r="L43" s="49">
        <f>AVERAGE('25.10 Rushere-Lyantonde'!L43,'26.10 Rushere-Lyantonde-24hr'!L43,'27.10 Rushere-Lyantonde'!L43,'28.10 Rushere-Lyantonde-24h'!L43,'29.10 Rushere-Lyantonde'!L43,'30.10 Rushere-Lyantonde'!L43,'31.10 Rushere-Lyantonde'!L43)</f>
        <v>0</v>
      </c>
      <c r="M43" s="49">
        <f>AVERAGE('25.10 Rushere-Lyantonde'!M43,'26.10 Rushere-Lyantonde-24hr'!M43,'27.10 Rushere-Lyantonde'!M43,'28.10 Rushere-Lyantonde-24h'!M43,'29.10 Rushere-Lyantonde'!M43,'30.10 Rushere-Lyantonde'!M43,'31.10 Rushere-Lyantonde'!M43)</f>
        <v>6.1428571428571432</v>
      </c>
      <c r="N43" s="49">
        <f>AVERAGE('25.10 Rushere-Lyantonde'!N43,'26.10 Rushere-Lyantonde-24hr'!N43,'27.10 Rushere-Lyantonde'!N43,'28.10 Rushere-Lyantonde-24h'!N43,'29.10 Rushere-Lyantonde'!N43,'30.10 Rushere-Lyantonde'!N43,'31.10 Rushere-Lyantonde'!N43)</f>
        <v>0</v>
      </c>
      <c r="O43" s="15">
        <f t="shared" si="0"/>
        <v>8.2857142857142847</v>
      </c>
      <c r="P43" s="15">
        <f t="shared" si="1"/>
        <v>14.428571428571427</v>
      </c>
    </row>
    <row r="44" spans="2:32" ht="23.1" customHeight="1" x14ac:dyDescent="0.25">
      <c r="B44" s="25" t="s">
        <v>71</v>
      </c>
      <c r="C44" s="49">
        <f>AVERAGE('25.10 Rushere-Lyantonde'!C44,'26.10 Rushere-Lyantonde-24hr'!C44,'27.10 Rushere-Lyantonde'!C44,'28.10 Rushere-Lyantonde-24h'!C44,'29.10 Rushere-Lyantonde'!C44,'30.10 Rushere-Lyantonde'!C44,'31.10 Rushere-Lyantonde'!C44)</f>
        <v>4.1428571428571432</v>
      </c>
      <c r="D44" s="49">
        <f>AVERAGE('25.10 Rushere-Lyantonde'!D44,'26.10 Rushere-Lyantonde-24hr'!D44,'27.10 Rushere-Lyantonde'!D44,'28.10 Rushere-Lyantonde-24h'!D44,'29.10 Rushere-Lyantonde'!D44,'30.10 Rushere-Lyantonde'!D44,'31.10 Rushere-Lyantonde'!D44)</f>
        <v>1.2857142857142858</v>
      </c>
      <c r="E44" s="49">
        <f>AVERAGE('25.10 Rushere-Lyantonde'!E44,'26.10 Rushere-Lyantonde-24hr'!E44,'27.10 Rushere-Lyantonde'!E44,'28.10 Rushere-Lyantonde-24h'!E44,'29.10 Rushere-Lyantonde'!E44,'30.10 Rushere-Lyantonde'!E44,'31.10 Rushere-Lyantonde'!E44)</f>
        <v>0.7142857142857143</v>
      </c>
      <c r="F44" s="49">
        <f>AVERAGE('25.10 Rushere-Lyantonde'!F44,'26.10 Rushere-Lyantonde-24hr'!F44,'27.10 Rushere-Lyantonde'!F44,'28.10 Rushere-Lyantonde-24h'!F44,'29.10 Rushere-Lyantonde'!F44,'30.10 Rushere-Lyantonde'!F44,'31.10 Rushere-Lyantonde'!F44)</f>
        <v>0.14285714285714285</v>
      </c>
      <c r="G44" s="49">
        <f>AVERAGE('25.10 Rushere-Lyantonde'!G44,'26.10 Rushere-Lyantonde-24hr'!G44,'27.10 Rushere-Lyantonde'!G44,'28.10 Rushere-Lyantonde-24h'!G44,'29.10 Rushere-Lyantonde'!G44,'30.10 Rushere-Lyantonde'!G44,'31.10 Rushere-Lyantonde'!G44)</f>
        <v>0</v>
      </c>
      <c r="H44" s="49">
        <f>AVERAGE('25.10 Rushere-Lyantonde'!H44,'26.10 Rushere-Lyantonde-24hr'!H44,'27.10 Rushere-Lyantonde'!H44,'28.10 Rushere-Lyantonde-24h'!H44,'29.10 Rushere-Lyantonde'!H44,'30.10 Rushere-Lyantonde'!H44,'31.10 Rushere-Lyantonde'!H44)</f>
        <v>0</v>
      </c>
      <c r="I44" s="49">
        <f>AVERAGE('25.10 Rushere-Lyantonde'!I44,'26.10 Rushere-Lyantonde-24hr'!I44,'27.10 Rushere-Lyantonde'!I44,'28.10 Rushere-Lyantonde-24h'!I44,'29.10 Rushere-Lyantonde'!I44,'30.10 Rushere-Lyantonde'!I44,'31.10 Rushere-Lyantonde'!I44)</f>
        <v>1.1428571428571428</v>
      </c>
      <c r="J44" s="49">
        <f>AVERAGE('25.10 Rushere-Lyantonde'!J44,'26.10 Rushere-Lyantonde-24hr'!J44,'27.10 Rushere-Lyantonde'!J44,'28.10 Rushere-Lyantonde-24h'!J44,'29.10 Rushere-Lyantonde'!J44,'30.10 Rushere-Lyantonde'!J44,'31.10 Rushere-Lyantonde'!J44)</f>
        <v>1.1428571428571428</v>
      </c>
      <c r="K44" s="49">
        <f>AVERAGE('25.10 Rushere-Lyantonde'!K44,'26.10 Rushere-Lyantonde-24hr'!K44,'27.10 Rushere-Lyantonde'!K44,'28.10 Rushere-Lyantonde-24h'!K44,'29.10 Rushere-Lyantonde'!K44,'30.10 Rushere-Lyantonde'!K44,'31.10 Rushere-Lyantonde'!K44)</f>
        <v>0.5714285714285714</v>
      </c>
      <c r="L44" s="49">
        <f>AVERAGE('25.10 Rushere-Lyantonde'!L44,'26.10 Rushere-Lyantonde-24hr'!L44,'27.10 Rushere-Lyantonde'!L44,'28.10 Rushere-Lyantonde-24h'!L44,'29.10 Rushere-Lyantonde'!L44,'30.10 Rushere-Lyantonde'!L44,'31.10 Rushere-Lyantonde'!L44)</f>
        <v>0</v>
      </c>
      <c r="M44" s="49">
        <f>AVERAGE('25.10 Rushere-Lyantonde'!M44,'26.10 Rushere-Lyantonde-24hr'!M44,'27.10 Rushere-Lyantonde'!M44,'28.10 Rushere-Lyantonde-24h'!M44,'29.10 Rushere-Lyantonde'!M44,'30.10 Rushere-Lyantonde'!M44,'31.10 Rushere-Lyantonde'!M44)</f>
        <v>7.4285714285714288</v>
      </c>
      <c r="N44" s="49">
        <f>AVERAGE('25.10 Rushere-Lyantonde'!N44,'26.10 Rushere-Lyantonde-24hr'!N44,'27.10 Rushere-Lyantonde'!N44,'28.10 Rushere-Lyantonde-24h'!N44,'29.10 Rushere-Lyantonde'!N44,'30.10 Rushere-Lyantonde'!N44,'31.10 Rushere-Lyantonde'!N44)</f>
        <v>0</v>
      </c>
      <c r="O44" s="15">
        <f t="shared" si="0"/>
        <v>9.1428571428571423</v>
      </c>
      <c r="P44" s="15">
        <f t="shared" si="1"/>
        <v>16.571428571428569</v>
      </c>
    </row>
    <row r="45" spans="2:32" ht="23.1" customHeight="1" x14ac:dyDescent="0.25">
      <c r="B45" s="23" t="s">
        <v>72</v>
      </c>
      <c r="C45" s="49">
        <f>AVERAGE('25.10 Rushere-Lyantonde'!C45,'26.10 Rushere-Lyantonde-24hr'!C45,'27.10 Rushere-Lyantonde'!C45,'28.10 Rushere-Lyantonde-24h'!C45,'29.10 Rushere-Lyantonde'!C45,'30.10 Rushere-Lyantonde'!C45,'31.10 Rushere-Lyantonde'!C45)</f>
        <v>3.7142857142857144</v>
      </c>
      <c r="D45" s="49">
        <f>AVERAGE('25.10 Rushere-Lyantonde'!D45,'26.10 Rushere-Lyantonde-24hr'!D45,'27.10 Rushere-Lyantonde'!D45,'28.10 Rushere-Lyantonde-24h'!D45,'29.10 Rushere-Lyantonde'!D45,'30.10 Rushere-Lyantonde'!D45,'31.10 Rushere-Lyantonde'!D45)</f>
        <v>1.2857142857142858</v>
      </c>
      <c r="E45" s="49">
        <f>AVERAGE('25.10 Rushere-Lyantonde'!E45,'26.10 Rushere-Lyantonde-24hr'!E45,'27.10 Rushere-Lyantonde'!E45,'28.10 Rushere-Lyantonde-24h'!E45,'29.10 Rushere-Lyantonde'!E45,'30.10 Rushere-Lyantonde'!E45,'31.10 Rushere-Lyantonde'!E45)</f>
        <v>1.5714285714285714</v>
      </c>
      <c r="F45" s="49">
        <f>AVERAGE('25.10 Rushere-Lyantonde'!F45,'26.10 Rushere-Lyantonde-24hr'!F45,'27.10 Rushere-Lyantonde'!F45,'28.10 Rushere-Lyantonde-24h'!F45,'29.10 Rushere-Lyantonde'!F45,'30.10 Rushere-Lyantonde'!F45,'31.10 Rushere-Lyantonde'!F45)</f>
        <v>0</v>
      </c>
      <c r="G45" s="49">
        <f>AVERAGE('25.10 Rushere-Lyantonde'!G45,'26.10 Rushere-Lyantonde-24hr'!G45,'27.10 Rushere-Lyantonde'!G45,'28.10 Rushere-Lyantonde-24h'!G45,'29.10 Rushere-Lyantonde'!G45,'30.10 Rushere-Lyantonde'!G45,'31.10 Rushere-Lyantonde'!G45)</f>
        <v>0</v>
      </c>
      <c r="H45" s="49">
        <f>AVERAGE('25.10 Rushere-Lyantonde'!H45,'26.10 Rushere-Lyantonde-24hr'!H45,'27.10 Rushere-Lyantonde'!H45,'28.10 Rushere-Lyantonde-24h'!H45,'29.10 Rushere-Lyantonde'!H45,'30.10 Rushere-Lyantonde'!H45,'31.10 Rushere-Lyantonde'!H45)</f>
        <v>0</v>
      </c>
      <c r="I45" s="49">
        <f>AVERAGE('25.10 Rushere-Lyantonde'!I45,'26.10 Rushere-Lyantonde-24hr'!I45,'27.10 Rushere-Lyantonde'!I45,'28.10 Rushere-Lyantonde-24h'!I45,'29.10 Rushere-Lyantonde'!I45,'30.10 Rushere-Lyantonde'!I45,'31.10 Rushere-Lyantonde'!I45)</f>
        <v>0.8571428571428571</v>
      </c>
      <c r="J45" s="49">
        <f>AVERAGE('25.10 Rushere-Lyantonde'!J45,'26.10 Rushere-Lyantonde-24hr'!J45,'27.10 Rushere-Lyantonde'!J45,'28.10 Rushere-Lyantonde-24h'!J45,'29.10 Rushere-Lyantonde'!J45,'30.10 Rushere-Lyantonde'!J45,'31.10 Rushere-Lyantonde'!J45)</f>
        <v>0.5714285714285714</v>
      </c>
      <c r="K45" s="49">
        <f>AVERAGE('25.10 Rushere-Lyantonde'!K45,'26.10 Rushere-Lyantonde-24hr'!K45,'27.10 Rushere-Lyantonde'!K45,'28.10 Rushere-Lyantonde-24h'!K45,'29.10 Rushere-Lyantonde'!K45,'30.10 Rushere-Lyantonde'!K45,'31.10 Rushere-Lyantonde'!K45)</f>
        <v>0.14285714285714285</v>
      </c>
      <c r="L45" s="49">
        <f>AVERAGE('25.10 Rushere-Lyantonde'!L45,'26.10 Rushere-Lyantonde-24hr'!L45,'27.10 Rushere-Lyantonde'!L45,'28.10 Rushere-Lyantonde-24h'!L45,'29.10 Rushere-Lyantonde'!L45,'30.10 Rushere-Lyantonde'!L45,'31.10 Rushere-Lyantonde'!L45)</f>
        <v>0.42857142857142855</v>
      </c>
      <c r="M45" s="49">
        <f>AVERAGE('25.10 Rushere-Lyantonde'!M45,'26.10 Rushere-Lyantonde-24hr'!M45,'27.10 Rushere-Lyantonde'!M45,'28.10 Rushere-Lyantonde-24h'!M45,'29.10 Rushere-Lyantonde'!M45,'30.10 Rushere-Lyantonde'!M45,'31.10 Rushere-Lyantonde'!M45)</f>
        <v>6.2857142857142856</v>
      </c>
      <c r="N45" s="49">
        <f>AVERAGE('25.10 Rushere-Lyantonde'!N45,'26.10 Rushere-Lyantonde-24hr'!N45,'27.10 Rushere-Lyantonde'!N45,'28.10 Rushere-Lyantonde-24h'!N45,'29.10 Rushere-Lyantonde'!N45,'30.10 Rushere-Lyantonde'!N45,'31.10 Rushere-Lyantonde'!N45)</f>
        <v>0</v>
      </c>
      <c r="O45" s="15">
        <f t="shared" si="0"/>
        <v>8.5714285714285712</v>
      </c>
      <c r="P45" s="15">
        <f t="shared" si="1"/>
        <v>14.857142857142858</v>
      </c>
    </row>
    <row r="46" spans="2:32" ht="23.1" customHeight="1" x14ac:dyDescent="0.25">
      <c r="B46" s="24" t="s">
        <v>73</v>
      </c>
      <c r="C46" s="49">
        <f>AVERAGE('25.10 Rushere-Lyantonde'!C46,'26.10 Rushere-Lyantonde-24hr'!C46,'27.10 Rushere-Lyantonde'!C46,'28.10 Rushere-Lyantonde-24h'!C46,'29.10 Rushere-Lyantonde'!C46,'30.10 Rushere-Lyantonde'!C46,'31.10 Rushere-Lyantonde'!C46)</f>
        <v>4.2857142857142856</v>
      </c>
      <c r="D46" s="49">
        <f>AVERAGE('25.10 Rushere-Lyantonde'!D46,'26.10 Rushere-Lyantonde-24hr'!D46,'27.10 Rushere-Lyantonde'!D46,'28.10 Rushere-Lyantonde-24h'!D46,'29.10 Rushere-Lyantonde'!D46,'30.10 Rushere-Lyantonde'!D46,'31.10 Rushere-Lyantonde'!D46)</f>
        <v>1.4285714285714286</v>
      </c>
      <c r="E46" s="49">
        <f>AVERAGE('25.10 Rushere-Lyantonde'!E46,'26.10 Rushere-Lyantonde-24hr'!E46,'27.10 Rushere-Lyantonde'!E46,'28.10 Rushere-Lyantonde-24h'!E46,'29.10 Rushere-Lyantonde'!E46,'30.10 Rushere-Lyantonde'!E46,'31.10 Rushere-Lyantonde'!E46)</f>
        <v>1.4285714285714286</v>
      </c>
      <c r="F46" s="49">
        <f>AVERAGE('25.10 Rushere-Lyantonde'!F46,'26.10 Rushere-Lyantonde-24hr'!F46,'27.10 Rushere-Lyantonde'!F46,'28.10 Rushere-Lyantonde-24h'!F46,'29.10 Rushere-Lyantonde'!F46,'30.10 Rushere-Lyantonde'!F46,'31.10 Rushere-Lyantonde'!F46)</f>
        <v>0.14285714285714285</v>
      </c>
      <c r="G46" s="49">
        <f>AVERAGE('25.10 Rushere-Lyantonde'!G46,'26.10 Rushere-Lyantonde-24hr'!G46,'27.10 Rushere-Lyantonde'!G46,'28.10 Rushere-Lyantonde-24h'!G46,'29.10 Rushere-Lyantonde'!G46,'30.10 Rushere-Lyantonde'!G46,'31.10 Rushere-Lyantonde'!G46)</f>
        <v>0</v>
      </c>
      <c r="H46" s="49">
        <f>AVERAGE('25.10 Rushere-Lyantonde'!H46,'26.10 Rushere-Lyantonde-24hr'!H46,'27.10 Rushere-Lyantonde'!H46,'28.10 Rushere-Lyantonde-24h'!H46,'29.10 Rushere-Lyantonde'!H46,'30.10 Rushere-Lyantonde'!H46,'31.10 Rushere-Lyantonde'!H46)</f>
        <v>0</v>
      </c>
      <c r="I46" s="49">
        <f>AVERAGE('25.10 Rushere-Lyantonde'!I46,'26.10 Rushere-Lyantonde-24hr'!I46,'27.10 Rushere-Lyantonde'!I46,'28.10 Rushere-Lyantonde-24h'!I46,'29.10 Rushere-Lyantonde'!I46,'30.10 Rushere-Lyantonde'!I46,'31.10 Rushere-Lyantonde'!I46)</f>
        <v>1.1428571428571428</v>
      </c>
      <c r="J46" s="49">
        <f>AVERAGE('25.10 Rushere-Lyantonde'!J46,'26.10 Rushere-Lyantonde-24hr'!J46,'27.10 Rushere-Lyantonde'!J46,'28.10 Rushere-Lyantonde-24h'!J46,'29.10 Rushere-Lyantonde'!J46,'30.10 Rushere-Lyantonde'!J46,'31.10 Rushere-Lyantonde'!J46)</f>
        <v>1.2857142857142858</v>
      </c>
      <c r="K46" s="49">
        <f>AVERAGE('25.10 Rushere-Lyantonde'!K46,'26.10 Rushere-Lyantonde-24hr'!K46,'27.10 Rushere-Lyantonde'!K46,'28.10 Rushere-Lyantonde-24h'!K46,'29.10 Rushere-Lyantonde'!K46,'30.10 Rushere-Lyantonde'!K46,'31.10 Rushere-Lyantonde'!K46)</f>
        <v>0</v>
      </c>
      <c r="L46" s="49">
        <f>AVERAGE('25.10 Rushere-Lyantonde'!L46,'26.10 Rushere-Lyantonde-24hr'!L46,'27.10 Rushere-Lyantonde'!L46,'28.10 Rushere-Lyantonde-24h'!L46,'29.10 Rushere-Lyantonde'!L46,'30.10 Rushere-Lyantonde'!L46,'31.10 Rushere-Lyantonde'!L46)</f>
        <v>0.14285714285714285</v>
      </c>
      <c r="M46" s="49">
        <f>AVERAGE('25.10 Rushere-Lyantonde'!M46,'26.10 Rushere-Lyantonde-24hr'!M46,'27.10 Rushere-Lyantonde'!M46,'28.10 Rushere-Lyantonde-24h'!M46,'29.10 Rushere-Lyantonde'!M46,'30.10 Rushere-Lyantonde'!M46,'31.10 Rushere-Lyantonde'!M46)</f>
        <v>7.1428571428571432</v>
      </c>
      <c r="N46" s="49">
        <f>AVERAGE('25.10 Rushere-Lyantonde'!N46,'26.10 Rushere-Lyantonde-24hr'!N46,'27.10 Rushere-Lyantonde'!N46,'28.10 Rushere-Lyantonde-24h'!N46,'29.10 Rushere-Lyantonde'!N46,'30.10 Rushere-Lyantonde'!N46,'31.10 Rushere-Lyantonde'!N46)</f>
        <v>0</v>
      </c>
      <c r="O46" s="15">
        <f t="shared" si="0"/>
        <v>9.8571428571428577</v>
      </c>
      <c r="P46" s="15">
        <f t="shared" si="1"/>
        <v>17</v>
      </c>
      <c r="R46" s="8"/>
      <c r="T46"/>
    </row>
    <row r="47" spans="2:32" ht="23.1" customHeight="1" x14ac:dyDescent="0.25">
      <c r="B47" s="24" t="s">
        <v>74</v>
      </c>
      <c r="C47" s="49">
        <f>AVERAGE('25.10 Rushere-Lyantonde'!C47,'26.10 Rushere-Lyantonde-24hr'!C47,'27.10 Rushere-Lyantonde'!C47,'28.10 Rushere-Lyantonde-24h'!C47,'29.10 Rushere-Lyantonde'!C47,'30.10 Rushere-Lyantonde'!C47,'31.10 Rushere-Lyantonde'!C47)</f>
        <v>4.1428571428571432</v>
      </c>
      <c r="D47" s="49">
        <f>AVERAGE('25.10 Rushere-Lyantonde'!D47,'26.10 Rushere-Lyantonde-24hr'!D47,'27.10 Rushere-Lyantonde'!D47,'28.10 Rushere-Lyantonde-24h'!D47,'29.10 Rushere-Lyantonde'!D47,'30.10 Rushere-Lyantonde'!D47,'31.10 Rushere-Lyantonde'!D47)</f>
        <v>1.5714285714285714</v>
      </c>
      <c r="E47" s="49">
        <f>AVERAGE('25.10 Rushere-Lyantonde'!E47,'26.10 Rushere-Lyantonde-24hr'!E47,'27.10 Rushere-Lyantonde'!E47,'28.10 Rushere-Lyantonde-24h'!E47,'29.10 Rushere-Lyantonde'!E47,'30.10 Rushere-Lyantonde'!E47,'31.10 Rushere-Lyantonde'!E47)</f>
        <v>0.7142857142857143</v>
      </c>
      <c r="F47" s="49">
        <f>AVERAGE('25.10 Rushere-Lyantonde'!F47,'26.10 Rushere-Lyantonde-24hr'!F47,'27.10 Rushere-Lyantonde'!F47,'28.10 Rushere-Lyantonde-24h'!F47,'29.10 Rushere-Lyantonde'!F47,'30.10 Rushere-Lyantonde'!F47,'31.10 Rushere-Lyantonde'!F47)</f>
        <v>0.2857142857142857</v>
      </c>
      <c r="G47" s="49">
        <f>AVERAGE('25.10 Rushere-Lyantonde'!G47,'26.10 Rushere-Lyantonde-24hr'!G47,'27.10 Rushere-Lyantonde'!G47,'28.10 Rushere-Lyantonde-24h'!G47,'29.10 Rushere-Lyantonde'!G47,'30.10 Rushere-Lyantonde'!G47,'31.10 Rushere-Lyantonde'!G47)</f>
        <v>0.14285714285714285</v>
      </c>
      <c r="H47" s="49">
        <f>AVERAGE('25.10 Rushere-Lyantonde'!H47,'26.10 Rushere-Lyantonde-24hr'!H47,'27.10 Rushere-Lyantonde'!H47,'28.10 Rushere-Lyantonde-24h'!H47,'29.10 Rushere-Lyantonde'!H47,'30.10 Rushere-Lyantonde'!H47,'31.10 Rushere-Lyantonde'!H47)</f>
        <v>0</v>
      </c>
      <c r="I47" s="49">
        <f>AVERAGE('25.10 Rushere-Lyantonde'!I47,'26.10 Rushere-Lyantonde-24hr'!I47,'27.10 Rushere-Lyantonde'!I47,'28.10 Rushere-Lyantonde-24h'!I47,'29.10 Rushere-Lyantonde'!I47,'30.10 Rushere-Lyantonde'!I47,'31.10 Rushere-Lyantonde'!I47)</f>
        <v>1</v>
      </c>
      <c r="J47" s="49">
        <f>AVERAGE('25.10 Rushere-Lyantonde'!J47,'26.10 Rushere-Lyantonde-24hr'!J47,'27.10 Rushere-Lyantonde'!J47,'28.10 Rushere-Lyantonde-24h'!J47,'29.10 Rushere-Lyantonde'!J47,'30.10 Rushere-Lyantonde'!J47,'31.10 Rushere-Lyantonde'!J47)</f>
        <v>1.2857142857142858</v>
      </c>
      <c r="K47" s="49">
        <f>AVERAGE('25.10 Rushere-Lyantonde'!K47,'26.10 Rushere-Lyantonde-24hr'!K47,'27.10 Rushere-Lyantonde'!K47,'28.10 Rushere-Lyantonde-24h'!K47,'29.10 Rushere-Lyantonde'!K47,'30.10 Rushere-Lyantonde'!K47,'31.10 Rushere-Lyantonde'!K47)</f>
        <v>0.42857142857142855</v>
      </c>
      <c r="L47" s="49">
        <f>AVERAGE('25.10 Rushere-Lyantonde'!L47,'26.10 Rushere-Lyantonde-24hr'!L47,'27.10 Rushere-Lyantonde'!L47,'28.10 Rushere-Lyantonde-24h'!L47,'29.10 Rushere-Lyantonde'!L47,'30.10 Rushere-Lyantonde'!L47,'31.10 Rushere-Lyantonde'!L47)</f>
        <v>0.42857142857142855</v>
      </c>
      <c r="M47" s="49">
        <f>AVERAGE('25.10 Rushere-Lyantonde'!M47,'26.10 Rushere-Lyantonde-24hr'!M47,'27.10 Rushere-Lyantonde'!M47,'28.10 Rushere-Lyantonde-24h'!M47,'29.10 Rushere-Lyantonde'!M47,'30.10 Rushere-Lyantonde'!M47,'31.10 Rushere-Lyantonde'!M47)</f>
        <v>10</v>
      </c>
      <c r="N47" s="49">
        <f>AVERAGE('25.10 Rushere-Lyantonde'!N47,'26.10 Rushere-Lyantonde-24hr'!N47,'27.10 Rushere-Lyantonde'!N47,'28.10 Rushere-Lyantonde-24h'!N47,'29.10 Rushere-Lyantonde'!N47,'30.10 Rushere-Lyantonde'!N47,'31.10 Rushere-Lyantonde'!N47)</f>
        <v>0</v>
      </c>
      <c r="O47" s="15">
        <f t="shared" si="0"/>
        <v>10.000000000000002</v>
      </c>
      <c r="P47" s="15">
        <f t="shared" si="1"/>
        <v>20</v>
      </c>
      <c r="R47" s="8"/>
      <c r="T47"/>
    </row>
    <row r="48" spans="2:32" ht="23.1" customHeight="1" x14ac:dyDescent="0.25">
      <c r="B48" s="24" t="s">
        <v>75</v>
      </c>
      <c r="C48" s="49">
        <f>AVERAGE('25.10 Rushere-Lyantonde'!C48,'26.10 Rushere-Lyantonde-24hr'!C48,'27.10 Rushere-Lyantonde'!C48,'28.10 Rushere-Lyantonde-24h'!C48,'29.10 Rushere-Lyantonde'!C48,'30.10 Rushere-Lyantonde'!C48,'31.10 Rushere-Lyantonde'!C48)</f>
        <v>4.5714285714285712</v>
      </c>
      <c r="D48" s="49">
        <f>AVERAGE('25.10 Rushere-Lyantonde'!D48,'26.10 Rushere-Lyantonde-24hr'!D48,'27.10 Rushere-Lyantonde'!D48,'28.10 Rushere-Lyantonde-24h'!D48,'29.10 Rushere-Lyantonde'!D48,'30.10 Rushere-Lyantonde'!D48,'31.10 Rushere-Lyantonde'!D48)</f>
        <v>1.5714285714285714</v>
      </c>
      <c r="E48" s="49">
        <f>AVERAGE('25.10 Rushere-Lyantonde'!E48,'26.10 Rushere-Lyantonde-24hr'!E48,'27.10 Rushere-Lyantonde'!E48,'28.10 Rushere-Lyantonde-24h'!E48,'29.10 Rushere-Lyantonde'!E48,'30.10 Rushere-Lyantonde'!E48,'31.10 Rushere-Lyantonde'!E48)</f>
        <v>1.5714285714285714</v>
      </c>
      <c r="F48" s="49">
        <f>AVERAGE('25.10 Rushere-Lyantonde'!F48,'26.10 Rushere-Lyantonde-24hr'!F48,'27.10 Rushere-Lyantonde'!F48,'28.10 Rushere-Lyantonde-24h'!F48,'29.10 Rushere-Lyantonde'!F48,'30.10 Rushere-Lyantonde'!F48,'31.10 Rushere-Lyantonde'!F48)</f>
        <v>0.14285714285714285</v>
      </c>
      <c r="G48" s="49">
        <f>AVERAGE('25.10 Rushere-Lyantonde'!G48,'26.10 Rushere-Lyantonde-24hr'!G48,'27.10 Rushere-Lyantonde'!G48,'28.10 Rushere-Lyantonde-24h'!G48,'29.10 Rushere-Lyantonde'!G48,'30.10 Rushere-Lyantonde'!G48,'31.10 Rushere-Lyantonde'!G48)</f>
        <v>0.14285714285714285</v>
      </c>
      <c r="H48" s="49">
        <f>AVERAGE('25.10 Rushere-Lyantonde'!H48,'26.10 Rushere-Lyantonde-24hr'!H48,'27.10 Rushere-Lyantonde'!H48,'28.10 Rushere-Lyantonde-24h'!H48,'29.10 Rushere-Lyantonde'!H48,'30.10 Rushere-Lyantonde'!H48,'31.10 Rushere-Lyantonde'!H48)</f>
        <v>0</v>
      </c>
      <c r="I48" s="49">
        <f>AVERAGE('25.10 Rushere-Lyantonde'!I48,'26.10 Rushere-Lyantonde-24hr'!I48,'27.10 Rushere-Lyantonde'!I48,'28.10 Rushere-Lyantonde-24h'!I48,'29.10 Rushere-Lyantonde'!I48,'30.10 Rushere-Lyantonde'!I48,'31.10 Rushere-Lyantonde'!I48)</f>
        <v>1.7142857142857142</v>
      </c>
      <c r="J48" s="49">
        <f>AVERAGE('25.10 Rushere-Lyantonde'!J48,'26.10 Rushere-Lyantonde-24hr'!J48,'27.10 Rushere-Lyantonde'!J48,'28.10 Rushere-Lyantonde-24h'!J48,'29.10 Rushere-Lyantonde'!J48,'30.10 Rushere-Lyantonde'!J48,'31.10 Rushere-Lyantonde'!J48)</f>
        <v>1.5714285714285714</v>
      </c>
      <c r="K48" s="49">
        <f>AVERAGE('25.10 Rushere-Lyantonde'!K48,'26.10 Rushere-Lyantonde-24hr'!K48,'27.10 Rushere-Lyantonde'!K48,'28.10 Rushere-Lyantonde-24h'!K48,'29.10 Rushere-Lyantonde'!K48,'30.10 Rushere-Lyantonde'!K48,'31.10 Rushere-Lyantonde'!K48)</f>
        <v>0.5714285714285714</v>
      </c>
      <c r="L48" s="49">
        <f>AVERAGE('25.10 Rushere-Lyantonde'!L48,'26.10 Rushere-Lyantonde-24hr'!L48,'27.10 Rushere-Lyantonde'!L48,'28.10 Rushere-Lyantonde-24h'!L48,'29.10 Rushere-Lyantonde'!L48,'30.10 Rushere-Lyantonde'!L48,'31.10 Rushere-Lyantonde'!L48)</f>
        <v>0</v>
      </c>
      <c r="M48" s="49">
        <f>AVERAGE('25.10 Rushere-Lyantonde'!M48,'26.10 Rushere-Lyantonde-24hr'!M48,'27.10 Rushere-Lyantonde'!M48,'28.10 Rushere-Lyantonde-24h'!M48,'29.10 Rushere-Lyantonde'!M48,'30.10 Rushere-Lyantonde'!M48,'31.10 Rushere-Lyantonde'!M48)</f>
        <v>10</v>
      </c>
      <c r="N48" s="49">
        <f>AVERAGE('25.10 Rushere-Lyantonde'!N48,'26.10 Rushere-Lyantonde-24hr'!N48,'27.10 Rushere-Lyantonde'!N48,'28.10 Rushere-Lyantonde-24h'!N48,'29.10 Rushere-Lyantonde'!N48,'30.10 Rushere-Lyantonde'!N48,'31.10 Rushere-Lyantonde'!N48)</f>
        <v>0</v>
      </c>
      <c r="O48" s="15">
        <f t="shared" si="0"/>
        <v>11.857142857142856</v>
      </c>
      <c r="P48" s="15">
        <f t="shared" si="1"/>
        <v>21.857142857142854</v>
      </c>
      <c r="R48" s="8"/>
      <c r="T48"/>
    </row>
    <row r="49" spans="2:20" ht="23.1" customHeight="1" x14ac:dyDescent="0.25">
      <c r="B49" s="23" t="s">
        <v>76</v>
      </c>
      <c r="C49" s="49">
        <f>AVERAGE('25.10 Rushere-Lyantonde'!C49,'26.10 Rushere-Lyantonde-24hr'!C49,'27.10 Rushere-Lyantonde'!C49,'28.10 Rushere-Lyantonde-24h'!C49,'29.10 Rushere-Lyantonde'!C49,'30.10 Rushere-Lyantonde'!C49,'31.10 Rushere-Lyantonde'!C49)</f>
        <v>4.2857142857142856</v>
      </c>
      <c r="D49" s="49">
        <f>AVERAGE('25.10 Rushere-Lyantonde'!D49,'26.10 Rushere-Lyantonde-24hr'!D49,'27.10 Rushere-Lyantonde'!D49,'28.10 Rushere-Lyantonde-24h'!D49,'29.10 Rushere-Lyantonde'!D49,'30.10 Rushere-Lyantonde'!D49,'31.10 Rushere-Lyantonde'!D49)</f>
        <v>2</v>
      </c>
      <c r="E49" s="49">
        <f>AVERAGE('25.10 Rushere-Lyantonde'!E49,'26.10 Rushere-Lyantonde-24hr'!E49,'27.10 Rushere-Lyantonde'!E49,'28.10 Rushere-Lyantonde-24h'!E49,'29.10 Rushere-Lyantonde'!E49,'30.10 Rushere-Lyantonde'!E49,'31.10 Rushere-Lyantonde'!E49)</f>
        <v>0.5714285714285714</v>
      </c>
      <c r="F49" s="49">
        <f>AVERAGE('25.10 Rushere-Lyantonde'!F49,'26.10 Rushere-Lyantonde-24hr'!F49,'27.10 Rushere-Lyantonde'!F49,'28.10 Rushere-Lyantonde-24h'!F49,'29.10 Rushere-Lyantonde'!F49,'30.10 Rushere-Lyantonde'!F49,'31.10 Rushere-Lyantonde'!F49)</f>
        <v>0.14285714285714285</v>
      </c>
      <c r="G49" s="49">
        <f>AVERAGE('25.10 Rushere-Lyantonde'!G49,'26.10 Rushere-Lyantonde-24hr'!G49,'27.10 Rushere-Lyantonde'!G49,'28.10 Rushere-Lyantonde-24h'!G49,'29.10 Rushere-Lyantonde'!G49,'30.10 Rushere-Lyantonde'!G49,'31.10 Rushere-Lyantonde'!G49)</f>
        <v>0</v>
      </c>
      <c r="H49" s="49">
        <f>AVERAGE('25.10 Rushere-Lyantonde'!H49,'26.10 Rushere-Lyantonde-24hr'!H49,'27.10 Rushere-Lyantonde'!H49,'28.10 Rushere-Lyantonde-24h'!H49,'29.10 Rushere-Lyantonde'!H49,'30.10 Rushere-Lyantonde'!H49,'31.10 Rushere-Lyantonde'!H49)</f>
        <v>0</v>
      </c>
      <c r="I49" s="49">
        <f>AVERAGE('25.10 Rushere-Lyantonde'!I49,'26.10 Rushere-Lyantonde-24hr'!I49,'27.10 Rushere-Lyantonde'!I49,'28.10 Rushere-Lyantonde-24h'!I49,'29.10 Rushere-Lyantonde'!I49,'30.10 Rushere-Lyantonde'!I49,'31.10 Rushere-Lyantonde'!I49)</f>
        <v>1.5714285714285714</v>
      </c>
      <c r="J49" s="49">
        <f>AVERAGE('25.10 Rushere-Lyantonde'!J49,'26.10 Rushere-Lyantonde-24hr'!J49,'27.10 Rushere-Lyantonde'!J49,'28.10 Rushere-Lyantonde-24h'!J49,'29.10 Rushere-Lyantonde'!J49,'30.10 Rushere-Lyantonde'!J49,'31.10 Rushere-Lyantonde'!J49)</f>
        <v>1.4285714285714286</v>
      </c>
      <c r="K49" s="49">
        <f>AVERAGE('25.10 Rushere-Lyantonde'!K49,'26.10 Rushere-Lyantonde-24hr'!K49,'27.10 Rushere-Lyantonde'!K49,'28.10 Rushere-Lyantonde-24h'!K49,'29.10 Rushere-Lyantonde'!K49,'30.10 Rushere-Lyantonde'!K49,'31.10 Rushere-Lyantonde'!K49)</f>
        <v>0.2857142857142857</v>
      </c>
      <c r="L49" s="49">
        <f>AVERAGE('25.10 Rushere-Lyantonde'!L49,'26.10 Rushere-Lyantonde-24hr'!L49,'27.10 Rushere-Lyantonde'!L49,'28.10 Rushere-Lyantonde-24h'!L49,'29.10 Rushere-Lyantonde'!L49,'30.10 Rushere-Lyantonde'!L49,'31.10 Rushere-Lyantonde'!L49)</f>
        <v>0</v>
      </c>
      <c r="M49" s="49">
        <f>AVERAGE('25.10 Rushere-Lyantonde'!M49,'26.10 Rushere-Lyantonde-24hr'!M49,'27.10 Rushere-Lyantonde'!M49,'28.10 Rushere-Lyantonde-24h'!M49,'29.10 Rushere-Lyantonde'!M49,'30.10 Rushere-Lyantonde'!M49,'31.10 Rushere-Lyantonde'!M49)</f>
        <v>8.7142857142857135</v>
      </c>
      <c r="N49" s="49">
        <f>AVERAGE('25.10 Rushere-Lyantonde'!N49,'26.10 Rushere-Lyantonde-24hr'!N49,'27.10 Rushere-Lyantonde'!N49,'28.10 Rushere-Lyantonde-24h'!N49,'29.10 Rushere-Lyantonde'!N49,'30.10 Rushere-Lyantonde'!N49,'31.10 Rushere-Lyantonde'!N49)</f>
        <v>0</v>
      </c>
      <c r="O49" s="15">
        <f t="shared" si="0"/>
        <v>10.285714285714286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49">
        <f>AVERAGE('25.10 Rushere-Lyantonde'!C50,'26.10 Rushere-Lyantonde-24hr'!C50,'27.10 Rushere-Lyantonde'!C50,'28.10 Rushere-Lyantonde-24h'!C50,'29.10 Rushere-Lyantonde'!C50,'30.10 Rushere-Lyantonde'!C50,'31.10 Rushere-Lyantonde'!C50)</f>
        <v>5.4285714285714288</v>
      </c>
      <c r="D50" s="49">
        <f>AVERAGE('25.10 Rushere-Lyantonde'!D50,'26.10 Rushere-Lyantonde-24hr'!D50,'27.10 Rushere-Lyantonde'!D50,'28.10 Rushere-Lyantonde-24h'!D50,'29.10 Rushere-Lyantonde'!D50,'30.10 Rushere-Lyantonde'!D50,'31.10 Rushere-Lyantonde'!D50)</f>
        <v>3</v>
      </c>
      <c r="E50" s="49">
        <f>AVERAGE('25.10 Rushere-Lyantonde'!E50,'26.10 Rushere-Lyantonde-24hr'!E50,'27.10 Rushere-Lyantonde'!E50,'28.10 Rushere-Lyantonde-24h'!E50,'29.10 Rushere-Lyantonde'!E50,'30.10 Rushere-Lyantonde'!E50,'31.10 Rushere-Lyantonde'!E50)</f>
        <v>1.5714285714285714</v>
      </c>
      <c r="F50" s="49">
        <f>AVERAGE('25.10 Rushere-Lyantonde'!F50,'26.10 Rushere-Lyantonde-24hr'!F50,'27.10 Rushere-Lyantonde'!F50,'28.10 Rushere-Lyantonde-24h'!F50,'29.10 Rushere-Lyantonde'!F50,'30.10 Rushere-Lyantonde'!F50,'31.10 Rushere-Lyantonde'!F50)</f>
        <v>0.14285714285714285</v>
      </c>
      <c r="G50" s="49">
        <f>AVERAGE('25.10 Rushere-Lyantonde'!G50,'26.10 Rushere-Lyantonde-24hr'!G50,'27.10 Rushere-Lyantonde'!G50,'28.10 Rushere-Lyantonde-24h'!G50,'29.10 Rushere-Lyantonde'!G50,'30.10 Rushere-Lyantonde'!G50,'31.10 Rushere-Lyantonde'!G50)</f>
        <v>0</v>
      </c>
      <c r="H50" s="49">
        <f>AVERAGE('25.10 Rushere-Lyantonde'!H50,'26.10 Rushere-Lyantonde-24hr'!H50,'27.10 Rushere-Lyantonde'!H50,'28.10 Rushere-Lyantonde-24h'!H50,'29.10 Rushere-Lyantonde'!H50,'30.10 Rushere-Lyantonde'!H50,'31.10 Rushere-Lyantonde'!H50)</f>
        <v>0</v>
      </c>
      <c r="I50" s="49">
        <f>AVERAGE('25.10 Rushere-Lyantonde'!I50,'26.10 Rushere-Lyantonde-24hr'!I50,'27.10 Rushere-Lyantonde'!I50,'28.10 Rushere-Lyantonde-24h'!I50,'29.10 Rushere-Lyantonde'!I50,'30.10 Rushere-Lyantonde'!I50,'31.10 Rushere-Lyantonde'!I50)</f>
        <v>2.1428571428571428</v>
      </c>
      <c r="J50" s="49">
        <f>AVERAGE('25.10 Rushere-Lyantonde'!J50,'26.10 Rushere-Lyantonde-24hr'!J50,'27.10 Rushere-Lyantonde'!J50,'28.10 Rushere-Lyantonde-24h'!J50,'29.10 Rushere-Lyantonde'!J50,'30.10 Rushere-Lyantonde'!J50,'31.10 Rushere-Lyantonde'!J50)</f>
        <v>0.7142857142857143</v>
      </c>
      <c r="K50" s="49">
        <f>AVERAGE('25.10 Rushere-Lyantonde'!K50,'26.10 Rushere-Lyantonde-24hr'!K50,'27.10 Rushere-Lyantonde'!K50,'28.10 Rushere-Lyantonde-24h'!K50,'29.10 Rushere-Lyantonde'!K50,'30.10 Rushere-Lyantonde'!K50,'31.10 Rushere-Lyantonde'!K50)</f>
        <v>1</v>
      </c>
      <c r="L50" s="49">
        <f>AVERAGE('25.10 Rushere-Lyantonde'!L50,'26.10 Rushere-Lyantonde-24hr'!L50,'27.10 Rushere-Lyantonde'!L50,'28.10 Rushere-Lyantonde-24h'!L50,'29.10 Rushere-Lyantonde'!L50,'30.10 Rushere-Lyantonde'!L50,'31.10 Rushere-Lyantonde'!L50)</f>
        <v>0.14285714285714285</v>
      </c>
      <c r="M50" s="49">
        <f>AVERAGE('25.10 Rushere-Lyantonde'!M50,'26.10 Rushere-Lyantonde-24hr'!M50,'27.10 Rushere-Lyantonde'!M50,'28.10 Rushere-Lyantonde-24h'!M50,'29.10 Rushere-Lyantonde'!M50,'30.10 Rushere-Lyantonde'!M50,'31.10 Rushere-Lyantonde'!M50)</f>
        <v>8</v>
      </c>
      <c r="N50" s="49">
        <f>AVERAGE('25.10 Rushere-Lyantonde'!N50,'26.10 Rushere-Lyantonde-24hr'!N50,'27.10 Rushere-Lyantonde'!N50,'28.10 Rushere-Lyantonde-24h'!N50,'29.10 Rushere-Lyantonde'!N50,'30.10 Rushere-Lyantonde'!N50,'31.10 Rushere-Lyantonde'!N50)</f>
        <v>0</v>
      </c>
      <c r="O50" s="15">
        <f t="shared" si="0"/>
        <v>14.142857142857141</v>
      </c>
      <c r="P50" s="15">
        <f t="shared" si="1"/>
        <v>22.142857142857139</v>
      </c>
      <c r="R50" s="8"/>
      <c r="T50"/>
    </row>
    <row r="51" spans="2:20" ht="23.1" customHeight="1" x14ac:dyDescent="0.25">
      <c r="B51" s="24" t="s">
        <v>78</v>
      </c>
      <c r="C51" s="49">
        <f>AVERAGE('25.10 Rushere-Lyantonde'!C51,'26.10 Rushere-Lyantonde-24hr'!C51,'27.10 Rushere-Lyantonde'!C51,'28.10 Rushere-Lyantonde-24h'!C51,'29.10 Rushere-Lyantonde'!C51,'30.10 Rushere-Lyantonde'!C51,'31.10 Rushere-Lyantonde'!C51)</f>
        <v>4.5714285714285712</v>
      </c>
      <c r="D51" s="49">
        <f>AVERAGE('25.10 Rushere-Lyantonde'!D51,'26.10 Rushere-Lyantonde-24hr'!D51,'27.10 Rushere-Lyantonde'!D51,'28.10 Rushere-Lyantonde-24h'!D51,'29.10 Rushere-Lyantonde'!D51,'30.10 Rushere-Lyantonde'!D51,'31.10 Rushere-Lyantonde'!D51)</f>
        <v>2.4285714285714284</v>
      </c>
      <c r="E51" s="49">
        <f>AVERAGE('25.10 Rushere-Lyantonde'!E51,'26.10 Rushere-Lyantonde-24hr'!E51,'27.10 Rushere-Lyantonde'!E51,'28.10 Rushere-Lyantonde-24h'!E51,'29.10 Rushere-Lyantonde'!E51,'30.10 Rushere-Lyantonde'!E51,'31.10 Rushere-Lyantonde'!E51)</f>
        <v>1.7142857142857142</v>
      </c>
      <c r="F51" s="49">
        <f>AVERAGE('25.10 Rushere-Lyantonde'!F51,'26.10 Rushere-Lyantonde-24hr'!F51,'27.10 Rushere-Lyantonde'!F51,'28.10 Rushere-Lyantonde-24h'!F51,'29.10 Rushere-Lyantonde'!F51,'30.10 Rushere-Lyantonde'!F51,'31.10 Rushere-Lyantonde'!F51)</f>
        <v>0.5714285714285714</v>
      </c>
      <c r="G51" s="49">
        <f>AVERAGE('25.10 Rushere-Lyantonde'!G51,'26.10 Rushere-Lyantonde-24hr'!G51,'27.10 Rushere-Lyantonde'!G51,'28.10 Rushere-Lyantonde-24h'!G51,'29.10 Rushere-Lyantonde'!G51,'30.10 Rushere-Lyantonde'!G51,'31.10 Rushere-Lyantonde'!G51)</f>
        <v>0</v>
      </c>
      <c r="H51" s="49">
        <f>AVERAGE('25.10 Rushere-Lyantonde'!H51,'26.10 Rushere-Lyantonde-24hr'!H51,'27.10 Rushere-Lyantonde'!H51,'28.10 Rushere-Lyantonde-24h'!H51,'29.10 Rushere-Lyantonde'!H51,'30.10 Rushere-Lyantonde'!H51,'31.10 Rushere-Lyantonde'!H51)</f>
        <v>0</v>
      </c>
      <c r="I51" s="49">
        <f>AVERAGE('25.10 Rushere-Lyantonde'!I51,'26.10 Rushere-Lyantonde-24hr'!I51,'27.10 Rushere-Lyantonde'!I51,'28.10 Rushere-Lyantonde-24h'!I51,'29.10 Rushere-Lyantonde'!I51,'30.10 Rushere-Lyantonde'!I51,'31.10 Rushere-Lyantonde'!I51)</f>
        <v>1.1428571428571428</v>
      </c>
      <c r="J51" s="49">
        <f>AVERAGE('25.10 Rushere-Lyantonde'!J51,'26.10 Rushere-Lyantonde-24hr'!J51,'27.10 Rushere-Lyantonde'!J51,'28.10 Rushere-Lyantonde-24h'!J51,'29.10 Rushere-Lyantonde'!J51,'30.10 Rushere-Lyantonde'!J51,'31.10 Rushere-Lyantonde'!J51)</f>
        <v>0.8571428571428571</v>
      </c>
      <c r="K51" s="49">
        <f>AVERAGE('25.10 Rushere-Lyantonde'!K51,'26.10 Rushere-Lyantonde-24hr'!K51,'27.10 Rushere-Lyantonde'!K51,'28.10 Rushere-Lyantonde-24h'!K51,'29.10 Rushere-Lyantonde'!K51,'30.10 Rushere-Lyantonde'!K51,'31.10 Rushere-Lyantonde'!K51)</f>
        <v>1.2857142857142858</v>
      </c>
      <c r="L51" s="49">
        <f>AVERAGE('25.10 Rushere-Lyantonde'!L51,'26.10 Rushere-Lyantonde-24hr'!L51,'27.10 Rushere-Lyantonde'!L51,'28.10 Rushere-Lyantonde-24h'!L51,'29.10 Rushere-Lyantonde'!L51,'30.10 Rushere-Lyantonde'!L51,'31.10 Rushere-Lyantonde'!L51)</f>
        <v>0.14285714285714285</v>
      </c>
      <c r="M51" s="49">
        <f>AVERAGE('25.10 Rushere-Lyantonde'!M51,'26.10 Rushere-Lyantonde-24hr'!M51,'27.10 Rushere-Lyantonde'!M51,'28.10 Rushere-Lyantonde-24h'!M51,'29.10 Rushere-Lyantonde'!M51,'30.10 Rushere-Lyantonde'!M51,'31.10 Rushere-Lyantonde'!M51)</f>
        <v>9.2857142857142865</v>
      </c>
      <c r="N51" s="49">
        <f>AVERAGE('25.10 Rushere-Lyantonde'!N51,'26.10 Rushere-Lyantonde-24hr'!N51,'27.10 Rushere-Lyantonde'!N51,'28.10 Rushere-Lyantonde-24h'!N51,'29.10 Rushere-Lyantonde'!N51,'30.10 Rushere-Lyantonde'!N51,'31.10 Rushere-Lyantonde'!N51)</f>
        <v>0</v>
      </c>
      <c r="O51" s="15">
        <f t="shared" si="0"/>
        <v>12.714285714285714</v>
      </c>
      <c r="P51" s="15">
        <f t="shared" si="1"/>
        <v>22</v>
      </c>
      <c r="R51" s="8"/>
      <c r="T51"/>
    </row>
    <row r="52" spans="2:20" ht="23.1" customHeight="1" x14ac:dyDescent="0.25">
      <c r="B52" s="24" t="s">
        <v>79</v>
      </c>
      <c r="C52" s="49">
        <f>AVERAGE('25.10 Rushere-Lyantonde'!C52,'26.10 Rushere-Lyantonde-24hr'!C52,'27.10 Rushere-Lyantonde'!C52,'28.10 Rushere-Lyantonde-24h'!C52,'29.10 Rushere-Lyantonde'!C52,'30.10 Rushere-Lyantonde'!C52,'31.10 Rushere-Lyantonde'!C52)</f>
        <v>5</v>
      </c>
      <c r="D52" s="49">
        <f>AVERAGE('25.10 Rushere-Lyantonde'!D52,'26.10 Rushere-Lyantonde-24hr'!D52,'27.10 Rushere-Lyantonde'!D52,'28.10 Rushere-Lyantonde-24h'!D52,'29.10 Rushere-Lyantonde'!D52,'30.10 Rushere-Lyantonde'!D52,'31.10 Rushere-Lyantonde'!D52)</f>
        <v>1.8571428571428572</v>
      </c>
      <c r="E52" s="49">
        <f>AVERAGE('25.10 Rushere-Lyantonde'!E52,'26.10 Rushere-Lyantonde-24hr'!E52,'27.10 Rushere-Lyantonde'!E52,'28.10 Rushere-Lyantonde-24h'!E52,'29.10 Rushere-Lyantonde'!E52,'30.10 Rushere-Lyantonde'!E52,'31.10 Rushere-Lyantonde'!E52)</f>
        <v>0.8571428571428571</v>
      </c>
      <c r="F52" s="49">
        <f>AVERAGE('25.10 Rushere-Lyantonde'!F52,'26.10 Rushere-Lyantonde-24hr'!F52,'27.10 Rushere-Lyantonde'!F52,'28.10 Rushere-Lyantonde-24h'!F52,'29.10 Rushere-Lyantonde'!F52,'30.10 Rushere-Lyantonde'!F52,'31.10 Rushere-Lyantonde'!F52)</f>
        <v>0.14285714285714285</v>
      </c>
      <c r="G52" s="49">
        <f>AVERAGE('25.10 Rushere-Lyantonde'!G52,'26.10 Rushere-Lyantonde-24hr'!G52,'27.10 Rushere-Lyantonde'!G52,'28.10 Rushere-Lyantonde-24h'!G52,'29.10 Rushere-Lyantonde'!G52,'30.10 Rushere-Lyantonde'!G52,'31.10 Rushere-Lyantonde'!G52)</f>
        <v>0</v>
      </c>
      <c r="H52" s="49">
        <f>AVERAGE('25.10 Rushere-Lyantonde'!H52,'26.10 Rushere-Lyantonde-24hr'!H52,'27.10 Rushere-Lyantonde'!H52,'28.10 Rushere-Lyantonde-24h'!H52,'29.10 Rushere-Lyantonde'!H52,'30.10 Rushere-Lyantonde'!H52,'31.10 Rushere-Lyantonde'!H52)</f>
        <v>0</v>
      </c>
      <c r="I52" s="49">
        <f>AVERAGE('25.10 Rushere-Lyantonde'!I52,'26.10 Rushere-Lyantonde-24hr'!I52,'27.10 Rushere-Lyantonde'!I52,'28.10 Rushere-Lyantonde-24h'!I52,'29.10 Rushere-Lyantonde'!I52,'30.10 Rushere-Lyantonde'!I52,'31.10 Rushere-Lyantonde'!I52)</f>
        <v>1.1428571428571428</v>
      </c>
      <c r="J52" s="49">
        <f>AVERAGE('25.10 Rushere-Lyantonde'!J52,'26.10 Rushere-Lyantonde-24hr'!J52,'27.10 Rushere-Lyantonde'!J52,'28.10 Rushere-Lyantonde-24h'!J52,'29.10 Rushere-Lyantonde'!J52,'30.10 Rushere-Lyantonde'!J52,'31.10 Rushere-Lyantonde'!J52)</f>
        <v>0.8571428571428571</v>
      </c>
      <c r="K52" s="49">
        <f>AVERAGE('25.10 Rushere-Lyantonde'!K52,'26.10 Rushere-Lyantonde-24hr'!K52,'27.10 Rushere-Lyantonde'!K52,'28.10 Rushere-Lyantonde-24h'!K52,'29.10 Rushere-Lyantonde'!K52,'30.10 Rushere-Lyantonde'!K52,'31.10 Rushere-Lyantonde'!K52)</f>
        <v>0.42857142857142855</v>
      </c>
      <c r="L52" s="49">
        <f>AVERAGE('25.10 Rushere-Lyantonde'!L52,'26.10 Rushere-Lyantonde-24hr'!L52,'27.10 Rushere-Lyantonde'!L52,'28.10 Rushere-Lyantonde-24h'!L52,'29.10 Rushere-Lyantonde'!L52,'30.10 Rushere-Lyantonde'!L52,'31.10 Rushere-Lyantonde'!L52)</f>
        <v>0.2857142857142857</v>
      </c>
      <c r="M52" s="49">
        <f>AVERAGE('25.10 Rushere-Lyantonde'!M52,'26.10 Rushere-Lyantonde-24hr'!M52,'27.10 Rushere-Lyantonde'!M52,'28.10 Rushere-Lyantonde-24h'!M52,'29.10 Rushere-Lyantonde'!M52,'30.10 Rushere-Lyantonde'!M52,'31.10 Rushere-Lyantonde'!M52)</f>
        <v>9</v>
      </c>
      <c r="N52" s="49">
        <f>AVERAGE('25.10 Rushere-Lyantonde'!N52,'26.10 Rushere-Lyantonde-24hr'!N52,'27.10 Rushere-Lyantonde'!N52,'28.10 Rushere-Lyantonde-24h'!N52,'29.10 Rushere-Lyantonde'!N52,'30.10 Rushere-Lyantonde'!N52,'31.10 Rushere-Lyantonde'!N52)</f>
        <v>0</v>
      </c>
      <c r="O52" s="15">
        <f t="shared" si="0"/>
        <v>10.571428571428573</v>
      </c>
      <c r="P52" s="15">
        <f t="shared" si="1"/>
        <v>19.571428571428573</v>
      </c>
      <c r="R52" s="8"/>
      <c r="T52"/>
    </row>
    <row r="53" spans="2:20" ht="23.1" customHeight="1" x14ac:dyDescent="0.25">
      <c r="B53" s="23" t="s">
        <v>80</v>
      </c>
      <c r="C53" s="49">
        <f>AVERAGE('25.10 Rushere-Lyantonde'!C53,'26.10 Rushere-Lyantonde-24hr'!C53,'27.10 Rushere-Lyantonde'!C53,'28.10 Rushere-Lyantonde-24h'!C53,'29.10 Rushere-Lyantonde'!C53,'30.10 Rushere-Lyantonde'!C53,'31.10 Rushere-Lyantonde'!C53)</f>
        <v>6.7142857142857144</v>
      </c>
      <c r="D53" s="49">
        <f>AVERAGE('25.10 Rushere-Lyantonde'!D53,'26.10 Rushere-Lyantonde-24hr'!D53,'27.10 Rushere-Lyantonde'!D53,'28.10 Rushere-Lyantonde-24h'!D53,'29.10 Rushere-Lyantonde'!D53,'30.10 Rushere-Lyantonde'!D53,'31.10 Rushere-Lyantonde'!D53)</f>
        <v>1.1428571428571428</v>
      </c>
      <c r="E53" s="49">
        <f>AVERAGE('25.10 Rushere-Lyantonde'!E53,'26.10 Rushere-Lyantonde-24hr'!E53,'27.10 Rushere-Lyantonde'!E53,'28.10 Rushere-Lyantonde-24h'!E53,'29.10 Rushere-Lyantonde'!E53,'30.10 Rushere-Lyantonde'!E53,'31.10 Rushere-Lyantonde'!E53)</f>
        <v>0.42857142857142855</v>
      </c>
      <c r="F53" s="49">
        <f>AVERAGE('25.10 Rushere-Lyantonde'!F53,'26.10 Rushere-Lyantonde-24hr'!F53,'27.10 Rushere-Lyantonde'!F53,'28.10 Rushere-Lyantonde-24h'!F53,'29.10 Rushere-Lyantonde'!F53,'30.10 Rushere-Lyantonde'!F53,'31.10 Rushere-Lyantonde'!F53)</f>
        <v>0.14285714285714285</v>
      </c>
      <c r="G53" s="49">
        <f>AVERAGE('25.10 Rushere-Lyantonde'!G53,'26.10 Rushere-Lyantonde-24hr'!G53,'27.10 Rushere-Lyantonde'!G53,'28.10 Rushere-Lyantonde-24h'!G53,'29.10 Rushere-Lyantonde'!G53,'30.10 Rushere-Lyantonde'!G53,'31.10 Rushere-Lyantonde'!G53)</f>
        <v>0</v>
      </c>
      <c r="H53" s="49">
        <f>AVERAGE('25.10 Rushere-Lyantonde'!H53,'26.10 Rushere-Lyantonde-24hr'!H53,'27.10 Rushere-Lyantonde'!H53,'28.10 Rushere-Lyantonde-24h'!H53,'29.10 Rushere-Lyantonde'!H53,'30.10 Rushere-Lyantonde'!H53,'31.10 Rushere-Lyantonde'!H53)</f>
        <v>0</v>
      </c>
      <c r="I53" s="49">
        <f>AVERAGE('25.10 Rushere-Lyantonde'!I53,'26.10 Rushere-Lyantonde-24hr'!I53,'27.10 Rushere-Lyantonde'!I53,'28.10 Rushere-Lyantonde-24h'!I53,'29.10 Rushere-Lyantonde'!I53,'30.10 Rushere-Lyantonde'!I53,'31.10 Rushere-Lyantonde'!I53)</f>
        <v>2.4285714285714284</v>
      </c>
      <c r="J53" s="49">
        <f>AVERAGE('25.10 Rushere-Lyantonde'!J53,'26.10 Rushere-Lyantonde-24hr'!J53,'27.10 Rushere-Lyantonde'!J53,'28.10 Rushere-Lyantonde-24h'!J53,'29.10 Rushere-Lyantonde'!J53,'30.10 Rushere-Lyantonde'!J53,'31.10 Rushere-Lyantonde'!J53)</f>
        <v>1.7142857142857142</v>
      </c>
      <c r="K53" s="49">
        <f>AVERAGE('25.10 Rushere-Lyantonde'!K53,'26.10 Rushere-Lyantonde-24hr'!K53,'27.10 Rushere-Lyantonde'!K53,'28.10 Rushere-Lyantonde-24h'!K53,'29.10 Rushere-Lyantonde'!K53,'30.10 Rushere-Lyantonde'!K53,'31.10 Rushere-Lyantonde'!K53)</f>
        <v>0.5714285714285714</v>
      </c>
      <c r="L53" s="49">
        <f>AVERAGE('25.10 Rushere-Lyantonde'!L53,'26.10 Rushere-Lyantonde-24hr'!L53,'27.10 Rushere-Lyantonde'!L53,'28.10 Rushere-Lyantonde-24h'!L53,'29.10 Rushere-Lyantonde'!L53,'30.10 Rushere-Lyantonde'!L53,'31.10 Rushere-Lyantonde'!L53)</f>
        <v>0</v>
      </c>
      <c r="M53" s="49">
        <f>AVERAGE('25.10 Rushere-Lyantonde'!M53,'26.10 Rushere-Lyantonde-24hr'!M53,'27.10 Rushere-Lyantonde'!M53,'28.10 Rushere-Lyantonde-24h'!M53,'29.10 Rushere-Lyantonde'!M53,'30.10 Rushere-Lyantonde'!M53,'31.10 Rushere-Lyantonde'!M53)</f>
        <v>7</v>
      </c>
      <c r="N53" s="49">
        <f>AVERAGE('25.10 Rushere-Lyantonde'!N53,'26.10 Rushere-Lyantonde-24hr'!N53,'27.10 Rushere-Lyantonde'!N53,'28.10 Rushere-Lyantonde-24h'!N53,'29.10 Rushere-Lyantonde'!N53,'30.10 Rushere-Lyantonde'!N53,'31.10 Rushere-Lyantonde'!N53)</f>
        <v>0</v>
      </c>
      <c r="O53" s="15">
        <f t="shared" si="0"/>
        <v>13.142857142857142</v>
      </c>
      <c r="P53" s="15">
        <f t="shared" si="1"/>
        <v>20.142857142857142</v>
      </c>
      <c r="R53" s="8"/>
      <c r="T53"/>
    </row>
    <row r="54" spans="2:20" ht="23.1" customHeight="1" x14ac:dyDescent="0.25">
      <c r="B54" s="23" t="s">
        <v>81</v>
      </c>
      <c r="C54" s="49">
        <f>AVERAGE('25.10 Rushere-Lyantonde'!C54,'26.10 Rushere-Lyantonde-24hr'!C54,'27.10 Rushere-Lyantonde'!C54,'28.10 Rushere-Lyantonde-24h'!C54,'29.10 Rushere-Lyantonde'!C54,'30.10 Rushere-Lyantonde'!C54,'31.10 Rushere-Lyantonde'!C54)</f>
        <v>4.4285714285714288</v>
      </c>
      <c r="D54" s="49">
        <f>AVERAGE('25.10 Rushere-Lyantonde'!D54,'26.10 Rushere-Lyantonde-24hr'!D54,'27.10 Rushere-Lyantonde'!D54,'28.10 Rushere-Lyantonde-24h'!D54,'29.10 Rushere-Lyantonde'!D54,'30.10 Rushere-Lyantonde'!D54,'31.10 Rushere-Lyantonde'!D54)</f>
        <v>1.1428571428571428</v>
      </c>
      <c r="E54" s="49">
        <f>AVERAGE('25.10 Rushere-Lyantonde'!E54,'26.10 Rushere-Lyantonde-24hr'!E54,'27.10 Rushere-Lyantonde'!E54,'28.10 Rushere-Lyantonde-24h'!E54,'29.10 Rushere-Lyantonde'!E54,'30.10 Rushere-Lyantonde'!E54,'31.10 Rushere-Lyantonde'!E54)</f>
        <v>1.5714285714285714</v>
      </c>
      <c r="F54" s="49">
        <f>AVERAGE('25.10 Rushere-Lyantonde'!F54,'26.10 Rushere-Lyantonde-24hr'!F54,'27.10 Rushere-Lyantonde'!F54,'28.10 Rushere-Lyantonde-24h'!F54,'29.10 Rushere-Lyantonde'!F54,'30.10 Rushere-Lyantonde'!F54,'31.10 Rushere-Lyantonde'!F54)</f>
        <v>0.42857142857142855</v>
      </c>
      <c r="G54" s="49">
        <f>AVERAGE('25.10 Rushere-Lyantonde'!G54,'26.10 Rushere-Lyantonde-24hr'!G54,'27.10 Rushere-Lyantonde'!G54,'28.10 Rushere-Lyantonde-24h'!G54,'29.10 Rushere-Lyantonde'!G54,'30.10 Rushere-Lyantonde'!G54,'31.10 Rushere-Lyantonde'!G54)</f>
        <v>0.14285714285714285</v>
      </c>
      <c r="H54" s="49">
        <f>AVERAGE('25.10 Rushere-Lyantonde'!H54,'26.10 Rushere-Lyantonde-24hr'!H54,'27.10 Rushere-Lyantonde'!H54,'28.10 Rushere-Lyantonde-24h'!H54,'29.10 Rushere-Lyantonde'!H54,'30.10 Rushere-Lyantonde'!H54,'31.10 Rushere-Lyantonde'!H54)</f>
        <v>0.14285714285714285</v>
      </c>
      <c r="I54" s="49">
        <f>AVERAGE('25.10 Rushere-Lyantonde'!I54,'26.10 Rushere-Lyantonde-24hr'!I54,'27.10 Rushere-Lyantonde'!I54,'28.10 Rushere-Lyantonde-24h'!I54,'29.10 Rushere-Lyantonde'!I54,'30.10 Rushere-Lyantonde'!I54,'31.10 Rushere-Lyantonde'!I54)</f>
        <v>1</v>
      </c>
      <c r="J54" s="49">
        <f>AVERAGE('25.10 Rushere-Lyantonde'!J54,'26.10 Rushere-Lyantonde-24hr'!J54,'27.10 Rushere-Lyantonde'!J54,'28.10 Rushere-Lyantonde-24h'!J54,'29.10 Rushere-Lyantonde'!J54,'30.10 Rushere-Lyantonde'!J54,'31.10 Rushere-Lyantonde'!J54)</f>
        <v>0.5714285714285714</v>
      </c>
      <c r="K54" s="49">
        <f>AVERAGE('25.10 Rushere-Lyantonde'!K54,'26.10 Rushere-Lyantonde-24hr'!K54,'27.10 Rushere-Lyantonde'!K54,'28.10 Rushere-Lyantonde-24h'!K54,'29.10 Rushere-Lyantonde'!K54,'30.10 Rushere-Lyantonde'!K54,'31.10 Rushere-Lyantonde'!K54)</f>
        <v>1.1428571428571428</v>
      </c>
      <c r="L54" s="49">
        <f>AVERAGE('25.10 Rushere-Lyantonde'!L54,'26.10 Rushere-Lyantonde-24hr'!L54,'27.10 Rushere-Lyantonde'!L54,'28.10 Rushere-Lyantonde-24h'!L54,'29.10 Rushere-Lyantonde'!L54,'30.10 Rushere-Lyantonde'!L54,'31.10 Rushere-Lyantonde'!L54)</f>
        <v>0.14285714285714285</v>
      </c>
      <c r="M54" s="49">
        <f>AVERAGE('25.10 Rushere-Lyantonde'!M54,'26.10 Rushere-Lyantonde-24hr'!M54,'27.10 Rushere-Lyantonde'!M54,'28.10 Rushere-Lyantonde-24h'!M54,'29.10 Rushere-Lyantonde'!M54,'30.10 Rushere-Lyantonde'!M54,'31.10 Rushere-Lyantonde'!M54)</f>
        <v>6.5714285714285712</v>
      </c>
      <c r="N54" s="49">
        <f>AVERAGE('25.10 Rushere-Lyantonde'!N54,'26.10 Rushere-Lyantonde-24hr'!N54,'27.10 Rushere-Lyantonde'!N54,'28.10 Rushere-Lyantonde-24h'!N54,'29.10 Rushere-Lyantonde'!N54,'30.10 Rushere-Lyantonde'!N54,'31.10 Rushere-Lyantonde'!N54)</f>
        <v>0</v>
      </c>
      <c r="O54" s="15">
        <f t="shared" si="0"/>
        <v>10.714285714285714</v>
      </c>
      <c r="P54" s="15">
        <f t="shared" si="1"/>
        <v>17.285714285714285</v>
      </c>
      <c r="R54" s="8"/>
      <c r="T54"/>
    </row>
    <row r="55" spans="2:20" ht="23.1" customHeight="1" x14ac:dyDescent="0.25">
      <c r="B55" s="23" t="s">
        <v>82</v>
      </c>
      <c r="C55" s="49">
        <f>AVERAGE('25.10 Rushere-Lyantonde'!C55,'26.10 Rushere-Lyantonde-24hr'!C55,'27.10 Rushere-Lyantonde'!C55,'28.10 Rushere-Lyantonde-24h'!C55,'29.10 Rushere-Lyantonde'!C55,'30.10 Rushere-Lyantonde'!C55,'31.10 Rushere-Lyantonde'!C55)</f>
        <v>3.1428571428571428</v>
      </c>
      <c r="D55" s="49">
        <f>AVERAGE('25.10 Rushere-Lyantonde'!D55,'26.10 Rushere-Lyantonde-24hr'!D55,'27.10 Rushere-Lyantonde'!D55,'28.10 Rushere-Lyantonde-24h'!D55,'29.10 Rushere-Lyantonde'!D55,'30.10 Rushere-Lyantonde'!D55,'31.10 Rushere-Lyantonde'!D55)</f>
        <v>2.5714285714285716</v>
      </c>
      <c r="E55" s="49">
        <f>AVERAGE('25.10 Rushere-Lyantonde'!E55,'26.10 Rushere-Lyantonde-24hr'!E55,'27.10 Rushere-Lyantonde'!E55,'28.10 Rushere-Lyantonde-24h'!E55,'29.10 Rushere-Lyantonde'!E55,'30.10 Rushere-Lyantonde'!E55,'31.10 Rushere-Lyantonde'!E55)</f>
        <v>1.4285714285714286</v>
      </c>
      <c r="F55" s="49">
        <f>AVERAGE('25.10 Rushere-Lyantonde'!F55,'26.10 Rushere-Lyantonde-24hr'!F55,'27.10 Rushere-Lyantonde'!F55,'28.10 Rushere-Lyantonde-24h'!F55,'29.10 Rushere-Lyantonde'!F55,'30.10 Rushere-Lyantonde'!F55,'31.10 Rushere-Lyantonde'!F55)</f>
        <v>0.5714285714285714</v>
      </c>
      <c r="G55" s="49">
        <f>AVERAGE('25.10 Rushere-Lyantonde'!G55,'26.10 Rushere-Lyantonde-24hr'!G55,'27.10 Rushere-Lyantonde'!G55,'28.10 Rushere-Lyantonde-24h'!G55,'29.10 Rushere-Lyantonde'!G55,'30.10 Rushere-Lyantonde'!G55,'31.10 Rushere-Lyantonde'!G55)</f>
        <v>0</v>
      </c>
      <c r="H55" s="49">
        <f>AVERAGE('25.10 Rushere-Lyantonde'!H55,'26.10 Rushere-Lyantonde-24hr'!H55,'27.10 Rushere-Lyantonde'!H55,'28.10 Rushere-Lyantonde-24h'!H55,'29.10 Rushere-Lyantonde'!H55,'30.10 Rushere-Lyantonde'!H55,'31.10 Rushere-Lyantonde'!H55)</f>
        <v>0</v>
      </c>
      <c r="I55" s="49">
        <f>AVERAGE('25.10 Rushere-Lyantonde'!I55,'26.10 Rushere-Lyantonde-24hr'!I55,'27.10 Rushere-Lyantonde'!I55,'28.10 Rushere-Lyantonde-24h'!I55,'29.10 Rushere-Lyantonde'!I55,'30.10 Rushere-Lyantonde'!I55,'31.10 Rushere-Lyantonde'!I55)</f>
        <v>2.4285714285714284</v>
      </c>
      <c r="J55" s="49">
        <f>AVERAGE('25.10 Rushere-Lyantonde'!J55,'26.10 Rushere-Lyantonde-24hr'!J55,'27.10 Rushere-Lyantonde'!J55,'28.10 Rushere-Lyantonde-24h'!J55,'29.10 Rushere-Lyantonde'!J55,'30.10 Rushere-Lyantonde'!J55,'31.10 Rushere-Lyantonde'!J55)</f>
        <v>0.5714285714285714</v>
      </c>
      <c r="K55" s="49">
        <f>AVERAGE('25.10 Rushere-Lyantonde'!K55,'26.10 Rushere-Lyantonde-24hr'!K55,'27.10 Rushere-Lyantonde'!K55,'28.10 Rushere-Lyantonde-24h'!K55,'29.10 Rushere-Lyantonde'!K55,'30.10 Rushere-Lyantonde'!K55,'31.10 Rushere-Lyantonde'!K55)</f>
        <v>0.2857142857142857</v>
      </c>
      <c r="L55" s="49">
        <f>AVERAGE('25.10 Rushere-Lyantonde'!L55,'26.10 Rushere-Lyantonde-24hr'!L55,'27.10 Rushere-Lyantonde'!L55,'28.10 Rushere-Lyantonde-24h'!L55,'29.10 Rushere-Lyantonde'!L55,'30.10 Rushere-Lyantonde'!L55,'31.10 Rushere-Lyantonde'!L55)</f>
        <v>0.7142857142857143</v>
      </c>
      <c r="M55" s="49">
        <f>AVERAGE('25.10 Rushere-Lyantonde'!M55,'26.10 Rushere-Lyantonde-24hr'!M55,'27.10 Rushere-Lyantonde'!M55,'28.10 Rushere-Lyantonde-24h'!M55,'29.10 Rushere-Lyantonde'!M55,'30.10 Rushere-Lyantonde'!M55,'31.10 Rushere-Lyantonde'!M55)</f>
        <v>8.1428571428571423</v>
      </c>
      <c r="N55" s="49">
        <f>AVERAGE('25.10 Rushere-Lyantonde'!N55,'26.10 Rushere-Lyantonde-24hr'!N55,'27.10 Rushere-Lyantonde'!N55,'28.10 Rushere-Lyantonde-24h'!N55,'29.10 Rushere-Lyantonde'!N55,'30.10 Rushere-Lyantonde'!N55,'31.10 Rushere-Lyantonde'!N55)</f>
        <v>0</v>
      </c>
      <c r="O55" s="15">
        <f t="shared" si="0"/>
        <v>11.714285714285714</v>
      </c>
      <c r="P55" s="15">
        <f t="shared" si="1"/>
        <v>19.857142857142854</v>
      </c>
      <c r="R55" s="8"/>
      <c r="T55"/>
    </row>
    <row r="56" spans="2:20" ht="23.1" customHeight="1" x14ac:dyDescent="0.25">
      <c r="B56" s="23" t="s">
        <v>83</v>
      </c>
      <c r="C56" s="49">
        <f>AVERAGE('25.10 Rushere-Lyantonde'!C56,'26.10 Rushere-Lyantonde-24hr'!C56,'27.10 Rushere-Lyantonde'!C56,'28.10 Rushere-Lyantonde-24h'!C56,'29.10 Rushere-Lyantonde'!C56,'30.10 Rushere-Lyantonde'!C56,'31.10 Rushere-Lyantonde'!C56)</f>
        <v>4.1428571428571432</v>
      </c>
      <c r="D56" s="49">
        <f>AVERAGE('25.10 Rushere-Lyantonde'!D56,'26.10 Rushere-Lyantonde-24hr'!D56,'27.10 Rushere-Lyantonde'!D56,'28.10 Rushere-Lyantonde-24h'!D56,'29.10 Rushere-Lyantonde'!D56,'30.10 Rushere-Lyantonde'!D56,'31.10 Rushere-Lyantonde'!D56)</f>
        <v>0.7142857142857143</v>
      </c>
      <c r="E56" s="49">
        <f>AVERAGE('25.10 Rushere-Lyantonde'!E56,'26.10 Rushere-Lyantonde-24hr'!E56,'27.10 Rushere-Lyantonde'!E56,'28.10 Rushere-Lyantonde-24h'!E56,'29.10 Rushere-Lyantonde'!E56,'30.10 Rushere-Lyantonde'!E56,'31.10 Rushere-Lyantonde'!E56)</f>
        <v>0.7142857142857143</v>
      </c>
      <c r="F56" s="49">
        <f>AVERAGE('25.10 Rushere-Lyantonde'!F56,'26.10 Rushere-Lyantonde-24hr'!F56,'27.10 Rushere-Lyantonde'!F56,'28.10 Rushere-Lyantonde-24h'!F56,'29.10 Rushere-Lyantonde'!F56,'30.10 Rushere-Lyantonde'!F56,'31.10 Rushere-Lyantonde'!F56)</f>
        <v>0.14285714285714285</v>
      </c>
      <c r="G56" s="49">
        <f>AVERAGE('25.10 Rushere-Lyantonde'!G56,'26.10 Rushere-Lyantonde-24hr'!G56,'27.10 Rushere-Lyantonde'!G56,'28.10 Rushere-Lyantonde-24h'!G56,'29.10 Rushere-Lyantonde'!G56,'30.10 Rushere-Lyantonde'!G56,'31.10 Rushere-Lyantonde'!G56)</f>
        <v>0.14285714285714285</v>
      </c>
      <c r="H56" s="49">
        <f>AVERAGE('25.10 Rushere-Lyantonde'!H56,'26.10 Rushere-Lyantonde-24hr'!H56,'27.10 Rushere-Lyantonde'!H56,'28.10 Rushere-Lyantonde-24h'!H56,'29.10 Rushere-Lyantonde'!H56,'30.10 Rushere-Lyantonde'!H56,'31.10 Rushere-Lyantonde'!H56)</f>
        <v>0</v>
      </c>
      <c r="I56" s="49">
        <f>AVERAGE('25.10 Rushere-Lyantonde'!I56,'26.10 Rushere-Lyantonde-24hr'!I56,'27.10 Rushere-Lyantonde'!I56,'28.10 Rushere-Lyantonde-24h'!I56,'29.10 Rushere-Lyantonde'!I56,'30.10 Rushere-Lyantonde'!I56,'31.10 Rushere-Lyantonde'!I56)</f>
        <v>0.8571428571428571</v>
      </c>
      <c r="J56" s="49">
        <f>AVERAGE('25.10 Rushere-Lyantonde'!J56,'26.10 Rushere-Lyantonde-24hr'!J56,'27.10 Rushere-Lyantonde'!J56,'28.10 Rushere-Lyantonde-24h'!J56,'29.10 Rushere-Lyantonde'!J56,'30.10 Rushere-Lyantonde'!J56,'31.10 Rushere-Lyantonde'!J56)</f>
        <v>1</v>
      </c>
      <c r="K56" s="49">
        <f>AVERAGE('25.10 Rushere-Lyantonde'!K56,'26.10 Rushere-Lyantonde-24hr'!K56,'27.10 Rushere-Lyantonde'!K56,'28.10 Rushere-Lyantonde-24h'!K56,'29.10 Rushere-Lyantonde'!K56,'30.10 Rushere-Lyantonde'!K56,'31.10 Rushere-Lyantonde'!K56)</f>
        <v>0.5714285714285714</v>
      </c>
      <c r="L56" s="49">
        <f>AVERAGE('25.10 Rushere-Lyantonde'!L56,'26.10 Rushere-Lyantonde-24hr'!L56,'27.10 Rushere-Lyantonde'!L56,'28.10 Rushere-Lyantonde-24h'!L56,'29.10 Rushere-Lyantonde'!L56,'30.10 Rushere-Lyantonde'!L56,'31.10 Rushere-Lyantonde'!L56)</f>
        <v>0.14285714285714285</v>
      </c>
      <c r="M56" s="49">
        <f>AVERAGE('25.10 Rushere-Lyantonde'!M56,'26.10 Rushere-Lyantonde-24hr'!M56,'27.10 Rushere-Lyantonde'!M56,'28.10 Rushere-Lyantonde-24h'!M56,'29.10 Rushere-Lyantonde'!M56,'30.10 Rushere-Lyantonde'!M56,'31.10 Rushere-Lyantonde'!M56)</f>
        <v>5.7142857142857144</v>
      </c>
      <c r="N56" s="49">
        <f>AVERAGE('25.10 Rushere-Lyantonde'!N56,'26.10 Rushere-Lyantonde-24hr'!N56,'27.10 Rushere-Lyantonde'!N56,'28.10 Rushere-Lyantonde-24h'!N56,'29.10 Rushere-Lyantonde'!N56,'30.10 Rushere-Lyantonde'!N56,'31.10 Rushere-Lyantonde'!N56)</f>
        <v>0</v>
      </c>
      <c r="O56" s="15">
        <f t="shared" si="0"/>
        <v>8.4285714285714288</v>
      </c>
      <c r="P56" s="15">
        <f t="shared" si="1"/>
        <v>14.142857142857142</v>
      </c>
      <c r="R56" s="8"/>
      <c r="T56"/>
    </row>
    <row r="57" spans="2:20" ht="23.1" customHeight="1" x14ac:dyDescent="0.25">
      <c r="B57" s="23" t="s">
        <v>84</v>
      </c>
      <c r="C57" s="49">
        <f>AVERAGE('25.10 Rushere-Lyantonde'!C57,'26.10 Rushere-Lyantonde-24hr'!C57,'27.10 Rushere-Lyantonde'!C57,'28.10 Rushere-Lyantonde-24h'!C57,'29.10 Rushere-Lyantonde'!C57,'30.10 Rushere-Lyantonde'!C57,'31.10 Rushere-Lyantonde'!C57)</f>
        <v>3.4285714285714284</v>
      </c>
      <c r="D57" s="49">
        <f>AVERAGE('25.10 Rushere-Lyantonde'!D57,'26.10 Rushere-Lyantonde-24hr'!D57,'27.10 Rushere-Lyantonde'!D57,'28.10 Rushere-Lyantonde-24h'!D57,'29.10 Rushere-Lyantonde'!D57,'30.10 Rushere-Lyantonde'!D57,'31.10 Rushere-Lyantonde'!D57)</f>
        <v>1.7142857142857142</v>
      </c>
      <c r="E57" s="49">
        <f>AVERAGE('25.10 Rushere-Lyantonde'!E57,'26.10 Rushere-Lyantonde-24hr'!E57,'27.10 Rushere-Lyantonde'!E57,'28.10 Rushere-Lyantonde-24h'!E57,'29.10 Rushere-Lyantonde'!E57,'30.10 Rushere-Lyantonde'!E57,'31.10 Rushere-Lyantonde'!E57)</f>
        <v>0.7142857142857143</v>
      </c>
      <c r="F57" s="49">
        <f>AVERAGE('25.10 Rushere-Lyantonde'!F57,'26.10 Rushere-Lyantonde-24hr'!F57,'27.10 Rushere-Lyantonde'!F57,'28.10 Rushere-Lyantonde-24h'!F57,'29.10 Rushere-Lyantonde'!F57,'30.10 Rushere-Lyantonde'!F57,'31.10 Rushere-Lyantonde'!F57)</f>
        <v>0</v>
      </c>
      <c r="G57" s="49">
        <f>AVERAGE('25.10 Rushere-Lyantonde'!G57,'26.10 Rushere-Lyantonde-24hr'!G57,'27.10 Rushere-Lyantonde'!G57,'28.10 Rushere-Lyantonde-24h'!G57,'29.10 Rushere-Lyantonde'!G57,'30.10 Rushere-Lyantonde'!G57,'31.10 Rushere-Lyantonde'!G57)</f>
        <v>0</v>
      </c>
      <c r="H57" s="49">
        <f>AVERAGE('25.10 Rushere-Lyantonde'!H57,'26.10 Rushere-Lyantonde-24hr'!H57,'27.10 Rushere-Lyantonde'!H57,'28.10 Rushere-Lyantonde-24h'!H57,'29.10 Rushere-Lyantonde'!H57,'30.10 Rushere-Lyantonde'!H57,'31.10 Rushere-Lyantonde'!H57)</f>
        <v>0.14285714285714285</v>
      </c>
      <c r="I57" s="49">
        <f>AVERAGE('25.10 Rushere-Lyantonde'!I57,'26.10 Rushere-Lyantonde-24hr'!I57,'27.10 Rushere-Lyantonde'!I57,'28.10 Rushere-Lyantonde-24h'!I57,'29.10 Rushere-Lyantonde'!I57,'30.10 Rushere-Lyantonde'!I57,'31.10 Rushere-Lyantonde'!I57)</f>
        <v>1.1428571428571428</v>
      </c>
      <c r="J57" s="49">
        <f>AVERAGE('25.10 Rushere-Lyantonde'!J57,'26.10 Rushere-Lyantonde-24hr'!J57,'27.10 Rushere-Lyantonde'!J57,'28.10 Rushere-Lyantonde-24h'!J57,'29.10 Rushere-Lyantonde'!J57,'30.10 Rushere-Lyantonde'!J57,'31.10 Rushere-Lyantonde'!J57)</f>
        <v>0.8571428571428571</v>
      </c>
      <c r="K57" s="49">
        <f>AVERAGE('25.10 Rushere-Lyantonde'!K57,'26.10 Rushere-Lyantonde-24hr'!K57,'27.10 Rushere-Lyantonde'!K57,'28.10 Rushere-Lyantonde-24h'!K57,'29.10 Rushere-Lyantonde'!K57,'30.10 Rushere-Lyantonde'!K57,'31.10 Rushere-Lyantonde'!K57)</f>
        <v>0.7142857142857143</v>
      </c>
      <c r="L57" s="49">
        <f>AVERAGE('25.10 Rushere-Lyantonde'!L57,'26.10 Rushere-Lyantonde-24hr'!L57,'27.10 Rushere-Lyantonde'!L57,'28.10 Rushere-Lyantonde-24h'!L57,'29.10 Rushere-Lyantonde'!L57,'30.10 Rushere-Lyantonde'!L57,'31.10 Rushere-Lyantonde'!L57)</f>
        <v>0.42857142857142855</v>
      </c>
      <c r="M57" s="49">
        <f>AVERAGE('25.10 Rushere-Lyantonde'!M57,'26.10 Rushere-Lyantonde-24hr'!M57,'27.10 Rushere-Lyantonde'!M57,'28.10 Rushere-Lyantonde-24h'!M57,'29.10 Rushere-Lyantonde'!M57,'30.10 Rushere-Lyantonde'!M57,'31.10 Rushere-Lyantonde'!M57)</f>
        <v>4.2857142857142856</v>
      </c>
      <c r="N57" s="49">
        <f>AVERAGE('25.10 Rushere-Lyantonde'!N57,'26.10 Rushere-Lyantonde-24hr'!N57,'27.10 Rushere-Lyantonde'!N57,'28.10 Rushere-Lyantonde-24h'!N57,'29.10 Rushere-Lyantonde'!N57,'30.10 Rushere-Lyantonde'!N57,'31.10 Rushere-Lyantonde'!N57)</f>
        <v>0</v>
      </c>
      <c r="O57" s="15">
        <f t="shared" si="0"/>
        <v>9.1428571428571423</v>
      </c>
      <c r="P57" s="15">
        <f t="shared" si="1"/>
        <v>13.428571428571427</v>
      </c>
      <c r="R57" s="8"/>
      <c r="T57"/>
    </row>
    <row r="58" spans="2:20" ht="23.1" customHeight="1" x14ac:dyDescent="0.25">
      <c r="B58" s="23" t="s">
        <v>99</v>
      </c>
      <c r="C58" s="49">
        <f>AVERAGE('26.10 Rushere-Lyantonde-24hr'!C58,'28.10 Rushere-Lyantonde-24h'!C58)</f>
        <v>5</v>
      </c>
      <c r="D58" s="49">
        <f>AVERAGE('26.10 Rushere-Lyantonde-24hr'!D58,'28.10 Rushere-Lyantonde-24h'!D58)</f>
        <v>1</v>
      </c>
      <c r="E58" s="49">
        <f>AVERAGE('26.10 Rushere-Lyantonde-24hr'!E58,'28.10 Rushere-Lyantonde-24h'!E58)</f>
        <v>0.5</v>
      </c>
      <c r="F58" s="49">
        <f>AVERAGE('26.10 Rushere-Lyantonde-24hr'!F58,'28.10 Rushere-Lyantonde-24h'!F58)</f>
        <v>0.5</v>
      </c>
      <c r="G58" s="49">
        <f>AVERAGE('26.10 Rushere-Lyantonde-24hr'!G58,'28.10 Rushere-Lyantonde-24h'!G58)</f>
        <v>0</v>
      </c>
      <c r="H58" s="49">
        <f>AVERAGE('26.10 Rushere-Lyantonde-24hr'!H58,'28.10 Rushere-Lyantonde-24h'!H58)</f>
        <v>0</v>
      </c>
      <c r="I58" s="49">
        <f>AVERAGE('26.10 Rushere-Lyantonde-24hr'!I58,'28.10 Rushere-Lyantonde-24h'!I58)</f>
        <v>0</v>
      </c>
      <c r="J58" s="49">
        <f>AVERAGE('26.10 Rushere-Lyantonde-24hr'!J58,'28.10 Rushere-Lyantonde-24h'!J58)</f>
        <v>0.5</v>
      </c>
      <c r="K58" s="49">
        <f>AVERAGE('26.10 Rushere-Lyantonde-24hr'!K58,'28.10 Rushere-Lyantonde-24h'!K58)</f>
        <v>0</v>
      </c>
      <c r="L58" s="49">
        <f>AVERAGE('26.10 Rushere-Lyantonde-24hr'!L58,'28.10 Rushere-Lyantonde-24h'!L58)</f>
        <v>0.5</v>
      </c>
      <c r="M58" s="49">
        <f>AVERAGE('26.10 Rushere-Lyantonde-24hr'!M58,'28.10 Rushere-Lyantonde-24h'!M58)</f>
        <v>4.5</v>
      </c>
      <c r="N58" s="49">
        <f>AVERAGE('26.10 Rushere-Lyantonde-24hr'!N58,'28.10 Rushere-Lyantonde-24h'!N58)</f>
        <v>0</v>
      </c>
      <c r="O58" s="15">
        <f t="shared" si="0"/>
        <v>8</v>
      </c>
      <c r="P58" s="15">
        <f t="shared" si="1"/>
        <v>12.5</v>
      </c>
      <c r="R58" s="8"/>
      <c r="T58"/>
    </row>
    <row r="59" spans="2:20" ht="23.1" customHeight="1" x14ac:dyDescent="0.25">
      <c r="B59" s="23" t="s">
        <v>100</v>
      </c>
      <c r="C59" s="49">
        <f>AVERAGE('26.10 Rushere-Lyantonde-24hr'!C59,'28.10 Rushere-Lyantonde-24h'!C59)</f>
        <v>2</v>
      </c>
      <c r="D59" s="49">
        <f>AVERAGE('26.10 Rushere-Lyantonde-24hr'!D59,'28.10 Rushere-Lyantonde-24h'!D59)</f>
        <v>0</v>
      </c>
      <c r="E59" s="49">
        <f>AVERAGE('26.10 Rushere-Lyantonde-24hr'!E59,'28.10 Rushere-Lyantonde-24h'!E59)</f>
        <v>1</v>
      </c>
      <c r="F59" s="49">
        <f>AVERAGE('26.10 Rushere-Lyantonde-24hr'!F59,'28.10 Rushere-Lyantonde-24h'!F59)</f>
        <v>0.5</v>
      </c>
      <c r="G59" s="49">
        <f>AVERAGE('26.10 Rushere-Lyantonde-24hr'!G59,'28.10 Rushere-Lyantonde-24h'!G59)</f>
        <v>0</v>
      </c>
      <c r="H59" s="49">
        <f>AVERAGE('26.10 Rushere-Lyantonde-24hr'!H59,'28.10 Rushere-Lyantonde-24h'!H59)</f>
        <v>0.5</v>
      </c>
      <c r="I59" s="49">
        <f>AVERAGE('26.10 Rushere-Lyantonde-24hr'!I59,'28.10 Rushere-Lyantonde-24h'!I59)</f>
        <v>0</v>
      </c>
      <c r="J59" s="49">
        <f>AVERAGE('26.10 Rushere-Lyantonde-24hr'!J59,'28.10 Rushere-Lyantonde-24h'!J59)</f>
        <v>1</v>
      </c>
      <c r="K59" s="49">
        <f>AVERAGE('26.10 Rushere-Lyantonde-24hr'!K59,'28.10 Rushere-Lyantonde-24h'!K59)</f>
        <v>1</v>
      </c>
      <c r="L59" s="49">
        <f>AVERAGE('26.10 Rushere-Lyantonde-24hr'!L59,'28.10 Rushere-Lyantonde-24h'!L59)</f>
        <v>0</v>
      </c>
      <c r="M59" s="49">
        <f>AVERAGE('26.10 Rushere-Lyantonde-24hr'!M59,'28.10 Rushere-Lyantonde-24h'!M59)</f>
        <v>0.5</v>
      </c>
      <c r="N59" s="49">
        <f>AVERAGE('26.10 Rushere-Lyantonde-24hr'!N59,'28.10 Rushere-Lyantonde-24h'!N59)</f>
        <v>0</v>
      </c>
      <c r="O59" s="15">
        <f t="shared" si="0"/>
        <v>6</v>
      </c>
      <c r="P59" s="15">
        <f t="shared" si="1"/>
        <v>6.5</v>
      </c>
      <c r="R59" s="8"/>
      <c r="T59"/>
    </row>
    <row r="60" spans="2:20" ht="23.1" customHeight="1" x14ac:dyDescent="0.25">
      <c r="B60" s="23" t="s">
        <v>101</v>
      </c>
      <c r="C60" s="49">
        <f>AVERAGE('26.10 Rushere-Lyantonde-24hr'!C60,'28.10 Rushere-Lyantonde-24h'!C60)</f>
        <v>4.5</v>
      </c>
      <c r="D60" s="49">
        <f>AVERAGE('26.10 Rushere-Lyantonde-24hr'!D60,'28.10 Rushere-Lyantonde-24h'!D60)</f>
        <v>1</v>
      </c>
      <c r="E60" s="49">
        <f>AVERAGE('26.10 Rushere-Lyantonde-24hr'!E60,'28.10 Rushere-Lyantonde-24h'!E60)</f>
        <v>1.5</v>
      </c>
      <c r="F60" s="49">
        <f>AVERAGE('26.10 Rushere-Lyantonde-24hr'!F60,'28.10 Rushere-Lyantonde-24h'!F60)</f>
        <v>0.5</v>
      </c>
      <c r="G60" s="49">
        <f>AVERAGE('26.10 Rushere-Lyantonde-24hr'!G60,'28.10 Rushere-Lyantonde-24h'!G60)</f>
        <v>0</v>
      </c>
      <c r="H60" s="49">
        <f>AVERAGE('26.10 Rushere-Lyantonde-24hr'!H60,'28.10 Rushere-Lyantonde-24h'!H60)</f>
        <v>0</v>
      </c>
      <c r="I60" s="49">
        <f>AVERAGE('26.10 Rushere-Lyantonde-24hr'!I60,'28.10 Rushere-Lyantonde-24h'!I60)</f>
        <v>1</v>
      </c>
      <c r="J60" s="49">
        <f>AVERAGE('26.10 Rushere-Lyantonde-24hr'!J60,'28.10 Rushere-Lyantonde-24h'!J60)</f>
        <v>0.5</v>
      </c>
      <c r="K60" s="49">
        <f>AVERAGE('26.10 Rushere-Lyantonde-24hr'!K60,'28.10 Rushere-Lyantonde-24h'!K60)</f>
        <v>0</v>
      </c>
      <c r="L60" s="49">
        <f>AVERAGE('26.10 Rushere-Lyantonde-24hr'!L60,'28.10 Rushere-Lyantonde-24h'!L60)</f>
        <v>0</v>
      </c>
      <c r="M60" s="49">
        <f>AVERAGE('26.10 Rushere-Lyantonde-24hr'!M60,'28.10 Rushere-Lyantonde-24h'!M60)</f>
        <v>1.5</v>
      </c>
      <c r="N60" s="49">
        <f>AVERAGE('26.10 Rushere-Lyantonde-24hr'!N60,'28.10 Rushere-Lyantonde-24h'!N60)</f>
        <v>0</v>
      </c>
      <c r="O60" s="15">
        <f t="shared" si="0"/>
        <v>9</v>
      </c>
      <c r="P60" s="15">
        <f t="shared" si="1"/>
        <v>10.5</v>
      </c>
      <c r="R60" s="8"/>
      <c r="T60"/>
    </row>
    <row r="61" spans="2:20" ht="23.1" customHeight="1" x14ac:dyDescent="0.25">
      <c r="B61" s="23" t="s">
        <v>102</v>
      </c>
      <c r="C61" s="49">
        <f>AVERAGE('26.10 Rushere-Lyantonde-24hr'!C61,'28.10 Rushere-Lyantonde-24h'!C61)</f>
        <v>3</v>
      </c>
      <c r="D61" s="49">
        <f>AVERAGE('26.10 Rushere-Lyantonde-24hr'!D61,'28.10 Rushere-Lyantonde-24h'!D61)</f>
        <v>2.5</v>
      </c>
      <c r="E61" s="49">
        <f>AVERAGE('26.10 Rushere-Lyantonde-24hr'!E61,'28.10 Rushere-Lyantonde-24h'!E61)</f>
        <v>0</v>
      </c>
      <c r="F61" s="49">
        <f>AVERAGE('26.10 Rushere-Lyantonde-24hr'!F61,'28.10 Rushere-Lyantonde-24h'!F61)</f>
        <v>0.5</v>
      </c>
      <c r="G61" s="49">
        <f>AVERAGE('26.10 Rushere-Lyantonde-24hr'!G61,'28.10 Rushere-Lyantonde-24h'!G61)</f>
        <v>0.5</v>
      </c>
      <c r="H61" s="49">
        <f>AVERAGE('26.10 Rushere-Lyantonde-24hr'!H61,'28.10 Rushere-Lyantonde-24h'!H61)</f>
        <v>0</v>
      </c>
      <c r="I61" s="49">
        <f>AVERAGE('26.10 Rushere-Lyantonde-24hr'!I61,'28.10 Rushere-Lyantonde-24h'!I61)</f>
        <v>0</v>
      </c>
      <c r="J61" s="49">
        <f>AVERAGE('26.10 Rushere-Lyantonde-24hr'!J61,'28.10 Rushere-Lyantonde-24h'!J61)</f>
        <v>1.5</v>
      </c>
      <c r="K61" s="49">
        <f>AVERAGE('26.10 Rushere-Lyantonde-24hr'!K61,'28.10 Rushere-Lyantonde-24h'!K61)</f>
        <v>1.5</v>
      </c>
      <c r="L61" s="49">
        <f>AVERAGE('26.10 Rushere-Lyantonde-24hr'!L61,'28.10 Rushere-Lyantonde-24h'!L61)</f>
        <v>0.5</v>
      </c>
      <c r="M61" s="49">
        <f>AVERAGE('26.10 Rushere-Lyantonde-24hr'!M61,'28.10 Rushere-Lyantonde-24h'!M61)</f>
        <v>2</v>
      </c>
      <c r="N61" s="49">
        <f>AVERAGE('26.10 Rushere-Lyantonde-24hr'!N61,'28.10 Rushere-Lyantonde-24h'!N61)</f>
        <v>0</v>
      </c>
      <c r="O61" s="15">
        <f t="shared" si="0"/>
        <v>10</v>
      </c>
      <c r="P61" s="15">
        <f t="shared" si="1"/>
        <v>12</v>
      </c>
      <c r="R61" s="8"/>
      <c r="T61"/>
    </row>
    <row r="62" spans="2:20" ht="23.1" customHeight="1" x14ac:dyDescent="0.25">
      <c r="B62" s="23" t="s">
        <v>107</v>
      </c>
      <c r="C62" s="49">
        <f>AVERAGE('26.10 Rushere-Lyantonde-24hr'!C62,'28.10 Rushere-Lyantonde-24h'!C62)</f>
        <v>5</v>
      </c>
      <c r="D62" s="49">
        <f>AVERAGE('26.10 Rushere-Lyantonde-24hr'!D62,'28.10 Rushere-Lyantonde-24h'!D62)</f>
        <v>1</v>
      </c>
      <c r="E62" s="49">
        <f>AVERAGE('26.10 Rushere-Lyantonde-24hr'!E62,'28.10 Rushere-Lyantonde-24h'!E62)</f>
        <v>0.5</v>
      </c>
      <c r="F62" s="49">
        <f>AVERAGE('26.10 Rushere-Lyantonde-24hr'!F62,'28.10 Rushere-Lyantonde-24h'!F62)</f>
        <v>0</v>
      </c>
      <c r="G62" s="49">
        <f>AVERAGE('26.10 Rushere-Lyantonde-24hr'!G62,'28.10 Rushere-Lyantonde-24h'!G62)</f>
        <v>0</v>
      </c>
      <c r="H62" s="49">
        <f>AVERAGE('26.10 Rushere-Lyantonde-24hr'!H62,'28.10 Rushere-Lyantonde-24h'!H62)</f>
        <v>0</v>
      </c>
      <c r="I62" s="49">
        <f>AVERAGE('26.10 Rushere-Lyantonde-24hr'!I62,'28.10 Rushere-Lyantonde-24h'!I62)</f>
        <v>0.5</v>
      </c>
      <c r="J62" s="49">
        <f>AVERAGE('26.10 Rushere-Lyantonde-24hr'!J62,'28.10 Rushere-Lyantonde-24h'!J62)</f>
        <v>0</v>
      </c>
      <c r="K62" s="49">
        <f>AVERAGE('26.10 Rushere-Lyantonde-24hr'!K62,'28.10 Rushere-Lyantonde-24h'!K62)</f>
        <v>0</v>
      </c>
      <c r="L62" s="49">
        <f>AVERAGE('26.10 Rushere-Lyantonde-24hr'!L62,'28.10 Rushere-Lyantonde-24h'!L62)</f>
        <v>0.5</v>
      </c>
      <c r="M62" s="49">
        <f>AVERAGE('26.10 Rushere-Lyantonde-24hr'!M62,'28.10 Rushere-Lyantonde-24h'!M62)</f>
        <v>2</v>
      </c>
      <c r="N62" s="49">
        <f>AVERAGE('26.10 Rushere-Lyantonde-24hr'!N62,'28.10 Rushere-Lyantonde-24h'!N62)</f>
        <v>0</v>
      </c>
      <c r="O62" s="15">
        <f t="shared" si="0"/>
        <v>7.5</v>
      </c>
      <c r="P62" s="15">
        <f t="shared" si="1"/>
        <v>9.5</v>
      </c>
      <c r="R62" s="8"/>
      <c r="T62"/>
    </row>
    <row r="63" spans="2:20" ht="23.1" customHeight="1" x14ac:dyDescent="0.25">
      <c r="B63" s="23" t="s">
        <v>108</v>
      </c>
      <c r="C63" s="49">
        <f>AVERAGE('26.10 Rushere-Lyantonde-24hr'!C63,'28.10 Rushere-Lyantonde-24h'!C63)</f>
        <v>2.5</v>
      </c>
      <c r="D63" s="49">
        <f>AVERAGE('26.10 Rushere-Lyantonde-24hr'!D63,'28.10 Rushere-Lyantonde-24h'!D63)</f>
        <v>0</v>
      </c>
      <c r="E63" s="49">
        <f>AVERAGE('26.10 Rushere-Lyantonde-24hr'!E63,'28.10 Rushere-Lyantonde-24h'!E63)</f>
        <v>1.5</v>
      </c>
      <c r="F63" s="49">
        <f>AVERAGE('26.10 Rushere-Lyantonde-24hr'!F63,'28.10 Rushere-Lyantonde-24h'!F63)</f>
        <v>1</v>
      </c>
      <c r="G63" s="49">
        <f>AVERAGE('26.10 Rushere-Lyantonde-24hr'!G63,'28.10 Rushere-Lyantonde-24h'!G63)</f>
        <v>0</v>
      </c>
      <c r="H63" s="49">
        <f>AVERAGE('26.10 Rushere-Lyantonde-24hr'!H63,'28.10 Rushere-Lyantonde-24h'!H63)</f>
        <v>0</v>
      </c>
      <c r="I63" s="49">
        <f>AVERAGE('26.10 Rushere-Lyantonde-24hr'!I63,'28.10 Rushere-Lyantonde-24h'!I63)</f>
        <v>0.5</v>
      </c>
      <c r="J63" s="49">
        <f>AVERAGE('26.10 Rushere-Lyantonde-24hr'!J63,'28.10 Rushere-Lyantonde-24h'!J63)</f>
        <v>0</v>
      </c>
      <c r="K63" s="49">
        <f>AVERAGE('26.10 Rushere-Lyantonde-24hr'!K63,'28.10 Rushere-Lyantonde-24h'!K63)</f>
        <v>0.5</v>
      </c>
      <c r="L63" s="49">
        <f>AVERAGE('26.10 Rushere-Lyantonde-24hr'!L63,'28.10 Rushere-Lyantonde-24h'!L63)</f>
        <v>0</v>
      </c>
      <c r="M63" s="49">
        <f>AVERAGE('26.10 Rushere-Lyantonde-24hr'!M63,'28.10 Rushere-Lyantonde-24h'!M63)</f>
        <v>1.5</v>
      </c>
      <c r="N63" s="49">
        <f>AVERAGE('26.10 Rushere-Lyantonde-24hr'!N63,'28.10 Rushere-Lyantonde-24h'!N63)</f>
        <v>0</v>
      </c>
      <c r="O63" s="15">
        <f t="shared" si="0"/>
        <v>6</v>
      </c>
      <c r="P63" s="15">
        <f t="shared" si="1"/>
        <v>7.5</v>
      </c>
      <c r="R63" s="8"/>
      <c r="T63"/>
    </row>
    <row r="64" spans="2:20" ht="23.1" customHeight="1" x14ac:dyDescent="0.25">
      <c r="B64" s="23" t="s">
        <v>109</v>
      </c>
      <c r="C64" s="49">
        <f>AVERAGE('26.10 Rushere-Lyantonde-24hr'!C64,'28.10 Rushere-Lyantonde-24h'!C64)</f>
        <v>4</v>
      </c>
      <c r="D64" s="49">
        <f>AVERAGE('26.10 Rushere-Lyantonde-24hr'!D64,'28.10 Rushere-Lyantonde-24h'!D64)</f>
        <v>1</v>
      </c>
      <c r="E64" s="49">
        <f>AVERAGE('26.10 Rushere-Lyantonde-24hr'!E64,'28.10 Rushere-Lyantonde-24h'!E64)</f>
        <v>0</v>
      </c>
      <c r="F64" s="49">
        <f>AVERAGE('26.10 Rushere-Lyantonde-24hr'!F64,'28.10 Rushere-Lyantonde-24h'!F64)</f>
        <v>1</v>
      </c>
      <c r="G64" s="49">
        <f>AVERAGE('26.10 Rushere-Lyantonde-24hr'!G64,'28.10 Rushere-Lyantonde-24h'!G64)</f>
        <v>0</v>
      </c>
      <c r="H64" s="49">
        <f>AVERAGE('26.10 Rushere-Lyantonde-24hr'!H64,'28.10 Rushere-Lyantonde-24h'!H64)</f>
        <v>0</v>
      </c>
      <c r="I64" s="49">
        <f>AVERAGE('26.10 Rushere-Lyantonde-24hr'!I64,'28.10 Rushere-Lyantonde-24h'!I64)</f>
        <v>0</v>
      </c>
      <c r="J64" s="49">
        <f>AVERAGE('26.10 Rushere-Lyantonde-24hr'!J64,'28.10 Rushere-Lyantonde-24h'!J64)</f>
        <v>0</v>
      </c>
      <c r="K64" s="49">
        <f>AVERAGE('26.10 Rushere-Lyantonde-24hr'!K64,'28.10 Rushere-Lyantonde-24h'!K64)</f>
        <v>0</v>
      </c>
      <c r="L64" s="49">
        <f>AVERAGE('26.10 Rushere-Lyantonde-24hr'!L64,'28.10 Rushere-Lyantonde-24h'!L64)</f>
        <v>1</v>
      </c>
      <c r="M64" s="49">
        <f>AVERAGE('26.10 Rushere-Lyantonde-24hr'!M64,'28.10 Rushere-Lyantonde-24h'!M64)</f>
        <v>1.5</v>
      </c>
      <c r="N64" s="49">
        <f>AVERAGE('26.10 Rushere-Lyantonde-24hr'!N64,'28.10 Rushere-Lyantonde-24h'!N64)</f>
        <v>0</v>
      </c>
      <c r="O64" s="15">
        <f t="shared" si="0"/>
        <v>7</v>
      </c>
      <c r="P64" s="15">
        <f t="shared" si="1"/>
        <v>8.5</v>
      </c>
      <c r="R64" s="8"/>
      <c r="T64"/>
    </row>
    <row r="65" spans="2:28" ht="23.1" customHeight="1" x14ac:dyDescent="0.25">
      <c r="B65" s="23" t="s">
        <v>158</v>
      </c>
      <c r="C65" s="49">
        <f>AVERAGE('26.10 Rushere-Lyantonde-24hr'!C65,'28.10 Rushere-Lyantonde-24h'!C65)</f>
        <v>7.5</v>
      </c>
      <c r="D65" s="49">
        <f>AVERAGE('26.10 Rushere-Lyantonde-24hr'!D65,'28.10 Rushere-Lyantonde-24h'!D65)</f>
        <v>1.5</v>
      </c>
      <c r="E65" s="49">
        <f>AVERAGE('26.10 Rushere-Lyantonde-24hr'!E65,'28.10 Rushere-Lyantonde-24h'!E65)</f>
        <v>1.5</v>
      </c>
      <c r="F65" s="49">
        <f>AVERAGE('26.10 Rushere-Lyantonde-24hr'!F65,'28.10 Rushere-Lyantonde-24h'!F65)</f>
        <v>0</v>
      </c>
      <c r="G65" s="49">
        <f>AVERAGE('26.10 Rushere-Lyantonde-24hr'!G65,'28.10 Rushere-Lyantonde-24h'!G65)</f>
        <v>0</v>
      </c>
      <c r="H65" s="49">
        <f>AVERAGE('26.10 Rushere-Lyantonde-24hr'!H65,'28.10 Rushere-Lyantonde-24h'!H65)</f>
        <v>0</v>
      </c>
      <c r="I65" s="49">
        <f>AVERAGE('26.10 Rushere-Lyantonde-24hr'!I65,'28.10 Rushere-Lyantonde-24h'!I65)</f>
        <v>0.5</v>
      </c>
      <c r="J65" s="49">
        <f>AVERAGE('26.10 Rushere-Lyantonde-24hr'!J65,'28.10 Rushere-Lyantonde-24h'!J65)</f>
        <v>1.5</v>
      </c>
      <c r="K65" s="49">
        <f>AVERAGE('26.10 Rushere-Lyantonde-24hr'!K65,'28.10 Rushere-Lyantonde-24h'!K65)</f>
        <v>0.5</v>
      </c>
      <c r="L65" s="49">
        <f>AVERAGE('26.10 Rushere-Lyantonde-24hr'!L65,'28.10 Rushere-Lyantonde-24h'!L65)</f>
        <v>0.5</v>
      </c>
      <c r="M65" s="49">
        <f>AVERAGE('26.10 Rushere-Lyantonde-24hr'!M65,'28.10 Rushere-Lyantonde-24h'!M65)</f>
        <v>3</v>
      </c>
      <c r="N65" s="49">
        <f>AVERAGE('26.10 Rushere-Lyantonde-24hr'!N65,'28.10 Rushere-Lyantonde-24h'!N65)</f>
        <v>0</v>
      </c>
      <c r="O65" s="15">
        <f t="shared" si="0"/>
        <v>13.5</v>
      </c>
      <c r="P65" s="15">
        <f t="shared" si="1"/>
        <v>16.5</v>
      </c>
      <c r="R65" s="8"/>
      <c r="T65"/>
    </row>
    <row r="66" spans="2:28" ht="23.1" customHeight="1" x14ac:dyDescent="0.25">
      <c r="B66" s="23" t="s">
        <v>103</v>
      </c>
      <c r="C66" s="49">
        <f>AVERAGE('26.10 Rushere-Lyantonde-24hr'!C66,'28.10 Rushere-Lyantonde-24h'!C66)</f>
        <v>4.5</v>
      </c>
      <c r="D66" s="49">
        <f>AVERAGE('26.10 Rushere-Lyantonde-24hr'!D66,'28.10 Rushere-Lyantonde-24h'!D66)</f>
        <v>0.5</v>
      </c>
      <c r="E66" s="49">
        <f>AVERAGE('26.10 Rushere-Lyantonde-24hr'!E66,'28.10 Rushere-Lyantonde-24h'!E66)</f>
        <v>1</v>
      </c>
      <c r="F66" s="49">
        <f>AVERAGE('26.10 Rushere-Lyantonde-24hr'!F66,'28.10 Rushere-Lyantonde-24h'!F66)</f>
        <v>0.5</v>
      </c>
      <c r="G66" s="49">
        <f>AVERAGE('26.10 Rushere-Lyantonde-24hr'!G66,'28.10 Rushere-Lyantonde-24h'!G66)</f>
        <v>0.5</v>
      </c>
      <c r="H66" s="49">
        <f>AVERAGE('26.10 Rushere-Lyantonde-24hr'!H66,'28.10 Rushere-Lyantonde-24h'!H66)</f>
        <v>0</v>
      </c>
      <c r="I66" s="49">
        <f>AVERAGE('26.10 Rushere-Lyantonde-24hr'!I66,'28.10 Rushere-Lyantonde-24h'!I66)</f>
        <v>1</v>
      </c>
      <c r="J66" s="49">
        <f>AVERAGE('26.10 Rushere-Lyantonde-24hr'!J66,'28.10 Rushere-Lyantonde-24h'!J66)</f>
        <v>1</v>
      </c>
      <c r="K66" s="49">
        <f>AVERAGE('26.10 Rushere-Lyantonde-24hr'!K66,'28.10 Rushere-Lyantonde-24h'!K66)</f>
        <v>1</v>
      </c>
      <c r="L66" s="49">
        <f>AVERAGE('26.10 Rushere-Lyantonde-24hr'!L66,'28.10 Rushere-Lyantonde-24h'!L66)</f>
        <v>0</v>
      </c>
      <c r="M66" s="49">
        <f>AVERAGE('26.10 Rushere-Lyantonde-24hr'!M66,'28.10 Rushere-Lyantonde-24h'!M66)</f>
        <v>0</v>
      </c>
      <c r="N66" s="49">
        <f>AVERAGE('26.10 Rushere-Lyantonde-24hr'!N66,'28.10 Rushere-Lyantonde-24h'!N66)</f>
        <v>0</v>
      </c>
      <c r="O66" s="15">
        <f t="shared" si="0"/>
        <v>10</v>
      </c>
      <c r="P66" s="15">
        <f t="shared" si="1"/>
        <v>10</v>
      </c>
      <c r="R66" s="8"/>
      <c r="T66"/>
    </row>
    <row r="67" spans="2:28" ht="23.1" customHeight="1" x14ac:dyDescent="0.25">
      <c r="B67" s="23" t="s">
        <v>104</v>
      </c>
      <c r="C67" s="49">
        <f>AVERAGE('26.10 Rushere-Lyantonde-24hr'!C67,'28.10 Rushere-Lyantonde-24h'!C67)</f>
        <v>2.5</v>
      </c>
      <c r="D67" s="49">
        <f>AVERAGE('26.10 Rushere-Lyantonde-24hr'!D67,'28.10 Rushere-Lyantonde-24h'!D67)</f>
        <v>1.5</v>
      </c>
      <c r="E67" s="49">
        <f>AVERAGE('26.10 Rushere-Lyantonde-24hr'!E67,'28.10 Rushere-Lyantonde-24h'!E67)</f>
        <v>1.5</v>
      </c>
      <c r="F67" s="49">
        <f>AVERAGE('26.10 Rushere-Lyantonde-24hr'!F67,'28.10 Rushere-Lyantonde-24h'!F67)</f>
        <v>0</v>
      </c>
      <c r="G67" s="49">
        <f>AVERAGE('26.10 Rushere-Lyantonde-24hr'!G67,'28.10 Rushere-Lyantonde-24h'!G67)</f>
        <v>0</v>
      </c>
      <c r="H67" s="49">
        <f>AVERAGE('26.10 Rushere-Lyantonde-24hr'!H67,'28.10 Rushere-Lyantonde-24h'!H67)</f>
        <v>1</v>
      </c>
      <c r="I67" s="49">
        <f>AVERAGE('26.10 Rushere-Lyantonde-24hr'!I67,'28.10 Rushere-Lyantonde-24h'!I67)</f>
        <v>2</v>
      </c>
      <c r="J67" s="49">
        <f>AVERAGE('26.10 Rushere-Lyantonde-24hr'!J67,'28.10 Rushere-Lyantonde-24h'!J67)</f>
        <v>1.5</v>
      </c>
      <c r="K67" s="49">
        <f>AVERAGE('26.10 Rushere-Lyantonde-24hr'!K67,'28.10 Rushere-Lyantonde-24h'!K67)</f>
        <v>0</v>
      </c>
      <c r="L67" s="49">
        <f>AVERAGE('26.10 Rushere-Lyantonde-24hr'!L67,'28.10 Rushere-Lyantonde-24h'!L67)</f>
        <v>0</v>
      </c>
      <c r="M67" s="49">
        <f>AVERAGE('26.10 Rushere-Lyantonde-24hr'!M67,'28.10 Rushere-Lyantonde-24h'!M67)</f>
        <v>0</v>
      </c>
      <c r="N67" s="49">
        <f>AVERAGE('26.10 Rushere-Lyantonde-24hr'!N67,'28.10 Rushere-Lyantonde-24h'!N67)</f>
        <v>0</v>
      </c>
      <c r="O67" s="15">
        <f t="shared" si="0"/>
        <v>10</v>
      </c>
      <c r="P67" s="15">
        <f t="shared" si="1"/>
        <v>10</v>
      </c>
      <c r="R67" s="8"/>
      <c r="T67"/>
    </row>
    <row r="68" spans="2:28" ht="23.1" customHeight="1" x14ac:dyDescent="0.25">
      <c r="B68" s="23" t="s">
        <v>105</v>
      </c>
      <c r="C68" s="49">
        <f>AVERAGE('26.10 Rushere-Lyantonde-24hr'!C68,'28.10 Rushere-Lyantonde-24h'!C68)</f>
        <v>2</v>
      </c>
      <c r="D68" s="49">
        <f>AVERAGE('26.10 Rushere-Lyantonde-24hr'!D68,'28.10 Rushere-Lyantonde-24h'!D68)</f>
        <v>0</v>
      </c>
      <c r="E68" s="49">
        <f>AVERAGE('26.10 Rushere-Lyantonde-24hr'!E68,'28.10 Rushere-Lyantonde-24h'!E68)</f>
        <v>0</v>
      </c>
      <c r="F68" s="49">
        <f>AVERAGE('26.10 Rushere-Lyantonde-24hr'!F68,'28.10 Rushere-Lyantonde-24h'!F68)</f>
        <v>0</v>
      </c>
      <c r="G68" s="49">
        <f>AVERAGE('26.10 Rushere-Lyantonde-24hr'!G68,'28.10 Rushere-Lyantonde-24h'!G68)</f>
        <v>1</v>
      </c>
      <c r="H68" s="49">
        <f>AVERAGE('26.10 Rushere-Lyantonde-24hr'!H68,'28.10 Rushere-Lyantonde-24h'!H68)</f>
        <v>0</v>
      </c>
      <c r="I68" s="49">
        <f>AVERAGE('26.10 Rushere-Lyantonde-24hr'!I68,'28.10 Rushere-Lyantonde-24h'!I68)</f>
        <v>2</v>
      </c>
      <c r="J68" s="49">
        <f>AVERAGE('26.10 Rushere-Lyantonde-24hr'!J68,'28.10 Rushere-Lyantonde-24h'!J68)</f>
        <v>1</v>
      </c>
      <c r="K68" s="49">
        <f>AVERAGE('26.10 Rushere-Lyantonde-24hr'!K68,'28.10 Rushere-Lyantonde-24h'!K68)</f>
        <v>0</v>
      </c>
      <c r="L68" s="49">
        <f>AVERAGE('26.10 Rushere-Lyantonde-24hr'!L68,'28.10 Rushere-Lyantonde-24h'!L68)</f>
        <v>0</v>
      </c>
      <c r="M68" s="49">
        <f>AVERAGE('26.10 Rushere-Lyantonde-24hr'!M68,'28.10 Rushere-Lyantonde-24h'!M68)</f>
        <v>0</v>
      </c>
      <c r="N68" s="49">
        <f>AVERAGE('26.10 Rushere-Lyantonde-24hr'!N68,'28.10 Rushere-Lyantonde-24h'!N68)</f>
        <v>0</v>
      </c>
      <c r="O68" s="15">
        <f t="shared" si="0"/>
        <v>6</v>
      </c>
      <c r="P68" s="15">
        <f t="shared" si="1"/>
        <v>6</v>
      </c>
      <c r="R68" s="8"/>
      <c r="T68"/>
    </row>
    <row r="69" spans="2:28" ht="23.1" customHeight="1" x14ac:dyDescent="0.25">
      <c r="B69" s="23" t="s">
        <v>106</v>
      </c>
      <c r="C69" s="49">
        <f>AVERAGE('26.10 Rushere-Lyantonde-24hr'!C69,'28.10 Rushere-Lyantonde-24h'!C69)</f>
        <v>3.5</v>
      </c>
      <c r="D69" s="49">
        <f>AVERAGE('26.10 Rushere-Lyantonde-24hr'!D69,'28.10 Rushere-Lyantonde-24h'!D69)</f>
        <v>2</v>
      </c>
      <c r="E69" s="49">
        <f>AVERAGE('26.10 Rushere-Lyantonde-24hr'!E69,'28.10 Rushere-Lyantonde-24h'!E69)</f>
        <v>1</v>
      </c>
      <c r="F69" s="49">
        <f>AVERAGE('26.10 Rushere-Lyantonde-24hr'!F69,'28.10 Rushere-Lyantonde-24h'!F69)</f>
        <v>0</v>
      </c>
      <c r="G69" s="49">
        <f>AVERAGE('26.10 Rushere-Lyantonde-24hr'!G69,'28.10 Rushere-Lyantonde-24h'!G69)</f>
        <v>0</v>
      </c>
      <c r="H69" s="49">
        <f>AVERAGE('26.10 Rushere-Lyantonde-24hr'!H69,'28.10 Rushere-Lyantonde-24h'!H69)</f>
        <v>0</v>
      </c>
      <c r="I69" s="49">
        <f>AVERAGE('26.10 Rushere-Lyantonde-24hr'!I69,'28.10 Rushere-Lyantonde-24h'!I69)</f>
        <v>1</v>
      </c>
      <c r="J69" s="49">
        <f>AVERAGE('26.10 Rushere-Lyantonde-24hr'!J69,'28.10 Rushere-Lyantonde-24h'!J69)</f>
        <v>0</v>
      </c>
      <c r="K69" s="49">
        <f>AVERAGE('26.10 Rushere-Lyantonde-24hr'!K69,'28.10 Rushere-Lyantonde-24h'!K69)</f>
        <v>0</v>
      </c>
      <c r="L69" s="49">
        <f>AVERAGE('26.10 Rushere-Lyantonde-24hr'!L69,'28.10 Rushere-Lyantonde-24h'!L69)</f>
        <v>0</v>
      </c>
      <c r="M69" s="49">
        <f>AVERAGE('26.10 Rushere-Lyantonde-24hr'!M69,'28.10 Rushere-Lyantonde-24h'!M69)</f>
        <v>0</v>
      </c>
      <c r="N69" s="49">
        <f>AVERAGE('26.10 Rushere-Lyantonde-24hr'!N69,'28.10 Rushere-Lyantonde-24h'!N69)</f>
        <v>0</v>
      </c>
      <c r="O69" s="15">
        <f t="shared" si="0"/>
        <v>7.5</v>
      </c>
      <c r="P69" s="15">
        <f t="shared" si="1"/>
        <v>7.5</v>
      </c>
      <c r="R69" s="8"/>
      <c r="T69"/>
    </row>
    <row r="70" spans="2:28" ht="23.1" customHeight="1" x14ac:dyDescent="0.25">
      <c r="B70" s="23" t="s">
        <v>110</v>
      </c>
      <c r="C70" s="49">
        <f>AVERAGE('26.10 Rushere-Lyantonde-24hr'!C70,'28.10 Rushere-Lyantonde-24h'!C70)</f>
        <v>1.5</v>
      </c>
      <c r="D70" s="49">
        <f>AVERAGE('26.10 Rushere-Lyantonde-24hr'!D70,'28.10 Rushere-Lyantonde-24h'!D70)</f>
        <v>0.5</v>
      </c>
      <c r="E70" s="49">
        <f>AVERAGE('26.10 Rushere-Lyantonde-24hr'!E70,'28.10 Rushere-Lyantonde-24h'!E70)</f>
        <v>1</v>
      </c>
      <c r="F70" s="49">
        <f>AVERAGE('26.10 Rushere-Lyantonde-24hr'!F70,'28.10 Rushere-Lyantonde-24h'!F70)</f>
        <v>0</v>
      </c>
      <c r="G70" s="49">
        <f>AVERAGE('26.10 Rushere-Lyantonde-24hr'!G70,'28.10 Rushere-Lyantonde-24h'!G70)</f>
        <v>0</v>
      </c>
      <c r="H70" s="49">
        <f>AVERAGE('26.10 Rushere-Lyantonde-24hr'!H70,'28.10 Rushere-Lyantonde-24h'!H70)</f>
        <v>0</v>
      </c>
      <c r="I70" s="49">
        <f>AVERAGE('26.10 Rushere-Lyantonde-24hr'!I70,'28.10 Rushere-Lyantonde-24h'!I70)</f>
        <v>1.5</v>
      </c>
      <c r="J70" s="49">
        <f>AVERAGE('26.10 Rushere-Lyantonde-24hr'!J70,'28.10 Rushere-Lyantonde-24h'!J70)</f>
        <v>1.5</v>
      </c>
      <c r="K70" s="49">
        <f>AVERAGE('26.10 Rushere-Lyantonde-24hr'!K70,'28.10 Rushere-Lyantonde-24h'!K70)</f>
        <v>0</v>
      </c>
      <c r="L70" s="49">
        <f>AVERAGE('26.10 Rushere-Lyantonde-24hr'!L70,'28.10 Rushere-Lyantonde-24h'!L70)</f>
        <v>0</v>
      </c>
      <c r="M70" s="49">
        <f>AVERAGE('26.10 Rushere-Lyantonde-24hr'!M70,'28.10 Rushere-Lyantonde-24h'!M70)</f>
        <v>0</v>
      </c>
      <c r="N70" s="49">
        <f>AVERAGE('26.10 Rushere-Lyantonde-24hr'!N70,'28.10 Rushere-Lyantonde-24h'!N70)</f>
        <v>0</v>
      </c>
      <c r="O70" s="15">
        <f t="shared" si="0"/>
        <v>6</v>
      </c>
      <c r="P70" s="15">
        <f t="shared" si="1"/>
        <v>6</v>
      </c>
      <c r="R70" s="8"/>
      <c r="T70"/>
    </row>
    <row r="71" spans="2:28" ht="23.1" customHeight="1" x14ac:dyDescent="0.25">
      <c r="B71" s="23" t="s">
        <v>111</v>
      </c>
      <c r="C71" s="49">
        <f>AVERAGE('26.10 Rushere-Lyantonde-24hr'!C71,'28.10 Rushere-Lyantonde-24h'!C71)</f>
        <v>1</v>
      </c>
      <c r="D71" s="49">
        <f>AVERAGE('26.10 Rushere-Lyantonde-24hr'!D71,'28.10 Rushere-Lyantonde-24h'!D71)</f>
        <v>0.5</v>
      </c>
      <c r="E71" s="49">
        <f>AVERAGE('26.10 Rushere-Lyantonde-24hr'!E71,'28.10 Rushere-Lyantonde-24h'!E71)</f>
        <v>2</v>
      </c>
      <c r="F71" s="49">
        <f>AVERAGE('26.10 Rushere-Lyantonde-24hr'!F71,'28.10 Rushere-Lyantonde-24h'!F71)</f>
        <v>0</v>
      </c>
      <c r="G71" s="49">
        <f>AVERAGE('26.10 Rushere-Lyantonde-24hr'!G71,'28.10 Rushere-Lyantonde-24h'!G71)</f>
        <v>0</v>
      </c>
      <c r="H71" s="49">
        <f>AVERAGE('26.10 Rushere-Lyantonde-24hr'!H71,'28.10 Rushere-Lyantonde-24h'!H71)</f>
        <v>0</v>
      </c>
      <c r="I71" s="49">
        <f>AVERAGE('26.10 Rushere-Lyantonde-24hr'!I71,'28.10 Rushere-Lyantonde-24h'!I71)</f>
        <v>0</v>
      </c>
      <c r="J71" s="49">
        <f>AVERAGE('26.10 Rushere-Lyantonde-24hr'!J71,'28.10 Rushere-Lyantonde-24h'!J71)</f>
        <v>2</v>
      </c>
      <c r="K71" s="49">
        <f>AVERAGE('26.10 Rushere-Lyantonde-24hr'!K71,'28.10 Rushere-Lyantonde-24h'!K71)</f>
        <v>0</v>
      </c>
      <c r="L71" s="49">
        <f>AVERAGE('26.10 Rushere-Lyantonde-24hr'!L71,'28.10 Rushere-Lyantonde-24h'!L71)</f>
        <v>0</v>
      </c>
      <c r="M71" s="49">
        <f>AVERAGE('26.10 Rushere-Lyantonde-24hr'!M71,'28.10 Rushere-Lyantonde-24h'!M71)</f>
        <v>0</v>
      </c>
      <c r="N71" s="49">
        <f>AVERAGE('26.10 Rushere-Lyantonde-24hr'!N71,'28.10 Rushere-Lyantonde-24h'!N71)</f>
        <v>0</v>
      </c>
      <c r="O71" s="15">
        <f t="shared" si="0"/>
        <v>5.5</v>
      </c>
      <c r="P71" s="15">
        <f t="shared" si="1"/>
        <v>5.5</v>
      </c>
      <c r="R71" s="8"/>
      <c r="T71"/>
    </row>
    <row r="72" spans="2:28" ht="23.1" customHeight="1" x14ac:dyDescent="0.25">
      <c r="B72" s="23" t="s">
        <v>112</v>
      </c>
      <c r="C72" s="49">
        <f>AVERAGE('26.10 Rushere-Lyantonde-24hr'!C72,'28.10 Rushere-Lyantonde-24h'!C72)</f>
        <v>1</v>
      </c>
      <c r="D72" s="49">
        <f>AVERAGE('26.10 Rushere-Lyantonde-24hr'!D72,'28.10 Rushere-Lyantonde-24h'!D72)</f>
        <v>2</v>
      </c>
      <c r="E72" s="49">
        <f>AVERAGE('26.10 Rushere-Lyantonde-24hr'!E72,'28.10 Rushere-Lyantonde-24h'!E72)</f>
        <v>1</v>
      </c>
      <c r="F72" s="49">
        <f>AVERAGE('26.10 Rushere-Lyantonde-24hr'!F72,'28.10 Rushere-Lyantonde-24h'!F72)</f>
        <v>0</v>
      </c>
      <c r="G72" s="49">
        <f>AVERAGE('26.10 Rushere-Lyantonde-24hr'!G72,'28.10 Rushere-Lyantonde-24h'!G72)</f>
        <v>0</v>
      </c>
      <c r="H72" s="49">
        <f>AVERAGE('26.10 Rushere-Lyantonde-24hr'!H72,'28.10 Rushere-Lyantonde-24h'!H72)</f>
        <v>0</v>
      </c>
      <c r="I72" s="49">
        <f>AVERAGE('26.10 Rushere-Lyantonde-24hr'!I72,'28.10 Rushere-Lyantonde-24h'!I72)</f>
        <v>0</v>
      </c>
      <c r="J72" s="49">
        <f>AVERAGE('26.10 Rushere-Lyantonde-24hr'!J72,'28.10 Rushere-Lyantonde-24h'!J72)</f>
        <v>1.5</v>
      </c>
      <c r="K72" s="49">
        <f>AVERAGE('26.10 Rushere-Lyantonde-24hr'!K72,'28.10 Rushere-Lyantonde-24h'!K72)</f>
        <v>0</v>
      </c>
      <c r="L72" s="49">
        <f>AVERAGE('26.10 Rushere-Lyantonde-24hr'!L72,'28.10 Rushere-Lyantonde-24h'!L72)</f>
        <v>1</v>
      </c>
      <c r="M72" s="49">
        <f>AVERAGE('26.10 Rushere-Lyantonde-24hr'!M72,'28.10 Rushere-Lyantonde-24h'!M72)</f>
        <v>0</v>
      </c>
      <c r="N72" s="49">
        <f>AVERAGE('26.10 Rushere-Lyantonde-24hr'!N72,'28.10 Rushere-Lyantonde-24h'!N72)</f>
        <v>0</v>
      </c>
      <c r="O72" s="15">
        <f t="shared" si="0"/>
        <v>6.5</v>
      </c>
      <c r="P72" s="15">
        <f t="shared" si="1"/>
        <v>6.5</v>
      </c>
      <c r="R72" s="8"/>
      <c r="T72"/>
    </row>
    <row r="73" spans="2:28" ht="23.1" customHeight="1" x14ac:dyDescent="0.25">
      <c r="B73" s="23" t="s">
        <v>113</v>
      </c>
      <c r="C73" s="49">
        <f>AVERAGE('26.10 Rushere-Lyantonde-24hr'!C73,'28.10 Rushere-Lyantonde-24h'!C73)</f>
        <v>1.5</v>
      </c>
      <c r="D73" s="49">
        <f>AVERAGE('26.10 Rushere-Lyantonde-24hr'!D73,'28.10 Rushere-Lyantonde-24h'!D73)</f>
        <v>1</v>
      </c>
      <c r="E73" s="49">
        <f>AVERAGE('26.10 Rushere-Lyantonde-24hr'!E73,'28.10 Rushere-Lyantonde-24h'!E73)</f>
        <v>0</v>
      </c>
      <c r="F73" s="49">
        <f>AVERAGE('26.10 Rushere-Lyantonde-24hr'!F73,'28.10 Rushere-Lyantonde-24h'!F73)</f>
        <v>0</v>
      </c>
      <c r="G73" s="49">
        <f>AVERAGE('26.10 Rushere-Lyantonde-24hr'!G73,'28.10 Rushere-Lyantonde-24h'!G73)</f>
        <v>0</v>
      </c>
      <c r="H73" s="49">
        <f>AVERAGE('26.10 Rushere-Lyantonde-24hr'!H73,'28.10 Rushere-Lyantonde-24h'!H73)</f>
        <v>0</v>
      </c>
      <c r="I73" s="49">
        <f>AVERAGE('26.10 Rushere-Lyantonde-24hr'!I73,'28.10 Rushere-Lyantonde-24h'!I73)</f>
        <v>0.5</v>
      </c>
      <c r="J73" s="49">
        <f>AVERAGE('26.10 Rushere-Lyantonde-24hr'!J73,'28.10 Rushere-Lyantonde-24h'!J73)</f>
        <v>0</v>
      </c>
      <c r="K73" s="49">
        <f>AVERAGE('26.10 Rushere-Lyantonde-24hr'!K73,'28.10 Rushere-Lyantonde-24h'!K73)</f>
        <v>0.5</v>
      </c>
      <c r="L73" s="49">
        <f>AVERAGE('26.10 Rushere-Lyantonde-24hr'!L73,'28.10 Rushere-Lyantonde-24h'!L73)</f>
        <v>0</v>
      </c>
      <c r="M73" s="49">
        <f>AVERAGE('26.10 Rushere-Lyantonde-24hr'!M73,'28.10 Rushere-Lyantonde-24h'!M73)</f>
        <v>0</v>
      </c>
      <c r="N73" s="49">
        <f>AVERAGE('26.10 Rushere-Lyantonde-24hr'!N73,'28.10 Rushere-Lyantonde-24h'!N73)</f>
        <v>0</v>
      </c>
      <c r="O73" s="15">
        <f t="shared" si="0"/>
        <v>3.5</v>
      </c>
      <c r="P73" s="15">
        <f t="shared" si="1"/>
        <v>3.5</v>
      </c>
      <c r="R73" s="8"/>
      <c r="T73"/>
    </row>
    <row r="74" spans="2:28" ht="23.1" customHeight="1" x14ac:dyDescent="0.25">
      <c r="B74" s="23" t="s">
        <v>114</v>
      </c>
      <c r="C74" s="49">
        <f>AVERAGE('26.10 Rushere-Lyantonde-24hr'!C74,'28.10 Rushere-Lyantonde-24h'!C74)</f>
        <v>1</v>
      </c>
      <c r="D74" s="49">
        <f>AVERAGE('26.10 Rushere-Lyantonde-24hr'!D74,'28.10 Rushere-Lyantonde-24h'!D74)</f>
        <v>1</v>
      </c>
      <c r="E74" s="49">
        <f>AVERAGE('26.10 Rushere-Lyantonde-24hr'!E74,'28.10 Rushere-Lyantonde-24h'!E74)</f>
        <v>0</v>
      </c>
      <c r="F74" s="49">
        <f>AVERAGE('26.10 Rushere-Lyantonde-24hr'!F74,'28.10 Rushere-Lyantonde-24h'!F74)</f>
        <v>0</v>
      </c>
      <c r="G74" s="49">
        <f>AVERAGE('26.10 Rushere-Lyantonde-24hr'!G74,'28.10 Rushere-Lyantonde-24h'!G74)</f>
        <v>0</v>
      </c>
      <c r="H74" s="49">
        <f>AVERAGE('26.10 Rushere-Lyantonde-24hr'!H74,'28.10 Rushere-Lyantonde-24h'!H74)</f>
        <v>0</v>
      </c>
      <c r="I74" s="49">
        <f>AVERAGE('26.10 Rushere-Lyantonde-24hr'!I74,'28.10 Rushere-Lyantonde-24h'!I74)</f>
        <v>1.5</v>
      </c>
      <c r="J74" s="49">
        <f>AVERAGE('26.10 Rushere-Lyantonde-24hr'!J74,'28.10 Rushere-Lyantonde-24h'!J74)</f>
        <v>1</v>
      </c>
      <c r="K74" s="49">
        <f>AVERAGE('26.10 Rushere-Lyantonde-24hr'!K74,'28.10 Rushere-Lyantonde-24h'!K74)</f>
        <v>0</v>
      </c>
      <c r="L74" s="49">
        <f>AVERAGE('26.10 Rushere-Lyantonde-24hr'!L74,'28.10 Rushere-Lyantonde-24h'!L74)</f>
        <v>0</v>
      </c>
      <c r="M74" s="49">
        <f>AVERAGE('26.10 Rushere-Lyantonde-24hr'!M74,'28.10 Rushere-Lyantonde-24h'!M74)</f>
        <v>0</v>
      </c>
      <c r="N74" s="49">
        <f>AVERAGE('26.10 Rushere-Lyantonde-24hr'!N74,'28.10 Rushere-Lyantonde-24h'!N74)</f>
        <v>0</v>
      </c>
      <c r="O74" s="15">
        <f t="shared" ref="O74:O105" si="35">SUM(C74:L74,N74)</f>
        <v>4.5</v>
      </c>
      <c r="P74" s="15">
        <f t="shared" ref="P74:P105" si="36">SUM(C74:N74)</f>
        <v>4.5</v>
      </c>
      <c r="R74" s="8"/>
      <c r="T74"/>
    </row>
    <row r="75" spans="2:28" ht="23.1" customHeight="1" x14ac:dyDescent="0.25">
      <c r="B75" s="23" t="s">
        <v>115</v>
      </c>
      <c r="C75" s="49">
        <f>AVERAGE('26.10 Rushere-Lyantonde-24hr'!C75,'28.10 Rushere-Lyantonde-24h'!C75)</f>
        <v>1.5</v>
      </c>
      <c r="D75" s="49">
        <f>AVERAGE('26.10 Rushere-Lyantonde-24hr'!D75,'28.10 Rushere-Lyantonde-24h'!D75)</f>
        <v>0</v>
      </c>
      <c r="E75" s="49">
        <f>AVERAGE('26.10 Rushere-Lyantonde-24hr'!E75,'28.10 Rushere-Lyantonde-24h'!E75)</f>
        <v>0</v>
      </c>
      <c r="F75" s="49">
        <f>AVERAGE('26.10 Rushere-Lyantonde-24hr'!F75,'28.10 Rushere-Lyantonde-24h'!F75)</f>
        <v>0</v>
      </c>
      <c r="G75" s="49">
        <f>AVERAGE('26.10 Rushere-Lyantonde-24hr'!G75,'28.10 Rushere-Lyantonde-24h'!G75)</f>
        <v>0</v>
      </c>
      <c r="H75" s="49">
        <f>AVERAGE('26.10 Rushere-Lyantonde-24hr'!H75,'28.10 Rushere-Lyantonde-24h'!H75)</f>
        <v>0</v>
      </c>
      <c r="I75" s="49">
        <f>AVERAGE('26.10 Rushere-Lyantonde-24hr'!I75,'28.10 Rushere-Lyantonde-24h'!I75)</f>
        <v>0</v>
      </c>
      <c r="J75" s="49">
        <f>AVERAGE('26.10 Rushere-Lyantonde-24hr'!J75,'28.10 Rushere-Lyantonde-24h'!J75)</f>
        <v>1</v>
      </c>
      <c r="K75" s="49">
        <f>AVERAGE('26.10 Rushere-Lyantonde-24hr'!K75,'28.10 Rushere-Lyantonde-24h'!K75)</f>
        <v>0</v>
      </c>
      <c r="L75" s="49">
        <f>AVERAGE('26.10 Rushere-Lyantonde-24hr'!L75,'28.10 Rushere-Lyantonde-24h'!L75)</f>
        <v>0</v>
      </c>
      <c r="M75" s="49">
        <f>AVERAGE('26.10 Rushere-Lyantonde-24hr'!M75,'28.10 Rushere-Lyantonde-24h'!M75)</f>
        <v>0</v>
      </c>
      <c r="N75" s="49">
        <f>AVERAGE('26.10 Rushere-Lyantonde-24hr'!N75,'28.10 Rushere-Lyantonde-24h'!N75)</f>
        <v>0</v>
      </c>
      <c r="O75" s="15">
        <f t="shared" si="35"/>
        <v>2.5</v>
      </c>
      <c r="P75" s="15">
        <f t="shared" si="36"/>
        <v>2.5</v>
      </c>
      <c r="R75" s="8"/>
      <c r="T75"/>
    </row>
    <row r="76" spans="2:28" ht="23.1" customHeight="1" x14ac:dyDescent="0.25">
      <c r="B76" s="23" t="s">
        <v>116</v>
      </c>
      <c r="C76" s="49">
        <f>AVERAGE('26.10 Rushere-Lyantonde-24hr'!C76,'28.10 Rushere-Lyantonde-24h'!C76)</f>
        <v>0</v>
      </c>
      <c r="D76" s="49">
        <f>AVERAGE('26.10 Rushere-Lyantonde-24hr'!D76,'28.10 Rushere-Lyantonde-24h'!D76)</f>
        <v>2</v>
      </c>
      <c r="E76" s="49">
        <f>AVERAGE('26.10 Rushere-Lyantonde-24hr'!E76,'28.10 Rushere-Lyantonde-24h'!E76)</f>
        <v>1.5</v>
      </c>
      <c r="F76" s="49">
        <f>AVERAGE('26.10 Rushere-Lyantonde-24hr'!F76,'28.10 Rushere-Lyantonde-24h'!F76)</f>
        <v>0</v>
      </c>
      <c r="G76" s="49">
        <f>AVERAGE('26.10 Rushere-Lyantonde-24hr'!G76,'28.10 Rushere-Lyantonde-24h'!G76)</f>
        <v>0</v>
      </c>
      <c r="H76" s="49">
        <f>AVERAGE('26.10 Rushere-Lyantonde-24hr'!H76,'28.10 Rushere-Lyantonde-24h'!H76)</f>
        <v>0</v>
      </c>
      <c r="I76" s="49">
        <f>AVERAGE('26.10 Rushere-Lyantonde-24hr'!I76,'28.10 Rushere-Lyantonde-24h'!I76)</f>
        <v>1</v>
      </c>
      <c r="J76" s="49">
        <f>AVERAGE('26.10 Rushere-Lyantonde-24hr'!J76,'28.10 Rushere-Lyantonde-24h'!J76)</f>
        <v>0.5</v>
      </c>
      <c r="K76" s="49">
        <f>AVERAGE('26.10 Rushere-Lyantonde-24hr'!K76,'28.10 Rushere-Lyantonde-24h'!K76)</f>
        <v>0.5</v>
      </c>
      <c r="L76" s="49">
        <f>AVERAGE('26.10 Rushere-Lyantonde-24hr'!L76,'28.10 Rushere-Lyantonde-24h'!L76)</f>
        <v>0.5</v>
      </c>
      <c r="M76" s="49">
        <f>AVERAGE('26.10 Rushere-Lyantonde-24hr'!M76,'28.10 Rushere-Lyantonde-24h'!M76)</f>
        <v>0</v>
      </c>
      <c r="N76" s="49">
        <f>AVERAGE('26.10 Rushere-Lyantonde-24hr'!N76,'28.10 Rushere-Lyantonde-24h'!N76)</f>
        <v>0</v>
      </c>
      <c r="O76" s="15">
        <f t="shared" si="35"/>
        <v>6</v>
      </c>
      <c r="P76" s="15">
        <f t="shared" si="36"/>
        <v>6</v>
      </c>
      <c r="R76" s="8"/>
      <c r="T76"/>
    </row>
    <row r="77" spans="2:28" ht="23.1" customHeight="1" x14ac:dyDescent="0.25">
      <c r="B77" s="23" t="s">
        <v>117</v>
      </c>
      <c r="C77" s="49">
        <f>AVERAGE('26.10 Rushere-Lyantonde-24hr'!C77,'28.10 Rushere-Lyantonde-24h'!C77)</f>
        <v>3</v>
      </c>
      <c r="D77" s="49">
        <f>AVERAGE('26.10 Rushere-Lyantonde-24hr'!D77,'28.10 Rushere-Lyantonde-24h'!D77)</f>
        <v>0</v>
      </c>
      <c r="E77" s="49">
        <f>AVERAGE('26.10 Rushere-Lyantonde-24hr'!E77,'28.10 Rushere-Lyantonde-24h'!E77)</f>
        <v>0</v>
      </c>
      <c r="F77" s="49">
        <f>AVERAGE('26.10 Rushere-Lyantonde-24hr'!F77,'28.10 Rushere-Lyantonde-24h'!F77)</f>
        <v>0</v>
      </c>
      <c r="G77" s="49">
        <f>AVERAGE('26.10 Rushere-Lyantonde-24hr'!G77,'28.10 Rushere-Lyantonde-24h'!G77)</f>
        <v>0</v>
      </c>
      <c r="H77" s="49">
        <f>AVERAGE('26.10 Rushere-Lyantonde-24hr'!H77,'28.10 Rushere-Lyantonde-24h'!H77)</f>
        <v>0</v>
      </c>
      <c r="I77" s="49">
        <f>AVERAGE('26.10 Rushere-Lyantonde-24hr'!I77,'28.10 Rushere-Lyantonde-24h'!I77)</f>
        <v>0</v>
      </c>
      <c r="J77" s="49">
        <f>AVERAGE('26.10 Rushere-Lyantonde-24hr'!J77,'28.10 Rushere-Lyantonde-24h'!J77)</f>
        <v>2</v>
      </c>
      <c r="K77" s="49">
        <f>AVERAGE('26.10 Rushere-Lyantonde-24hr'!K77,'28.10 Rushere-Lyantonde-24h'!K77)</f>
        <v>1</v>
      </c>
      <c r="L77" s="49">
        <f>AVERAGE('26.10 Rushere-Lyantonde-24hr'!L77,'28.10 Rushere-Lyantonde-24h'!L77)</f>
        <v>0</v>
      </c>
      <c r="M77" s="49">
        <f>AVERAGE('26.10 Rushere-Lyantonde-24hr'!M77,'28.10 Rushere-Lyantonde-24h'!M77)</f>
        <v>0</v>
      </c>
      <c r="N77" s="49">
        <f>AVERAGE('26.10 Rushere-Lyantonde-24hr'!N77,'28.10 Rushere-Lyantonde-24h'!N77)</f>
        <v>0</v>
      </c>
      <c r="O77" s="15">
        <f t="shared" si="35"/>
        <v>6</v>
      </c>
      <c r="P77" s="15">
        <f t="shared" si="36"/>
        <v>6</v>
      </c>
      <c r="R77" s="8"/>
      <c r="T77"/>
      <c r="AB77" t="s">
        <v>180</v>
      </c>
    </row>
    <row r="78" spans="2:28" ht="23.1" customHeight="1" x14ac:dyDescent="0.25">
      <c r="B78" s="24" t="s">
        <v>118</v>
      </c>
      <c r="C78" s="49">
        <f>AVERAGE('26.10 Rushere-Lyantonde-24hr'!C78,'28.10 Rushere-Lyantonde-24h'!C78)</f>
        <v>2</v>
      </c>
      <c r="D78" s="49">
        <f>AVERAGE('26.10 Rushere-Lyantonde-24hr'!D78,'28.10 Rushere-Lyantonde-24h'!D78)</f>
        <v>0</v>
      </c>
      <c r="E78" s="49">
        <f>AVERAGE('26.10 Rushere-Lyantonde-24hr'!E78,'28.10 Rushere-Lyantonde-24h'!E78)</f>
        <v>0.5</v>
      </c>
      <c r="F78" s="49">
        <f>AVERAGE('26.10 Rushere-Lyantonde-24hr'!F78,'28.10 Rushere-Lyantonde-24h'!F78)</f>
        <v>0</v>
      </c>
      <c r="G78" s="49">
        <f>AVERAGE('26.10 Rushere-Lyantonde-24hr'!G78,'28.10 Rushere-Lyantonde-24h'!G78)</f>
        <v>0</v>
      </c>
      <c r="H78" s="49">
        <f>AVERAGE('26.10 Rushere-Lyantonde-24hr'!H78,'28.10 Rushere-Lyantonde-24h'!H78)</f>
        <v>0</v>
      </c>
      <c r="I78" s="49">
        <f>AVERAGE('26.10 Rushere-Lyantonde-24hr'!I78,'28.10 Rushere-Lyantonde-24h'!I78)</f>
        <v>1.5</v>
      </c>
      <c r="J78" s="49">
        <f>AVERAGE('26.10 Rushere-Lyantonde-24hr'!J78,'28.10 Rushere-Lyantonde-24h'!J78)</f>
        <v>1.5</v>
      </c>
      <c r="K78" s="49">
        <f>AVERAGE('26.10 Rushere-Lyantonde-24hr'!K78,'28.10 Rushere-Lyantonde-24h'!K78)</f>
        <v>1</v>
      </c>
      <c r="L78" s="49">
        <f>AVERAGE('26.10 Rushere-Lyantonde-24hr'!L78,'28.10 Rushere-Lyantonde-24h'!L78)</f>
        <v>2</v>
      </c>
      <c r="M78" s="49">
        <f>AVERAGE('26.10 Rushere-Lyantonde-24hr'!M78,'28.10 Rushere-Lyantonde-24h'!M78)</f>
        <v>0</v>
      </c>
      <c r="N78" s="49">
        <f>AVERAGE('26.10 Rushere-Lyantonde-24hr'!N78,'28.10 Rushere-Lyantonde-24h'!N78)</f>
        <v>0</v>
      </c>
      <c r="O78" s="15">
        <f t="shared" si="35"/>
        <v>8.5</v>
      </c>
      <c r="P78" s="15">
        <f t="shared" si="36"/>
        <v>8.5</v>
      </c>
      <c r="R78" s="8"/>
      <c r="T78"/>
    </row>
    <row r="79" spans="2:28" ht="23.1" customHeight="1" x14ac:dyDescent="0.25">
      <c r="B79" s="23" t="s">
        <v>119</v>
      </c>
      <c r="C79" s="49">
        <f>AVERAGE('26.10 Rushere-Lyantonde-24hr'!C79,'28.10 Rushere-Lyantonde-24h'!C79)</f>
        <v>0.5</v>
      </c>
      <c r="D79" s="49">
        <f>AVERAGE('26.10 Rushere-Lyantonde-24hr'!D79,'28.10 Rushere-Lyantonde-24h'!D79)</f>
        <v>0</v>
      </c>
      <c r="E79" s="49">
        <f>AVERAGE('26.10 Rushere-Lyantonde-24hr'!E79,'28.10 Rushere-Lyantonde-24h'!E79)</f>
        <v>1</v>
      </c>
      <c r="F79" s="49">
        <f>AVERAGE('26.10 Rushere-Lyantonde-24hr'!F79,'28.10 Rushere-Lyantonde-24h'!F79)</f>
        <v>0</v>
      </c>
      <c r="G79" s="49">
        <f>AVERAGE('26.10 Rushere-Lyantonde-24hr'!G79,'28.10 Rushere-Lyantonde-24h'!G79)</f>
        <v>0</v>
      </c>
      <c r="H79" s="49">
        <f>AVERAGE('26.10 Rushere-Lyantonde-24hr'!H79,'28.10 Rushere-Lyantonde-24h'!H79)</f>
        <v>0</v>
      </c>
      <c r="I79" s="49">
        <f>AVERAGE('26.10 Rushere-Lyantonde-24hr'!I79,'28.10 Rushere-Lyantonde-24h'!I79)</f>
        <v>0</v>
      </c>
      <c r="J79" s="49">
        <f>AVERAGE('26.10 Rushere-Lyantonde-24hr'!J79,'28.10 Rushere-Lyantonde-24h'!J79)</f>
        <v>2</v>
      </c>
      <c r="K79" s="49">
        <f>AVERAGE('26.10 Rushere-Lyantonde-24hr'!K79,'28.10 Rushere-Lyantonde-24h'!K79)</f>
        <v>1</v>
      </c>
      <c r="L79" s="49">
        <f>AVERAGE('26.10 Rushere-Lyantonde-24hr'!L79,'28.10 Rushere-Lyantonde-24h'!L79)</f>
        <v>0</v>
      </c>
      <c r="M79" s="49">
        <f>AVERAGE('26.10 Rushere-Lyantonde-24hr'!M79,'28.10 Rushere-Lyantonde-24h'!M79)</f>
        <v>0</v>
      </c>
      <c r="N79" s="49">
        <f>AVERAGE('26.10 Rushere-Lyantonde-24hr'!N79,'28.10 Rushere-Lyantonde-24h'!N79)</f>
        <v>0</v>
      </c>
      <c r="O79" s="15">
        <f t="shared" si="35"/>
        <v>4.5</v>
      </c>
      <c r="P79" s="15">
        <f t="shared" si="36"/>
        <v>4.5</v>
      </c>
      <c r="R79" s="8"/>
      <c r="T79"/>
    </row>
    <row r="80" spans="2:28" ht="23.1" customHeight="1" x14ac:dyDescent="0.25">
      <c r="B80" s="25" t="s">
        <v>120</v>
      </c>
      <c r="C80" s="49">
        <f>AVERAGE('26.10 Rushere-Lyantonde-24hr'!C80,'28.10 Rushere-Lyantonde-24h'!C80)</f>
        <v>0</v>
      </c>
      <c r="D80" s="49">
        <f>AVERAGE('26.10 Rushere-Lyantonde-24hr'!D80,'28.10 Rushere-Lyantonde-24h'!D80)</f>
        <v>0</v>
      </c>
      <c r="E80" s="49">
        <f>AVERAGE('26.10 Rushere-Lyantonde-24hr'!E80,'28.10 Rushere-Lyantonde-24h'!E80)</f>
        <v>1.5</v>
      </c>
      <c r="F80" s="49">
        <f>AVERAGE('26.10 Rushere-Lyantonde-24hr'!F80,'28.10 Rushere-Lyantonde-24h'!F80)</f>
        <v>0</v>
      </c>
      <c r="G80" s="49">
        <f>AVERAGE('26.10 Rushere-Lyantonde-24hr'!G80,'28.10 Rushere-Lyantonde-24h'!G80)</f>
        <v>0</v>
      </c>
      <c r="H80" s="49">
        <f>AVERAGE('26.10 Rushere-Lyantonde-24hr'!H80,'28.10 Rushere-Lyantonde-24h'!H80)</f>
        <v>0</v>
      </c>
      <c r="I80" s="49">
        <f>AVERAGE('26.10 Rushere-Lyantonde-24hr'!I80,'28.10 Rushere-Lyantonde-24h'!I80)</f>
        <v>1.5</v>
      </c>
      <c r="J80" s="49">
        <f>AVERAGE('26.10 Rushere-Lyantonde-24hr'!J80,'28.10 Rushere-Lyantonde-24h'!J80)</f>
        <v>1</v>
      </c>
      <c r="K80" s="49">
        <f>AVERAGE('26.10 Rushere-Lyantonde-24hr'!K80,'28.10 Rushere-Lyantonde-24h'!K80)</f>
        <v>0.5</v>
      </c>
      <c r="L80" s="49">
        <f>AVERAGE('26.10 Rushere-Lyantonde-24hr'!L80,'28.10 Rushere-Lyantonde-24h'!L80)</f>
        <v>0.5</v>
      </c>
      <c r="M80" s="49">
        <f>AVERAGE('26.10 Rushere-Lyantonde-24hr'!M80,'28.10 Rushere-Lyantonde-24h'!M80)</f>
        <v>0</v>
      </c>
      <c r="N80" s="49">
        <f>AVERAGE('26.10 Rushere-Lyantonde-24hr'!N80,'28.10 Rushere-Lyantonde-24h'!N80)</f>
        <v>0</v>
      </c>
      <c r="O80" s="15">
        <f t="shared" si="35"/>
        <v>5</v>
      </c>
      <c r="P80" s="15">
        <f t="shared" si="36"/>
        <v>5</v>
      </c>
      <c r="R80" s="8"/>
      <c r="T80"/>
    </row>
    <row r="81" spans="2:20" ht="23.1" customHeight="1" x14ac:dyDescent="0.25">
      <c r="B81" s="23" t="s">
        <v>121</v>
      </c>
      <c r="C81" s="49">
        <f>AVERAGE('26.10 Rushere-Lyantonde-24hr'!C81,'28.10 Rushere-Lyantonde-24h'!C81)</f>
        <v>0.5</v>
      </c>
      <c r="D81" s="49">
        <f>AVERAGE('26.10 Rushere-Lyantonde-24hr'!D81,'28.10 Rushere-Lyantonde-24h'!D81)</f>
        <v>1.5</v>
      </c>
      <c r="E81" s="49">
        <f>AVERAGE('26.10 Rushere-Lyantonde-24hr'!E81,'28.10 Rushere-Lyantonde-24h'!E81)</f>
        <v>1</v>
      </c>
      <c r="F81" s="49">
        <f>AVERAGE('26.10 Rushere-Lyantonde-24hr'!F81,'28.10 Rushere-Lyantonde-24h'!F81)</f>
        <v>0</v>
      </c>
      <c r="G81" s="49">
        <f>AVERAGE('26.10 Rushere-Lyantonde-24hr'!G81,'28.10 Rushere-Lyantonde-24h'!G81)</f>
        <v>0</v>
      </c>
      <c r="H81" s="49">
        <f>AVERAGE('26.10 Rushere-Lyantonde-24hr'!H81,'28.10 Rushere-Lyantonde-24h'!H81)</f>
        <v>0</v>
      </c>
      <c r="I81" s="49">
        <f>AVERAGE('26.10 Rushere-Lyantonde-24hr'!I81,'28.10 Rushere-Lyantonde-24h'!I81)</f>
        <v>1.5</v>
      </c>
      <c r="J81" s="49">
        <f>AVERAGE('26.10 Rushere-Lyantonde-24hr'!J81,'28.10 Rushere-Lyantonde-24h'!J81)</f>
        <v>1</v>
      </c>
      <c r="K81" s="49">
        <f>AVERAGE('26.10 Rushere-Lyantonde-24hr'!K81,'28.10 Rushere-Lyantonde-24h'!K81)</f>
        <v>0</v>
      </c>
      <c r="L81" s="49">
        <f>AVERAGE('26.10 Rushere-Lyantonde-24hr'!L81,'28.10 Rushere-Lyantonde-24h'!L81)</f>
        <v>0.5</v>
      </c>
      <c r="M81" s="49">
        <f>AVERAGE('26.10 Rushere-Lyantonde-24hr'!M81,'28.10 Rushere-Lyantonde-24h'!M81)</f>
        <v>0</v>
      </c>
      <c r="N81" s="49">
        <f>AVERAGE('26.10 Rushere-Lyantonde-24hr'!N81,'28.10 Rushere-Lyantonde-24h'!N81)</f>
        <v>0</v>
      </c>
      <c r="O81" s="15">
        <f t="shared" si="35"/>
        <v>6</v>
      </c>
      <c r="P81" s="15">
        <f t="shared" si="36"/>
        <v>6</v>
      </c>
      <c r="R81" s="8"/>
      <c r="T81"/>
    </row>
    <row r="82" spans="2:20" ht="23.1" customHeight="1" x14ac:dyDescent="0.25">
      <c r="B82" s="24" t="s">
        <v>122</v>
      </c>
      <c r="C82" s="49">
        <f>AVERAGE('26.10 Rushere-Lyantonde-24hr'!C82,'28.10 Rushere-Lyantonde-24h'!C82)</f>
        <v>1</v>
      </c>
      <c r="D82" s="49">
        <f>AVERAGE('26.10 Rushere-Lyantonde-24hr'!D82,'28.10 Rushere-Lyantonde-24h'!D82)</f>
        <v>0</v>
      </c>
      <c r="E82" s="49">
        <f>AVERAGE('26.10 Rushere-Lyantonde-24hr'!E82,'28.10 Rushere-Lyantonde-24h'!E82)</f>
        <v>1.5</v>
      </c>
      <c r="F82" s="49">
        <f>AVERAGE('26.10 Rushere-Lyantonde-24hr'!F82,'28.10 Rushere-Lyantonde-24h'!F82)</f>
        <v>0</v>
      </c>
      <c r="G82" s="49">
        <f>AVERAGE('26.10 Rushere-Lyantonde-24hr'!G82,'28.10 Rushere-Lyantonde-24h'!G82)</f>
        <v>0</v>
      </c>
      <c r="H82" s="49">
        <f>AVERAGE('26.10 Rushere-Lyantonde-24hr'!H82,'28.10 Rushere-Lyantonde-24h'!H82)</f>
        <v>0</v>
      </c>
      <c r="I82" s="49">
        <f>AVERAGE('26.10 Rushere-Lyantonde-24hr'!I82,'28.10 Rushere-Lyantonde-24h'!I82)</f>
        <v>0</v>
      </c>
      <c r="J82" s="49">
        <f>AVERAGE('26.10 Rushere-Lyantonde-24hr'!J82,'28.10 Rushere-Lyantonde-24h'!J82)</f>
        <v>0</v>
      </c>
      <c r="K82" s="49">
        <f>AVERAGE('26.10 Rushere-Lyantonde-24hr'!K82,'28.10 Rushere-Lyantonde-24h'!K82)</f>
        <v>0</v>
      </c>
      <c r="L82" s="49">
        <f>AVERAGE('26.10 Rushere-Lyantonde-24hr'!L82,'28.10 Rushere-Lyantonde-24h'!L82)</f>
        <v>1</v>
      </c>
      <c r="M82" s="49">
        <f>AVERAGE('26.10 Rushere-Lyantonde-24hr'!M82,'28.10 Rushere-Lyantonde-24h'!M82)</f>
        <v>0</v>
      </c>
      <c r="N82" s="49">
        <f>AVERAGE('26.10 Rushere-Lyantonde-24hr'!N82,'28.10 Rushere-Lyantonde-24h'!N82)</f>
        <v>0</v>
      </c>
      <c r="O82" s="15">
        <f t="shared" si="35"/>
        <v>3.5</v>
      </c>
      <c r="P82" s="15">
        <f t="shared" si="36"/>
        <v>3.5</v>
      </c>
      <c r="R82" s="8"/>
      <c r="T82"/>
    </row>
    <row r="83" spans="2:20" ht="23.1" customHeight="1" x14ac:dyDescent="0.25">
      <c r="B83" s="23" t="s">
        <v>123</v>
      </c>
      <c r="C83" s="49">
        <f>AVERAGE('26.10 Rushere-Lyantonde-24hr'!C83,'28.10 Rushere-Lyantonde-24h'!C83)</f>
        <v>0</v>
      </c>
      <c r="D83" s="49">
        <f>AVERAGE('26.10 Rushere-Lyantonde-24hr'!D83,'28.10 Rushere-Lyantonde-24h'!D83)</f>
        <v>1</v>
      </c>
      <c r="E83" s="49">
        <f>AVERAGE('26.10 Rushere-Lyantonde-24hr'!E83,'28.10 Rushere-Lyantonde-24h'!E83)</f>
        <v>1</v>
      </c>
      <c r="F83" s="49">
        <f>AVERAGE('26.10 Rushere-Lyantonde-24hr'!F83,'28.10 Rushere-Lyantonde-24h'!F83)</f>
        <v>0</v>
      </c>
      <c r="G83" s="49">
        <f>AVERAGE('26.10 Rushere-Lyantonde-24hr'!G83,'28.10 Rushere-Lyantonde-24h'!G83)</f>
        <v>0</v>
      </c>
      <c r="H83" s="49">
        <f>AVERAGE('26.10 Rushere-Lyantonde-24hr'!H83,'28.10 Rushere-Lyantonde-24h'!H83)</f>
        <v>0</v>
      </c>
      <c r="I83" s="49">
        <f>AVERAGE('26.10 Rushere-Lyantonde-24hr'!I83,'28.10 Rushere-Lyantonde-24h'!I83)</f>
        <v>0.5</v>
      </c>
      <c r="J83" s="49">
        <f>AVERAGE('26.10 Rushere-Lyantonde-24hr'!J83,'28.10 Rushere-Lyantonde-24h'!J83)</f>
        <v>0</v>
      </c>
      <c r="K83" s="49">
        <f>AVERAGE('26.10 Rushere-Lyantonde-24hr'!K83,'28.10 Rushere-Lyantonde-24h'!K83)</f>
        <v>1</v>
      </c>
      <c r="L83" s="49">
        <f>AVERAGE('26.10 Rushere-Lyantonde-24hr'!L83,'28.10 Rushere-Lyantonde-24h'!L83)</f>
        <v>0.5</v>
      </c>
      <c r="M83" s="49">
        <f>AVERAGE('26.10 Rushere-Lyantonde-24hr'!M83,'28.10 Rushere-Lyantonde-24h'!M83)</f>
        <v>0</v>
      </c>
      <c r="N83" s="49">
        <f>AVERAGE('26.10 Rushere-Lyantonde-24hr'!N83,'28.10 Rushere-Lyantonde-24h'!N83)</f>
        <v>0</v>
      </c>
      <c r="O83" s="15">
        <f t="shared" si="35"/>
        <v>4</v>
      </c>
      <c r="P83" s="15">
        <f t="shared" si="36"/>
        <v>4</v>
      </c>
      <c r="R83" s="8"/>
      <c r="T83"/>
    </row>
    <row r="84" spans="2:20" ht="23.1" customHeight="1" x14ac:dyDescent="0.25">
      <c r="B84" s="25" t="s">
        <v>124</v>
      </c>
      <c r="C84" s="49">
        <f>AVERAGE('26.10 Rushere-Lyantonde-24hr'!C84,'28.10 Rushere-Lyantonde-24h'!C84)</f>
        <v>0</v>
      </c>
      <c r="D84" s="49">
        <f>AVERAGE('26.10 Rushere-Lyantonde-24hr'!D84,'28.10 Rushere-Lyantonde-24h'!D84)</f>
        <v>0</v>
      </c>
      <c r="E84" s="49">
        <f>AVERAGE('26.10 Rushere-Lyantonde-24hr'!E84,'28.10 Rushere-Lyantonde-24h'!E84)</f>
        <v>1</v>
      </c>
      <c r="F84" s="49">
        <f>AVERAGE('26.10 Rushere-Lyantonde-24hr'!F84,'28.10 Rushere-Lyantonde-24h'!F84)</f>
        <v>0</v>
      </c>
      <c r="G84" s="49">
        <f>AVERAGE('26.10 Rushere-Lyantonde-24hr'!G84,'28.10 Rushere-Lyantonde-24h'!G84)</f>
        <v>0</v>
      </c>
      <c r="H84" s="49">
        <f>AVERAGE('26.10 Rushere-Lyantonde-24hr'!H84,'28.10 Rushere-Lyantonde-24h'!H84)</f>
        <v>0</v>
      </c>
      <c r="I84" s="49">
        <f>AVERAGE('26.10 Rushere-Lyantonde-24hr'!I84,'28.10 Rushere-Lyantonde-24h'!I84)</f>
        <v>0</v>
      </c>
      <c r="J84" s="49">
        <f>AVERAGE('26.10 Rushere-Lyantonde-24hr'!J84,'28.10 Rushere-Lyantonde-24h'!J84)</f>
        <v>0</v>
      </c>
      <c r="K84" s="49">
        <f>AVERAGE('26.10 Rushere-Lyantonde-24hr'!K84,'28.10 Rushere-Lyantonde-24h'!K84)</f>
        <v>0.5</v>
      </c>
      <c r="L84" s="49">
        <f>AVERAGE('26.10 Rushere-Lyantonde-24hr'!L84,'28.10 Rushere-Lyantonde-24h'!L84)</f>
        <v>0.5</v>
      </c>
      <c r="M84" s="49">
        <f>AVERAGE('26.10 Rushere-Lyantonde-24hr'!M84,'28.10 Rushere-Lyantonde-24h'!M84)</f>
        <v>0</v>
      </c>
      <c r="N84" s="49">
        <f>AVERAGE('26.10 Rushere-Lyantonde-24hr'!N84,'28.10 Rushere-Lyantonde-24h'!N84)</f>
        <v>0</v>
      </c>
      <c r="O84" s="15">
        <f t="shared" si="35"/>
        <v>2</v>
      </c>
      <c r="P84" s="15">
        <f t="shared" si="36"/>
        <v>2</v>
      </c>
      <c r="R84" s="8"/>
      <c r="T84"/>
    </row>
    <row r="85" spans="2:20" ht="23.1" customHeight="1" x14ac:dyDescent="0.25">
      <c r="B85" s="23" t="s">
        <v>125</v>
      </c>
      <c r="C85" s="49">
        <f>AVERAGE('26.10 Rushere-Lyantonde-24hr'!C85,'28.10 Rushere-Lyantonde-24h'!C85)</f>
        <v>0</v>
      </c>
      <c r="D85" s="49">
        <f>AVERAGE('26.10 Rushere-Lyantonde-24hr'!D85,'28.10 Rushere-Lyantonde-24h'!D85)</f>
        <v>0</v>
      </c>
      <c r="E85" s="49">
        <f>AVERAGE('26.10 Rushere-Lyantonde-24hr'!E85,'28.10 Rushere-Lyantonde-24h'!E85)</f>
        <v>2</v>
      </c>
      <c r="F85" s="49">
        <f>AVERAGE('26.10 Rushere-Lyantonde-24hr'!F85,'28.10 Rushere-Lyantonde-24h'!F85)</f>
        <v>0</v>
      </c>
      <c r="G85" s="49">
        <f>AVERAGE('26.10 Rushere-Lyantonde-24hr'!G85,'28.10 Rushere-Lyantonde-24h'!G85)</f>
        <v>0</v>
      </c>
      <c r="H85" s="49">
        <f>AVERAGE('26.10 Rushere-Lyantonde-24hr'!H85,'28.10 Rushere-Lyantonde-24h'!H85)</f>
        <v>0</v>
      </c>
      <c r="I85" s="49">
        <f>AVERAGE('26.10 Rushere-Lyantonde-24hr'!I85,'28.10 Rushere-Lyantonde-24h'!I85)</f>
        <v>0</v>
      </c>
      <c r="J85" s="49">
        <f>AVERAGE('26.10 Rushere-Lyantonde-24hr'!J85,'28.10 Rushere-Lyantonde-24h'!J85)</f>
        <v>0</v>
      </c>
      <c r="K85" s="49">
        <f>AVERAGE('26.10 Rushere-Lyantonde-24hr'!K85,'28.10 Rushere-Lyantonde-24h'!K85)</f>
        <v>0</v>
      </c>
      <c r="L85" s="49">
        <f>AVERAGE('26.10 Rushere-Lyantonde-24hr'!L85,'28.10 Rushere-Lyantonde-24h'!L85)</f>
        <v>2</v>
      </c>
      <c r="M85" s="49">
        <f>AVERAGE('26.10 Rushere-Lyantonde-24hr'!M85,'28.10 Rushere-Lyantonde-24h'!M85)</f>
        <v>0</v>
      </c>
      <c r="N85" s="49">
        <f>AVERAGE('26.10 Rushere-Lyantonde-24hr'!N85,'28.10 Rushere-Lyantonde-24h'!N85)</f>
        <v>0</v>
      </c>
      <c r="O85" s="15">
        <f t="shared" si="35"/>
        <v>4</v>
      </c>
      <c r="P85" s="15">
        <f t="shared" si="36"/>
        <v>4</v>
      </c>
      <c r="R85" s="8"/>
      <c r="T85"/>
    </row>
    <row r="86" spans="2:20" ht="23.1" customHeight="1" x14ac:dyDescent="0.25">
      <c r="B86" s="24" t="s">
        <v>126</v>
      </c>
      <c r="C86" s="49">
        <f>AVERAGE('26.10 Rushere-Lyantonde-24hr'!C86,'28.10 Rushere-Lyantonde-24h'!C86)</f>
        <v>2</v>
      </c>
      <c r="D86" s="49">
        <f>AVERAGE('26.10 Rushere-Lyantonde-24hr'!D86,'28.10 Rushere-Lyantonde-24h'!D86)</f>
        <v>1.5</v>
      </c>
      <c r="E86" s="49">
        <f>AVERAGE('26.10 Rushere-Lyantonde-24hr'!E86,'28.10 Rushere-Lyantonde-24h'!E86)</f>
        <v>1</v>
      </c>
      <c r="F86" s="49">
        <f>AVERAGE('26.10 Rushere-Lyantonde-24hr'!F86,'28.10 Rushere-Lyantonde-24h'!F86)</f>
        <v>0</v>
      </c>
      <c r="G86" s="49">
        <f>AVERAGE('26.10 Rushere-Lyantonde-24hr'!G86,'28.10 Rushere-Lyantonde-24h'!G86)</f>
        <v>0</v>
      </c>
      <c r="H86" s="49">
        <f>AVERAGE('26.10 Rushere-Lyantonde-24hr'!H86,'28.10 Rushere-Lyantonde-24h'!H86)</f>
        <v>0.5</v>
      </c>
      <c r="I86" s="49">
        <f>AVERAGE('26.10 Rushere-Lyantonde-24hr'!I86,'28.10 Rushere-Lyantonde-24h'!I86)</f>
        <v>1.5</v>
      </c>
      <c r="J86" s="49">
        <f>AVERAGE('26.10 Rushere-Lyantonde-24hr'!J86,'28.10 Rushere-Lyantonde-24h'!J86)</f>
        <v>0</v>
      </c>
      <c r="K86" s="49">
        <f>AVERAGE('26.10 Rushere-Lyantonde-24hr'!K86,'28.10 Rushere-Lyantonde-24h'!K86)</f>
        <v>1</v>
      </c>
      <c r="L86" s="49">
        <f>AVERAGE('26.10 Rushere-Lyantonde-24hr'!L86,'28.10 Rushere-Lyantonde-24h'!L86)</f>
        <v>0.5</v>
      </c>
      <c r="M86" s="49">
        <f>AVERAGE('26.10 Rushere-Lyantonde-24hr'!M86,'28.10 Rushere-Lyantonde-24h'!M86)</f>
        <v>0</v>
      </c>
      <c r="N86" s="49">
        <f>AVERAGE('26.10 Rushere-Lyantonde-24hr'!N86,'28.10 Rushere-Lyantonde-24h'!N86)</f>
        <v>0</v>
      </c>
      <c r="O86" s="15">
        <f t="shared" si="35"/>
        <v>8</v>
      </c>
      <c r="P86" s="15">
        <f t="shared" si="36"/>
        <v>8</v>
      </c>
      <c r="R86" s="8"/>
      <c r="T86"/>
    </row>
    <row r="87" spans="2:20" ht="23.1" customHeight="1" x14ac:dyDescent="0.25">
      <c r="B87" s="23" t="s">
        <v>127</v>
      </c>
      <c r="C87" s="49">
        <f>AVERAGE('26.10 Rushere-Lyantonde-24hr'!C87,'28.10 Rushere-Lyantonde-24h'!C87)</f>
        <v>1</v>
      </c>
      <c r="D87" s="49">
        <f>AVERAGE('26.10 Rushere-Lyantonde-24hr'!D87,'28.10 Rushere-Lyantonde-24h'!D87)</f>
        <v>0.5</v>
      </c>
      <c r="E87" s="49">
        <f>AVERAGE('26.10 Rushere-Lyantonde-24hr'!E87,'28.10 Rushere-Lyantonde-24h'!E87)</f>
        <v>0</v>
      </c>
      <c r="F87" s="49">
        <f>AVERAGE('26.10 Rushere-Lyantonde-24hr'!F87,'28.10 Rushere-Lyantonde-24h'!F87)</f>
        <v>0</v>
      </c>
      <c r="G87" s="49">
        <f>AVERAGE('26.10 Rushere-Lyantonde-24hr'!G87,'28.10 Rushere-Lyantonde-24h'!G87)</f>
        <v>0</v>
      </c>
      <c r="H87" s="49">
        <f>AVERAGE('26.10 Rushere-Lyantonde-24hr'!H87,'28.10 Rushere-Lyantonde-24h'!H87)</f>
        <v>0</v>
      </c>
      <c r="I87" s="49">
        <f>AVERAGE('26.10 Rushere-Lyantonde-24hr'!I87,'28.10 Rushere-Lyantonde-24h'!I87)</f>
        <v>0</v>
      </c>
      <c r="J87" s="49">
        <f>AVERAGE('26.10 Rushere-Lyantonde-24hr'!J87,'28.10 Rushere-Lyantonde-24h'!J87)</f>
        <v>0</v>
      </c>
      <c r="K87" s="49">
        <f>AVERAGE('26.10 Rushere-Lyantonde-24hr'!K87,'28.10 Rushere-Lyantonde-24h'!K87)</f>
        <v>1</v>
      </c>
      <c r="L87" s="49">
        <f>AVERAGE('26.10 Rushere-Lyantonde-24hr'!L87,'28.10 Rushere-Lyantonde-24h'!L87)</f>
        <v>0.5</v>
      </c>
      <c r="M87" s="49">
        <f>AVERAGE('26.10 Rushere-Lyantonde-24hr'!M87,'28.10 Rushere-Lyantonde-24h'!M87)</f>
        <v>0</v>
      </c>
      <c r="N87" s="49">
        <f>AVERAGE('26.10 Rushere-Lyantonde-24hr'!N87,'28.10 Rushere-Lyantonde-24h'!N87)</f>
        <v>0</v>
      </c>
      <c r="O87" s="15">
        <f t="shared" si="35"/>
        <v>3</v>
      </c>
      <c r="P87" s="15">
        <f t="shared" si="36"/>
        <v>3</v>
      </c>
      <c r="R87" s="8"/>
      <c r="T87"/>
    </row>
    <row r="88" spans="2:20" ht="23.1" customHeight="1" x14ac:dyDescent="0.25">
      <c r="B88" s="25" t="s">
        <v>128</v>
      </c>
      <c r="C88" s="49">
        <f>AVERAGE('26.10 Rushere-Lyantonde-24hr'!C88,'28.10 Rushere-Lyantonde-24h'!C88)</f>
        <v>1</v>
      </c>
      <c r="D88" s="49">
        <f>AVERAGE('26.10 Rushere-Lyantonde-24hr'!D88,'28.10 Rushere-Lyantonde-24h'!D88)</f>
        <v>0</v>
      </c>
      <c r="E88" s="49">
        <f>AVERAGE('26.10 Rushere-Lyantonde-24hr'!E88,'28.10 Rushere-Lyantonde-24h'!E88)</f>
        <v>1</v>
      </c>
      <c r="F88" s="49">
        <f>AVERAGE('26.10 Rushere-Lyantonde-24hr'!F88,'28.10 Rushere-Lyantonde-24h'!F88)</f>
        <v>0</v>
      </c>
      <c r="G88" s="49">
        <f>AVERAGE('26.10 Rushere-Lyantonde-24hr'!G88,'28.10 Rushere-Lyantonde-24h'!G88)</f>
        <v>0</v>
      </c>
      <c r="H88" s="49">
        <f>AVERAGE('26.10 Rushere-Lyantonde-24hr'!H88,'28.10 Rushere-Lyantonde-24h'!H88)</f>
        <v>0</v>
      </c>
      <c r="I88" s="49">
        <f>AVERAGE('26.10 Rushere-Lyantonde-24hr'!I88,'28.10 Rushere-Lyantonde-24h'!I88)</f>
        <v>0</v>
      </c>
      <c r="J88" s="49">
        <f>AVERAGE('26.10 Rushere-Lyantonde-24hr'!J88,'28.10 Rushere-Lyantonde-24h'!J88)</f>
        <v>0</v>
      </c>
      <c r="K88" s="49">
        <f>AVERAGE('26.10 Rushere-Lyantonde-24hr'!K88,'28.10 Rushere-Lyantonde-24h'!K88)</f>
        <v>1</v>
      </c>
      <c r="L88" s="49">
        <f>AVERAGE('26.10 Rushere-Lyantonde-24hr'!L88,'28.10 Rushere-Lyantonde-24h'!L88)</f>
        <v>0</v>
      </c>
      <c r="M88" s="49">
        <f>AVERAGE('26.10 Rushere-Lyantonde-24hr'!M88,'28.10 Rushere-Lyantonde-24h'!M88)</f>
        <v>0</v>
      </c>
      <c r="N88" s="49">
        <f>AVERAGE('26.10 Rushere-Lyantonde-24hr'!N88,'28.10 Rushere-Lyantonde-24h'!N88)</f>
        <v>0</v>
      </c>
      <c r="O88" s="15">
        <f t="shared" si="35"/>
        <v>3</v>
      </c>
      <c r="P88" s="15">
        <f t="shared" si="36"/>
        <v>3</v>
      </c>
      <c r="R88" s="8"/>
      <c r="T88"/>
    </row>
    <row r="89" spans="2:20" ht="23.1" customHeight="1" x14ac:dyDescent="0.25">
      <c r="B89" s="23" t="s">
        <v>129</v>
      </c>
      <c r="C89" s="49">
        <f>AVERAGE('26.10 Rushere-Lyantonde-24hr'!C89,'28.10 Rushere-Lyantonde-24h'!C89)</f>
        <v>0</v>
      </c>
      <c r="D89" s="49">
        <f>AVERAGE('26.10 Rushere-Lyantonde-24hr'!D89,'28.10 Rushere-Lyantonde-24h'!D89)</f>
        <v>0</v>
      </c>
      <c r="E89" s="49">
        <f>AVERAGE('26.10 Rushere-Lyantonde-24hr'!E89,'28.10 Rushere-Lyantonde-24h'!E89)</f>
        <v>2</v>
      </c>
      <c r="F89" s="49">
        <f>AVERAGE('26.10 Rushere-Lyantonde-24hr'!F89,'28.10 Rushere-Lyantonde-24h'!F89)</f>
        <v>0</v>
      </c>
      <c r="G89" s="49">
        <f>AVERAGE('26.10 Rushere-Lyantonde-24hr'!G89,'28.10 Rushere-Lyantonde-24h'!G89)</f>
        <v>0</v>
      </c>
      <c r="H89" s="49">
        <f>AVERAGE('26.10 Rushere-Lyantonde-24hr'!H89,'28.10 Rushere-Lyantonde-24h'!H89)</f>
        <v>0</v>
      </c>
      <c r="I89" s="49">
        <f>AVERAGE('26.10 Rushere-Lyantonde-24hr'!I89,'28.10 Rushere-Lyantonde-24h'!I89)</f>
        <v>0.5</v>
      </c>
      <c r="J89" s="49">
        <f>AVERAGE('26.10 Rushere-Lyantonde-24hr'!J89,'28.10 Rushere-Lyantonde-24h'!J89)</f>
        <v>0</v>
      </c>
      <c r="K89" s="49">
        <f>AVERAGE('26.10 Rushere-Lyantonde-24hr'!K89,'28.10 Rushere-Lyantonde-24h'!K89)</f>
        <v>0</v>
      </c>
      <c r="L89" s="49">
        <f>AVERAGE('26.10 Rushere-Lyantonde-24hr'!L89,'28.10 Rushere-Lyantonde-24h'!L89)</f>
        <v>0</v>
      </c>
      <c r="M89" s="49">
        <f>AVERAGE('26.10 Rushere-Lyantonde-24hr'!M89,'28.10 Rushere-Lyantonde-24h'!M89)</f>
        <v>0</v>
      </c>
      <c r="N89" s="49">
        <f>AVERAGE('26.10 Rushere-Lyantonde-24hr'!N89,'28.10 Rushere-Lyantonde-24h'!N89)</f>
        <v>0</v>
      </c>
      <c r="O89" s="15">
        <f t="shared" si="35"/>
        <v>2.5</v>
      </c>
      <c r="P89" s="15">
        <f t="shared" si="36"/>
        <v>2.5</v>
      </c>
      <c r="R89" s="8"/>
      <c r="T89"/>
    </row>
    <row r="90" spans="2:20" ht="23.1" customHeight="1" x14ac:dyDescent="0.25">
      <c r="B90" s="24" t="s">
        <v>130</v>
      </c>
      <c r="C90" s="49">
        <f>AVERAGE('26.10 Rushere-Lyantonde-24hr'!C90,'28.10 Rushere-Lyantonde-24h'!C90)</f>
        <v>0</v>
      </c>
      <c r="D90" s="49">
        <f>AVERAGE('26.10 Rushere-Lyantonde-24hr'!D90,'28.10 Rushere-Lyantonde-24h'!D90)</f>
        <v>1.5</v>
      </c>
      <c r="E90" s="49">
        <f>AVERAGE('26.10 Rushere-Lyantonde-24hr'!E90,'28.10 Rushere-Lyantonde-24h'!E90)</f>
        <v>0</v>
      </c>
      <c r="F90" s="49">
        <f>AVERAGE('26.10 Rushere-Lyantonde-24hr'!F90,'28.10 Rushere-Lyantonde-24h'!F90)</f>
        <v>0.5</v>
      </c>
      <c r="G90" s="49">
        <f>AVERAGE('26.10 Rushere-Lyantonde-24hr'!G90,'28.10 Rushere-Lyantonde-24h'!G90)</f>
        <v>0</v>
      </c>
      <c r="H90" s="49">
        <f>AVERAGE('26.10 Rushere-Lyantonde-24hr'!H90,'28.10 Rushere-Lyantonde-24h'!H90)</f>
        <v>0</v>
      </c>
      <c r="I90" s="49">
        <f>AVERAGE('26.10 Rushere-Lyantonde-24hr'!I90,'28.10 Rushere-Lyantonde-24h'!I90)</f>
        <v>0.5</v>
      </c>
      <c r="J90" s="49">
        <f>AVERAGE('26.10 Rushere-Lyantonde-24hr'!J90,'28.10 Rushere-Lyantonde-24h'!J90)</f>
        <v>1.5</v>
      </c>
      <c r="K90" s="49">
        <f>AVERAGE('26.10 Rushere-Lyantonde-24hr'!K90,'28.10 Rushere-Lyantonde-24h'!K90)</f>
        <v>0</v>
      </c>
      <c r="L90" s="49">
        <f>AVERAGE('26.10 Rushere-Lyantonde-24hr'!L90,'28.10 Rushere-Lyantonde-24h'!L90)</f>
        <v>0</v>
      </c>
      <c r="M90" s="49">
        <f>AVERAGE('26.10 Rushere-Lyantonde-24hr'!M90,'28.10 Rushere-Lyantonde-24h'!M90)</f>
        <v>0</v>
      </c>
      <c r="N90" s="49">
        <f>AVERAGE('26.10 Rushere-Lyantonde-24hr'!N90,'28.10 Rushere-Lyantonde-24h'!N90)</f>
        <v>0</v>
      </c>
      <c r="O90" s="15">
        <f t="shared" si="35"/>
        <v>4</v>
      </c>
      <c r="P90" s="15">
        <f t="shared" si="36"/>
        <v>4</v>
      </c>
      <c r="R90" s="8"/>
      <c r="T90"/>
    </row>
    <row r="91" spans="2:20" ht="23.1" customHeight="1" x14ac:dyDescent="0.25">
      <c r="B91" s="23" t="s">
        <v>131</v>
      </c>
      <c r="C91" s="49">
        <f>AVERAGE('26.10 Rushere-Lyantonde-24hr'!C91,'28.10 Rushere-Lyantonde-24h'!C91)</f>
        <v>0</v>
      </c>
      <c r="D91" s="49">
        <f>AVERAGE('26.10 Rushere-Lyantonde-24hr'!D91,'28.10 Rushere-Lyantonde-24h'!D91)</f>
        <v>0</v>
      </c>
      <c r="E91" s="49">
        <f>AVERAGE('26.10 Rushere-Lyantonde-24hr'!E91,'28.10 Rushere-Lyantonde-24h'!E91)</f>
        <v>1</v>
      </c>
      <c r="F91" s="49">
        <f>AVERAGE('26.10 Rushere-Lyantonde-24hr'!F91,'28.10 Rushere-Lyantonde-24h'!F91)</f>
        <v>0</v>
      </c>
      <c r="G91" s="49">
        <f>AVERAGE('26.10 Rushere-Lyantonde-24hr'!G91,'28.10 Rushere-Lyantonde-24h'!G91)</f>
        <v>0</v>
      </c>
      <c r="H91" s="49">
        <f>AVERAGE('26.10 Rushere-Lyantonde-24hr'!H91,'28.10 Rushere-Lyantonde-24h'!H91)</f>
        <v>0</v>
      </c>
      <c r="I91" s="49">
        <f>AVERAGE('26.10 Rushere-Lyantonde-24hr'!I91,'28.10 Rushere-Lyantonde-24h'!I91)</f>
        <v>0</v>
      </c>
      <c r="J91" s="49">
        <f>AVERAGE('26.10 Rushere-Lyantonde-24hr'!J91,'28.10 Rushere-Lyantonde-24h'!J91)</f>
        <v>1</v>
      </c>
      <c r="K91" s="49">
        <f>AVERAGE('26.10 Rushere-Lyantonde-24hr'!K91,'28.10 Rushere-Lyantonde-24h'!K91)</f>
        <v>1</v>
      </c>
      <c r="L91" s="49">
        <f>AVERAGE('26.10 Rushere-Lyantonde-24hr'!L91,'28.10 Rushere-Lyantonde-24h'!L91)</f>
        <v>0.5</v>
      </c>
      <c r="M91" s="49">
        <f>AVERAGE('26.10 Rushere-Lyantonde-24hr'!M91,'28.10 Rushere-Lyantonde-24h'!M91)</f>
        <v>0</v>
      </c>
      <c r="N91" s="49">
        <f>AVERAGE('26.10 Rushere-Lyantonde-24hr'!N91,'28.10 Rushere-Lyantonde-24h'!N91)</f>
        <v>0</v>
      </c>
      <c r="O91" s="15">
        <f t="shared" si="35"/>
        <v>3.5</v>
      </c>
      <c r="P91" s="15">
        <f t="shared" si="36"/>
        <v>3.5</v>
      </c>
      <c r="R91" s="8"/>
      <c r="T91"/>
    </row>
    <row r="92" spans="2:20" ht="23.1" customHeight="1" x14ac:dyDescent="0.25">
      <c r="B92" s="25" t="s">
        <v>132</v>
      </c>
      <c r="C92" s="49">
        <f>AVERAGE('26.10 Rushere-Lyantonde-24hr'!C92,'28.10 Rushere-Lyantonde-24h'!C92)</f>
        <v>1</v>
      </c>
      <c r="D92" s="49">
        <f>AVERAGE('26.10 Rushere-Lyantonde-24hr'!D92,'28.10 Rushere-Lyantonde-24h'!D92)</f>
        <v>0.5</v>
      </c>
      <c r="E92" s="49">
        <f>AVERAGE('26.10 Rushere-Lyantonde-24hr'!E92,'28.10 Rushere-Lyantonde-24h'!E92)</f>
        <v>0.5</v>
      </c>
      <c r="F92" s="49">
        <f>AVERAGE('26.10 Rushere-Lyantonde-24hr'!F92,'28.10 Rushere-Lyantonde-24h'!F92)</f>
        <v>0</v>
      </c>
      <c r="G92" s="49">
        <f>AVERAGE('26.10 Rushere-Lyantonde-24hr'!G92,'28.10 Rushere-Lyantonde-24h'!G92)</f>
        <v>0</v>
      </c>
      <c r="H92" s="49">
        <f>AVERAGE('26.10 Rushere-Lyantonde-24hr'!H92,'28.10 Rushere-Lyantonde-24h'!H92)</f>
        <v>0</v>
      </c>
      <c r="I92" s="49">
        <f>AVERAGE('26.10 Rushere-Lyantonde-24hr'!I92,'28.10 Rushere-Lyantonde-24h'!I92)</f>
        <v>0.5</v>
      </c>
      <c r="J92" s="49">
        <f>AVERAGE('26.10 Rushere-Lyantonde-24hr'!J92,'28.10 Rushere-Lyantonde-24h'!J92)</f>
        <v>0.5</v>
      </c>
      <c r="K92" s="49">
        <f>AVERAGE('26.10 Rushere-Lyantonde-24hr'!K92,'28.10 Rushere-Lyantonde-24h'!K92)</f>
        <v>0.5</v>
      </c>
      <c r="L92" s="49">
        <f>AVERAGE('26.10 Rushere-Lyantonde-24hr'!L92,'28.10 Rushere-Lyantonde-24h'!L92)</f>
        <v>0</v>
      </c>
      <c r="M92" s="49">
        <f>AVERAGE('26.10 Rushere-Lyantonde-24hr'!M92,'28.10 Rushere-Lyantonde-24h'!M92)</f>
        <v>0</v>
      </c>
      <c r="N92" s="49">
        <f>AVERAGE('26.10 Rushere-Lyantonde-24hr'!N92,'28.10 Rushere-Lyantonde-24h'!N92)</f>
        <v>0</v>
      </c>
      <c r="O92" s="15">
        <f t="shared" si="35"/>
        <v>3.5</v>
      </c>
      <c r="P92" s="15">
        <f t="shared" si="36"/>
        <v>3.5</v>
      </c>
      <c r="R92" s="8"/>
      <c r="T92"/>
    </row>
    <row r="93" spans="2:20" ht="23.1" customHeight="1" x14ac:dyDescent="0.25">
      <c r="B93" s="23" t="s">
        <v>133</v>
      </c>
      <c r="C93" s="49">
        <f>AVERAGE('26.10 Rushere-Lyantonde-24hr'!C93,'28.10 Rushere-Lyantonde-24h'!C93)</f>
        <v>2</v>
      </c>
      <c r="D93" s="49">
        <f>AVERAGE('26.10 Rushere-Lyantonde-24hr'!D93,'28.10 Rushere-Lyantonde-24h'!D93)</f>
        <v>0</v>
      </c>
      <c r="E93" s="49">
        <f>AVERAGE('26.10 Rushere-Lyantonde-24hr'!E93,'28.10 Rushere-Lyantonde-24h'!E93)</f>
        <v>0</v>
      </c>
      <c r="F93" s="49">
        <f>AVERAGE('26.10 Rushere-Lyantonde-24hr'!F93,'28.10 Rushere-Lyantonde-24h'!F93)</f>
        <v>0</v>
      </c>
      <c r="G93" s="49">
        <f>AVERAGE('26.10 Rushere-Lyantonde-24hr'!G93,'28.10 Rushere-Lyantonde-24h'!G93)</f>
        <v>0</v>
      </c>
      <c r="H93" s="49">
        <f>AVERAGE('26.10 Rushere-Lyantonde-24hr'!H93,'28.10 Rushere-Lyantonde-24h'!H93)</f>
        <v>0</v>
      </c>
      <c r="I93" s="49">
        <f>AVERAGE('26.10 Rushere-Lyantonde-24hr'!I93,'28.10 Rushere-Lyantonde-24h'!I93)</f>
        <v>0</v>
      </c>
      <c r="J93" s="49">
        <f>AVERAGE('26.10 Rushere-Lyantonde-24hr'!J93,'28.10 Rushere-Lyantonde-24h'!J93)</f>
        <v>2</v>
      </c>
      <c r="K93" s="49">
        <f>AVERAGE('26.10 Rushere-Lyantonde-24hr'!K93,'28.10 Rushere-Lyantonde-24h'!K93)</f>
        <v>0</v>
      </c>
      <c r="L93" s="49">
        <f>AVERAGE('26.10 Rushere-Lyantonde-24hr'!L93,'28.10 Rushere-Lyantonde-24h'!L93)</f>
        <v>0</v>
      </c>
      <c r="M93" s="49">
        <f>AVERAGE('26.10 Rushere-Lyantonde-24hr'!M93,'28.10 Rushere-Lyantonde-24h'!M93)</f>
        <v>0</v>
      </c>
      <c r="N93" s="49">
        <f>AVERAGE('26.10 Rushere-Lyantonde-24hr'!N93,'28.10 Rushere-Lyantonde-24h'!N93)</f>
        <v>0</v>
      </c>
      <c r="O93" s="15">
        <f t="shared" si="35"/>
        <v>4</v>
      </c>
      <c r="P93" s="15">
        <f t="shared" si="36"/>
        <v>4</v>
      </c>
      <c r="R93" s="8"/>
      <c r="T93"/>
    </row>
    <row r="94" spans="2:20" ht="23.1" customHeight="1" x14ac:dyDescent="0.25">
      <c r="B94" s="24" t="s">
        <v>134</v>
      </c>
      <c r="C94" s="49">
        <f>AVERAGE('26.10 Rushere-Lyantonde-24hr'!C94,'28.10 Rushere-Lyantonde-24h'!C94)</f>
        <v>1.5</v>
      </c>
      <c r="D94" s="49">
        <f>AVERAGE('26.10 Rushere-Lyantonde-24hr'!D94,'28.10 Rushere-Lyantonde-24h'!D94)</f>
        <v>0</v>
      </c>
      <c r="E94" s="49">
        <f>AVERAGE('26.10 Rushere-Lyantonde-24hr'!E94,'28.10 Rushere-Lyantonde-24h'!E94)</f>
        <v>0</v>
      </c>
      <c r="F94" s="49">
        <f>AVERAGE('26.10 Rushere-Lyantonde-24hr'!F94,'28.10 Rushere-Lyantonde-24h'!F94)</f>
        <v>0</v>
      </c>
      <c r="G94" s="49">
        <f>AVERAGE('26.10 Rushere-Lyantonde-24hr'!G94,'28.10 Rushere-Lyantonde-24h'!G94)</f>
        <v>0</v>
      </c>
      <c r="H94" s="49">
        <f>AVERAGE('26.10 Rushere-Lyantonde-24hr'!H94,'28.10 Rushere-Lyantonde-24h'!H94)</f>
        <v>0</v>
      </c>
      <c r="I94" s="49">
        <f>AVERAGE('26.10 Rushere-Lyantonde-24hr'!I94,'28.10 Rushere-Lyantonde-24h'!I94)</f>
        <v>0</v>
      </c>
      <c r="J94" s="49">
        <f>AVERAGE('26.10 Rushere-Lyantonde-24hr'!J94,'28.10 Rushere-Lyantonde-24h'!J94)</f>
        <v>2</v>
      </c>
      <c r="K94" s="49">
        <f>AVERAGE('26.10 Rushere-Lyantonde-24hr'!K94,'28.10 Rushere-Lyantonde-24h'!K94)</f>
        <v>0</v>
      </c>
      <c r="L94" s="49">
        <f>AVERAGE('26.10 Rushere-Lyantonde-24hr'!L94,'28.10 Rushere-Lyantonde-24h'!L94)</f>
        <v>0</v>
      </c>
      <c r="M94" s="49">
        <f>AVERAGE('26.10 Rushere-Lyantonde-24hr'!M94,'28.10 Rushere-Lyantonde-24h'!M94)</f>
        <v>0</v>
      </c>
      <c r="N94" s="49">
        <f>AVERAGE('26.10 Rushere-Lyantonde-24hr'!N94,'28.10 Rushere-Lyantonde-24h'!N94)</f>
        <v>0</v>
      </c>
      <c r="O94" s="15">
        <f t="shared" si="35"/>
        <v>3.5</v>
      </c>
      <c r="P94" s="15">
        <f t="shared" si="36"/>
        <v>3.5</v>
      </c>
      <c r="R94" s="8"/>
      <c r="T94"/>
    </row>
    <row r="95" spans="2:20" ht="23.1" customHeight="1" x14ac:dyDescent="0.25">
      <c r="B95" s="23" t="s">
        <v>135</v>
      </c>
      <c r="C95" s="49">
        <f>AVERAGE('26.10 Rushere-Lyantonde-24hr'!C95,'28.10 Rushere-Lyantonde-24h'!C95)</f>
        <v>0</v>
      </c>
      <c r="D95" s="49">
        <f>AVERAGE('26.10 Rushere-Lyantonde-24hr'!D95,'28.10 Rushere-Lyantonde-24h'!D95)</f>
        <v>0.5</v>
      </c>
      <c r="E95" s="49">
        <f>AVERAGE('26.10 Rushere-Lyantonde-24hr'!E95,'28.10 Rushere-Lyantonde-24h'!E95)</f>
        <v>1</v>
      </c>
      <c r="F95" s="49">
        <f>AVERAGE('26.10 Rushere-Lyantonde-24hr'!F95,'28.10 Rushere-Lyantonde-24h'!F95)</f>
        <v>0</v>
      </c>
      <c r="G95" s="49">
        <f>AVERAGE('26.10 Rushere-Lyantonde-24hr'!G95,'28.10 Rushere-Lyantonde-24h'!G95)</f>
        <v>0.5</v>
      </c>
      <c r="H95" s="49">
        <f>AVERAGE('26.10 Rushere-Lyantonde-24hr'!H95,'28.10 Rushere-Lyantonde-24h'!H95)</f>
        <v>0</v>
      </c>
      <c r="I95" s="49">
        <f>AVERAGE('26.10 Rushere-Lyantonde-24hr'!I95,'28.10 Rushere-Lyantonde-24h'!I95)</f>
        <v>1</v>
      </c>
      <c r="J95" s="49">
        <f>AVERAGE('26.10 Rushere-Lyantonde-24hr'!J95,'28.10 Rushere-Lyantonde-24h'!J95)</f>
        <v>0</v>
      </c>
      <c r="K95" s="49">
        <f>AVERAGE('26.10 Rushere-Lyantonde-24hr'!K95,'28.10 Rushere-Lyantonde-24h'!K95)</f>
        <v>0</v>
      </c>
      <c r="L95" s="49">
        <f>AVERAGE('26.10 Rushere-Lyantonde-24hr'!L95,'28.10 Rushere-Lyantonde-24h'!L95)</f>
        <v>1</v>
      </c>
      <c r="M95" s="49">
        <f>AVERAGE('26.10 Rushere-Lyantonde-24hr'!M95,'28.10 Rushere-Lyantonde-24h'!M95)</f>
        <v>0</v>
      </c>
      <c r="N95" s="49">
        <f>AVERAGE('26.10 Rushere-Lyantonde-24hr'!N95,'28.10 Rushere-Lyantonde-24h'!N95)</f>
        <v>0</v>
      </c>
      <c r="O95" s="15">
        <f t="shared" si="35"/>
        <v>4</v>
      </c>
      <c r="P95" s="15">
        <f t="shared" si="36"/>
        <v>4</v>
      </c>
      <c r="R95" s="8"/>
      <c r="T95"/>
    </row>
    <row r="96" spans="2:20" ht="23.1" customHeight="1" x14ac:dyDescent="0.25">
      <c r="B96" s="25" t="s">
        <v>136</v>
      </c>
      <c r="C96" s="49">
        <f>AVERAGE('26.10 Rushere-Lyantonde-24hr'!C96,'28.10 Rushere-Lyantonde-24h'!C96)</f>
        <v>0.5</v>
      </c>
      <c r="D96" s="49">
        <f>AVERAGE('26.10 Rushere-Lyantonde-24hr'!D96,'28.10 Rushere-Lyantonde-24h'!D96)</f>
        <v>0</v>
      </c>
      <c r="E96" s="49">
        <f>AVERAGE('26.10 Rushere-Lyantonde-24hr'!E96,'28.10 Rushere-Lyantonde-24h'!E96)</f>
        <v>1</v>
      </c>
      <c r="F96" s="49">
        <f>AVERAGE('26.10 Rushere-Lyantonde-24hr'!F96,'28.10 Rushere-Lyantonde-24h'!F96)</f>
        <v>0.5</v>
      </c>
      <c r="G96" s="49">
        <f>AVERAGE('26.10 Rushere-Lyantonde-24hr'!G96,'28.10 Rushere-Lyantonde-24h'!G96)</f>
        <v>0</v>
      </c>
      <c r="H96" s="49">
        <f>AVERAGE('26.10 Rushere-Lyantonde-24hr'!H96,'28.10 Rushere-Lyantonde-24h'!H96)</f>
        <v>0.5</v>
      </c>
      <c r="I96" s="49">
        <f>AVERAGE('26.10 Rushere-Lyantonde-24hr'!I96,'28.10 Rushere-Lyantonde-24h'!I96)</f>
        <v>0</v>
      </c>
      <c r="J96" s="49">
        <f>AVERAGE('26.10 Rushere-Lyantonde-24hr'!J96,'28.10 Rushere-Lyantonde-24h'!J96)</f>
        <v>0.5</v>
      </c>
      <c r="K96" s="49">
        <f>AVERAGE('26.10 Rushere-Lyantonde-24hr'!K96,'28.10 Rushere-Lyantonde-24h'!K96)</f>
        <v>1</v>
      </c>
      <c r="L96" s="49">
        <f>AVERAGE('26.10 Rushere-Lyantonde-24hr'!L96,'28.10 Rushere-Lyantonde-24h'!L96)</f>
        <v>0</v>
      </c>
      <c r="M96" s="49">
        <f>AVERAGE('26.10 Rushere-Lyantonde-24hr'!M96,'28.10 Rushere-Lyantonde-24h'!M96)</f>
        <v>0</v>
      </c>
      <c r="N96" s="49">
        <f>AVERAGE('26.10 Rushere-Lyantonde-24hr'!N96,'28.10 Rushere-Lyantonde-24h'!N96)</f>
        <v>0</v>
      </c>
      <c r="O96" s="15">
        <f t="shared" si="35"/>
        <v>4</v>
      </c>
      <c r="P96" s="15">
        <f t="shared" si="36"/>
        <v>4</v>
      </c>
      <c r="R96" s="8"/>
      <c r="T96"/>
    </row>
    <row r="97" spans="2:20" ht="23.1" customHeight="1" x14ac:dyDescent="0.25">
      <c r="B97" s="23" t="s">
        <v>137</v>
      </c>
      <c r="C97" s="49">
        <f>AVERAGE('26.10 Rushere-Lyantonde-24hr'!C97,'28.10 Rushere-Lyantonde-24h'!C97)</f>
        <v>1.5</v>
      </c>
      <c r="D97" s="49">
        <f>AVERAGE('26.10 Rushere-Lyantonde-24hr'!D97,'28.10 Rushere-Lyantonde-24h'!D97)</f>
        <v>0</v>
      </c>
      <c r="E97" s="49">
        <f>AVERAGE('26.10 Rushere-Lyantonde-24hr'!E97,'28.10 Rushere-Lyantonde-24h'!E97)</f>
        <v>1</v>
      </c>
      <c r="F97" s="49">
        <f>AVERAGE('26.10 Rushere-Lyantonde-24hr'!F97,'28.10 Rushere-Lyantonde-24h'!F97)</f>
        <v>0.5</v>
      </c>
      <c r="G97" s="49">
        <f>AVERAGE('26.10 Rushere-Lyantonde-24hr'!G97,'28.10 Rushere-Lyantonde-24h'!G97)</f>
        <v>0</v>
      </c>
      <c r="H97" s="49">
        <f>AVERAGE('26.10 Rushere-Lyantonde-24hr'!H97,'28.10 Rushere-Lyantonde-24h'!H97)</f>
        <v>0</v>
      </c>
      <c r="I97" s="49">
        <f>AVERAGE('26.10 Rushere-Lyantonde-24hr'!I97,'28.10 Rushere-Lyantonde-24h'!I97)</f>
        <v>0.5</v>
      </c>
      <c r="J97" s="49">
        <f>AVERAGE('26.10 Rushere-Lyantonde-24hr'!J97,'28.10 Rushere-Lyantonde-24h'!J97)</f>
        <v>0</v>
      </c>
      <c r="K97" s="49">
        <f>AVERAGE('26.10 Rushere-Lyantonde-24hr'!K97,'28.10 Rushere-Lyantonde-24h'!K97)</f>
        <v>1.5</v>
      </c>
      <c r="L97" s="49">
        <f>AVERAGE('26.10 Rushere-Lyantonde-24hr'!L97,'28.10 Rushere-Lyantonde-24h'!L97)</f>
        <v>0.5</v>
      </c>
      <c r="M97" s="49">
        <f>AVERAGE('26.10 Rushere-Lyantonde-24hr'!M97,'28.10 Rushere-Lyantonde-24h'!M97)</f>
        <v>0</v>
      </c>
      <c r="N97" s="49">
        <f>AVERAGE('26.10 Rushere-Lyantonde-24hr'!N97,'28.10 Rushere-Lyantonde-24h'!N97)</f>
        <v>0</v>
      </c>
      <c r="O97" s="15">
        <f t="shared" si="35"/>
        <v>5.5</v>
      </c>
      <c r="P97" s="15">
        <f t="shared" si="36"/>
        <v>5.5</v>
      </c>
      <c r="R97" s="8"/>
      <c r="T97"/>
    </row>
    <row r="98" spans="2:20" ht="23.1" customHeight="1" x14ac:dyDescent="0.25">
      <c r="B98" s="24" t="s">
        <v>138</v>
      </c>
      <c r="C98" s="49">
        <f>AVERAGE('26.10 Rushere-Lyantonde-24hr'!C98,'28.10 Rushere-Lyantonde-24h'!C98)</f>
        <v>2</v>
      </c>
      <c r="D98" s="49">
        <f>AVERAGE('26.10 Rushere-Lyantonde-24hr'!D98,'28.10 Rushere-Lyantonde-24h'!D98)</f>
        <v>0</v>
      </c>
      <c r="E98" s="49">
        <f>AVERAGE('26.10 Rushere-Lyantonde-24hr'!E98,'28.10 Rushere-Lyantonde-24h'!E98)</f>
        <v>1.5</v>
      </c>
      <c r="F98" s="49">
        <f>AVERAGE('26.10 Rushere-Lyantonde-24hr'!F98,'28.10 Rushere-Lyantonde-24h'!F98)</f>
        <v>0</v>
      </c>
      <c r="G98" s="49">
        <f>AVERAGE('26.10 Rushere-Lyantonde-24hr'!G98,'28.10 Rushere-Lyantonde-24h'!G98)</f>
        <v>0</v>
      </c>
      <c r="H98" s="49">
        <f>AVERAGE('26.10 Rushere-Lyantonde-24hr'!H98,'28.10 Rushere-Lyantonde-24h'!H98)</f>
        <v>0.5</v>
      </c>
      <c r="I98" s="49">
        <f>AVERAGE('26.10 Rushere-Lyantonde-24hr'!I98,'28.10 Rushere-Lyantonde-24h'!I98)</f>
        <v>0</v>
      </c>
      <c r="J98" s="49">
        <f>AVERAGE('26.10 Rushere-Lyantonde-24hr'!J98,'28.10 Rushere-Lyantonde-24h'!J98)</f>
        <v>1</v>
      </c>
      <c r="K98" s="49">
        <f>AVERAGE('26.10 Rushere-Lyantonde-24hr'!K98,'28.10 Rushere-Lyantonde-24h'!K98)</f>
        <v>0.5</v>
      </c>
      <c r="L98" s="49">
        <f>AVERAGE('26.10 Rushere-Lyantonde-24hr'!L98,'28.10 Rushere-Lyantonde-24h'!L98)</f>
        <v>0</v>
      </c>
      <c r="M98" s="49">
        <f>AVERAGE('26.10 Rushere-Lyantonde-24hr'!M98,'28.10 Rushere-Lyantonde-24h'!M98)</f>
        <v>0</v>
      </c>
      <c r="N98" s="49">
        <f>AVERAGE('26.10 Rushere-Lyantonde-24hr'!N98,'28.10 Rushere-Lyantonde-24h'!N98)</f>
        <v>0</v>
      </c>
      <c r="O98" s="15">
        <f t="shared" si="35"/>
        <v>5.5</v>
      </c>
      <c r="P98" s="15">
        <f t="shared" si="36"/>
        <v>5.5</v>
      </c>
      <c r="R98" s="8"/>
      <c r="T98"/>
    </row>
    <row r="99" spans="2:20" ht="23.1" customHeight="1" x14ac:dyDescent="0.25">
      <c r="B99" s="23" t="s">
        <v>139</v>
      </c>
      <c r="C99" s="49">
        <f>AVERAGE('26.10 Rushere-Lyantonde-24hr'!C99,'28.10 Rushere-Lyantonde-24h'!C99)</f>
        <v>3</v>
      </c>
      <c r="D99" s="49">
        <f>AVERAGE('26.10 Rushere-Lyantonde-24hr'!D99,'28.10 Rushere-Lyantonde-24h'!D99)</f>
        <v>0</v>
      </c>
      <c r="E99" s="49">
        <f>AVERAGE('26.10 Rushere-Lyantonde-24hr'!E99,'28.10 Rushere-Lyantonde-24h'!E99)</f>
        <v>0</v>
      </c>
      <c r="F99" s="49">
        <f>AVERAGE('26.10 Rushere-Lyantonde-24hr'!F99,'28.10 Rushere-Lyantonde-24h'!F99)</f>
        <v>0.5</v>
      </c>
      <c r="G99" s="49">
        <f>AVERAGE('26.10 Rushere-Lyantonde-24hr'!G99,'28.10 Rushere-Lyantonde-24h'!G99)</f>
        <v>0</v>
      </c>
      <c r="H99" s="49">
        <f>AVERAGE('26.10 Rushere-Lyantonde-24hr'!H99,'28.10 Rushere-Lyantonde-24h'!H99)</f>
        <v>1</v>
      </c>
      <c r="I99" s="49">
        <f>AVERAGE('26.10 Rushere-Lyantonde-24hr'!I99,'28.10 Rushere-Lyantonde-24h'!I99)</f>
        <v>0</v>
      </c>
      <c r="J99" s="49">
        <f>AVERAGE('26.10 Rushere-Lyantonde-24hr'!J99,'28.10 Rushere-Lyantonde-24h'!J99)</f>
        <v>1</v>
      </c>
      <c r="K99" s="49">
        <f>AVERAGE('26.10 Rushere-Lyantonde-24hr'!K99,'28.10 Rushere-Lyantonde-24h'!K99)</f>
        <v>0</v>
      </c>
      <c r="L99" s="49">
        <f>AVERAGE('26.10 Rushere-Lyantonde-24hr'!L99,'28.10 Rushere-Lyantonde-24h'!L99)</f>
        <v>1</v>
      </c>
      <c r="M99" s="49">
        <f>AVERAGE('26.10 Rushere-Lyantonde-24hr'!M99,'28.10 Rushere-Lyantonde-24h'!M99)</f>
        <v>1</v>
      </c>
      <c r="N99" s="49">
        <f>AVERAGE('26.10 Rushere-Lyantonde-24hr'!N99,'28.10 Rushere-Lyantonde-24h'!N99)</f>
        <v>0</v>
      </c>
      <c r="O99" s="15">
        <f t="shared" si="35"/>
        <v>6.5</v>
      </c>
      <c r="P99" s="15">
        <f t="shared" si="36"/>
        <v>7.5</v>
      </c>
      <c r="R99" s="8"/>
      <c r="T99"/>
    </row>
    <row r="100" spans="2:20" ht="23.1" customHeight="1" x14ac:dyDescent="0.25">
      <c r="B100" s="25" t="s">
        <v>140</v>
      </c>
      <c r="C100" s="49">
        <f>AVERAGE('26.10 Rushere-Lyantonde-24hr'!C100,'28.10 Rushere-Lyantonde-24h'!C100)</f>
        <v>0</v>
      </c>
      <c r="D100" s="49">
        <f>AVERAGE('26.10 Rushere-Lyantonde-24hr'!D100,'28.10 Rushere-Lyantonde-24h'!D100)</f>
        <v>2</v>
      </c>
      <c r="E100" s="49">
        <f>AVERAGE('26.10 Rushere-Lyantonde-24hr'!E100,'28.10 Rushere-Lyantonde-24h'!E100)</f>
        <v>1</v>
      </c>
      <c r="F100" s="49">
        <f>AVERAGE('26.10 Rushere-Lyantonde-24hr'!F100,'28.10 Rushere-Lyantonde-24h'!F100)</f>
        <v>0</v>
      </c>
      <c r="G100" s="49">
        <f>AVERAGE('26.10 Rushere-Lyantonde-24hr'!G100,'28.10 Rushere-Lyantonde-24h'!G100)</f>
        <v>0</v>
      </c>
      <c r="H100" s="49">
        <f>AVERAGE('26.10 Rushere-Lyantonde-24hr'!H100,'28.10 Rushere-Lyantonde-24h'!H100)</f>
        <v>0</v>
      </c>
      <c r="I100" s="49">
        <f>AVERAGE('26.10 Rushere-Lyantonde-24hr'!I100,'28.10 Rushere-Lyantonde-24h'!I100)</f>
        <v>1</v>
      </c>
      <c r="J100" s="49">
        <f>AVERAGE('26.10 Rushere-Lyantonde-24hr'!J100,'28.10 Rushere-Lyantonde-24h'!J100)</f>
        <v>1.5</v>
      </c>
      <c r="K100" s="49">
        <f>AVERAGE('26.10 Rushere-Lyantonde-24hr'!K100,'28.10 Rushere-Lyantonde-24h'!K100)</f>
        <v>0.5</v>
      </c>
      <c r="L100" s="49">
        <f>AVERAGE('26.10 Rushere-Lyantonde-24hr'!L100,'28.10 Rushere-Lyantonde-24h'!L100)</f>
        <v>1</v>
      </c>
      <c r="M100" s="49">
        <f>AVERAGE('26.10 Rushere-Lyantonde-24hr'!M100,'28.10 Rushere-Lyantonde-24h'!M100)</f>
        <v>1</v>
      </c>
      <c r="N100" s="49">
        <f>AVERAGE('26.10 Rushere-Lyantonde-24hr'!N100,'28.10 Rushere-Lyantonde-24h'!N100)</f>
        <v>0</v>
      </c>
      <c r="O100" s="15">
        <f t="shared" si="35"/>
        <v>7</v>
      </c>
      <c r="P100" s="15">
        <f t="shared" si="36"/>
        <v>8</v>
      </c>
      <c r="R100" s="8"/>
      <c r="T100"/>
    </row>
    <row r="101" spans="2:20" ht="23.1" customHeight="1" x14ac:dyDescent="0.25">
      <c r="B101" s="23" t="s">
        <v>141</v>
      </c>
      <c r="C101" s="49">
        <f>AVERAGE('26.10 Rushere-Lyantonde-24hr'!C101,'28.10 Rushere-Lyantonde-24h'!C101)</f>
        <v>3.5</v>
      </c>
      <c r="D101" s="49">
        <f>AVERAGE('26.10 Rushere-Lyantonde-24hr'!D101,'28.10 Rushere-Lyantonde-24h'!D101)</f>
        <v>2.5</v>
      </c>
      <c r="E101" s="49">
        <f>AVERAGE('26.10 Rushere-Lyantonde-24hr'!E101,'28.10 Rushere-Lyantonde-24h'!E101)</f>
        <v>0.5</v>
      </c>
      <c r="F101" s="49">
        <f>AVERAGE('26.10 Rushere-Lyantonde-24hr'!F101,'28.10 Rushere-Lyantonde-24h'!F101)</f>
        <v>0</v>
      </c>
      <c r="G101" s="49">
        <f>AVERAGE('26.10 Rushere-Lyantonde-24hr'!G101,'28.10 Rushere-Lyantonde-24h'!G101)</f>
        <v>0</v>
      </c>
      <c r="H101" s="49">
        <f>AVERAGE('26.10 Rushere-Lyantonde-24hr'!H101,'28.10 Rushere-Lyantonde-24h'!H101)</f>
        <v>0</v>
      </c>
      <c r="I101" s="49">
        <f>AVERAGE('26.10 Rushere-Lyantonde-24hr'!I101,'28.10 Rushere-Lyantonde-24h'!I101)</f>
        <v>0.5</v>
      </c>
      <c r="J101" s="49">
        <f>AVERAGE('26.10 Rushere-Lyantonde-24hr'!J101,'28.10 Rushere-Lyantonde-24h'!J101)</f>
        <v>2</v>
      </c>
      <c r="K101" s="49">
        <f>AVERAGE('26.10 Rushere-Lyantonde-24hr'!K101,'28.10 Rushere-Lyantonde-24h'!K101)</f>
        <v>1</v>
      </c>
      <c r="L101" s="49">
        <f>AVERAGE('26.10 Rushere-Lyantonde-24hr'!L101,'28.10 Rushere-Lyantonde-24h'!L101)</f>
        <v>0</v>
      </c>
      <c r="M101" s="49">
        <f>AVERAGE('26.10 Rushere-Lyantonde-24hr'!M101,'28.10 Rushere-Lyantonde-24h'!M101)</f>
        <v>1</v>
      </c>
      <c r="N101" s="49">
        <f>AVERAGE('26.10 Rushere-Lyantonde-24hr'!N101,'28.10 Rushere-Lyantonde-24h'!N101)</f>
        <v>0</v>
      </c>
      <c r="O101" s="15">
        <f t="shared" si="35"/>
        <v>10</v>
      </c>
      <c r="P101" s="15">
        <f t="shared" si="36"/>
        <v>11</v>
      </c>
      <c r="R101" s="8"/>
      <c r="T101"/>
    </row>
    <row r="102" spans="2:20" ht="23.1" customHeight="1" x14ac:dyDescent="0.25">
      <c r="B102" s="24" t="s">
        <v>142</v>
      </c>
      <c r="C102" s="49">
        <f>AVERAGE('26.10 Rushere-Lyantonde-24hr'!C102,'28.10 Rushere-Lyantonde-24h'!C102)</f>
        <v>2</v>
      </c>
      <c r="D102" s="49">
        <f>AVERAGE('26.10 Rushere-Lyantonde-24hr'!D102,'28.10 Rushere-Lyantonde-24h'!D102)</f>
        <v>1.5</v>
      </c>
      <c r="E102" s="49">
        <f>AVERAGE('26.10 Rushere-Lyantonde-24hr'!E102,'28.10 Rushere-Lyantonde-24h'!E102)</f>
        <v>0.5</v>
      </c>
      <c r="F102" s="49">
        <f>AVERAGE('26.10 Rushere-Lyantonde-24hr'!F102,'28.10 Rushere-Lyantonde-24h'!F102)</f>
        <v>1</v>
      </c>
      <c r="G102" s="49">
        <f>AVERAGE('26.10 Rushere-Lyantonde-24hr'!G102,'28.10 Rushere-Lyantonde-24h'!G102)</f>
        <v>0</v>
      </c>
      <c r="H102" s="49">
        <f>AVERAGE('26.10 Rushere-Lyantonde-24hr'!H102,'28.10 Rushere-Lyantonde-24h'!H102)</f>
        <v>0.5</v>
      </c>
      <c r="I102" s="49">
        <f>AVERAGE('26.10 Rushere-Lyantonde-24hr'!I102,'28.10 Rushere-Lyantonde-24h'!I102)</f>
        <v>1</v>
      </c>
      <c r="J102" s="49">
        <f>AVERAGE('26.10 Rushere-Lyantonde-24hr'!J102,'28.10 Rushere-Lyantonde-24h'!J102)</f>
        <v>0</v>
      </c>
      <c r="K102" s="49">
        <f>AVERAGE('26.10 Rushere-Lyantonde-24hr'!K102,'28.10 Rushere-Lyantonde-24h'!K102)</f>
        <v>0</v>
      </c>
      <c r="L102" s="49">
        <f>AVERAGE('26.10 Rushere-Lyantonde-24hr'!L102,'28.10 Rushere-Lyantonde-24h'!L102)</f>
        <v>0</v>
      </c>
      <c r="M102" s="49">
        <f>AVERAGE('26.10 Rushere-Lyantonde-24hr'!M102,'28.10 Rushere-Lyantonde-24h'!M102)</f>
        <v>4</v>
      </c>
      <c r="N102" s="49">
        <f>AVERAGE('26.10 Rushere-Lyantonde-24hr'!N102,'28.10 Rushere-Lyantonde-24h'!N102)</f>
        <v>0</v>
      </c>
      <c r="O102" s="15">
        <f t="shared" si="35"/>
        <v>6.5</v>
      </c>
      <c r="P102" s="15">
        <f t="shared" si="36"/>
        <v>10.5</v>
      </c>
      <c r="R102" s="8"/>
      <c r="T102"/>
    </row>
    <row r="103" spans="2:20" ht="23.1" customHeight="1" x14ac:dyDescent="0.25">
      <c r="B103" s="23" t="s">
        <v>143</v>
      </c>
      <c r="C103" s="49">
        <f>AVERAGE('26.10 Rushere-Lyantonde-24hr'!C103,'28.10 Rushere-Lyantonde-24h'!C103)</f>
        <v>1.5</v>
      </c>
      <c r="D103" s="49">
        <f>AVERAGE('26.10 Rushere-Lyantonde-24hr'!D103,'28.10 Rushere-Lyantonde-24h'!D103)</f>
        <v>1.5</v>
      </c>
      <c r="E103" s="49">
        <f>AVERAGE('26.10 Rushere-Lyantonde-24hr'!E103,'28.10 Rushere-Lyantonde-24h'!E103)</f>
        <v>2</v>
      </c>
      <c r="F103" s="49">
        <f>AVERAGE('26.10 Rushere-Lyantonde-24hr'!F103,'28.10 Rushere-Lyantonde-24h'!F103)</f>
        <v>1</v>
      </c>
      <c r="G103" s="49">
        <f>AVERAGE('26.10 Rushere-Lyantonde-24hr'!G103,'28.10 Rushere-Lyantonde-24h'!G103)</f>
        <v>0</v>
      </c>
      <c r="H103" s="49">
        <f>AVERAGE('26.10 Rushere-Lyantonde-24hr'!H103,'28.10 Rushere-Lyantonde-24h'!H103)</f>
        <v>0.5</v>
      </c>
      <c r="I103" s="49">
        <f>AVERAGE('26.10 Rushere-Lyantonde-24hr'!I103,'28.10 Rushere-Lyantonde-24h'!I103)</f>
        <v>0.5</v>
      </c>
      <c r="J103" s="49">
        <f>AVERAGE('26.10 Rushere-Lyantonde-24hr'!J103,'28.10 Rushere-Lyantonde-24h'!J103)</f>
        <v>1</v>
      </c>
      <c r="K103" s="49">
        <f>AVERAGE('26.10 Rushere-Lyantonde-24hr'!K103,'28.10 Rushere-Lyantonde-24h'!K103)</f>
        <v>0.5</v>
      </c>
      <c r="L103" s="49">
        <f>AVERAGE('26.10 Rushere-Lyantonde-24hr'!L103,'28.10 Rushere-Lyantonde-24h'!L103)</f>
        <v>0</v>
      </c>
      <c r="M103" s="49">
        <f>AVERAGE('26.10 Rushere-Lyantonde-24hr'!M103,'28.10 Rushere-Lyantonde-24h'!M103)</f>
        <v>1</v>
      </c>
      <c r="N103" s="49">
        <f>AVERAGE('26.10 Rushere-Lyantonde-24hr'!N103,'28.10 Rushere-Lyantonde-24h'!N103)</f>
        <v>0</v>
      </c>
      <c r="O103" s="15">
        <f t="shared" si="35"/>
        <v>8.5</v>
      </c>
      <c r="P103" s="15">
        <f t="shared" si="36"/>
        <v>9.5</v>
      </c>
      <c r="R103" s="8"/>
      <c r="T103"/>
    </row>
    <row r="104" spans="2:20" ht="23.1" customHeight="1" x14ac:dyDescent="0.25">
      <c r="B104" s="25" t="s">
        <v>144</v>
      </c>
      <c r="C104" s="49">
        <f>AVERAGE('26.10 Rushere-Lyantonde-24hr'!C104,'28.10 Rushere-Lyantonde-24h'!C104)</f>
        <v>2.5</v>
      </c>
      <c r="D104" s="49">
        <f>AVERAGE('26.10 Rushere-Lyantonde-24hr'!D104,'28.10 Rushere-Lyantonde-24h'!D104)</f>
        <v>0.5</v>
      </c>
      <c r="E104" s="49">
        <f>AVERAGE('26.10 Rushere-Lyantonde-24hr'!E104,'28.10 Rushere-Lyantonde-24h'!E104)</f>
        <v>1</v>
      </c>
      <c r="F104" s="49">
        <f>AVERAGE('26.10 Rushere-Lyantonde-24hr'!F104,'28.10 Rushere-Lyantonde-24h'!F104)</f>
        <v>0</v>
      </c>
      <c r="G104" s="49">
        <f>AVERAGE('26.10 Rushere-Lyantonde-24hr'!G104,'28.10 Rushere-Lyantonde-24h'!G104)</f>
        <v>0</v>
      </c>
      <c r="H104" s="49">
        <f>AVERAGE('26.10 Rushere-Lyantonde-24hr'!H104,'28.10 Rushere-Lyantonde-24h'!H104)</f>
        <v>0</v>
      </c>
      <c r="I104" s="49">
        <f>AVERAGE('26.10 Rushere-Lyantonde-24hr'!I104,'28.10 Rushere-Lyantonde-24h'!I104)</f>
        <v>0.5</v>
      </c>
      <c r="J104" s="49">
        <f>AVERAGE('26.10 Rushere-Lyantonde-24hr'!J104,'28.10 Rushere-Lyantonde-24h'!J104)</f>
        <v>2</v>
      </c>
      <c r="K104" s="49">
        <f>AVERAGE('26.10 Rushere-Lyantonde-24hr'!K104,'28.10 Rushere-Lyantonde-24h'!K104)</f>
        <v>1</v>
      </c>
      <c r="L104" s="49">
        <f>AVERAGE('26.10 Rushere-Lyantonde-24hr'!L104,'28.10 Rushere-Lyantonde-24h'!L104)</f>
        <v>0</v>
      </c>
      <c r="M104" s="49">
        <f>AVERAGE('26.10 Rushere-Lyantonde-24hr'!M104,'28.10 Rushere-Lyantonde-24h'!M104)</f>
        <v>3</v>
      </c>
      <c r="N104" s="49">
        <f>AVERAGE('26.10 Rushere-Lyantonde-24hr'!N104,'28.10 Rushere-Lyantonde-24h'!N104)</f>
        <v>0</v>
      </c>
      <c r="O104" s="15">
        <f t="shared" si="35"/>
        <v>7.5</v>
      </c>
      <c r="P104" s="15">
        <f t="shared" si="36"/>
        <v>10.5</v>
      </c>
      <c r="R104" s="8"/>
      <c r="T104"/>
    </row>
    <row r="105" spans="2:20" ht="23.1" customHeight="1" x14ac:dyDescent="0.25">
      <c r="B105" s="23" t="s">
        <v>145</v>
      </c>
      <c r="C105" s="49">
        <f>AVERAGE('26.10 Rushere-Lyantonde-24hr'!C105,'28.10 Rushere-Lyantonde-24h'!C105)</f>
        <v>3</v>
      </c>
      <c r="D105" s="49">
        <f>AVERAGE('26.10 Rushere-Lyantonde-24hr'!D105,'28.10 Rushere-Lyantonde-24h'!D105)</f>
        <v>2.5</v>
      </c>
      <c r="E105" s="49">
        <f>AVERAGE('26.10 Rushere-Lyantonde-24hr'!E105,'28.10 Rushere-Lyantonde-24h'!E105)</f>
        <v>1.5</v>
      </c>
      <c r="F105" s="49">
        <f>AVERAGE('26.10 Rushere-Lyantonde-24hr'!F105,'28.10 Rushere-Lyantonde-24h'!F105)</f>
        <v>0</v>
      </c>
      <c r="G105" s="49">
        <f>AVERAGE('26.10 Rushere-Lyantonde-24hr'!G105,'28.10 Rushere-Lyantonde-24h'!G105)</f>
        <v>0.5</v>
      </c>
      <c r="H105" s="49">
        <f>AVERAGE('26.10 Rushere-Lyantonde-24hr'!H105,'28.10 Rushere-Lyantonde-24h'!H105)</f>
        <v>0</v>
      </c>
      <c r="I105" s="49">
        <f>AVERAGE('26.10 Rushere-Lyantonde-24hr'!I105,'28.10 Rushere-Lyantonde-24h'!I105)</f>
        <v>1</v>
      </c>
      <c r="J105" s="49">
        <f>AVERAGE('26.10 Rushere-Lyantonde-24hr'!J105,'28.10 Rushere-Lyantonde-24h'!J105)</f>
        <v>1</v>
      </c>
      <c r="K105" s="49">
        <f>AVERAGE('26.10 Rushere-Lyantonde-24hr'!K105,'28.10 Rushere-Lyantonde-24h'!K105)</f>
        <v>0</v>
      </c>
      <c r="L105" s="49">
        <f>AVERAGE('26.10 Rushere-Lyantonde-24hr'!L105,'28.10 Rushere-Lyantonde-24h'!L105)</f>
        <v>0</v>
      </c>
      <c r="M105" s="49">
        <f>AVERAGE('26.10 Rushere-Lyantonde-24hr'!M105,'28.10 Rushere-Lyantonde-24h'!M105)</f>
        <v>4</v>
      </c>
      <c r="N105" s="49">
        <f>AVERAGE('26.10 Rushere-Lyantonde-24hr'!N105,'28.10 Rushere-Lyantonde-24h'!N105)</f>
        <v>0</v>
      </c>
      <c r="O105" s="15">
        <f t="shared" si="35"/>
        <v>9.5</v>
      </c>
      <c r="P105" s="15">
        <f t="shared" si="36"/>
        <v>13.5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270.64285714285711</v>
      </c>
      <c r="D106" s="16">
        <f t="shared" ref="D106:P106" si="37">SUM(D10:D105)</f>
        <v>101.21428571428571</v>
      </c>
      <c r="E106" s="16">
        <f t="shared" si="37"/>
        <v>75.928571428571445</v>
      </c>
      <c r="F106" s="16">
        <f t="shared" si="37"/>
        <v>18.214285714285715</v>
      </c>
      <c r="G106" s="16">
        <f t="shared" si="37"/>
        <v>4.4285714285714279</v>
      </c>
      <c r="H106" s="16">
        <f t="shared" si="37"/>
        <v>7.2857142857142856</v>
      </c>
      <c r="I106" s="16">
        <f t="shared" si="37"/>
        <v>65.857142857142861</v>
      </c>
      <c r="J106" s="16">
        <f t="shared" si="37"/>
        <v>65.071428571428584</v>
      </c>
      <c r="K106" s="16">
        <f t="shared" si="37"/>
        <v>35</v>
      </c>
      <c r="L106" s="16">
        <f t="shared" si="37"/>
        <v>23.642857142857146</v>
      </c>
      <c r="M106" s="16">
        <f t="shared" si="37"/>
        <v>327.92857142857139</v>
      </c>
      <c r="N106" s="16">
        <f t="shared" si="37"/>
        <v>0.5714285714285714</v>
      </c>
      <c r="O106" s="16">
        <f t="shared" si="37"/>
        <v>667.85714285714289</v>
      </c>
      <c r="P106" s="16">
        <f t="shared" si="37"/>
        <v>995.78571428571433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0.27178825048418331</v>
      </c>
      <c r="D107" s="43">
        <f t="shared" si="38"/>
        <v>0.10164263682662648</v>
      </c>
      <c r="E107" s="43">
        <f t="shared" si="38"/>
        <v>7.6249910336417773E-2</v>
      </c>
      <c r="F107" s="43">
        <f t="shared" si="38"/>
        <v>1.8291370776845277E-2</v>
      </c>
      <c r="G107" s="43">
        <f t="shared" si="38"/>
        <v>4.4473136790761057E-3</v>
      </c>
      <c r="H107" s="43">
        <f t="shared" si="38"/>
        <v>7.3165483107381097E-3</v>
      </c>
      <c r="I107" s="43">
        <f t="shared" si="38"/>
        <v>6.6135858259809194E-2</v>
      </c>
      <c r="J107" s="43">
        <f t="shared" si="38"/>
        <v>6.5346818736102152E-2</v>
      </c>
      <c r="K107" s="43">
        <f t="shared" si="38"/>
        <v>3.5148124237859547E-2</v>
      </c>
      <c r="L107" s="43">
        <f t="shared" si="38"/>
        <v>2.3742916577003087E-2</v>
      </c>
      <c r="M107" s="43">
        <f t="shared" si="38"/>
        <v>0.32931640484900648</v>
      </c>
      <c r="N107" s="43">
        <f t="shared" si="38"/>
        <v>5.7384692633240079E-4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0.40524064171122987</v>
      </c>
      <c r="D108" s="44">
        <f t="shared" ref="D108:N108" si="39">D106/$O$106</f>
        <v>0.1515508021390374</v>
      </c>
      <c r="E108" s="44">
        <f t="shared" si="39"/>
        <v>0.11368983957219253</v>
      </c>
      <c r="F108" s="44">
        <f t="shared" si="39"/>
        <v>2.7272727272727271E-2</v>
      </c>
      <c r="G108" s="44">
        <f t="shared" si="39"/>
        <v>6.6310160427807477E-3</v>
      </c>
      <c r="H108" s="44">
        <f t="shared" si="39"/>
        <v>1.0909090909090908E-2</v>
      </c>
      <c r="I108" s="44">
        <f t="shared" si="39"/>
        <v>9.8609625668449205E-2</v>
      </c>
      <c r="J108" s="44">
        <f t="shared" si="39"/>
        <v>9.7433155080213912E-2</v>
      </c>
      <c r="K108" s="44">
        <f t="shared" si="39"/>
        <v>5.2406417112299465E-2</v>
      </c>
      <c r="L108" s="44">
        <f t="shared" si="39"/>
        <v>3.5401069518716577E-2</v>
      </c>
      <c r="M108" s="44"/>
      <c r="N108" s="44">
        <f t="shared" si="39"/>
        <v>8.5561497326203204E-4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tabSelected="1" view="pageBreakPreview" topLeftCell="K52" zoomScale="60" workbookViewId="0">
      <selection activeCell="AC58" sqref="AC58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'31.10 Rushere-Lyantonde'!C3:G3</f>
        <v>MCC- C4- TN103 - LYANTONDE-RUSHERE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162</v>
      </c>
      <c r="E5" s="66"/>
      <c r="F5" s="41" t="s">
        <v>1</v>
      </c>
      <c r="G5" s="63" t="str">
        <f>'Avg Week Rushere-Lyantonde'!G5:H5</f>
        <v>Kaguta road JTC</v>
      </c>
      <c r="H5" s="64"/>
      <c r="I5" s="14"/>
      <c r="J5" s="2" t="s">
        <v>5</v>
      </c>
      <c r="K5" s="63" t="str">
        <f>'Avg Week Rushere-Lyantonde'!K5:L5</f>
        <v>XXXX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Rushere-Lyantonde'!K6:L6</f>
        <v>Nusulah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Lyantonde-Rushere'!C10+'Avg Week Rushere-Lyantonde'!C10</f>
        <v>3.7142857142857144</v>
      </c>
      <c r="D10" s="49">
        <f>'Avg Week Lyantonde-Rushere'!D10+'Avg Week Rushere-Lyantonde'!D10</f>
        <v>2</v>
      </c>
      <c r="E10" s="49">
        <f>'Avg Week Lyantonde-Rushere'!E10+'Avg Week Rushere-Lyantonde'!E10</f>
        <v>1.7142857142857144</v>
      </c>
      <c r="F10" s="49">
        <f>'Avg Week Lyantonde-Rushere'!F10+'Avg Week Rushere-Lyantonde'!F10</f>
        <v>1.7142857142857144</v>
      </c>
      <c r="G10" s="49">
        <f>'Avg Week Lyantonde-Rushere'!G10+'Avg Week Rushere-Lyantonde'!G10</f>
        <v>0.14285714285714285</v>
      </c>
      <c r="H10" s="49">
        <f>'Avg Week Lyantonde-Rushere'!H10+'Avg Week Rushere-Lyantonde'!H10</f>
        <v>0.14285714285714285</v>
      </c>
      <c r="I10" s="49">
        <f>'Avg Week Lyantonde-Rushere'!I10+'Avg Week Rushere-Lyantonde'!I10</f>
        <v>1.2857142857142856</v>
      </c>
      <c r="J10" s="49">
        <f>'Avg Week Lyantonde-Rushere'!J10+'Avg Week Rushere-Lyantonde'!J10</f>
        <v>2</v>
      </c>
      <c r="K10" s="49">
        <f>'Avg Week Lyantonde-Rushere'!K10+'Avg Week Rushere-Lyantonde'!K10</f>
        <v>0.2857142857142857</v>
      </c>
      <c r="L10" s="49">
        <f>'Avg Week Lyantonde-Rushere'!L10+'Avg Week Rushere-Lyantonde'!L10</f>
        <v>0.14285714285714285</v>
      </c>
      <c r="M10" s="49">
        <f>'Avg Week Lyantonde-Rushere'!M10+'Avg Week Rushere-Lyantonde'!M10</f>
        <v>8.8571428571428577</v>
      </c>
      <c r="N10" s="49">
        <f>'Avg Week Lyantonde-Rushere'!N10+'Avg Week Rushere-Lyantonde'!N10</f>
        <v>0</v>
      </c>
      <c r="O10" s="15">
        <f t="shared" ref="O10:O73" si="0">SUM(C10:L10,N10)</f>
        <v>13.142857142857141</v>
      </c>
      <c r="P10" s="15">
        <f t="shared" ref="P10:P73" si="1">SUM(C10:N10)</f>
        <v>22</v>
      </c>
      <c r="R10" s="1" t="s">
        <v>6</v>
      </c>
      <c r="S10" s="17">
        <f t="shared" ref="S10:AF10" si="2">SUM(C10:C13)</f>
        <v>20.000000000000004</v>
      </c>
      <c r="T10" s="17">
        <f t="shared" si="2"/>
        <v>7.8571428571428577</v>
      </c>
      <c r="U10" s="17">
        <f t="shared" si="2"/>
        <v>4</v>
      </c>
      <c r="V10" s="17">
        <f t="shared" si="2"/>
        <v>3.2857142857142856</v>
      </c>
      <c r="W10" s="17">
        <f t="shared" si="2"/>
        <v>0.14285714285714285</v>
      </c>
      <c r="X10" s="17">
        <f t="shared" si="2"/>
        <v>0.2857142857142857</v>
      </c>
      <c r="Y10" s="17">
        <f t="shared" si="2"/>
        <v>3.8571428571428568</v>
      </c>
      <c r="Z10" s="17">
        <f t="shared" si="2"/>
        <v>4.2857142857142856</v>
      </c>
      <c r="AA10" s="17">
        <f t="shared" si="2"/>
        <v>2.8571428571428572</v>
      </c>
      <c r="AB10" s="17">
        <f t="shared" si="2"/>
        <v>0.8571428571428571</v>
      </c>
      <c r="AC10" s="17">
        <f t="shared" si="2"/>
        <v>31.571428571428569</v>
      </c>
      <c r="AD10" s="17">
        <f t="shared" si="2"/>
        <v>0.2857142857142857</v>
      </c>
      <c r="AE10" s="31">
        <f t="shared" si="2"/>
        <v>47.714285714285715</v>
      </c>
      <c r="AF10" s="31">
        <f t="shared" si="2"/>
        <v>79.285714285714278</v>
      </c>
    </row>
    <row r="11" spans="2:32" s="6" customFormat="1" ht="23.1" customHeight="1" x14ac:dyDescent="0.25">
      <c r="B11" s="23" t="s">
        <v>38</v>
      </c>
      <c r="C11" s="49">
        <f>'Avg Week Lyantonde-Rushere'!C11+'Avg Week Rushere-Lyantonde'!C11</f>
        <v>4.8571428571428577</v>
      </c>
      <c r="D11" s="49">
        <f>'Avg Week Lyantonde-Rushere'!D11+'Avg Week Rushere-Lyantonde'!D11</f>
        <v>1.4285714285714284</v>
      </c>
      <c r="E11" s="49">
        <f>'Avg Week Lyantonde-Rushere'!E11+'Avg Week Rushere-Lyantonde'!E11</f>
        <v>0.8571428571428571</v>
      </c>
      <c r="F11" s="49">
        <f>'Avg Week Lyantonde-Rushere'!F11+'Avg Week Rushere-Lyantonde'!F11</f>
        <v>0.85714285714285721</v>
      </c>
      <c r="G11" s="49">
        <f>'Avg Week Lyantonde-Rushere'!G11+'Avg Week Rushere-Lyantonde'!G11</f>
        <v>0</v>
      </c>
      <c r="H11" s="49">
        <f>'Avg Week Lyantonde-Rushere'!H11+'Avg Week Rushere-Lyantonde'!H11</f>
        <v>0.14285714285714285</v>
      </c>
      <c r="I11" s="49">
        <f>'Avg Week Lyantonde-Rushere'!I11+'Avg Week Rushere-Lyantonde'!I11</f>
        <v>0.8571428571428571</v>
      </c>
      <c r="J11" s="49">
        <f>'Avg Week Lyantonde-Rushere'!J11+'Avg Week Rushere-Lyantonde'!J11</f>
        <v>0.7142857142857143</v>
      </c>
      <c r="K11" s="49">
        <f>'Avg Week Lyantonde-Rushere'!K11+'Avg Week Rushere-Lyantonde'!K11</f>
        <v>1.5714285714285714</v>
      </c>
      <c r="L11" s="49">
        <f>'Avg Week Lyantonde-Rushere'!L11+'Avg Week Rushere-Lyantonde'!L11</f>
        <v>0.2857142857142857</v>
      </c>
      <c r="M11" s="49">
        <f>'Avg Week Lyantonde-Rushere'!M11+'Avg Week Rushere-Lyantonde'!M11</f>
        <v>6.4285714285714288</v>
      </c>
      <c r="N11" s="49">
        <f>'Avg Week Lyantonde-Rushere'!N11+'Avg Week Rushere-Lyantonde'!N11</f>
        <v>0</v>
      </c>
      <c r="O11" s="15">
        <f t="shared" si="0"/>
        <v>11.571428571428571</v>
      </c>
      <c r="P11" s="15">
        <f t="shared" si="1"/>
        <v>18</v>
      </c>
      <c r="R11" s="1" t="s">
        <v>7</v>
      </c>
      <c r="S11" s="17">
        <f t="shared" ref="S11:AF11" si="3">SUM(C14:C17)</f>
        <v>19.714285714285715</v>
      </c>
      <c r="T11" s="17">
        <f t="shared" si="3"/>
        <v>4.8571428571428568</v>
      </c>
      <c r="U11" s="17">
        <f t="shared" si="3"/>
        <v>2.5714285714285712</v>
      </c>
      <c r="V11" s="17">
        <f t="shared" si="3"/>
        <v>1.2857142857142856</v>
      </c>
      <c r="W11" s="17">
        <f t="shared" si="3"/>
        <v>0.14285714285714285</v>
      </c>
      <c r="X11" s="17">
        <f t="shared" si="3"/>
        <v>0.42857142857142855</v>
      </c>
      <c r="Y11" s="17">
        <f t="shared" si="3"/>
        <v>2.5714285714285712</v>
      </c>
      <c r="Z11" s="17">
        <f t="shared" si="3"/>
        <v>2</v>
      </c>
      <c r="AA11" s="17">
        <f t="shared" si="3"/>
        <v>1.5714285714285712</v>
      </c>
      <c r="AB11" s="17">
        <f t="shared" si="3"/>
        <v>1.4285714285714284</v>
      </c>
      <c r="AC11" s="17">
        <f t="shared" si="3"/>
        <v>33.285714285714285</v>
      </c>
      <c r="AD11" s="17">
        <f t="shared" si="3"/>
        <v>0</v>
      </c>
      <c r="AE11" s="31">
        <f t="shared" si="3"/>
        <v>36.571428571428569</v>
      </c>
      <c r="AF11" s="31">
        <f t="shared" si="3"/>
        <v>69.857142857142861</v>
      </c>
    </row>
    <row r="12" spans="2:32" ht="23.1" customHeight="1" x14ac:dyDescent="0.25">
      <c r="B12" s="23" t="s">
        <v>39</v>
      </c>
      <c r="C12" s="49">
        <f>'Avg Week Lyantonde-Rushere'!C12+'Avg Week Rushere-Lyantonde'!C12</f>
        <v>5.7142857142857144</v>
      </c>
      <c r="D12" s="49">
        <f>'Avg Week Lyantonde-Rushere'!D12+'Avg Week Rushere-Lyantonde'!D12</f>
        <v>2</v>
      </c>
      <c r="E12" s="49">
        <f>'Avg Week Lyantonde-Rushere'!E12+'Avg Week Rushere-Lyantonde'!E12</f>
        <v>0.8571428571428571</v>
      </c>
      <c r="F12" s="49">
        <f>'Avg Week Lyantonde-Rushere'!F12+'Avg Week Rushere-Lyantonde'!F12</f>
        <v>0.2857142857142857</v>
      </c>
      <c r="G12" s="49">
        <f>'Avg Week Lyantonde-Rushere'!G12+'Avg Week Rushere-Lyantonde'!G12</f>
        <v>0</v>
      </c>
      <c r="H12" s="49">
        <f>'Avg Week Lyantonde-Rushere'!H12+'Avg Week Rushere-Lyantonde'!H12</f>
        <v>0</v>
      </c>
      <c r="I12" s="49">
        <f>'Avg Week Lyantonde-Rushere'!I12+'Avg Week Rushere-Lyantonde'!I12</f>
        <v>1.2857142857142856</v>
      </c>
      <c r="J12" s="49">
        <f>'Avg Week Lyantonde-Rushere'!J12+'Avg Week Rushere-Lyantonde'!J12</f>
        <v>0.85714285714285721</v>
      </c>
      <c r="K12" s="49">
        <f>'Avg Week Lyantonde-Rushere'!K12+'Avg Week Rushere-Lyantonde'!K12</f>
        <v>1</v>
      </c>
      <c r="L12" s="49">
        <f>'Avg Week Lyantonde-Rushere'!L12+'Avg Week Rushere-Lyantonde'!L12</f>
        <v>0</v>
      </c>
      <c r="M12" s="49">
        <f>'Avg Week Lyantonde-Rushere'!M12+'Avg Week Rushere-Lyantonde'!M12</f>
        <v>8.2857142857142847</v>
      </c>
      <c r="N12" s="49">
        <f>'Avg Week Lyantonde-Rushere'!N12+'Avg Week Rushere-Lyantonde'!N12</f>
        <v>0.2857142857142857</v>
      </c>
      <c r="O12" s="15">
        <f t="shared" si="0"/>
        <v>12.285714285714286</v>
      </c>
      <c r="P12" s="15">
        <f t="shared" si="1"/>
        <v>20.571428571428569</v>
      </c>
      <c r="R12" s="1" t="s">
        <v>8</v>
      </c>
      <c r="S12" s="17">
        <f t="shared" ref="S12:AF12" si="4">SUM(C18:C21)</f>
        <v>22.285714285714285</v>
      </c>
      <c r="T12" s="17">
        <f t="shared" si="4"/>
        <v>9.8571428571428577</v>
      </c>
      <c r="U12" s="17">
        <f t="shared" si="4"/>
        <v>4.7142857142857144</v>
      </c>
      <c r="V12" s="17">
        <f t="shared" si="4"/>
        <v>1.5714285714285712</v>
      </c>
      <c r="W12" s="17">
        <f t="shared" si="4"/>
        <v>0</v>
      </c>
      <c r="X12" s="17">
        <f t="shared" si="4"/>
        <v>0.85714285714285698</v>
      </c>
      <c r="Y12" s="17">
        <f t="shared" si="4"/>
        <v>2.2857142857142856</v>
      </c>
      <c r="Z12" s="17">
        <f t="shared" si="4"/>
        <v>1.8571428571428568</v>
      </c>
      <c r="AA12" s="17">
        <f t="shared" si="4"/>
        <v>1.2857142857142856</v>
      </c>
      <c r="AB12" s="17">
        <f t="shared" si="4"/>
        <v>0.2857142857142857</v>
      </c>
      <c r="AC12" s="17">
        <f t="shared" si="4"/>
        <v>41.285714285714285</v>
      </c>
      <c r="AD12" s="17">
        <f t="shared" si="4"/>
        <v>0.2857142857142857</v>
      </c>
      <c r="AE12" s="31">
        <f t="shared" si="4"/>
        <v>45.285714285714285</v>
      </c>
      <c r="AF12" s="31">
        <f t="shared" si="4"/>
        <v>86.571428571428584</v>
      </c>
    </row>
    <row r="13" spans="2:32" ht="23.1" customHeight="1" x14ac:dyDescent="0.25">
      <c r="B13" s="23" t="s">
        <v>40</v>
      </c>
      <c r="C13" s="49">
        <f>'Avg Week Lyantonde-Rushere'!C13+'Avg Week Rushere-Lyantonde'!C13</f>
        <v>5.7142857142857144</v>
      </c>
      <c r="D13" s="49">
        <f>'Avg Week Lyantonde-Rushere'!D13+'Avg Week Rushere-Lyantonde'!D13</f>
        <v>2.4285714285714288</v>
      </c>
      <c r="E13" s="49">
        <f>'Avg Week Lyantonde-Rushere'!E13+'Avg Week Rushere-Lyantonde'!E13</f>
        <v>0.5714285714285714</v>
      </c>
      <c r="F13" s="49">
        <f>'Avg Week Lyantonde-Rushere'!F13+'Avg Week Rushere-Lyantonde'!F13</f>
        <v>0.42857142857142855</v>
      </c>
      <c r="G13" s="49">
        <f>'Avg Week Lyantonde-Rushere'!G13+'Avg Week Rushere-Lyantonde'!G13</f>
        <v>0</v>
      </c>
      <c r="H13" s="49">
        <f>'Avg Week Lyantonde-Rushere'!H13+'Avg Week Rushere-Lyantonde'!H13</f>
        <v>0</v>
      </c>
      <c r="I13" s="49">
        <f>'Avg Week Lyantonde-Rushere'!I13+'Avg Week Rushere-Lyantonde'!I13</f>
        <v>0.42857142857142855</v>
      </c>
      <c r="J13" s="49">
        <f>'Avg Week Lyantonde-Rushere'!J13+'Avg Week Rushere-Lyantonde'!J13</f>
        <v>0.71428571428571419</v>
      </c>
      <c r="K13" s="49">
        <f>'Avg Week Lyantonde-Rushere'!K13+'Avg Week Rushere-Lyantonde'!K13</f>
        <v>0</v>
      </c>
      <c r="L13" s="49">
        <f>'Avg Week Lyantonde-Rushere'!L13+'Avg Week Rushere-Lyantonde'!L13</f>
        <v>0.42857142857142855</v>
      </c>
      <c r="M13" s="49">
        <f>'Avg Week Lyantonde-Rushere'!M13+'Avg Week Rushere-Lyantonde'!M13</f>
        <v>8</v>
      </c>
      <c r="N13" s="49">
        <f>'Avg Week Lyantonde-Rushere'!N13+'Avg Week Rushere-Lyantonde'!N13</f>
        <v>0</v>
      </c>
      <c r="O13" s="15">
        <f t="shared" si="0"/>
        <v>10.714285714285714</v>
      </c>
      <c r="P13" s="15">
        <f t="shared" si="1"/>
        <v>18.714285714285715</v>
      </c>
      <c r="R13" s="1" t="s">
        <v>9</v>
      </c>
      <c r="S13" s="17">
        <f t="shared" ref="S13:AF13" si="5">SUM(C22:C25)</f>
        <v>25.857142857142861</v>
      </c>
      <c r="T13" s="17">
        <f t="shared" si="5"/>
        <v>8.5714285714285712</v>
      </c>
      <c r="U13" s="17">
        <f t="shared" si="5"/>
        <v>5.1428571428571423</v>
      </c>
      <c r="V13" s="17">
        <f t="shared" si="5"/>
        <v>1.2857142857142856</v>
      </c>
      <c r="W13" s="17">
        <f t="shared" si="5"/>
        <v>0.71428571428571419</v>
      </c>
      <c r="X13" s="17">
        <f t="shared" si="5"/>
        <v>0.71428571428571419</v>
      </c>
      <c r="Y13" s="17">
        <f t="shared" si="5"/>
        <v>4.2857142857142856</v>
      </c>
      <c r="Z13" s="17">
        <f t="shared" si="5"/>
        <v>2</v>
      </c>
      <c r="AA13" s="17">
        <f t="shared" si="5"/>
        <v>0.5714285714285714</v>
      </c>
      <c r="AB13" s="17">
        <f t="shared" si="5"/>
        <v>0.85714285714285698</v>
      </c>
      <c r="AC13" s="17">
        <f t="shared" si="5"/>
        <v>43.285714285714292</v>
      </c>
      <c r="AD13" s="17">
        <f t="shared" si="5"/>
        <v>0.14285714285714285</v>
      </c>
      <c r="AE13" s="31">
        <f t="shared" si="5"/>
        <v>50.142857142857146</v>
      </c>
      <c r="AF13" s="31">
        <f t="shared" si="5"/>
        <v>93.428571428571431</v>
      </c>
    </row>
    <row r="14" spans="2:32" ht="23.1" customHeight="1" x14ac:dyDescent="0.25">
      <c r="B14" s="23" t="s">
        <v>41</v>
      </c>
      <c r="C14" s="49">
        <f>'Avg Week Lyantonde-Rushere'!C14+'Avg Week Rushere-Lyantonde'!C14</f>
        <v>5.5714285714285712</v>
      </c>
      <c r="D14" s="49">
        <f>'Avg Week Lyantonde-Rushere'!D14+'Avg Week Rushere-Lyantonde'!D14</f>
        <v>1.4285714285714286</v>
      </c>
      <c r="E14" s="49">
        <f>'Avg Week Lyantonde-Rushere'!E14+'Avg Week Rushere-Lyantonde'!E14</f>
        <v>0.85714285714285721</v>
      </c>
      <c r="F14" s="49">
        <f>'Avg Week Lyantonde-Rushere'!F14+'Avg Week Rushere-Lyantonde'!F14</f>
        <v>0.14285714285714285</v>
      </c>
      <c r="G14" s="49">
        <f>'Avg Week Lyantonde-Rushere'!G14+'Avg Week Rushere-Lyantonde'!G14</f>
        <v>0</v>
      </c>
      <c r="H14" s="49">
        <f>'Avg Week Lyantonde-Rushere'!H14+'Avg Week Rushere-Lyantonde'!H14</f>
        <v>0.14285714285714285</v>
      </c>
      <c r="I14" s="49">
        <f>'Avg Week Lyantonde-Rushere'!I14+'Avg Week Rushere-Lyantonde'!I14</f>
        <v>0.14285714285714285</v>
      </c>
      <c r="J14" s="49">
        <f>'Avg Week Lyantonde-Rushere'!J14+'Avg Week Rushere-Lyantonde'!J14</f>
        <v>0.14285714285714285</v>
      </c>
      <c r="K14" s="49">
        <f>'Avg Week Lyantonde-Rushere'!K14+'Avg Week Rushere-Lyantonde'!K14</f>
        <v>0.2857142857142857</v>
      </c>
      <c r="L14" s="49">
        <f>'Avg Week Lyantonde-Rushere'!L14+'Avg Week Rushere-Lyantonde'!L14</f>
        <v>0.8571428571428571</v>
      </c>
      <c r="M14" s="49">
        <f>'Avg Week Lyantonde-Rushere'!M14+'Avg Week Rushere-Lyantonde'!M14</f>
        <v>7</v>
      </c>
      <c r="N14" s="49">
        <f>'Avg Week Lyantonde-Rushere'!N14+'Avg Week Rushere-Lyantonde'!N14</f>
        <v>0</v>
      </c>
      <c r="O14" s="15">
        <f t="shared" si="0"/>
        <v>9.5714285714285712</v>
      </c>
      <c r="P14" s="15">
        <f t="shared" si="1"/>
        <v>16.571428571428569</v>
      </c>
      <c r="R14" s="1" t="s">
        <v>10</v>
      </c>
      <c r="S14" s="17">
        <f t="shared" ref="S14:AF14" si="6">SUM(C26:C29)</f>
        <v>27.142857142857146</v>
      </c>
      <c r="T14" s="17">
        <f t="shared" si="6"/>
        <v>10.142857142857142</v>
      </c>
      <c r="U14" s="17">
        <f t="shared" si="6"/>
        <v>6.2857142857142847</v>
      </c>
      <c r="V14" s="17">
        <f t="shared" si="6"/>
        <v>1.5714285714285714</v>
      </c>
      <c r="W14" s="17">
        <f t="shared" si="6"/>
        <v>0.42857142857142855</v>
      </c>
      <c r="X14" s="17">
        <f t="shared" si="6"/>
        <v>0.14285714285714285</v>
      </c>
      <c r="Y14" s="17">
        <f t="shared" si="6"/>
        <v>4.8571428571428568</v>
      </c>
      <c r="Z14" s="17">
        <f t="shared" si="6"/>
        <v>3.714285714285714</v>
      </c>
      <c r="AA14" s="17">
        <f t="shared" si="6"/>
        <v>1.1428571428571426</v>
      </c>
      <c r="AB14" s="17">
        <f t="shared" si="6"/>
        <v>1.1428571428571428</v>
      </c>
      <c r="AC14" s="17">
        <f t="shared" si="6"/>
        <v>55.571428571428569</v>
      </c>
      <c r="AD14" s="17">
        <f t="shared" si="6"/>
        <v>0.14285714285714285</v>
      </c>
      <c r="AE14" s="31">
        <f t="shared" si="6"/>
        <v>56.714285714285708</v>
      </c>
      <c r="AF14" s="31">
        <f t="shared" si="6"/>
        <v>112.28571428571428</v>
      </c>
    </row>
    <row r="15" spans="2:32" ht="23.1" customHeight="1" x14ac:dyDescent="0.25">
      <c r="B15" s="23" t="s">
        <v>42</v>
      </c>
      <c r="C15" s="49">
        <f>'Avg Week Lyantonde-Rushere'!C15+'Avg Week Rushere-Lyantonde'!C15</f>
        <v>4.5714285714285712</v>
      </c>
      <c r="D15" s="49">
        <f>'Avg Week Lyantonde-Rushere'!D15+'Avg Week Rushere-Lyantonde'!D15</f>
        <v>0.8571428571428571</v>
      </c>
      <c r="E15" s="49">
        <f>'Avg Week Lyantonde-Rushere'!E15+'Avg Week Rushere-Lyantonde'!E15</f>
        <v>0.42857142857142855</v>
      </c>
      <c r="F15" s="49">
        <f>'Avg Week Lyantonde-Rushere'!F15+'Avg Week Rushere-Lyantonde'!F15</f>
        <v>0.42857142857142855</v>
      </c>
      <c r="G15" s="49">
        <f>'Avg Week Lyantonde-Rushere'!G15+'Avg Week Rushere-Lyantonde'!G15</f>
        <v>0</v>
      </c>
      <c r="H15" s="49">
        <f>'Avg Week Lyantonde-Rushere'!H15+'Avg Week Rushere-Lyantonde'!H15</f>
        <v>0.2857142857142857</v>
      </c>
      <c r="I15" s="49">
        <f>'Avg Week Lyantonde-Rushere'!I15+'Avg Week Rushere-Lyantonde'!I15</f>
        <v>0.8571428571428571</v>
      </c>
      <c r="J15" s="49">
        <f>'Avg Week Lyantonde-Rushere'!J15+'Avg Week Rushere-Lyantonde'!J15</f>
        <v>0.2857142857142857</v>
      </c>
      <c r="K15" s="49">
        <f>'Avg Week Lyantonde-Rushere'!K15+'Avg Week Rushere-Lyantonde'!K15</f>
        <v>0.42857142857142855</v>
      </c>
      <c r="L15" s="49">
        <f>'Avg Week Lyantonde-Rushere'!L15+'Avg Week Rushere-Lyantonde'!L15</f>
        <v>0.2857142857142857</v>
      </c>
      <c r="M15" s="49">
        <f>'Avg Week Lyantonde-Rushere'!M15+'Avg Week Rushere-Lyantonde'!M15</f>
        <v>7.4285714285714288</v>
      </c>
      <c r="N15" s="49">
        <f>'Avg Week Lyantonde-Rushere'!N15+'Avg Week Rushere-Lyantonde'!N15</f>
        <v>0</v>
      </c>
      <c r="O15" s="15">
        <f t="shared" si="0"/>
        <v>8.4285714285714288</v>
      </c>
      <c r="P15" s="15">
        <f t="shared" si="1"/>
        <v>15.857142857142858</v>
      </c>
      <c r="R15" s="1" t="s">
        <v>11</v>
      </c>
      <c r="S15" s="17">
        <f t="shared" ref="S15:AF15" si="7">SUM(C30:C33)</f>
        <v>31.428571428571431</v>
      </c>
      <c r="T15" s="17">
        <f t="shared" si="7"/>
        <v>13.142857142857142</v>
      </c>
      <c r="U15" s="17">
        <f t="shared" si="7"/>
        <v>4.8571428571428568</v>
      </c>
      <c r="V15" s="17">
        <f t="shared" si="7"/>
        <v>1.857142857142857</v>
      </c>
      <c r="W15" s="17">
        <f t="shared" si="7"/>
        <v>0</v>
      </c>
      <c r="X15" s="17">
        <f t="shared" si="7"/>
        <v>0</v>
      </c>
      <c r="Y15" s="17">
        <f t="shared" si="7"/>
        <v>2.8571428571428568</v>
      </c>
      <c r="Z15" s="17">
        <f t="shared" si="7"/>
        <v>4.5714285714285712</v>
      </c>
      <c r="AA15" s="17">
        <f t="shared" si="7"/>
        <v>2.4285714285714288</v>
      </c>
      <c r="AB15" s="17">
        <f t="shared" si="7"/>
        <v>2.1428571428571428</v>
      </c>
      <c r="AC15" s="17">
        <f t="shared" si="7"/>
        <v>48.714285714285722</v>
      </c>
      <c r="AD15" s="17">
        <f t="shared" si="7"/>
        <v>0</v>
      </c>
      <c r="AE15" s="31">
        <f t="shared" si="7"/>
        <v>63.285714285714285</v>
      </c>
      <c r="AF15" s="31">
        <f t="shared" si="7"/>
        <v>112</v>
      </c>
    </row>
    <row r="16" spans="2:32" ht="23.1" customHeight="1" x14ac:dyDescent="0.25">
      <c r="B16" s="23" t="s">
        <v>43</v>
      </c>
      <c r="C16" s="49">
        <f>'Avg Week Lyantonde-Rushere'!C16+'Avg Week Rushere-Lyantonde'!C16</f>
        <v>4.8571428571428577</v>
      </c>
      <c r="D16" s="49">
        <f>'Avg Week Lyantonde-Rushere'!D16+'Avg Week Rushere-Lyantonde'!D16</f>
        <v>1.7142857142857144</v>
      </c>
      <c r="E16" s="49">
        <f>'Avg Week Lyantonde-Rushere'!E16+'Avg Week Rushere-Lyantonde'!E16</f>
        <v>0.7142857142857143</v>
      </c>
      <c r="F16" s="49">
        <f>'Avg Week Lyantonde-Rushere'!F16+'Avg Week Rushere-Lyantonde'!F16</f>
        <v>0.42857142857142855</v>
      </c>
      <c r="G16" s="49">
        <f>'Avg Week Lyantonde-Rushere'!G16+'Avg Week Rushere-Lyantonde'!G16</f>
        <v>0</v>
      </c>
      <c r="H16" s="49">
        <f>'Avg Week Lyantonde-Rushere'!H16+'Avg Week Rushere-Lyantonde'!H16</f>
        <v>0</v>
      </c>
      <c r="I16" s="49">
        <f>'Avg Week Lyantonde-Rushere'!I16+'Avg Week Rushere-Lyantonde'!I16</f>
        <v>0.71428571428571419</v>
      </c>
      <c r="J16" s="49">
        <f>'Avg Week Lyantonde-Rushere'!J16+'Avg Week Rushere-Lyantonde'!J16</f>
        <v>0.71428571428571419</v>
      </c>
      <c r="K16" s="49">
        <f>'Avg Week Lyantonde-Rushere'!K16+'Avg Week Rushere-Lyantonde'!K16</f>
        <v>0.2857142857142857</v>
      </c>
      <c r="L16" s="49">
        <f>'Avg Week Lyantonde-Rushere'!L16+'Avg Week Rushere-Lyantonde'!L16</f>
        <v>0.14285714285714285</v>
      </c>
      <c r="M16" s="49">
        <f>'Avg Week Lyantonde-Rushere'!M16+'Avg Week Rushere-Lyantonde'!M16</f>
        <v>9.1428571428571423</v>
      </c>
      <c r="N16" s="49">
        <f>'Avg Week Lyantonde-Rushere'!N16+'Avg Week Rushere-Lyantonde'!N16</f>
        <v>0</v>
      </c>
      <c r="O16" s="15">
        <f t="shared" si="0"/>
        <v>9.5714285714285712</v>
      </c>
      <c r="P16" s="15">
        <f t="shared" si="1"/>
        <v>18.714285714285715</v>
      </c>
      <c r="R16" s="1" t="s">
        <v>12</v>
      </c>
      <c r="S16" s="17">
        <f t="shared" ref="S16:AF16" si="8">SUM(C34:C37)</f>
        <v>33.857142857142854</v>
      </c>
      <c r="T16" s="17">
        <f t="shared" si="8"/>
        <v>9.571428571428573</v>
      </c>
      <c r="U16" s="17">
        <f t="shared" si="8"/>
        <v>5.7142857142857144</v>
      </c>
      <c r="V16" s="17">
        <f t="shared" si="8"/>
        <v>1.1428571428571428</v>
      </c>
      <c r="W16" s="17">
        <f t="shared" si="8"/>
        <v>0.14285714285714285</v>
      </c>
      <c r="X16" s="17">
        <f t="shared" si="8"/>
        <v>0</v>
      </c>
      <c r="Y16" s="17">
        <f t="shared" si="8"/>
        <v>5.1428571428571423</v>
      </c>
      <c r="Z16" s="17">
        <f t="shared" si="8"/>
        <v>6</v>
      </c>
      <c r="AA16" s="17">
        <f t="shared" si="8"/>
        <v>1.9999999999999998</v>
      </c>
      <c r="AB16" s="17">
        <f t="shared" si="8"/>
        <v>1.4285714285714284</v>
      </c>
      <c r="AC16" s="17">
        <f t="shared" si="8"/>
        <v>42.428571428571431</v>
      </c>
      <c r="AD16" s="17">
        <f t="shared" si="8"/>
        <v>0.2857142857142857</v>
      </c>
      <c r="AE16" s="31">
        <f t="shared" si="8"/>
        <v>65.285714285714278</v>
      </c>
      <c r="AF16" s="31">
        <f t="shared" si="8"/>
        <v>107.71428571428572</v>
      </c>
    </row>
    <row r="17" spans="2:32" ht="23.1" customHeight="1" x14ac:dyDescent="0.25">
      <c r="B17" s="23" t="s">
        <v>44</v>
      </c>
      <c r="C17" s="49">
        <f>'Avg Week Lyantonde-Rushere'!C17+'Avg Week Rushere-Lyantonde'!C17</f>
        <v>4.7142857142857144</v>
      </c>
      <c r="D17" s="49">
        <f>'Avg Week Lyantonde-Rushere'!D17+'Avg Week Rushere-Lyantonde'!D17</f>
        <v>0.8571428571428571</v>
      </c>
      <c r="E17" s="49">
        <f>'Avg Week Lyantonde-Rushere'!E17+'Avg Week Rushere-Lyantonde'!E17</f>
        <v>0.5714285714285714</v>
      </c>
      <c r="F17" s="49">
        <f>'Avg Week Lyantonde-Rushere'!F17+'Avg Week Rushere-Lyantonde'!F17</f>
        <v>0.2857142857142857</v>
      </c>
      <c r="G17" s="49">
        <f>'Avg Week Lyantonde-Rushere'!G17+'Avg Week Rushere-Lyantonde'!G17</f>
        <v>0.14285714285714285</v>
      </c>
      <c r="H17" s="49">
        <f>'Avg Week Lyantonde-Rushere'!H17+'Avg Week Rushere-Lyantonde'!H17</f>
        <v>0</v>
      </c>
      <c r="I17" s="49">
        <f>'Avg Week Lyantonde-Rushere'!I17+'Avg Week Rushere-Lyantonde'!I17</f>
        <v>0.8571428571428571</v>
      </c>
      <c r="J17" s="49">
        <f>'Avg Week Lyantonde-Rushere'!J17+'Avg Week Rushere-Lyantonde'!J17</f>
        <v>0.8571428571428571</v>
      </c>
      <c r="K17" s="49">
        <f>'Avg Week Lyantonde-Rushere'!K17+'Avg Week Rushere-Lyantonde'!K17</f>
        <v>0.5714285714285714</v>
      </c>
      <c r="L17" s="49">
        <f>'Avg Week Lyantonde-Rushere'!L17+'Avg Week Rushere-Lyantonde'!L17</f>
        <v>0.14285714285714285</v>
      </c>
      <c r="M17" s="49">
        <f>'Avg Week Lyantonde-Rushere'!M17+'Avg Week Rushere-Lyantonde'!M17</f>
        <v>9.7142857142857135</v>
      </c>
      <c r="N17" s="49">
        <f>'Avg Week Lyantonde-Rushere'!N17+'Avg Week Rushere-Lyantonde'!N17</f>
        <v>0</v>
      </c>
      <c r="O17" s="15">
        <f t="shared" si="0"/>
        <v>8.9999999999999982</v>
      </c>
      <c r="P17" s="15">
        <f t="shared" si="1"/>
        <v>18.714285714285712</v>
      </c>
      <c r="R17" s="1" t="s">
        <v>13</v>
      </c>
      <c r="S17" s="17">
        <f t="shared" ref="S17:AF17" si="9">SUM(C38:C41)</f>
        <v>34</v>
      </c>
      <c r="T17" s="17">
        <f t="shared" si="9"/>
        <v>11</v>
      </c>
      <c r="U17" s="17">
        <f t="shared" si="9"/>
        <v>5.2857142857142865</v>
      </c>
      <c r="V17" s="17">
        <f t="shared" si="9"/>
        <v>0.71428571428571419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5.5714285714285703</v>
      </c>
      <c r="AA17" s="17">
        <f t="shared" si="9"/>
        <v>3.1428571428571428</v>
      </c>
      <c r="AB17" s="17">
        <f t="shared" si="9"/>
        <v>2.1428571428571428</v>
      </c>
      <c r="AC17" s="17">
        <f t="shared" si="9"/>
        <v>50.571428571428577</v>
      </c>
      <c r="AD17" s="17">
        <f t="shared" si="9"/>
        <v>0</v>
      </c>
      <c r="AE17" s="31">
        <f t="shared" si="9"/>
        <v>66.857142857142861</v>
      </c>
      <c r="AF17" s="31">
        <f t="shared" si="9"/>
        <v>117.42857142857143</v>
      </c>
    </row>
    <row r="18" spans="2:32" ht="23.1" customHeight="1" x14ac:dyDescent="0.25">
      <c r="B18" s="23" t="s">
        <v>45</v>
      </c>
      <c r="C18" s="49">
        <f>'Avg Week Lyantonde-Rushere'!C18+'Avg Week Rushere-Lyantonde'!C18</f>
        <v>5.4285714285714288</v>
      </c>
      <c r="D18" s="49">
        <f>'Avg Week Lyantonde-Rushere'!D18+'Avg Week Rushere-Lyantonde'!D18</f>
        <v>2.2857142857142856</v>
      </c>
      <c r="E18" s="49">
        <f>'Avg Week Lyantonde-Rushere'!E18+'Avg Week Rushere-Lyantonde'!E18</f>
        <v>1.2857142857142856</v>
      </c>
      <c r="F18" s="49">
        <f>'Avg Week Lyantonde-Rushere'!F18+'Avg Week Rushere-Lyantonde'!F18</f>
        <v>0.71428571428571419</v>
      </c>
      <c r="G18" s="49">
        <f>'Avg Week Lyantonde-Rushere'!G18+'Avg Week Rushere-Lyantonde'!G18</f>
        <v>0</v>
      </c>
      <c r="H18" s="49">
        <f>'Avg Week Lyantonde-Rushere'!H18+'Avg Week Rushere-Lyantonde'!H18</f>
        <v>0</v>
      </c>
      <c r="I18" s="49">
        <f>'Avg Week Lyantonde-Rushere'!I18+'Avg Week Rushere-Lyantonde'!I18</f>
        <v>0.42857142857142855</v>
      </c>
      <c r="J18" s="49">
        <f>'Avg Week Lyantonde-Rushere'!J18+'Avg Week Rushere-Lyantonde'!J18</f>
        <v>0.8571428571428571</v>
      </c>
      <c r="K18" s="49">
        <f>'Avg Week Lyantonde-Rushere'!K18+'Avg Week Rushere-Lyantonde'!K18</f>
        <v>0.2857142857142857</v>
      </c>
      <c r="L18" s="49">
        <f>'Avg Week Lyantonde-Rushere'!L18+'Avg Week Rushere-Lyantonde'!L18</f>
        <v>0</v>
      </c>
      <c r="M18" s="49">
        <f>'Avg Week Lyantonde-Rushere'!M18+'Avg Week Rushere-Lyantonde'!M18</f>
        <v>10.428571428571429</v>
      </c>
      <c r="N18" s="49">
        <f>'Avg Week Lyantonde-Rushere'!N18+'Avg Week Rushere-Lyantonde'!N18</f>
        <v>0</v>
      </c>
      <c r="O18" s="15">
        <f t="shared" si="0"/>
        <v>11.285714285714286</v>
      </c>
      <c r="P18" s="15">
        <f t="shared" si="1"/>
        <v>21.714285714285715</v>
      </c>
      <c r="R18" s="1" t="s">
        <v>14</v>
      </c>
      <c r="S18" s="17">
        <f t="shared" ref="S18:AF18" si="10">SUM(C42:C45)</f>
        <v>28.571428571428569</v>
      </c>
      <c r="T18" s="17">
        <f t="shared" si="10"/>
        <v>9.2857142857142865</v>
      </c>
      <c r="U18" s="17">
        <f t="shared" si="10"/>
        <v>6</v>
      </c>
      <c r="V18" s="17">
        <f t="shared" si="10"/>
        <v>0.71428571428571419</v>
      </c>
      <c r="W18" s="17">
        <f t="shared" si="10"/>
        <v>0.14285714285714285</v>
      </c>
      <c r="X18" s="17">
        <f t="shared" si="10"/>
        <v>0.71428571428571419</v>
      </c>
      <c r="Y18" s="17">
        <f t="shared" si="10"/>
        <v>8</v>
      </c>
      <c r="Z18" s="17">
        <f t="shared" si="10"/>
        <v>5.4285714285714279</v>
      </c>
      <c r="AA18" s="17">
        <f t="shared" si="10"/>
        <v>1.7142857142857142</v>
      </c>
      <c r="AB18" s="17">
        <f t="shared" si="10"/>
        <v>1.5714285714285714</v>
      </c>
      <c r="AC18" s="17">
        <f t="shared" si="10"/>
        <v>48.857142857142854</v>
      </c>
      <c r="AD18" s="17">
        <f t="shared" si="10"/>
        <v>0.14285714285714285</v>
      </c>
      <c r="AE18" s="31">
        <f t="shared" si="10"/>
        <v>62.285714285714285</v>
      </c>
      <c r="AF18" s="31">
        <f t="shared" si="10"/>
        <v>111.14285714285714</v>
      </c>
    </row>
    <row r="19" spans="2:32" ht="23.1" customHeight="1" x14ac:dyDescent="0.25">
      <c r="B19" s="23" t="s">
        <v>46</v>
      </c>
      <c r="C19" s="49">
        <f>'Avg Week Lyantonde-Rushere'!C19+'Avg Week Rushere-Lyantonde'!C19</f>
        <v>5.2857142857142856</v>
      </c>
      <c r="D19" s="49">
        <f>'Avg Week Lyantonde-Rushere'!D19+'Avg Week Rushere-Lyantonde'!D19</f>
        <v>2.7142857142857144</v>
      </c>
      <c r="E19" s="49">
        <f>'Avg Week Lyantonde-Rushere'!E19+'Avg Week Rushere-Lyantonde'!E19</f>
        <v>2</v>
      </c>
      <c r="F19" s="49">
        <f>'Avg Week Lyantonde-Rushere'!F19+'Avg Week Rushere-Lyantonde'!F19</f>
        <v>0</v>
      </c>
      <c r="G19" s="49">
        <f>'Avg Week Lyantonde-Rushere'!G19+'Avg Week Rushere-Lyantonde'!G19</f>
        <v>0</v>
      </c>
      <c r="H19" s="49">
        <f>'Avg Week Lyantonde-Rushere'!H19+'Avg Week Rushere-Lyantonde'!H19</f>
        <v>0.2857142857142857</v>
      </c>
      <c r="I19" s="49">
        <f>'Avg Week Lyantonde-Rushere'!I19+'Avg Week Rushere-Lyantonde'!I19</f>
        <v>0.42857142857142855</v>
      </c>
      <c r="J19" s="49">
        <f>'Avg Week Lyantonde-Rushere'!J19+'Avg Week Rushere-Lyantonde'!J19</f>
        <v>0.42857142857142855</v>
      </c>
      <c r="K19" s="49">
        <f>'Avg Week Lyantonde-Rushere'!K19+'Avg Week Rushere-Lyantonde'!K19</f>
        <v>0.42857142857142855</v>
      </c>
      <c r="L19" s="49">
        <f>'Avg Week Lyantonde-Rushere'!L19+'Avg Week Rushere-Lyantonde'!L19</f>
        <v>0.14285714285714285</v>
      </c>
      <c r="M19" s="49">
        <f>'Avg Week Lyantonde-Rushere'!M19+'Avg Week Rushere-Lyantonde'!M19</f>
        <v>10.857142857142858</v>
      </c>
      <c r="N19" s="49">
        <f>'Avg Week Lyantonde-Rushere'!N19+'Avg Week Rushere-Lyantonde'!N19</f>
        <v>0</v>
      </c>
      <c r="O19" s="15">
        <f t="shared" si="0"/>
        <v>11.714285714285715</v>
      </c>
      <c r="P19" s="15">
        <f t="shared" si="1"/>
        <v>22.571428571428573</v>
      </c>
      <c r="R19" s="1" t="s">
        <v>15</v>
      </c>
      <c r="S19" s="17">
        <f t="shared" ref="S19:AF19" si="11">SUM(C46:C49)</f>
        <v>33.285714285714285</v>
      </c>
      <c r="T19" s="17">
        <f t="shared" si="11"/>
        <v>10.714285714285714</v>
      </c>
      <c r="U19" s="17">
        <f t="shared" si="11"/>
        <v>6.4285714285714288</v>
      </c>
      <c r="V19" s="17">
        <f t="shared" si="11"/>
        <v>0.99999999999999989</v>
      </c>
      <c r="W19" s="17">
        <f t="shared" si="11"/>
        <v>0.2857142857142857</v>
      </c>
      <c r="X19" s="17">
        <f t="shared" si="11"/>
        <v>0.14285714285714285</v>
      </c>
      <c r="Y19" s="17">
        <f t="shared" si="11"/>
        <v>8</v>
      </c>
      <c r="Z19" s="17">
        <f t="shared" si="11"/>
        <v>8.8571428571428577</v>
      </c>
      <c r="AA19" s="17">
        <f t="shared" si="11"/>
        <v>2.7142857142857144</v>
      </c>
      <c r="AB19" s="17">
        <f t="shared" si="11"/>
        <v>1.4285714285714284</v>
      </c>
      <c r="AC19" s="17">
        <f t="shared" si="11"/>
        <v>61.857142857142861</v>
      </c>
      <c r="AD19" s="17">
        <f t="shared" si="11"/>
        <v>0</v>
      </c>
      <c r="AE19" s="31">
        <f t="shared" si="11"/>
        <v>72.857142857142861</v>
      </c>
      <c r="AF19" s="31">
        <f t="shared" si="11"/>
        <v>134.71428571428572</v>
      </c>
    </row>
    <row r="20" spans="2:32" ht="23.1" customHeight="1" x14ac:dyDescent="0.25">
      <c r="B20" s="23" t="s">
        <v>47</v>
      </c>
      <c r="C20" s="49">
        <f>'Avg Week Lyantonde-Rushere'!C20+'Avg Week Rushere-Lyantonde'!C20</f>
        <v>5.2857142857142856</v>
      </c>
      <c r="D20" s="49">
        <f>'Avg Week Lyantonde-Rushere'!D20+'Avg Week Rushere-Lyantonde'!D20</f>
        <v>1.7142857142857142</v>
      </c>
      <c r="E20" s="49">
        <f>'Avg Week Lyantonde-Rushere'!E20+'Avg Week Rushere-Lyantonde'!E20</f>
        <v>0.71428571428571419</v>
      </c>
      <c r="F20" s="49">
        <f>'Avg Week Lyantonde-Rushere'!F20+'Avg Week Rushere-Lyantonde'!F20</f>
        <v>0.71428571428571419</v>
      </c>
      <c r="G20" s="49">
        <f>'Avg Week Lyantonde-Rushere'!G20+'Avg Week Rushere-Lyantonde'!G20</f>
        <v>0</v>
      </c>
      <c r="H20" s="49">
        <f>'Avg Week Lyantonde-Rushere'!H20+'Avg Week Rushere-Lyantonde'!H20</f>
        <v>0.42857142857142855</v>
      </c>
      <c r="I20" s="49">
        <f>'Avg Week Lyantonde-Rushere'!I20+'Avg Week Rushere-Lyantonde'!I20</f>
        <v>1</v>
      </c>
      <c r="J20" s="49">
        <f>'Avg Week Lyantonde-Rushere'!J20+'Avg Week Rushere-Lyantonde'!J20</f>
        <v>0.2857142857142857</v>
      </c>
      <c r="K20" s="49">
        <f>'Avg Week Lyantonde-Rushere'!K20+'Avg Week Rushere-Lyantonde'!K20</f>
        <v>0.42857142857142855</v>
      </c>
      <c r="L20" s="49">
        <f>'Avg Week Lyantonde-Rushere'!L20+'Avg Week Rushere-Lyantonde'!L20</f>
        <v>0.14285714285714285</v>
      </c>
      <c r="M20" s="49">
        <f>'Avg Week Lyantonde-Rushere'!M20+'Avg Week Rushere-Lyantonde'!M20</f>
        <v>10.285714285714285</v>
      </c>
      <c r="N20" s="49">
        <f>'Avg Week Lyantonde-Rushere'!N20+'Avg Week Rushere-Lyantonde'!N20</f>
        <v>0</v>
      </c>
      <c r="O20" s="15">
        <f t="shared" si="0"/>
        <v>10.714285714285715</v>
      </c>
      <c r="P20" s="15">
        <f t="shared" si="1"/>
        <v>21</v>
      </c>
      <c r="R20" s="1" t="s">
        <v>16</v>
      </c>
      <c r="S20" s="17">
        <f t="shared" ref="S20:AF20" si="12">SUM(C50:C53)</f>
        <v>42</v>
      </c>
      <c r="T20" s="17">
        <f t="shared" si="12"/>
        <v>14.857142857142854</v>
      </c>
      <c r="U20" s="17">
        <f t="shared" si="12"/>
        <v>7.2857142857142847</v>
      </c>
      <c r="V20" s="17">
        <f t="shared" si="12"/>
        <v>2.2857142857142856</v>
      </c>
      <c r="W20" s="17">
        <f t="shared" si="12"/>
        <v>0</v>
      </c>
      <c r="X20" s="17">
        <f t="shared" si="12"/>
        <v>0.14285714285714285</v>
      </c>
      <c r="Y20" s="17">
        <f t="shared" si="12"/>
        <v>9.5714285714285712</v>
      </c>
      <c r="Z20" s="17">
        <f t="shared" si="12"/>
        <v>6.7142857142857144</v>
      </c>
      <c r="AA20" s="17">
        <f t="shared" si="12"/>
        <v>4.2857142857142856</v>
      </c>
      <c r="AB20" s="17">
        <f t="shared" si="12"/>
        <v>1.2857142857142856</v>
      </c>
      <c r="AC20" s="17">
        <f t="shared" si="12"/>
        <v>61.142857142857139</v>
      </c>
      <c r="AD20" s="17">
        <f t="shared" si="12"/>
        <v>0</v>
      </c>
      <c r="AE20" s="31">
        <f t="shared" si="12"/>
        <v>88.428571428571416</v>
      </c>
      <c r="AF20" s="31">
        <f t="shared" si="12"/>
        <v>149.57142857142858</v>
      </c>
    </row>
    <row r="21" spans="2:32" ht="23.1" customHeight="1" x14ac:dyDescent="0.25">
      <c r="B21" s="23" t="s">
        <v>48</v>
      </c>
      <c r="C21" s="49">
        <f>'Avg Week Lyantonde-Rushere'!C21+'Avg Week Rushere-Lyantonde'!C21</f>
        <v>6.2857142857142865</v>
      </c>
      <c r="D21" s="49">
        <f>'Avg Week Lyantonde-Rushere'!D21+'Avg Week Rushere-Lyantonde'!D21</f>
        <v>3.1428571428571428</v>
      </c>
      <c r="E21" s="49">
        <f>'Avg Week Lyantonde-Rushere'!E21+'Avg Week Rushere-Lyantonde'!E21</f>
        <v>0.71428571428571419</v>
      </c>
      <c r="F21" s="49">
        <f>'Avg Week Lyantonde-Rushere'!F21+'Avg Week Rushere-Lyantonde'!F21</f>
        <v>0.14285714285714285</v>
      </c>
      <c r="G21" s="49">
        <f>'Avg Week Lyantonde-Rushere'!G21+'Avg Week Rushere-Lyantonde'!G21</f>
        <v>0</v>
      </c>
      <c r="H21" s="49">
        <f>'Avg Week Lyantonde-Rushere'!H21+'Avg Week Rushere-Lyantonde'!H21</f>
        <v>0.14285714285714285</v>
      </c>
      <c r="I21" s="49">
        <f>'Avg Week Lyantonde-Rushere'!I21+'Avg Week Rushere-Lyantonde'!I21</f>
        <v>0.42857142857142855</v>
      </c>
      <c r="J21" s="49">
        <f>'Avg Week Lyantonde-Rushere'!J21+'Avg Week Rushere-Lyantonde'!J21</f>
        <v>0.2857142857142857</v>
      </c>
      <c r="K21" s="49">
        <f>'Avg Week Lyantonde-Rushere'!K21+'Avg Week Rushere-Lyantonde'!K21</f>
        <v>0.14285714285714285</v>
      </c>
      <c r="L21" s="49">
        <f>'Avg Week Lyantonde-Rushere'!L21+'Avg Week Rushere-Lyantonde'!L21</f>
        <v>0</v>
      </c>
      <c r="M21" s="49">
        <f>'Avg Week Lyantonde-Rushere'!M21+'Avg Week Rushere-Lyantonde'!M21</f>
        <v>9.7142857142857153</v>
      </c>
      <c r="N21" s="49">
        <f>'Avg Week Lyantonde-Rushere'!N21+'Avg Week Rushere-Lyantonde'!N21</f>
        <v>0.2857142857142857</v>
      </c>
      <c r="O21" s="15">
        <f t="shared" si="0"/>
        <v>11.571428571428571</v>
      </c>
      <c r="P21" s="15">
        <f t="shared" si="1"/>
        <v>21.285714285714285</v>
      </c>
      <c r="R21" s="36" t="s">
        <v>20</v>
      </c>
      <c r="S21" s="34">
        <f t="shared" ref="S21:AF21" si="13">SUM(C54:C57)</f>
        <v>37.857142857142861</v>
      </c>
      <c r="T21" s="17">
        <f t="shared" si="13"/>
        <v>12.571428571428571</v>
      </c>
      <c r="U21" s="17">
        <f t="shared" si="13"/>
        <v>9.4285714285714288</v>
      </c>
      <c r="V21" s="17">
        <f t="shared" si="13"/>
        <v>2.714285714285714</v>
      </c>
      <c r="W21" s="17">
        <f t="shared" si="13"/>
        <v>0.2857142857142857</v>
      </c>
      <c r="X21" s="17">
        <f t="shared" si="13"/>
        <v>1.1428571428571428</v>
      </c>
      <c r="Y21" s="17">
        <f t="shared" si="13"/>
        <v>8.1428571428571423</v>
      </c>
      <c r="Z21" s="17">
        <f t="shared" si="13"/>
        <v>6.1428571428571423</v>
      </c>
      <c r="AA21" s="17">
        <f t="shared" si="13"/>
        <v>4</v>
      </c>
      <c r="AB21" s="17">
        <f t="shared" si="13"/>
        <v>3.1428571428571432</v>
      </c>
      <c r="AC21" s="17">
        <f t="shared" si="13"/>
        <v>55.571428571428569</v>
      </c>
      <c r="AD21" s="17">
        <f t="shared" si="13"/>
        <v>0</v>
      </c>
      <c r="AE21" s="31">
        <f t="shared" si="13"/>
        <v>85.428571428571431</v>
      </c>
      <c r="AF21" s="31">
        <f t="shared" si="13"/>
        <v>141</v>
      </c>
    </row>
    <row r="22" spans="2:32" ht="23.1" customHeight="1" x14ac:dyDescent="0.25">
      <c r="B22" s="23" t="s">
        <v>49</v>
      </c>
      <c r="C22" s="49">
        <f>'Avg Week Lyantonde-Rushere'!C22+'Avg Week Rushere-Lyantonde'!C22</f>
        <v>7.2857142857142865</v>
      </c>
      <c r="D22" s="49">
        <f>'Avg Week Lyantonde-Rushere'!D22+'Avg Week Rushere-Lyantonde'!D22</f>
        <v>2.5714285714285712</v>
      </c>
      <c r="E22" s="49">
        <f>'Avg Week Lyantonde-Rushere'!E22+'Avg Week Rushere-Lyantonde'!E22</f>
        <v>1.4285714285714286</v>
      </c>
      <c r="F22" s="49">
        <f>'Avg Week Lyantonde-Rushere'!F22+'Avg Week Rushere-Lyantonde'!F22</f>
        <v>0.42857142857142855</v>
      </c>
      <c r="G22" s="49">
        <f>'Avg Week Lyantonde-Rushere'!G22+'Avg Week Rushere-Lyantonde'!G22</f>
        <v>0.14285714285714285</v>
      </c>
      <c r="H22" s="49">
        <f>'Avg Week Lyantonde-Rushere'!H22+'Avg Week Rushere-Lyantonde'!H22</f>
        <v>0</v>
      </c>
      <c r="I22" s="49">
        <f>'Avg Week Lyantonde-Rushere'!I22+'Avg Week Rushere-Lyantonde'!I22</f>
        <v>0.8571428571428571</v>
      </c>
      <c r="J22" s="49">
        <f>'Avg Week Lyantonde-Rushere'!J22+'Avg Week Rushere-Lyantonde'!J22</f>
        <v>0.42857142857142855</v>
      </c>
      <c r="K22" s="49">
        <f>'Avg Week Lyantonde-Rushere'!K22+'Avg Week Rushere-Lyantonde'!K22</f>
        <v>0.14285714285714285</v>
      </c>
      <c r="L22" s="49">
        <f>'Avg Week Lyantonde-Rushere'!L22+'Avg Week Rushere-Lyantonde'!L22</f>
        <v>0.42857142857142855</v>
      </c>
      <c r="M22" s="49">
        <f>'Avg Week Lyantonde-Rushere'!M22+'Avg Week Rushere-Lyantonde'!M22</f>
        <v>10.714285714285715</v>
      </c>
      <c r="N22" s="49">
        <f>'Avg Week Lyantonde-Rushere'!N22+'Avg Week Rushere-Lyantonde'!N22</f>
        <v>0</v>
      </c>
      <c r="O22" s="15">
        <f t="shared" si="0"/>
        <v>13.714285714285715</v>
      </c>
      <c r="P22" s="15">
        <f t="shared" si="1"/>
        <v>24.428571428571431</v>
      </c>
      <c r="R22" s="1" t="s">
        <v>146</v>
      </c>
      <c r="S22" s="34">
        <f>SUM(C58:C61)</f>
        <v>39.5</v>
      </c>
      <c r="T22" s="34">
        <f t="shared" ref="T22:AF22" si="14">SUM(D58:D61)</f>
        <v>11.5</v>
      </c>
      <c r="U22" s="34">
        <f t="shared" si="14"/>
        <v>6</v>
      </c>
      <c r="V22" s="34">
        <f t="shared" si="14"/>
        <v>2</v>
      </c>
      <c r="W22" s="34">
        <f t="shared" si="14"/>
        <v>1.5</v>
      </c>
      <c r="X22" s="34">
        <f t="shared" si="14"/>
        <v>0.5</v>
      </c>
      <c r="Y22" s="34">
        <f t="shared" si="14"/>
        <v>1.5</v>
      </c>
      <c r="Z22" s="34">
        <f t="shared" si="14"/>
        <v>5</v>
      </c>
      <c r="AA22" s="34">
        <f t="shared" si="14"/>
        <v>2.5</v>
      </c>
      <c r="AB22" s="34">
        <f t="shared" si="14"/>
        <v>2.5</v>
      </c>
      <c r="AC22" s="34">
        <f t="shared" si="14"/>
        <v>29</v>
      </c>
      <c r="AD22" s="34">
        <f t="shared" si="14"/>
        <v>0</v>
      </c>
      <c r="AE22" s="31">
        <f t="shared" si="14"/>
        <v>72.5</v>
      </c>
      <c r="AF22" s="31">
        <f t="shared" si="14"/>
        <v>101.5</v>
      </c>
    </row>
    <row r="23" spans="2:32" ht="23.1" customHeight="1" x14ac:dyDescent="0.25">
      <c r="B23" s="23" t="s">
        <v>50</v>
      </c>
      <c r="C23" s="49">
        <f>'Avg Week Lyantonde-Rushere'!C23+'Avg Week Rushere-Lyantonde'!C23</f>
        <v>6.4285714285714288</v>
      </c>
      <c r="D23" s="49">
        <f>'Avg Week Lyantonde-Rushere'!D23+'Avg Week Rushere-Lyantonde'!D23</f>
        <v>1.4285714285714284</v>
      </c>
      <c r="E23" s="49">
        <f>'Avg Week Lyantonde-Rushere'!E23+'Avg Week Rushere-Lyantonde'!E23</f>
        <v>1.5714285714285714</v>
      </c>
      <c r="F23" s="49">
        <f>'Avg Week Lyantonde-Rushere'!F23+'Avg Week Rushere-Lyantonde'!F23</f>
        <v>0.2857142857142857</v>
      </c>
      <c r="G23" s="49">
        <f>'Avg Week Lyantonde-Rushere'!G23+'Avg Week Rushere-Lyantonde'!G23</f>
        <v>0</v>
      </c>
      <c r="H23" s="49">
        <f>'Avg Week Lyantonde-Rushere'!H23+'Avg Week Rushere-Lyantonde'!H23</f>
        <v>0.2857142857142857</v>
      </c>
      <c r="I23" s="49">
        <f>'Avg Week Lyantonde-Rushere'!I23+'Avg Week Rushere-Lyantonde'!I23</f>
        <v>1.5714285714285714</v>
      </c>
      <c r="J23" s="49">
        <f>'Avg Week Lyantonde-Rushere'!J23+'Avg Week Rushere-Lyantonde'!J23</f>
        <v>0.5714285714285714</v>
      </c>
      <c r="K23" s="49">
        <f>'Avg Week Lyantonde-Rushere'!K23+'Avg Week Rushere-Lyantonde'!K23</f>
        <v>0.14285714285714285</v>
      </c>
      <c r="L23" s="49">
        <f>'Avg Week Lyantonde-Rushere'!L23+'Avg Week Rushere-Lyantonde'!L23</f>
        <v>0.2857142857142857</v>
      </c>
      <c r="M23" s="49">
        <f>'Avg Week Lyantonde-Rushere'!M23+'Avg Week Rushere-Lyantonde'!M23</f>
        <v>8.8571428571428577</v>
      </c>
      <c r="N23" s="49">
        <f>'Avg Week Lyantonde-Rushere'!N23+'Avg Week Rushere-Lyantonde'!N23</f>
        <v>0</v>
      </c>
      <c r="O23" s="15">
        <f t="shared" si="0"/>
        <v>12.571428571428573</v>
      </c>
      <c r="P23" s="15">
        <f t="shared" si="1"/>
        <v>21.428571428571431</v>
      </c>
      <c r="R23" s="1" t="s">
        <v>147</v>
      </c>
      <c r="S23" s="34">
        <f>SUM(C62:C65)</f>
        <v>36</v>
      </c>
      <c r="T23" s="34">
        <f t="shared" ref="T23:AF23" si="15">SUM(D62:D65)</f>
        <v>8.5</v>
      </c>
      <c r="U23" s="34">
        <f t="shared" si="15"/>
        <v>7</v>
      </c>
      <c r="V23" s="34">
        <f t="shared" si="15"/>
        <v>2</v>
      </c>
      <c r="W23" s="34">
        <f t="shared" si="15"/>
        <v>0</v>
      </c>
      <c r="X23" s="34">
        <f t="shared" si="15"/>
        <v>0</v>
      </c>
      <c r="Y23" s="34">
        <f t="shared" si="15"/>
        <v>2</v>
      </c>
      <c r="Z23" s="34">
        <f t="shared" si="15"/>
        <v>3</v>
      </c>
      <c r="AA23" s="34">
        <f t="shared" si="15"/>
        <v>2</v>
      </c>
      <c r="AB23" s="34">
        <f t="shared" si="15"/>
        <v>3.5</v>
      </c>
      <c r="AC23" s="34">
        <f t="shared" si="15"/>
        <v>22.5</v>
      </c>
      <c r="AD23" s="34">
        <f t="shared" si="15"/>
        <v>0</v>
      </c>
      <c r="AE23" s="31">
        <f t="shared" si="15"/>
        <v>64</v>
      </c>
      <c r="AF23" s="31">
        <f t="shared" si="15"/>
        <v>86.5</v>
      </c>
    </row>
    <row r="24" spans="2:32" ht="23.1" customHeight="1" x14ac:dyDescent="0.25">
      <c r="B24" s="23" t="s">
        <v>51</v>
      </c>
      <c r="C24" s="49">
        <f>'Avg Week Lyantonde-Rushere'!C24+'Avg Week Rushere-Lyantonde'!C24</f>
        <v>4.4285714285714288</v>
      </c>
      <c r="D24" s="49">
        <f>'Avg Week Lyantonde-Rushere'!D24+'Avg Week Rushere-Lyantonde'!D24</f>
        <v>2.4285714285714288</v>
      </c>
      <c r="E24" s="49">
        <f>'Avg Week Lyantonde-Rushere'!E24+'Avg Week Rushere-Lyantonde'!E24</f>
        <v>1.1428571428571428</v>
      </c>
      <c r="F24" s="49">
        <f>'Avg Week Lyantonde-Rushere'!F24+'Avg Week Rushere-Lyantonde'!F24</f>
        <v>0.14285714285714285</v>
      </c>
      <c r="G24" s="49">
        <f>'Avg Week Lyantonde-Rushere'!G24+'Avg Week Rushere-Lyantonde'!G24</f>
        <v>0.5714285714285714</v>
      </c>
      <c r="H24" s="49">
        <f>'Avg Week Lyantonde-Rushere'!H24+'Avg Week Rushere-Lyantonde'!H24</f>
        <v>0.42857142857142855</v>
      </c>
      <c r="I24" s="49">
        <f>'Avg Week Lyantonde-Rushere'!I24+'Avg Week Rushere-Lyantonde'!I24</f>
        <v>1</v>
      </c>
      <c r="J24" s="49">
        <f>'Avg Week Lyantonde-Rushere'!J24+'Avg Week Rushere-Lyantonde'!J24</f>
        <v>0.5714285714285714</v>
      </c>
      <c r="K24" s="49">
        <f>'Avg Week Lyantonde-Rushere'!K24+'Avg Week Rushere-Lyantonde'!K24</f>
        <v>0.14285714285714285</v>
      </c>
      <c r="L24" s="49">
        <f>'Avg Week Lyantonde-Rushere'!L24+'Avg Week Rushere-Lyantonde'!L24</f>
        <v>0.14285714285714285</v>
      </c>
      <c r="M24" s="49">
        <f>'Avg Week Lyantonde-Rushere'!M24+'Avg Week Rushere-Lyantonde'!M24</f>
        <v>11.571428571428571</v>
      </c>
      <c r="N24" s="49">
        <f>'Avg Week Lyantonde-Rushere'!N24+'Avg Week Rushere-Lyantonde'!N24</f>
        <v>0.14285714285714285</v>
      </c>
      <c r="O24" s="15">
        <f t="shared" si="0"/>
        <v>11.142857142857141</v>
      </c>
      <c r="P24" s="15">
        <f t="shared" si="1"/>
        <v>22.714285714285712</v>
      </c>
      <c r="R24" s="1" t="s">
        <v>148</v>
      </c>
      <c r="S24" s="34">
        <f>SUM(C66:C69)</f>
        <v>27.5</v>
      </c>
      <c r="T24" s="34">
        <f t="shared" ref="T24:AF24" si="16">SUM(D66:D69)</f>
        <v>11.5</v>
      </c>
      <c r="U24" s="34">
        <f t="shared" si="16"/>
        <v>5.5</v>
      </c>
      <c r="V24" s="34">
        <f t="shared" si="16"/>
        <v>1.5</v>
      </c>
      <c r="W24" s="34">
        <f t="shared" si="16"/>
        <v>1.5</v>
      </c>
      <c r="X24" s="34">
        <f t="shared" si="16"/>
        <v>1.5</v>
      </c>
      <c r="Y24" s="34">
        <f t="shared" si="16"/>
        <v>10.5</v>
      </c>
      <c r="Z24" s="34">
        <f t="shared" si="16"/>
        <v>5.5</v>
      </c>
      <c r="AA24" s="34">
        <f t="shared" si="16"/>
        <v>1</v>
      </c>
      <c r="AB24" s="34">
        <f t="shared" si="16"/>
        <v>2</v>
      </c>
      <c r="AC24" s="34">
        <f t="shared" si="16"/>
        <v>9.5</v>
      </c>
      <c r="AD24" s="34">
        <f t="shared" si="16"/>
        <v>1.5</v>
      </c>
      <c r="AE24" s="31">
        <f t="shared" si="16"/>
        <v>69.5</v>
      </c>
      <c r="AF24" s="31">
        <f t="shared" si="16"/>
        <v>79</v>
      </c>
    </row>
    <row r="25" spans="2:32" ht="23.1" customHeight="1" x14ac:dyDescent="0.25">
      <c r="B25" s="23" t="s">
        <v>52</v>
      </c>
      <c r="C25" s="49">
        <f>'Avg Week Lyantonde-Rushere'!C25+'Avg Week Rushere-Lyantonde'!C25</f>
        <v>7.7142857142857144</v>
      </c>
      <c r="D25" s="49">
        <f>'Avg Week Lyantonde-Rushere'!D25+'Avg Week Rushere-Lyantonde'!D25</f>
        <v>2.1428571428571428</v>
      </c>
      <c r="E25" s="49">
        <f>'Avg Week Lyantonde-Rushere'!E25+'Avg Week Rushere-Lyantonde'!E25</f>
        <v>1</v>
      </c>
      <c r="F25" s="49">
        <f>'Avg Week Lyantonde-Rushere'!F25+'Avg Week Rushere-Lyantonde'!F25</f>
        <v>0.42857142857142855</v>
      </c>
      <c r="G25" s="49">
        <f>'Avg Week Lyantonde-Rushere'!G25+'Avg Week Rushere-Lyantonde'!G25</f>
        <v>0</v>
      </c>
      <c r="H25" s="49">
        <f>'Avg Week Lyantonde-Rushere'!H25+'Avg Week Rushere-Lyantonde'!H25</f>
        <v>0</v>
      </c>
      <c r="I25" s="49">
        <f>'Avg Week Lyantonde-Rushere'!I25+'Avg Week Rushere-Lyantonde'!I25</f>
        <v>0.8571428571428571</v>
      </c>
      <c r="J25" s="49">
        <f>'Avg Week Lyantonde-Rushere'!J25+'Avg Week Rushere-Lyantonde'!J25</f>
        <v>0.42857142857142855</v>
      </c>
      <c r="K25" s="49">
        <f>'Avg Week Lyantonde-Rushere'!K25+'Avg Week Rushere-Lyantonde'!K25</f>
        <v>0.14285714285714285</v>
      </c>
      <c r="L25" s="49">
        <f>'Avg Week Lyantonde-Rushere'!L25+'Avg Week Rushere-Lyantonde'!L25</f>
        <v>0</v>
      </c>
      <c r="M25" s="49">
        <f>'Avg Week Lyantonde-Rushere'!M25+'Avg Week Rushere-Lyantonde'!M25</f>
        <v>12.142857142857142</v>
      </c>
      <c r="N25" s="49">
        <f>'Avg Week Lyantonde-Rushere'!N25+'Avg Week Rushere-Lyantonde'!N25</f>
        <v>0</v>
      </c>
      <c r="O25" s="15">
        <f t="shared" si="0"/>
        <v>12.714285714285715</v>
      </c>
      <c r="P25" s="15">
        <f t="shared" si="1"/>
        <v>24.857142857142858</v>
      </c>
      <c r="R25" s="1" t="s">
        <v>149</v>
      </c>
      <c r="S25" s="34">
        <f>SUM(C70:C73)</f>
        <v>18.5</v>
      </c>
      <c r="T25" s="34">
        <f t="shared" ref="T25:AF25" si="17">SUM(D70:D73)</f>
        <v>9.5</v>
      </c>
      <c r="U25" s="34">
        <f t="shared" si="17"/>
        <v>7</v>
      </c>
      <c r="V25" s="34">
        <f t="shared" si="17"/>
        <v>1</v>
      </c>
      <c r="W25" s="34">
        <f t="shared" si="17"/>
        <v>0</v>
      </c>
      <c r="X25" s="34">
        <f t="shared" si="17"/>
        <v>0.5</v>
      </c>
      <c r="Y25" s="34">
        <f t="shared" si="17"/>
        <v>7.5</v>
      </c>
      <c r="Z25" s="34">
        <f t="shared" si="17"/>
        <v>7</v>
      </c>
      <c r="AA25" s="34">
        <f t="shared" si="17"/>
        <v>4.5</v>
      </c>
      <c r="AB25" s="34">
        <f t="shared" si="17"/>
        <v>5</v>
      </c>
      <c r="AC25" s="34">
        <f t="shared" si="17"/>
        <v>8.5</v>
      </c>
      <c r="AD25" s="34">
        <f t="shared" si="17"/>
        <v>0</v>
      </c>
      <c r="AE25" s="31">
        <f t="shared" si="17"/>
        <v>60.5</v>
      </c>
      <c r="AF25" s="31">
        <f t="shared" si="17"/>
        <v>69</v>
      </c>
    </row>
    <row r="26" spans="2:32" ht="23.1" customHeight="1" x14ac:dyDescent="0.25">
      <c r="B26" s="23" t="s">
        <v>53</v>
      </c>
      <c r="C26" s="49">
        <f>'Avg Week Lyantonde-Rushere'!C26+'Avg Week Rushere-Lyantonde'!C26</f>
        <v>5.1428571428571423</v>
      </c>
      <c r="D26" s="49">
        <f>'Avg Week Lyantonde-Rushere'!D26+'Avg Week Rushere-Lyantonde'!D26</f>
        <v>3</v>
      </c>
      <c r="E26" s="49">
        <f>'Avg Week Lyantonde-Rushere'!E26+'Avg Week Rushere-Lyantonde'!E26</f>
        <v>1.7142857142857142</v>
      </c>
      <c r="F26" s="49">
        <f>'Avg Week Lyantonde-Rushere'!F26+'Avg Week Rushere-Lyantonde'!F26</f>
        <v>0.42857142857142855</v>
      </c>
      <c r="G26" s="49">
        <f>'Avg Week Lyantonde-Rushere'!G26+'Avg Week Rushere-Lyantonde'!G26</f>
        <v>0.14285714285714285</v>
      </c>
      <c r="H26" s="49">
        <f>'Avg Week Lyantonde-Rushere'!H26+'Avg Week Rushere-Lyantonde'!H26</f>
        <v>0</v>
      </c>
      <c r="I26" s="49">
        <f>'Avg Week Lyantonde-Rushere'!I26+'Avg Week Rushere-Lyantonde'!I26</f>
        <v>1.2857142857142856</v>
      </c>
      <c r="J26" s="49">
        <f>'Avg Week Lyantonde-Rushere'!J26+'Avg Week Rushere-Lyantonde'!J26</f>
        <v>0.5714285714285714</v>
      </c>
      <c r="K26" s="49">
        <f>'Avg Week Lyantonde-Rushere'!K26+'Avg Week Rushere-Lyantonde'!K26</f>
        <v>0.71428571428571419</v>
      </c>
      <c r="L26" s="49">
        <f>'Avg Week Lyantonde-Rushere'!L26+'Avg Week Rushere-Lyantonde'!L26</f>
        <v>0</v>
      </c>
      <c r="M26" s="49">
        <f>'Avg Week Lyantonde-Rushere'!M26+'Avg Week Rushere-Lyantonde'!M26</f>
        <v>12.571428571428571</v>
      </c>
      <c r="N26" s="49">
        <f>'Avg Week Lyantonde-Rushere'!N26+'Avg Week Rushere-Lyantonde'!N26</f>
        <v>0.14285714285714285</v>
      </c>
      <c r="O26" s="15">
        <f t="shared" si="0"/>
        <v>13.142857142857139</v>
      </c>
      <c r="P26" s="15">
        <f t="shared" si="1"/>
        <v>25.714285714285712</v>
      </c>
      <c r="R26" s="1" t="s">
        <v>150</v>
      </c>
      <c r="S26" s="34">
        <f>SUM(C74:C77)</f>
        <v>23.5</v>
      </c>
      <c r="T26" s="34">
        <f t="shared" ref="T26:AF26" si="18">SUM(D74:D77)</f>
        <v>12</v>
      </c>
      <c r="U26" s="34">
        <f t="shared" si="18"/>
        <v>6</v>
      </c>
      <c r="V26" s="34">
        <f t="shared" si="18"/>
        <v>1.5</v>
      </c>
      <c r="W26" s="34">
        <f t="shared" si="18"/>
        <v>0</v>
      </c>
      <c r="X26" s="34">
        <f t="shared" si="18"/>
        <v>0</v>
      </c>
      <c r="Y26" s="34">
        <f t="shared" si="18"/>
        <v>3.5</v>
      </c>
      <c r="Z26" s="34">
        <f t="shared" si="18"/>
        <v>6.5</v>
      </c>
      <c r="AA26" s="34">
        <f t="shared" si="18"/>
        <v>6.5</v>
      </c>
      <c r="AB26" s="34">
        <f t="shared" si="18"/>
        <v>5</v>
      </c>
      <c r="AC26" s="34">
        <f t="shared" si="18"/>
        <v>8.5</v>
      </c>
      <c r="AD26" s="34">
        <f t="shared" si="18"/>
        <v>0</v>
      </c>
      <c r="AE26" s="31">
        <f t="shared" si="18"/>
        <v>64.5</v>
      </c>
      <c r="AF26" s="31">
        <f t="shared" si="18"/>
        <v>73</v>
      </c>
    </row>
    <row r="27" spans="2:32" ht="23.1" customHeight="1" x14ac:dyDescent="0.25">
      <c r="B27" s="23" t="s">
        <v>54</v>
      </c>
      <c r="C27" s="49">
        <f>'Avg Week Lyantonde-Rushere'!C27+'Avg Week Rushere-Lyantonde'!C27</f>
        <v>5.8571428571428577</v>
      </c>
      <c r="D27" s="49">
        <f>'Avg Week Lyantonde-Rushere'!D27+'Avg Week Rushere-Lyantonde'!D27</f>
        <v>1.5714285714285716</v>
      </c>
      <c r="E27" s="49">
        <f>'Avg Week Lyantonde-Rushere'!E27+'Avg Week Rushere-Lyantonde'!E27</f>
        <v>1.4285714285714284</v>
      </c>
      <c r="F27" s="49">
        <f>'Avg Week Lyantonde-Rushere'!F27+'Avg Week Rushere-Lyantonde'!F27</f>
        <v>0.14285714285714285</v>
      </c>
      <c r="G27" s="49">
        <f>'Avg Week Lyantonde-Rushere'!G27+'Avg Week Rushere-Lyantonde'!G27</f>
        <v>0</v>
      </c>
      <c r="H27" s="49">
        <f>'Avg Week Lyantonde-Rushere'!H27+'Avg Week Rushere-Lyantonde'!H27</f>
        <v>0</v>
      </c>
      <c r="I27" s="49">
        <f>'Avg Week Lyantonde-Rushere'!I27+'Avg Week Rushere-Lyantonde'!I27</f>
        <v>1</v>
      </c>
      <c r="J27" s="49">
        <f>'Avg Week Lyantonde-Rushere'!J27+'Avg Week Rushere-Lyantonde'!J27</f>
        <v>0.8571428571428571</v>
      </c>
      <c r="K27" s="49">
        <f>'Avg Week Lyantonde-Rushere'!K27+'Avg Week Rushere-Lyantonde'!K27</f>
        <v>0.14285714285714285</v>
      </c>
      <c r="L27" s="49">
        <f>'Avg Week Lyantonde-Rushere'!L27+'Avg Week Rushere-Lyantonde'!L27</f>
        <v>0.2857142857142857</v>
      </c>
      <c r="M27" s="49">
        <f>'Avg Week Lyantonde-Rushere'!M27+'Avg Week Rushere-Lyantonde'!M27</f>
        <v>13.285714285714285</v>
      </c>
      <c r="N27" s="49">
        <f>'Avg Week Lyantonde-Rushere'!N27+'Avg Week Rushere-Lyantonde'!N27</f>
        <v>0</v>
      </c>
      <c r="O27" s="15">
        <f t="shared" si="0"/>
        <v>11.285714285714286</v>
      </c>
      <c r="P27" s="15">
        <f t="shared" si="1"/>
        <v>24.571428571428569</v>
      </c>
      <c r="R27" s="1" t="s">
        <v>151</v>
      </c>
      <c r="S27" s="34">
        <f>SUM(C78:C81)</f>
        <v>11.5</v>
      </c>
      <c r="T27" s="34">
        <f t="shared" ref="T27:AF27" si="19">SUM(D78:D81)</f>
        <v>9</v>
      </c>
      <c r="U27" s="34">
        <f t="shared" si="19"/>
        <v>7</v>
      </c>
      <c r="V27" s="34">
        <f t="shared" si="19"/>
        <v>0</v>
      </c>
      <c r="W27" s="34">
        <f t="shared" si="19"/>
        <v>0.5</v>
      </c>
      <c r="X27" s="34">
        <f t="shared" si="19"/>
        <v>0</v>
      </c>
      <c r="Y27" s="34">
        <f t="shared" si="19"/>
        <v>7.5</v>
      </c>
      <c r="Z27" s="34">
        <f t="shared" si="19"/>
        <v>6.5</v>
      </c>
      <c r="AA27" s="34">
        <f t="shared" si="19"/>
        <v>5.5</v>
      </c>
      <c r="AB27" s="34">
        <f t="shared" si="19"/>
        <v>6</v>
      </c>
      <c r="AC27" s="34">
        <f t="shared" si="19"/>
        <v>2.5</v>
      </c>
      <c r="AD27" s="34">
        <f t="shared" si="19"/>
        <v>0</v>
      </c>
      <c r="AE27" s="31">
        <f t="shared" si="19"/>
        <v>53.5</v>
      </c>
      <c r="AF27" s="31">
        <f t="shared" si="19"/>
        <v>56</v>
      </c>
    </row>
    <row r="28" spans="2:32" ht="23.1" customHeight="1" x14ac:dyDescent="0.25">
      <c r="B28" s="23" t="s">
        <v>55</v>
      </c>
      <c r="C28" s="49">
        <f>'Avg Week Lyantonde-Rushere'!C28+'Avg Week Rushere-Lyantonde'!C28</f>
        <v>8.7142857142857153</v>
      </c>
      <c r="D28" s="49">
        <f>'Avg Week Lyantonde-Rushere'!D28+'Avg Week Rushere-Lyantonde'!D28</f>
        <v>2.7142857142857144</v>
      </c>
      <c r="E28" s="49">
        <f>'Avg Week Lyantonde-Rushere'!E28+'Avg Week Rushere-Lyantonde'!E28</f>
        <v>1.7142857142857144</v>
      </c>
      <c r="F28" s="49">
        <f>'Avg Week Lyantonde-Rushere'!F28+'Avg Week Rushere-Lyantonde'!F28</f>
        <v>0.14285714285714285</v>
      </c>
      <c r="G28" s="49">
        <f>'Avg Week Lyantonde-Rushere'!G28+'Avg Week Rushere-Lyantonde'!G28</f>
        <v>0</v>
      </c>
      <c r="H28" s="49">
        <f>'Avg Week Lyantonde-Rushere'!H28+'Avg Week Rushere-Lyantonde'!H28</f>
        <v>0</v>
      </c>
      <c r="I28" s="49">
        <f>'Avg Week Lyantonde-Rushere'!I28+'Avg Week Rushere-Lyantonde'!I28</f>
        <v>1.7142857142857144</v>
      </c>
      <c r="J28" s="49">
        <f>'Avg Week Lyantonde-Rushere'!J28+'Avg Week Rushere-Lyantonde'!J28</f>
        <v>1</v>
      </c>
      <c r="K28" s="49">
        <f>'Avg Week Lyantonde-Rushere'!K28+'Avg Week Rushere-Lyantonde'!K28</f>
        <v>0.14285714285714285</v>
      </c>
      <c r="L28" s="49">
        <f>'Avg Week Lyantonde-Rushere'!L28+'Avg Week Rushere-Lyantonde'!L28</f>
        <v>0.5714285714285714</v>
      </c>
      <c r="M28" s="49">
        <f>'Avg Week Lyantonde-Rushere'!M28+'Avg Week Rushere-Lyantonde'!M28</f>
        <v>15.571428571428571</v>
      </c>
      <c r="N28" s="49">
        <f>'Avg Week Lyantonde-Rushere'!N28+'Avg Week Rushere-Lyantonde'!N28</f>
        <v>0</v>
      </c>
      <c r="O28" s="15">
        <f t="shared" si="0"/>
        <v>16.714285714285719</v>
      </c>
      <c r="P28" s="15">
        <f t="shared" si="1"/>
        <v>32.285714285714292</v>
      </c>
      <c r="R28" s="1" t="s">
        <v>152</v>
      </c>
      <c r="S28" s="34">
        <f>SUM(C82:C85)</f>
        <v>8</v>
      </c>
      <c r="T28" s="34">
        <f t="shared" ref="T28:AF28" si="20">SUM(D82:D85)</f>
        <v>5</v>
      </c>
      <c r="U28" s="34">
        <f t="shared" si="20"/>
        <v>8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2.5</v>
      </c>
      <c r="Z28" s="34">
        <f t="shared" si="20"/>
        <v>3</v>
      </c>
      <c r="AA28" s="34">
        <f t="shared" si="20"/>
        <v>4</v>
      </c>
      <c r="AB28" s="34">
        <f t="shared" si="20"/>
        <v>7.5</v>
      </c>
      <c r="AC28" s="34">
        <f t="shared" si="20"/>
        <v>2</v>
      </c>
      <c r="AD28" s="34">
        <f t="shared" si="20"/>
        <v>0</v>
      </c>
      <c r="AE28" s="31">
        <f t="shared" si="20"/>
        <v>38</v>
      </c>
      <c r="AF28" s="31">
        <f t="shared" si="20"/>
        <v>40</v>
      </c>
    </row>
    <row r="29" spans="2:32" ht="23.1" customHeight="1" x14ac:dyDescent="0.25">
      <c r="B29" s="23" t="s">
        <v>56</v>
      </c>
      <c r="C29" s="49">
        <f>'Avg Week Lyantonde-Rushere'!C29+'Avg Week Rushere-Lyantonde'!C29</f>
        <v>7.4285714285714288</v>
      </c>
      <c r="D29" s="49">
        <f>'Avg Week Lyantonde-Rushere'!D29+'Avg Week Rushere-Lyantonde'!D29</f>
        <v>2.8571428571428568</v>
      </c>
      <c r="E29" s="49">
        <f>'Avg Week Lyantonde-Rushere'!E29+'Avg Week Rushere-Lyantonde'!E29</f>
        <v>1.4285714285714284</v>
      </c>
      <c r="F29" s="49">
        <f>'Avg Week Lyantonde-Rushere'!F29+'Avg Week Rushere-Lyantonde'!F29</f>
        <v>0.85714285714285721</v>
      </c>
      <c r="G29" s="49">
        <f>'Avg Week Lyantonde-Rushere'!G29+'Avg Week Rushere-Lyantonde'!G29</f>
        <v>0.2857142857142857</v>
      </c>
      <c r="H29" s="49">
        <f>'Avg Week Lyantonde-Rushere'!H29+'Avg Week Rushere-Lyantonde'!H29</f>
        <v>0.14285714285714285</v>
      </c>
      <c r="I29" s="49">
        <f>'Avg Week Lyantonde-Rushere'!I29+'Avg Week Rushere-Lyantonde'!I29</f>
        <v>0.8571428571428571</v>
      </c>
      <c r="J29" s="49">
        <f>'Avg Week Lyantonde-Rushere'!J29+'Avg Week Rushere-Lyantonde'!J29</f>
        <v>1.2857142857142856</v>
      </c>
      <c r="K29" s="49">
        <f>'Avg Week Lyantonde-Rushere'!K29+'Avg Week Rushere-Lyantonde'!K29</f>
        <v>0.14285714285714285</v>
      </c>
      <c r="L29" s="49">
        <f>'Avg Week Lyantonde-Rushere'!L29+'Avg Week Rushere-Lyantonde'!L29</f>
        <v>0.2857142857142857</v>
      </c>
      <c r="M29" s="49">
        <f>'Avg Week Lyantonde-Rushere'!M29+'Avg Week Rushere-Lyantonde'!M29</f>
        <v>14.142857142857142</v>
      </c>
      <c r="N29" s="49">
        <f>'Avg Week Lyantonde-Rushere'!N29+'Avg Week Rushere-Lyantonde'!N29</f>
        <v>0</v>
      </c>
      <c r="O29" s="15">
        <f t="shared" si="0"/>
        <v>15.571428571428571</v>
      </c>
      <c r="P29" s="15">
        <f t="shared" si="1"/>
        <v>29.714285714285715</v>
      </c>
      <c r="R29" s="1" t="s">
        <v>153</v>
      </c>
      <c r="S29" s="34">
        <f>SUM(C86:C89)</f>
        <v>9.5</v>
      </c>
      <c r="T29" s="34">
        <f t="shared" ref="T29:AF29" si="21">SUM(D86:D89)</f>
        <v>5.5</v>
      </c>
      <c r="U29" s="34">
        <f t="shared" si="21"/>
        <v>6.5</v>
      </c>
      <c r="V29" s="34">
        <f t="shared" si="21"/>
        <v>0</v>
      </c>
      <c r="W29" s="34">
        <f t="shared" si="21"/>
        <v>0</v>
      </c>
      <c r="X29" s="34">
        <f t="shared" si="21"/>
        <v>0.5</v>
      </c>
      <c r="Y29" s="34">
        <f t="shared" si="21"/>
        <v>5.5</v>
      </c>
      <c r="Z29" s="34">
        <f t="shared" si="21"/>
        <v>1.5</v>
      </c>
      <c r="AA29" s="34">
        <f t="shared" si="21"/>
        <v>7</v>
      </c>
      <c r="AB29" s="34">
        <f t="shared" si="21"/>
        <v>5.5</v>
      </c>
      <c r="AC29" s="34">
        <f t="shared" si="21"/>
        <v>0</v>
      </c>
      <c r="AD29" s="34">
        <f t="shared" si="21"/>
        <v>0</v>
      </c>
      <c r="AE29" s="31">
        <f t="shared" si="21"/>
        <v>41.5</v>
      </c>
      <c r="AF29" s="31">
        <f t="shared" si="21"/>
        <v>41.5</v>
      </c>
    </row>
    <row r="30" spans="2:32" ht="23.1" customHeight="1" x14ac:dyDescent="0.25">
      <c r="B30" s="23" t="s">
        <v>57</v>
      </c>
      <c r="C30" s="49">
        <f>'Avg Week Lyantonde-Rushere'!C30+'Avg Week Rushere-Lyantonde'!C30</f>
        <v>5.2857142857142856</v>
      </c>
      <c r="D30" s="49">
        <f>'Avg Week Lyantonde-Rushere'!D30+'Avg Week Rushere-Lyantonde'!D30</f>
        <v>2.5714285714285712</v>
      </c>
      <c r="E30" s="49">
        <f>'Avg Week Lyantonde-Rushere'!E30+'Avg Week Rushere-Lyantonde'!E30</f>
        <v>0.5714285714285714</v>
      </c>
      <c r="F30" s="49">
        <f>'Avg Week Lyantonde-Rushere'!F30+'Avg Week Rushere-Lyantonde'!F30</f>
        <v>0.5714285714285714</v>
      </c>
      <c r="G30" s="49">
        <f>'Avg Week Lyantonde-Rushere'!G30+'Avg Week Rushere-Lyantonde'!G30</f>
        <v>0</v>
      </c>
      <c r="H30" s="49">
        <f>'Avg Week Lyantonde-Rushere'!H30+'Avg Week Rushere-Lyantonde'!H30</f>
        <v>0</v>
      </c>
      <c r="I30" s="49">
        <f>'Avg Week Lyantonde-Rushere'!I30+'Avg Week Rushere-Lyantonde'!I30</f>
        <v>1</v>
      </c>
      <c r="J30" s="49">
        <f>'Avg Week Lyantonde-Rushere'!J30+'Avg Week Rushere-Lyantonde'!J30</f>
        <v>0.5714285714285714</v>
      </c>
      <c r="K30" s="49">
        <f>'Avg Week Lyantonde-Rushere'!K30+'Avg Week Rushere-Lyantonde'!K30</f>
        <v>0.2857142857142857</v>
      </c>
      <c r="L30" s="49">
        <f>'Avg Week Lyantonde-Rushere'!L30+'Avg Week Rushere-Lyantonde'!L30</f>
        <v>0.14285714285714285</v>
      </c>
      <c r="M30" s="49">
        <f>'Avg Week Lyantonde-Rushere'!M30+'Avg Week Rushere-Lyantonde'!M30</f>
        <v>13.571428571428571</v>
      </c>
      <c r="N30" s="49">
        <f>'Avg Week Lyantonde-Rushere'!N30+'Avg Week Rushere-Lyantonde'!N30</f>
        <v>0</v>
      </c>
      <c r="O30" s="15">
        <f t="shared" si="0"/>
        <v>11</v>
      </c>
      <c r="P30" s="15">
        <f t="shared" si="1"/>
        <v>24.571428571428569</v>
      </c>
      <c r="R30" s="1" t="s">
        <v>154</v>
      </c>
      <c r="S30" s="34">
        <f>SUM(C90:C93)</f>
        <v>13</v>
      </c>
      <c r="T30" s="34">
        <f t="shared" ref="T30:AF30" si="22">SUM(D90:D93)</f>
        <v>5</v>
      </c>
      <c r="U30" s="34">
        <f t="shared" si="22"/>
        <v>2.5</v>
      </c>
      <c r="V30" s="34">
        <f t="shared" si="22"/>
        <v>1</v>
      </c>
      <c r="W30" s="34">
        <f t="shared" si="22"/>
        <v>2</v>
      </c>
      <c r="X30" s="34">
        <f t="shared" si="22"/>
        <v>1</v>
      </c>
      <c r="Y30" s="34">
        <f t="shared" si="22"/>
        <v>1</v>
      </c>
      <c r="Z30" s="34">
        <f t="shared" si="22"/>
        <v>7.5</v>
      </c>
      <c r="AA30" s="34">
        <f t="shared" si="22"/>
        <v>7</v>
      </c>
      <c r="AB30" s="34">
        <f t="shared" si="22"/>
        <v>11</v>
      </c>
      <c r="AC30" s="34">
        <f t="shared" si="22"/>
        <v>1</v>
      </c>
      <c r="AD30" s="34">
        <f t="shared" si="22"/>
        <v>0</v>
      </c>
      <c r="AE30" s="31">
        <f t="shared" si="22"/>
        <v>51</v>
      </c>
      <c r="AF30" s="31">
        <f t="shared" si="22"/>
        <v>52</v>
      </c>
    </row>
    <row r="31" spans="2:32" ht="23.1" customHeight="1" x14ac:dyDescent="0.25">
      <c r="B31" s="24" t="s">
        <v>58</v>
      </c>
      <c r="C31" s="49">
        <f>'Avg Week Lyantonde-Rushere'!C31+'Avg Week Rushere-Lyantonde'!C31</f>
        <v>10.571428571428571</v>
      </c>
      <c r="D31" s="49">
        <f>'Avg Week Lyantonde-Rushere'!D31+'Avg Week Rushere-Lyantonde'!D31</f>
        <v>4.1428571428571432</v>
      </c>
      <c r="E31" s="49">
        <f>'Avg Week Lyantonde-Rushere'!E31+'Avg Week Rushere-Lyantonde'!E31</f>
        <v>1.5714285714285714</v>
      </c>
      <c r="F31" s="49">
        <f>'Avg Week Lyantonde-Rushere'!F31+'Avg Week Rushere-Lyantonde'!F31</f>
        <v>0.14285714285714285</v>
      </c>
      <c r="G31" s="49">
        <f>'Avg Week Lyantonde-Rushere'!G31+'Avg Week Rushere-Lyantonde'!G31</f>
        <v>0</v>
      </c>
      <c r="H31" s="49">
        <f>'Avg Week Lyantonde-Rushere'!H31+'Avg Week Rushere-Lyantonde'!H31</f>
        <v>0</v>
      </c>
      <c r="I31" s="49">
        <f>'Avg Week Lyantonde-Rushere'!I31+'Avg Week Rushere-Lyantonde'!I31</f>
        <v>1.2857142857142856</v>
      </c>
      <c r="J31" s="49">
        <f>'Avg Week Lyantonde-Rushere'!J31+'Avg Week Rushere-Lyantonde'!J31</f>
        <v>1</v>
      </c>
      <c r="K31" s="49">
        <f>'Avg Week Lyantonde-Rushere'!K31+'Avg Week Rushere-Lyantonde'!K31</f>
        <v>0.2857142857142857</v>
      </c>
      <c r="L31" s="49">
        <f>'Avg Week Lyantonde-Rushere'!L31+'Avg Week Rushere-Lyantonde'!L31</f>
        <v>1.1428571428571428</v>
      </c>
      <c r="M31" s="49">
        <f>'Avg Week Lyantonde-Rushere'!M31+'Avg Week Rushere-Lyantonde'!M31</f>
        <v>11.142857142857142</v>
      </c>
      <c r="N31" s="49">
        <f>'Avg Week Lyantonde-Rushere'!N31+'Avg Week Rushere-Lyantonde'!N31</f>
        <v>0</v>
      </c>
      <c r="O31" s="15">
        <f t="shared" si="0"/>
        <v>20.142857142857142</v>
      </c>
      <c r="P31" s="15">
        <f t="shared" si="1"/>
        <v>31.285714285714285</v>
      </c>
      <c r="R31" s="1" t="s">
        <v>155</v>
      </c>
      <c r="S31" s="34">
        <f>SUM(C94:C97)</f>
        <v>12.5</v>
      </c>
      <c r="T31" s="34">
        <f t="shared" ref="T31:AF31" si="23">SUM(D94:D97)</f>
        <v>2.5</v>
      </c>
      <c r="U31" s="34">
        <f t="shared" si="23"/>
        <v>5.5</v>
      </c>
      <c r="V31" s="34">
        <f t="shared" si="23"/>
        <v>3.5</v>
      </c>
      <c r="W31" s="34">
        <f t="shared" si="23"/>
        <v>1.5</v>
      </c>
      <c r="X31" s="34">
        <f t="shared" si="23"/>
        <v>2.5</v>
      </c>
      <c r="Y31" s="34">
        <f t="shared" si="23"/>
        <v>5</v>
      </c>
      <c r="Z31" s="34">
        <f t="shared" si="23"/>
        <v>4.5</v>
      </c>
      <c r="AA31" s="34">
        <f t="shared" si="23"/>
        <v>7.5</v>
      </c>
      <c r="AB31" s="34">
        <f t="shared" si="23"/>
        <v>9.5</v>
      </c>
      <c r="AC31" s="34">
        <f t="shared" si="23"/>
        <v>1.5</v>
      </c>
      <c r="AD31" s="34">
        <f t="shared" si="23"/>
        <v>0</v>
      </c>
      <c r="AE31" s="31">
        <f t="shared" si="23"/>
        <v>54.5</v>
      </c>
      <c r="AF31" s="31">
        <f t="shared" si="23"/>
        <v>56</v>
      </c>
    </row>
    <row r="32" spans="2:32" ht="23.1" customHeight="1" x14ac:dyDescent="0.25">
      <c r="B32" s="24" t="s">
        <v>59</v>
      </c>
      <c r="C32" s="49">
        <f>'Avg Week Lyantonde-Rushere'!C32+'Avg Week Rushere-Lyantonde'!C32</f>
        <v>8</v>
      </c>
      <c r="D32" s="49">
        <f>'Avg Week Lyantonde-Rushere'!D32+'Avg Week Rushere-Lyantonde'!D32</f>
        <v>2.5714285714285712</v>
      </c>
      <c r="E32" s="49">
        <f>'Avg Week Lyantonde-Rushere'!E32+'Avg Week Rushere-Lyantonde'!E32</f>
        <v>1</v>
      </c>
      <c r="F32" s="49">
        <f>'Avg Week Lyantonde-Rushere'!F32+'Avg Week Rushere-Lyantonde'!F32</f>
        <v>0.71428571428571419</v>
      </c>
      <c r="G32" s="49">
        <f>'Avg Week Lyantonde-Rushere'!G32+'Avg Week Rushere-Lyantonde'!G32</f>
        <v>0</v>
      </c>
      <c r="H32" s="49">
        <f>'Avg Week Lyantonde-Rushere'!H32+'Avg Week Rushere-Lyantonde'!H32</f>
        <v>0</v>
      </c>
      <c r="I32" s="49">
        <f>'Avg Week Lyantonde-Rushere'!I32+'Avg Week Rushere-Lyantonde'!I32</f>
        <v>0.42857142857142855</v>
      </c>
      <c r="J32" s="49">
        <f>'Avg Week Lyantonde-Rushere'!J32+'Avg Week Rushere-Lyantonde'!J32</f>
        <v>1.4285714285714284</v>
      </c>
      <c r="K32" s="49">
        <f>'Avg Week Lyantonde-Rushere'!K32+'Avg Week Rushere-Lyantonde'!K32</f>
        <v>0.42857142857142855</v>
      </c>
      <c r="L32" s="49">
        <f>'Avg Week Lyantonde-Rushere'!L32+'Avg Week Rushere-Lyantonde'!L32</f>
        <v>0.7142857142857143</v>
      </c>
      <c r="M32" s="49">
        <f>'Avg Week Lyantonde-Rushere'!M32+'Avg Week Rushere-Lyantonde'!M32</f>
        <v>11.428571428571429</v>
      </c>
      <c r="N32" s="49">
        <f>'Avg Week Lyantonde-Rushere'!N32+'Avg Week Rushere-Lyantonde'!N32</f>
        <v>0</v>
      </c>
      <c r="O32" s="15">
        <f t="shared" si="0"/>
        <v>15.285714285714285</v>
      </c>
      <c r="P32" s="15">
        <f t="shared" si="1"/>
        <v>26.714285714285715</v>
      </c>
      <c r="R32" s="1" t="s">
        <v>156</v>
      </c>
      <c r="S32" s="34">
        <f>SUM(C98:C101)</f>
        <v>17</v>
      </c>
      <c r="T32" s="34">
        <f t="shared" ref="T32:AF32" si="24">SUM(D98:D101)</f>
        <v>13.5</v>
      </c>
      <c r="U32" s="34">
        <f t="shared" si="24"/>
        <v>5.5</v>
      </c>
      <c r="V32" s="34">
        <f t="shared" si="24"/>
        <v>4</v>
      </c>
      <c r="W32" s="34">
        <f t="shared" si="24"/>
        <v>0</v>
      </c>
      <c r="X32" s="34">
        <f t="shared" si="24"/>
        <v>3</v>
      </c>
      <c r="Y32" s="34">
        <f t="shared" si="24"/>
        <v>4.5</v>
      </c>
      <c r="Z32" s="34">
        <f t="shared" si="24"/>
        <v>6.5</v>
      </c>
      <c r="AA32" s="34">
        <f t="shared" si="24"/>
        <v>12</v>
      </c>
      <c r="AB32" s="34">
        <f t="shared" si="24"/>
        <v>12</v>
      </c>
      <c r="AC32" s="34">
        <f t="shared" si="24"/>
        <v>15.5</v>
      </c>
      <c r="AD32" s="34">
        <f t="shared" si="24"/>
        <v>0</v>
      </c>
      <c r="AE32" s="31">
        <f t="shared" si="24"/>
        <v>78</v>
      </c>
      <c r="AF32" s="31">
        <f t="shared" si="24"/>
        <v>93.5</v>
      </c>
    </row>
    <row r="33" spans="2:32" ht="23.1" customHeight="1" x14ac:dyDescent="0.25">
      <c r="B33" s="23" t="s">
        <v>60</v>
      </c>
      <c r="C33" s="49">
        <f>'Avg Week Lyantonde-Rushere'!C33+'Avg Week Rushere-Lyantonde'!C33</f>
        <v>7.5714285714285712</v>
      </c>
      <c r="D33" s="49">
        <f>'Avg Week Lyantonde-Rushere'!D33+'Avg Week Rushere-Lyantonde'!D33</f>
        <v>3.8571428571428568</v>
      </c>
      <c r="E33" s="49">
        <f>'Avg Week Lyantonde-Rushere'!E33+'Avg Week Rushere-Lyantonde'!E33</f>
        <v>1.7142857142857142</v>
      </c>
      <c r="F33" s="49">
        <f>'Avg Week Lyantonde-Rushere'!F33+'Avg Week Rushere-Lyantonde'!F33</f>
        <v>0.42857142857142855</v>
      </c>
      <c r="G33" s="49">
        <f>'Avg Week Lyantonde-Rushere'!G33+'Avg Week Rushere-Lyantonde'!G33</f>
        <v>0</v>
      </c>
      <c r="H33" s="49">
        <f>'Avg Week Lyantonde-Rushere'!H33+'Avg Week Rushere-Lyantonde'!H33</f>
        <v>0</v>
      </c>
      <c r="I33" s="49">
        <f>'Avg Week Lyantonde-Rushere'!I33+'Avg Week Rushere-Lyantonde'!I33</f>
        <v>0.14285714285714285</v>
      </c>
      <c r="J33" s="49">
        <f>'Avg Week Lyantonde-Rushere'!J33+'Avg Week Rushere-Lyantonde'!J33</f>
        <v>1.5714285714285714</v>
      </c>
      <c r="K33" s="49">
        <f>'Avg Week Lyantonde-Rushere'!K33+'Avg Week Rushere-Lyantonde'!K33</f>
        <v>1.4285714285714286</v>
      </c>
      <c r="L33" s="49">
        <f>'Avg Week Lyantonde-Rushere'!L33+'Avg Week Rushere-Lyantonde'!L33</f>
        <v>0.14285714285714285</v>
      </c>
      <c r="M33" s="49">
        <f>'Avg Week Lyantonde-Rushere'!M33+'Avg Week Rushere-Lyantonde'!M33</f>
        <v>12.571428571428573</v>
      </c>
      <c r="N33" s="49">
        <f>'Avg Week Lyantonde-Rushere'!N33+'Avg Week Rushere-Lyantonde'!N33</f>
        <v>0</v>
      </c>
      <c r="O33" s="15">
        <f t="shared" si="0"/>
        <v>16.857142857142854</v>
      </c>
      <c r="P33" s="15">
        <f t="shared" si="1"/>
        <v>29.428571428571427</v>
      </c>
      <c r="R33" s="1" t="s">
        <v>157</v>
      </c>
      <c r="S33" s="34">
        <f>SUM(C102:C105)</f>
        <v>14.5</v>
      </c>
      <c r="T33" s="34">
        <f t="shared" ref="T33:AF33" si="25">SUM(D102:D105)</f>
        <v>9.5</v>
      </c>
      <c r="U33" s="34">
        <f t="shared" si="25"/>
        <v>6</v>
      </c>
      <c r="V33" s="34">
        <f t="shared" si="25"/>
        <v>4.5</v>
      </c>
      <c r="W33" s="34">
        <f t="shared" si="25"/>
        <v>0.5</v>
      </c>
      <c r="X33" s="34">
        <f t="shared" si="25"/>
        <v>2.5</v>
      </c>
      <c r="Y33" s="34">
        <f t="shared" si="25"/>
        <v>4.5</v>
      </c>
      <c r="Z33" s="34">
        <f t="shared" si="25"/>
        <v>7</v>
      </c>
      <c r="AA33" s="34">
        <f t="shared" si="25"/>
        <v>8</v>
      </c>
      <c r="AB33" s="34">
        <f t="shared" si="25"/>
        <v>5</v>
      </c>
      <c r="AC33" s="34">
        <f t="shared" si="25"/>
        <v>16</v>
      </c>
      <c r="AD33" s="34">
        <f t="shared" si="25"/>
        <v>2.5</v>
      </c>
      <c r="AE33" s="31">
        <f t="shared" si="25"/>
        <v>64.5</v>
      </c>
      <c r="AF33" s="31">
        <f t="shared" si="25"/>
        <v>80.5</v>
      </c>
    </row>
    <row r="34" spans="2:32" ht="23.1" customHeight="1" x14ac:dyDescent="0.25">
      <c r="B34" s="24" t="s">
        <v>61</v>
      </c>
      <c r="C34" s="49">
        <f>'Avg Week Lyantonde-Rushere'!C34+'Avg Week Rushere-Lyantonde'!C34</f>
        <v>9</v>
      </c>
      <c r="D34" s="49">
        <f>'Avg Week Lyantonde-Rushere'!D34+'Avg Week Rushere-Lyantonde'!D34</f>
        <v>1.8571428571428572</v>
      </c>
      <c r="E34" s="49">
        <f>'Avg Week Lyantonde-Rushere'!E34+'Avg Week Rushere-Lyantonde'!E34</f>
        <v>1.1428571428571428</v>
      </c>
      <c r="F34" s="49">
        <f>'Avg Week Lyantonde-Rushere'!F34+'Avg Week Rushere-Lyantonde'!F34</f>
        <v>0.2857142857142857</v>
      </c>
      <c r="G34" s="49">
        <f>'Avg Week Lyantonde-Rushere'!G34+'Avg Week Rushere-Lyantonde'!G34</f>
        <v>0</v>
      </c>
      <c r="H34" s="49">
        <f>'Avg Week Lyantonde-Rushere'!H34+'Avg Week Rushere-Lyantonde'!H34</f>
        <v>0</v>
      </c>
      <c r="I34" s="49">
        <f>'Avg Week Lyantonde-Rushere'!I34+'Avg Week Rushere-Lyantonde'!I34</f>
        <v>0.71428571428571419</v>
      </c>
      <c r="J34" s="49">
        <f>'Avg Week Lyantonde-Rushere'!J34+'Avg Week Rushere-Lyantonde'!J34</f>
        <v>1.5714285714285714</v>
      </c>
      <c r="K34" s="49">
        <f>'Avg Week Lyantonde-Rushere'!K34+'Avg Week Rushere-Lyantonde'!K34</f>
        <v>0.42857142857142855</v>
      </c>
      <c r="L34" s="49">
        <f>'Avg Week Lyantonde-Rushere'!L34+'Avg Week Rushere-Lyantonde'!L34</f>
        <v>0.14285714285714285</v>
      </c>
      <c r="M34" s="49">
        <f>'Avg Week Lyantonde-Rushere'!M34+'Avg Week Rushere-Lyantonde'!M34</f>
        <v>12.571428571428571</v>
      </c>
      <c r="N34" s="49">
        <f>'Avg Week Lyantonde-Rushere'!N34+'Avg Week Rushere-Lyantonde'!N34</f>
        <v>0</v>
      </c>
      <c r="O34" s="15">
        <f t="shared" si="0"/>
        <v>15.142857142857142</v>
      </c>
      <c r="P34" s="15">
        <f t="shared" si="1"/>
        <v>27.714285714285715</v>
      </c>
      <c r="R34" s="38" t="s">
        <v>90</v>
      </c>
      <c r="S34" s="39">
        <f t="shared" ref="S34:AF34" si="26">MAX(S10:S12)</f>
        <v>22.285714285714285</v>
      </c>
      <c r="T34" s="39">
        <f t="shared" si="26"/>
        <v>9.8571428571428577</v>
      </c>
      <c r="U34" s="39">
        <f t="shared" si="26"/>
        <v>4.7142857142857144</v>
      </c>
      <c r="V34" s="39">
        <f t="shared" si="26"/>
        <v>3.2857142857142856</v>
      </c>
      <c r="W34" s="39">
        <f t="shared" si="26"/>
        <v>0.14285714285714285</v>
      </c>
      <c r="X34" s="39">
        <f t="shared" si="26"/>
        <v>0.85714285714285698</v>
      </c>
      <c r="Y34" s="39">
        <f t="shared" si="26"/>
        <v>3.8571428571428568</v>
      </c>
      <c r="Z34" s="39">
        <f t="shared" si="26"/>
        <v>4.2857142857142856</v>
      </c>
      <c r="AA34" s="39">
        <f t="shared" si="26"/>
        <v>2.8571428571428572</v>
      </c>
      <c r="AB34" s="39">
        <f t="shared" si="26"/>
        <v>1.4285714285714284</v>
      </c>
      <c r="AC34" s="39">
        <f t="shared" si="26"/>
        <v>41.285714285714285</v>
      </c>
      <c r="AD34" s="39">
        <f t="shared" si="26"/>
        <v>0.2857142857142857</v>
      </c>
      <c r="AE34" s="40">
        <f t="shared" si="26"/>
        <v>47.714285714285715</v>
      </c>
      <c r="AF34" s="40">
        <f t="shared" si="26"/>
        <v>86.571428571428584</v>
      </c>
    </row>
    <row r="35" spans="2:32" ht="23.1" customHeight="1" x14ac:dyDescent="0.25">
      <c r="B35" s="24" t="s">
        <v>62</v>
      </c>
      <c r="C35" s="49">
        <f>'Avg Week Lyantonde-Rushere'!C35+'Avg Week Rushere-Lyantonde'!C35</f>
        <v>9.5714285714285712</v>
      </c>
      <c r="D35" s="49">
        <f>'Avg Week Lyantonde-Rushere'!D35+'Avg Week Rushere-Lyantonde'!D35</f>
        <v>1.5714285714285714</v>
      </c>
      <c r="E35" s="49">
        <f>'Avg Week Lyantonde-Rushere'!E35+'Avg Week Rushere-Lyantonde'!E35</f>
        <v>1.5714285714285714</v>
      </c>
      <c r="F35" s="49">
        <f>'Avg Week Lyantonde-Rushere'!F35+'Avg Week Rushere-Lyantonde'!F35</f>
        <v>0.14285714285714285</v>
      </c>
      <c r="G35" s="49">
        <f>'Avg Week Lyantonde-Rushere'!G35+'Avg Week Rushere-Lyantonde'!G35</f>
        <v>0</v>
      </c>
      <c r="H35" s="49">
        <f>'Avg Week Lyantonde-Rushere'!H35+'Avg Week Rushere-Lyantonde'!H35</f>
        <v>0</v>
      </c>
      <c r="I35" s="49">
        <f>'Avg Week Lyantonde-Rushere'!I35+'Avg Week Rushere-Lyantonde'!I35</f>
        <v>0.8571428571428571</v>
      </c>
      <c r="J35" s="49">
        <f>'Avg Week Lyantonde-Rushere'!J35+'Avg Week Rushere-Lyantonde'!J35</f>
        <v>1.8571428571428572</v>
      </c>
      <c r="K35" s="49">
        <f>'Avg Week Lyantonde-Rushere'!K35+'Avg Week Rushere-Lyantonde'!K35</f>
        <v>0.71428571428571419</v>
      </c>
      <c r="L35" s="49">
        <f>'Avg Week Lyantonde-Rushere'!L35+'Avg Week Rushere-Lyantonde'!L35</f>
        <v>0.2857142857142857</v>
      </c>
      <c r="M35" s="49">
        <f>'Avg Week Lyantonde-Rushere'!M35+'Avg Week Rushere-Lyantonde'!M35</f>
        <v>9.7142857142857153</v>
      </c>
      <c r="N35" s="49">
        <f>'Avg Week Lyantonde-Rushere'!N35+'Avg Week Rushere-Lyantonde'!N35</f>
        <v>0</v>
      </c>
      <c r="O35" s="15">
        <f t="shared" si="0"/>
        <v>16.571428571428569</v>
      </c>
      <c r="P35" s="15">
        <f t="shared" si="1"/>
        <v>26.285714285714285</v>
      </c>
      <c r="R35" s="38" t="s">
        <v>91</v>
      </c>
      <c r="S35" s="39">
        <f t="shared" ref="S35:AF35" si="27">MAX(S13:S18)</f>
        <v>34</v>
      </c>
      <c r="T35" s="39">
        <f t="shared" si="27"/>
        <v>13.142857142857142</v>
      </c>
      <c r="U35" s="39">
        <f t="shared" si="27"/>
        <v>6.2857142857142847</v>
      </c>
      <c r="V35" s="39">
        <f t="shared" si="27"/>
        <v>1.857142857142857</v>
      </c>
      <c r="W35" s="39">
        <f t="shared" si="27"/>
        <v>0.71428571428571419</v>
      </c>
      <c r="X35" s="39">
        <f t="shared" si="27"/>
        <v>0.71428571428571419</v>
      </c>
      <c r="Y35" s="39">
        <f t="shared" si="27"/>
        <v>8</v>
      </c>
      <c r="Z35" s="39">
        <f t="shared" si="27"/>
        <v>6</v>
      </c>
      <c r="AA35" s="39">
        <f t="shared" si="27"/>
        <v>3.1428571428571428</v>
      </c>
      <c r="AB35" s="39">
        <f t="shared" si="27"/>
        <v>2.1428571428571428</v>
      </c>
      <c r="AC35" s="39">
        <f t="shared" si="27"/>
        <v>55.571428571428569</v>
      </c>
      <c r="AD35" s="39">
        <f t="shared" si="27"/>
        <v>0.2857142857142857</v>
      </c>
      <c r="AE35" s="40">
        <f t="shared" si="27"/>
        <v>66.857142857142861</v>
      </c>
      <c r="AF35" s="40">
        <f t="shared" si="27"/>
        <v>117.42857142857143</v>
      </c>
    </row>
    <row r="36" spans="2:32" ht="23.1" customHeight="1" x14ac:dyDescent="0.25">
      <c r="B36" s="24" t="s">
        <v>63</v>
      </c>
      <c r="C36" s="49">
        <f>'Avg Week Lyantonde-Rushere'!C36+'Avg Week Rushere-Lyantonde'!C36</f>
        <v>7</v>
      </c>
      <c r="D36" s="49">
        <f>'Avg Week Lyantonde-Rushere'!D36+'Avg Week Rushere-Lyantonde'!D36</f>
        <v>2.7142857142857144</v>
      </c>
      <c r="E36" s="49">
        <f>'Avg Week Lyantonde-Rushere'!E36+'Avg Week Rushere-Lyantonde'!E36</f>
        <v>2.4285714285714288</v>
      </c>
      <c r="F36" s="49">
        <f>'Avg Week Lyantonde-Rushere'!F36+'Avg Week Rushere-Lyantonde'!F36</f>
        <v>0.5714285714285714</v>
      </c>
      <c r="G36" s="49">
        <f>'Avg Week Lyantonde-Rushere'!G36+'Avg Week Rushere-Lyantonde'!G36</f>
        <v>0.14285714285714285</v>
      </c>
      <c r="H36" s="49">
        <f>'Avg Week Lyantonde-Rushere'!H36+'Avg Week Rushere-Lyantonde'!H36</f>
        <v>0</v>
      </c>
      <c r="I36" s="49">
        <f>'Avg Week Lyantonde-Rushere'!I36+'Avg Week Rushere-Lyantonde'!I36</f>
        <v>1.5714285714285714</v>
      </c>
      <c r="J36" s="49">
        <f>'Avg Week Lyantonde-Rushere'!J36+'Avg Week Rushere-Lyantonde'!J36</f>
        <v>1</v>
      </c>
      <c r="K36" s="49">
        <f>'Avg Week Lyantonde-Rushere'!K36+'Avg Week Rushere-Lyantonde'!K36</f>
        <v>0.2857142857142857</v>
      </c>
      <c r="L36" s="49">
        <f>'Avg Week Lyantonde-Rushere'!L36+'Avg Week Rushere-Lyantonde'!L36</f>
        <v>0.42857142857142855</v>
      </c>
      <c r="M36" s="49">
        <f>'Avg Week Lyantonde-Rushere'!M36+'Avg Week Rushere-Lyantonde'!M36</f>
        <v>9.7142857142857135</v>
      </c>
      <c r="N36" s="49">
        <f>'Avg Week Lyantonde-Rushere'!N36+'Avg Week Rushere-Lyantonde'!N36</f>
        <v>0</v>
      </c>
      <c r="O36" s="15">
        <f t="shared" si="0"/>
        <v>16.142857142857142</v>
      </c>
      <c r="P36" s="15">
        <f t="shared" si="1"/>
        <v>25.857142857142854</v>
      </c>
      <c r="R36" s="38" t="s">
        <v>92</v>
      </c>
      <c r="S36" s="39">
        <f t="shared" ref="S36:AF36" si="28">MAX(S19:S21)</f>
        <v>42</v>
      </c>
      <c r="T36" s="39">
        <f t="shared" si="28"/>
        <v>14.857142857142854</v>
      </c>
      <c r="U36" s="39">
        <f t="shared" si="28"/>
        <v>9.4285714285714288</v>
      </c>
      <c r="V36" s="39">
        <f t="shared" si="28"/>
        <v>2.714285714285714</v>
      </c>
      <c r="W36" s="39">
        <f t="shared" si="28"/>
        <v>0.2857142857142857</v>
      </c>
      <c r="X36" s="39">
        <f t="shared" si="28"/>
        <v>1.1428571428571428</v>
      </c>
      <c r="Y36" s="39">
        <f t="shared" si="28"/>
        <v>9.5714285714285712</v>
      </c>
      <c r="Z36" s="39">
        <f t="shared" si="28"/>
        <v>8.8571428571428577</v>
      </c>
      <c r="AA36" s="39">
        <f t="shared" si="28"/>
        <v>4.2857142857142856</v>
      </c>
      <c r="AB36" s="39">
        <f t="shared" si="28"/>
        <v>3.1428571428571432</v>
      </c>
      <c r="AC36" s="39">
        <f t="shared" si="28"/>
        <v>61.857142857142861</v>
      </c>
      <c r="AD36" s="39">
        <f t="shared" si="28"/>
        <v>0</v>
      </c>
      <c r="AE36" s="40">
        <f t="shared" si="28"/>
        <v>88.428571428571416</v>
      </c>
      <c r="AF36" s="40">
        <f t="shared" si="28"/>
        <v>149.57142857142858</v>
      </c>
    </row>
    <row r="37" spans="2:32" ht="23.1" customHeight="1" x14ac:dyDescent="0.25">
      <c r="B37" s="23" t="s">
        <v>64</v>
      </c>
      <c r="C37" s="49">
        <f>'Avg Week Lyantonde-Rushere'!C37+'Avg Week Rushere-Lyantonde'!C37</f>
        <v>8.2857142857142847</v>
      </c>
      <c r="D37" s="49">
        <f>'Avg Week Lyantonde-Rushere'!D37+'Avg Week Rushere-Lyantonde'!D37</f>
        <v>3.4285714285714288</v>
      </c>
      <c r="E37" s="49">
        <f>'Avg Week Lyantonde-Rushere'!E37+'Avg Week Rushere-Lyantonde'!E37</f>
        <v>0.5714285714285714</v>
      </c>
      <c r="F37" s="49">
        <f>'Avg Week Lyantonde-Rushere'!F37+'Avg Week Rushere-Lyantonde'!F37</f>
        <v>0.14285714285714285</v>
      </c>
      <c r="G37" s="49">
        <f>'Avg Week Lyantonde-Rushere'!G37+'Avg Week Rushere-Lyantonde'!G37</f>
        <v>0</v>
      </c>
      <c r="H37" s="49">
        <f>'Avg Week Lyantonde-Rushere'!H37+'Avg Week Rushere-Lyantonde'!H37</f>
        <v>0</v>
      </c>
      <c r="I37" s="49">
        <f>'Avg Week Lyantonde-Rushere'!I37+'Avg Week Rushere-Lyantonde'!I37</f>
        <v>2</v>
      </c>
      <c r="J37" s="49">
        <f>'Avg Week Lyantonde-Rushere'!J37+'Avg Week Rushere-Lyantonde'!J37</f>
        <v>1.5714285714285714</v>
      </c>
      <c r="K37" s="49">
        <f>'Avg Week Lyantonde-Rushere'!K37+'Avg Week Rushere-Lyantonde'!K37</f>
        <v>0.5714285714285714</v>
      </c>
      <c r="L37" s="49">
        <f>'Avg Week Lyantonde-Rushere'!L37+'Avg Week Rushere-Lyantonde'!L37</f>
        <v>0.5714285714285714</v>
      </c>
      <c r="M37" s="49">
        <f>'Avg Week Lyantonde-Rushere'!M37+'Avg Week Rushere-Lyantonde'!M37</f>
        <v>10.428571428571429</v>
      </c>
      <c r="N37" s="49">
        <f>'Avg Week Lyantonde-Rushere'!N37+'Avg Week Rushere-Lyantonde'!N37</f>
        <v>0.2857142857142857</v>
      </c>
      <c r="O37" s="15">
        <f t="shared" si="0"/>
        <v>17.428571428571427</v>
      </c>
      <c r="P37" s="15">
        <f t="shared" si="1"/>
        <v>27.857142857142854</v>
      </c>
      <c r="R37" s="37" t="s">
        <v>85</v>
      </c>
      <c r="S37" s="35">
        <f t="shared" ref="S37:AF37" si="29">SUM(S10:S12)</f>
        <v>62.000000000000007</v>
      </c>
      <c r="T37" s="16">
        <f t="shared" si="29"/>
        <v>22.571428571428573</v>
      </c>
      <c r="U37" s="16">
        <f t="shared" si="29"/>
        <v>11.285714285714285</v>
      </c>
      <c r="V37" s="16">
        <f t="shared" si="29"/>
        <v>6.1428571428571423</v>
      </c>
      <c r="W37" s="16">
        <f t="shared" si="29"/>
        <v>0.2857142857142857</v>
      </c>
      <c r="X37" s="16">
        <f t="shared" si="29"/>
        <v>1.5714285714285712</v>
      </c>
      <c r="Y37" s="16">
        <f t="shared" si="29"/>
        <v>8.7142857142857135</v>
      </c>
      <c r="Z37" s="16">
        <f t="shared" si="29"/>
        <v>8.1428571428571423</v>
      </c>
      <c r="AA37" s="16">
        <f t="shared" si="29"/>
        <v>5.7142857142857144</v>
      </c>
      <c r="AB37" s="16">
        <f t="shared" si="29"/>
        <v>2.5714285714285712</v>
      </c>
      <c r="AC37" s="16">
        <f t="shared" si="29"/>
        <v>106.14285714285714</v>
      </c>
      <c r="AD37" s="16">
        <f t="shared" si="29"/>
        <v>0.5714285714285714</v>
      </c>
      <c r="AE37" s="32">
        <f t="shared" si="29"/>
        <v>129.57142857142856</v>
      </c>
      <c r="AF37" s="32">
        <f t="shared" si="29"/>
        <v>235.71428571428572</v>
      </c>
    </row>
    <row r="38" spans="2:32" ht="23.1" customHeight="1" x14ac:dyDescent="0.25">
      <c r="B38" s="24" t="s">
        <v>65</v>
      </c>
      <c r="C38" s="49">
        <f>'Avg Week Lyantonde-Rushere'!C38+'Avg Week Rushere-Lyantonde'!C38</f>
        <v>9.1428571428571423</v>
      </c>
      <c r="D38" s="49">
        <f>'Avg Week Lyantonde-Rushere'!D38+'Avg Week Rushere-Lyantonde'!D38</f>
        <v>2.1428571428571428</v>
      </c>
      <c r="E38" s="49">
        <f>'Avg Week Lyantonde-Rushere'!E38+'Avg Week Rushere-Lyantonde'!E38</f>
        <v>0.8571428571428571</v>
      </c>
      <c r="F38" s="49">
        <f>'Avg Week Lyantonde-Rushere'!F38+'Avg Week Rushere-Lyantonde'!F38</f>
        <v>0</v>
      </c>
      <c r="G38" s="49">
        <f>'Avg Week Lyantonde-Rushere'!G38+'Avg Week Rushere-Lyantonde'!G38</f>
        <v>0</v>
      </c>
      <c r="H38" s="49">
        <f>'Avg Week Lyantonde-Rushere'!H38+'Avg Week Rushere-Lyantonde'!H38</f>
        <v>0</v>
      </c>
      <c r="I38" s="49">
        <f>'Avg Week Lyantonde-Rushere'!I38+'Avg Week Rushere-Lyantonde'!I38</f>
        <v>1.1428571428571428</v>
      </c>
      <c r="J38" s="49">
        <f>'Avg Week Lyantonde-Rushere'!J38+'Avg Week Rushere-Lyantonde'!J38</f>
        <v>2.5714285714285712</v>
      </c>
      <c r="K38" s="49">
        <f>'Avg Week Lyantonde-Rushere'!K38+'Avg Week Rushere-Lyantonde'!K38</f>
        <v>1.2857142857142856</v>
      </c>
      <c r="L38" s="49">
        <f>'Avg Week Lyantonde-Rushere'!L38+'Avg Week Rushere-Lyantonde'!L38</f>
        <v>1</v>
      </c>
      <c r="M38" s="49">
        <f>'Avg Week Lyantonde-Rushere'!M38+'Avg Week Rushere-Lyantonde'!M38</f>
        <v>12.285714285714285</v>
      </c>
      <c r="N38" s="49">
        <f>'Avg Week Lyantonde-Rushere'!N38+'Avg Week Rushere-Lyantonde'!N38</f>
        <v>0</v>
      </c>
      <c r="O38" s="15">
        <f t="shared" si="0"/>
        <v>18.142857142857142</v>
      </c>
      <c r="P38" s="15">
        <f t="shared" si="1"/>
        <v>30.428571428571427</v>
      </c>
      <c r="R38" s="28" t="s">
        <v>86</v>
      </c>
      <c r="S38" s="16">
        <f t="shared" ref="S38:AF38" si="30">SUM(S13:S18)</f>
        <v>180.85714285714289</v>
      </c>
      <c r="T38" s="16">
        <f t="shared" si="30"/>
        <v>61.714285714285715</v>
      </c>
      <c r="U38" s="16">
        <f t="shared" si="30"/>
        <v>33.285714285714285</v>
      </c>
      <c r="V38" s="16">
        <f t="shared" si="30"/>
        <v>7.2857142857142847</v>
      </c>
      <c r="W38" s="16">
        <f t="shared" si="30"/>
        <v>1.4285714285714284</v>
      </c>
      <c r="X38" s="16">
        <f t="shared" si="30"/>
        <v>1.5714285714285712</v>
      </c>
      <c r="Y38" s="16">
        <f t="shared" si="30"/>
        <v>30.142857142857142</v>
      </c>
      <c r="Z38" s="16">
        <f t="shared" si="30"/>
        <v>27.285714285714281</v>
      </c>
      <c r="AA38" s="16">
        <f t="shared" si="30"/>
        <v>10.999999999999998</v>
      </c>
      <c r="AB38" s="16">
        <f t="shared" si="30"/>
        <v>9.2857142857142847</v>
      </c>
      <c r="AC38" s="16">
        <f t="shared" si="30"/>
        <v>289.42857142857144</v>
      </c>
      <c r="AD38" s="16">
        <f t="shared" si="30"/>
        <v>0.71428571428571419</v>
      </c>
      <c r="AE38" s="32">
        <f t="shared" si="30"/>
        <v>364.57142857142856</v>
      </c>
      <c r="AF38" s="32">
        <f t="shared" si="30"/>
        <v>654</v>
      </c>
    </row>
    <row r="39" spans="2:32" ht="23.1" customHeight="1" x14ac:dyDescent="0.25">
      <c r="B39" s="24" t="s">
        <v>66</v>
      </c>
      <c r="C39" s="49">
        <f>'Avg Week Lyantonde-Rushere'!C39+'Avg Week Rushere-Lyantonde'!C39</f>
        <v>7.7142857142857135</v>
      </c>
      <c r="D39" s="49">
        <f>'Avg Week Lyantonde-Rushere'!D39+'Avg Week Rushere-Lyantonde'!D39</f>
        <v>3.4285714285714284</v>
      </c>
      <c r="E39" s="49">
        <f>'Avg Week Lyantonde-Rushere'!E39+'Avg Week Rushere-Lyantonde'!E39</f>
        <v>1</v>
      </c>
      <c r="F39" s="49">
        <f>'Avg Week Lyantonde-Rushere'!F39+'Avg Week Rushere-Lyantonde'!F39</f>
        <v>0.42857142857142855</v>
      </c>
      <c r="G39" s="49">
        <f>'Avg Week Lyantonde-Rushere'!G39+'Avg Week Rushere-Lyantonde'!G39</f>
        <v>0</v>
      </c>
      <c r="H39" s="49">
        <f>'Avg Week Lyantonde-Rushere'!H39+'Avg Week Rushere-Lyantonde'!H39</f>
        <v>0</v>
      </c>
      <c r="I39" s="49">
        <f>'Avg Week Lyantonde-Rushere'!I39+'Avg Week Rushere-Lyantonde'!I39</f>
        <v>1</v>
      </c>
      <c r="J39" s="49">
        <f>'Avg Week Lyantonde-Rushere'!J39+'Avg Week Rushere-Lyantonde'!J39</f>
        <v>0.42857142857142855</v>
      </c>
      <c r="K39" s="49">
        <f>'Avg Week Lyantonde-Rushere'!K39+'Avg Week Rushere-Lyantonde'!K39</f>
        <v>0.5714285714285714</v>
      </c>
      <c r="L39" s="49">
        <f>'Avg Week Lyantonde-Rushere'!L39+'Avg Week Rushere-Lyantonde'!L39</f>
        <v>0.14285714285714285</v>
      </c>
      <c r="M39" s="49">
        <f>'Avg Week Lyantonde-Rushere'!M39+'Avg Week Rushere-Lyantonde'!M39</f>
        <v>10.714285714285714</v>
      </c>
      <c r="N39" s="49">
        <f>'Avg Week Lyantonde-Rushere'!N39+'Avg Week Rushere-Lyantonde'!N39</f>
        <v>0</v>
      </c>
      <c r="O39" s="15">
        <f t="shared" si="0"/>
        <v>14.714285714285714</v>
      </c>
      <c r="P39" s="15">
        <f t="shared" si="1"/>
        <v>25.428571428571427</v>
      </c>
      <c r="R39" s="29" t="s">
        <v>87</v>
      </c>
      <c r="S39" s="16">
        <f t="shared" ref="S39:AF39" si="31">SUM(S19:S21)</f>
        <v>113.14285714285714</v>
      </c>
      <c r="T39" s="16">
        <f t="shared" si="31"/>
        <v>38.142857142857139</v>
      </c>
      <c r="U39" s="16">
        <f t="shared" si="31"/>
        <v>23.142857142857142</v>
      </c>
      <c r="V39" s="16">
        <f t="shared" si="31"/>
        <v>6</v>
      </c>
      <c r="W39" s="16">
        <f t="shared" si="31"/>
        <v>0.5714285714285714</v>
      </c>
      <c r="X39" s="16">
        <f t="shared" si="31"/>
        <v>1.4285714285714284</v>
      </c>
      <c r="Y39" s="16">
        <f t="shared" si="31"/>
        <v>25.714285714285712</v>
      </c>
      <c r="Z39" s="16">
        <f t="shared" si="31"/>
        <v>21.714285714285715</v>
      </c>
      <c r="AA39" s="16">
        <f t="shared" si="31"/>
        <v>11</v>
      </c>
      <c r="AB39" s="16">
        <f t="shared" si="31"/>
        <v>5.8571428571428577</v>
      </c>
      <c r="AC39" s="16">
        <f t="shared" si="31"/>
        <v>178.57142857142856</v>
      </c>
      <c r="AD39" s="16">
        <f t="shared" si="31"/>
        <v>0</v>
      </c>
      <c r="AE39" s="32">
        <f t="shared" si="31"/>
        <v>246.71428571428572</v>
      </c>
      <c r="AF39" s="32">
        <f t="shared" si="31"/>
        <v>425.28571428571433</v>
      </c>
    </row>
    <row r="40" spans="2:32" ht="23.1" customHeight="1" x14ac:dyDescent="0.25">
      <c r="B40" s="24" t="s">
        <v>67</v>
      </c>
      <c r="C40" s="49">
        <f>'Avg Week Lyantonde-Rushere'!C40+'Avg Week Rushere-Lyantonde'!C40</f>
        <v>7.8571428571428577</v>
      </c>
      <c r="D40" s="49">
        <f>'Avg Week Lyantonde-Rushere'!D40+'Avg Week Rushere-Lyantonde'!D40</f>
        <v>2.5714285714285712</v>
      </c>
      <c r="E40" s="49">
        <f>'Avg Week Lyantonde-Rushere'!E40+'Avg Week Rushere-Lyantonde'!E40</f>
        <v>1.5714285714285714</v>
      </c>
      <c r="F40" s="49">
        <f>'Avg Week Lyantonde-Rushere'!F40+'Avg Week Rushere-Lyantonde'!F40</f>
        <v>0.2857142857142857</v>
      </c>
      <c r="G40" s="49">
        <f>'Avg Week Lyantonde-Rushere'!G40+'Avg Week Rushere-Lyantonde'!G40</f>
        <v>0</v>
      </c>
      <c r="H40" s="49">
        <f>'Avg Week Lyantonde-Rushere'!H40+'Avg Week Rushere-Lyantonde'!H40</f>
        <v>0</v>
      </c>
      <c r="I40" s="49">
        <f>'Avg Week Lyantonde-Rushere'!I40+'Avg Week Rushere-Lyantonde'!I40</f>
        <v>1.1428571428571428</v>
      </c>
      <c r="J40" s="49">
        <f>'Avg Week Lyantonde-Rushere'!J40+'Avg Week Rushere-Lyantonde'!J40</f>
        <v>1.2857142857142856</v>
      </c>
      <c r="K40" s="49">
        <f>'Avg Week Lyantonde-Rushere'!K40+'Avg Week Rushere-Lyantonde'!K40</f>
        <v>0.2857142857142857</v>
      </c>
      <c r="L40" s="49">
        <f>'Avg Week Lyantonde-Rushere'!L40+'Avg Week Rushere-Lyantonde'!L40</f>
        <v>0.71428571428571419</v>
      </c>
      <c r="M40" s="49">
        <f>'Avg Week Lyantonde-Rushere'!M40+'Avg Week Rushere-Lyantonde'!M40</f>
        <v>13.857142857142858</v>
      </c>
      <c r="N40" s="49">
        <f>'Avg Week Lyantonde-Rushere'!N40+'Avg Week Rushere-Lyantonde'!N40</f>
        <v>0</v>
      </c>
      <c r="O40" s="15">
        <f t="shared" si="0"/>
        <v>15.714285714285715</v>
      </c>
      <c r="P40" s="15">
        <f t="shared" si="1"/>
        <v>29.571428571428573</v>
      </c>
      <c r="R40" s="5" t="s">
        <v>17</v>
      </c>
      <c r="S40" s="16">
        <f t="shared" ref="S40:AF40" si="32">SUM(S10:S21)</f>
        <v>356</v>
      </c>
      <c r="T40" s="16">
        <f t="shared" si="32"/>
        <v>122.42857142857143</v>
      </c>
      <c r="U40" s="16">
        <f t="shared" si="32"/>
        <v>67.714285714285708</v>
      </c>
      <c r="V40" s="16">
        <f t="shared" si="32"/>
        <v>19.428571428571427</v>
      </c>
      <c r="W40" s="16">
        <f t="shared" si="32"/>
        <v>2.2857142857142851</v>
      </c>
      <c r="X40" s="16">
        <f t="shared" si="32"/>
        <v>4.5714285714285712</v>
      </c>
      <c r="Y40" s="16">
        <f t="shared" si="32"/>
        <v>64.571428571428569</v>
      </c>
      <c r="Z40" s="16">
        <f t="shared" si="32"/>
        <v>57.142857142857139</v>
      </c>
      <c r="AA40" s="16">
        <f t="shared" si="32"/>
        <v>27.714285714285715</v>
      </c>
      <c r="AB40" s="16">
        <f t="shared" si="32"/>
        <v>17.714285714285712</v>
      </c>
      <c r="AC40" s="16">
        <f t="shared" si="32"/>
        <v>574.14285714285711</v>
      </c>
      <c r="AD40" s="16">
        <f t="shared" si="32"/>
        <v>1.2857142857142856</v>
      </c>
      <c r="AE40" s="32">
        <f t="shared" si="32"/>
        <v>740.85714285714278</v>
      </c>
      <c r="AF40" s="32">
        <f t="shared" si="32"/>
        <v>1315</v>
      </c>
    </row>
    <row r="41" spans="2:32" ht="23.1" customHeight="1" x14ac:dyDescent="0.25">
      <c r="B41" s="23" t="s">
        <v>68</v>
      </c>
      <c r="C41" s="49">
        <f>'Avg Week Lyantonde-Rushere'!C41+'Avg Week Rushere-Lyantonde'!C41</f>
        <v>9.2857142857142847</v>
      </c>
      <c r="D41" s="49">
        <f>'Avg Week Lyantonde-Rushere'!D41+'Avg Week Rushere-Lyantonde'!D41</f>
        <v>2.8571428571428568</v>
      </c>
      <c r="E41" s="49">
        <f>'Avg Week Lyantonde-Rushere'!E41+'Avg Week Rushere-Lyantonde'!E41</f>
        <v>1.8571428571428572</v>
      </c>
      <c r="F41" s="49">
        <f>'Avg Week Lyantonde-Rushere'!F41+'Avg Week Rushere-Lyantonde'!F41</f>
        <v>0</v>
      </c>
      <c r="G41" s="49">
        <f>'Avg Week Lyantonde-Rushere'!G41+'Avg Week Rushere-Lyantonde'!G41</f>
        <v>0</v>
      </c>
      <c r="H41" s="49">
        <f>'Avg Week Lyantonde-Rushere'!H41+'Avg Week Rushere-Lyantonde'!H41</f>
        <v>0</v>
      </c>
      <c r="I41" s="49">
        <f>'Avg Week Lyantonde-Rushere'!I41+'Avg Week Rushere-Lyantonde'!I41</f>
        <v>1.7142857142857142</v>
      </c>
      <c r="J41" s="49">
        <f>'Avg Week Lyantonde-Rushere'!J41+'Avg Week Rushere-Lyantonde'!J41</f>
        <v>1.2857142857142856</v>
      </c>
      <c r="K41" s="49">
        <f>'Avg Week Lyantonde-Rushere'!K41+'Avg Week Rushere-Lyantonde'!K41</f>
        <v>1</v>
      </c>
      <c r="L41" s="49">
        <f>'Avg Week Lyantonde-Rushere'!L41+'Avg Week Rushere-Lyantonde'!L41</f>
        <v>0.2857142857142857</v>
      </c>
      <c r="M41" s="49">
        <f>'Avg Week Lyantonde-Rushere'!M41+'Avg Week Rushere-Lyantonde'!M41</f>
        <v>13.714285714285715</v>
      </c>
      <c r="N41" s="49">
        <f>'Avg Week Lyantonde-Rushere'!N41+'Avg Week Rushere-Lyantonde'!N41</f>
        <v>0</v>
      </c>
      <c r="O41" s="15">
        <f t="shared" si="0"/>
        <v>18.285714285714285</v>
      </c>
      <c r="P41" s="15">
        <f t="shared" si="1"/>
        <v>32</v>
      </c>
      <c r="R41" s="5" t="s">
        <v>179</v>
      </c>
      <c r="S41" s="52">
        <f>SUM(S10:S33)</f>
        <v>587</v>
      </c>
      <c r="T41" s="52">
        <f t="shared" ref="T41:AD41" si="33">SUM(T10:T33)</f>
        <v>225.42857142857144</v>
      </c>
      <c r="U41" s="52">
        <f t="shared" si="33"/>
        <v>140.21428571428572</v>
      </c>
      <c r="V41" s="52">
        <f t="shared" si="33"/>
        <v>40.428571428571431</v>
      </c>
      <c r="W41" s="52">
        <f t="shared" si="33"/>
        <v>9.7857142857142847</v>
      </c>
      <c r="X41" s="52">
        <f t="shared" si="33"/>
        <v>16.571428571428569</v>
      </c>
      <c r="Y41" s="52">
        <f t="shared" si="33"/>
        <v>120.07142857142857</v>
      </c>
      <c r="Z41" s="52">
        <f t="shared" si="33"/>
        <v>120.64285714285714</v>
      </c>
      <c r="AA41" s="52">
        <f t="shared" si="33"/>
        <v>95.214285714285722</v>
      </c>
      <c r="AB41" s="52">
        <f t="shared" si="33"/>
        <v>92.214285714285708</v>
      </c>
      <c r="AC41" s="52">
        <f t="shared" si="33"/>
        <v>690.64285714285711</v>
      </c>
      <c r="AD41" s="52">
        <f t="shared" si="33"/>
        <v>5.2857142857142856</v>
      </c>
      <c r="AE41" s="53">
        <f>SUM(AE10:AE33)</f>
        <v>1452.8571428571427</v>
      </c>
      <c r="AF41" s="53">
        <f>SUM(AF10:AF33)</f>
        <v>2143.5</v>
      </c>
    </row>
    <row r="42" spans="2:32" ht="23.1" customHeight="1" x14ac:dyDescent="0.25">
      <c r="B42" s="24" t="s">
        <v>69</v>
      </c>
      <c r="C42" s="49">
        <f>'Avg Week Lyantonde-Rushere'!C42+'Avg Week Rushere-Lyantonde'!C42</f>
        <v>5.7142857142857135</v>
      </c>
      <c r="D42" s="49">
        <f>'Avg Week Lyantonde-Rushere'!D42+'Avg Week Rushere-Lyantonde'!D42</f>
        <v>2.4285714285714288</v>
      </c>
      <c r="E42" s="49">
        <f>'Avg Week Lyantonde-Rushere'!E42+'Avg Week Rushere-Lyantonde'!E42</f>
        <v>1.5714285714285714</v>
      </c>
      <c r="F42" s="49">
        <f>'Avg Week Lyantonde-Rushere'!F42+'Avg Week Rushere-Lyantonde'!F42</f>
        <v>0</v>
      </c>
      <c r="G42" s="49">
        <f>'Avg Week Lyantonde-Rushere'!G42+'Avg Week Rushere-Lyantonde'!G42</f>
        <v>0.14285714285714285</v>
      </c>
      <c r="H42" s="49">
        <f>'Avg Week Lyantonde-Rushere'!H42+'Avg Week Rushere-Lyantonde'!H42</f>
        <v>0.14285714285714285</v>
      </c>
      <c r="I42" s="49">
        <f>'Avg Week Lyantonde-Rushere'!I42+'Avg Week Rushere-Lyantonde'!I42</f>
        <v>2</v>
      </c>
      <c r="J42" s="49">
        <f>'Avg Week Lyantonde-Rushere'!J42+'Avg Week Rushere-Lyantonde'!J42</f>
        <v>1.1428571428571428</v>
      </c>
      <c r="K42" s="49">
        <f>'Avg Week Lyantonde-Rushere'!K42+'Avg Week Rushere-Lyantonde'!K42</f>
        <v>0.14285714285714285</v>
      </c>
      <c r="L42" s="49">
        <f>'Avg Week Lyantonde-Rushere'!L42+'Avg Week Rushere-Lyantonde'!L42</f>
        <v>0.5714285714285714</v>
      </c>
      <c r="M42" s="49">
        <f>'Avg Week Lyantonde-Rushere'!M42+'Avg Week Rushere-Lyantonde'!M42</f>
        <v>11.571428571428571</v>
      </c>
      <c r="N42" s="49">
        <f>'Avg Week Lyantonde-Rushere'!N42+'Avg Week Rushere-Lyantonde'!N42</f>
        <v>0</v>
      </c>
      <c r="O42" s="15">
        <f t="shared" si="0"/>
        <v>13.857142857142854</v>
      </c>
      <c r="P42" s="15">
        <f t="shared" si="1"/>
        <v>25.428571428571423</v>
      </c>
      <c r="R42" s="5" t="s">
        <v>160</v>
      </c>
      <c r="S42" s="48">
        <f>S41/S40</f>
        <v>1.648876404494382</v>
      </c>
      <c r="T42" s="48">
        <f t="shared" ref="T42:AF42" si="34">T41/T40</f>
        <v>1.841306884480747</v>
      </c>
      <c r="U42" s="48">
        <f t="shared" si="34"/>
        <v>2.0706751054852326</v>
      </c>
      <c r="V42" s="48">
        <f t="shared" si="34"/>
        <v>2.0808823529411766</v>
      </c>
      <c r="W42" s="48">
        <f t="shared" si="34"/>
        <v>4.2812500000000009</v>
      </c>
      <c r="X42" s="48">
        <f t="shared" si="34"/>
        <v>3.6249999999999996</v>
      </c>
      <c r="Y42" s="48">
        <f t="shared" si="34"/>
        <v>1.8595132743362832</v>
      </c>
      <c r="Z42" s="48">
        <f t="shared" si="34"/>
        <v>2.1112500000000001</v>
      </c>
      <c r="AA42" s="48">
        <f t="shared" si="34"/>
        <v>3.4355670103092786</v>
      </c>
      <c r="AB42" s="48">
        <f t="shared" si="34"/>
        <v>5.205645161290323</v>
      </c>
      <c r="AC42" s="48">
        <f t="shared" si="34"/>
        <v>1.2029111719333168</v>
      </c>
      <c r="AD42" s="48">
        <f t="shared" si="34"/>
        <v>4.1111111111111116</v>
      </c>
      <c r="AE42" s="51">
        <f t="shared" si="34"/>
        <v>1.96104897801774</v>
      </c>
      <c r="AF42" s="51">
        <f t="shared" si="34"/>
        <v>1.6300380228136881</v>
      </c>
    </row>
    <row r="43" spans="2:32" ht="23.1" customHeight="1" x14ac:dyDescent="0.25">
      <c r="B43" s="23" t="s">
        <v>70</v>
      </c>
      <c r="C43" s="49">
        <f>'Avg Week Lyantonde-Rushere'!C43+'Avg Week Rushere-Lyantonde'!C43</f>
        <v>8</v>
      </c>
      <c r="D43" s="49">
        <f>'Avg Week Lyantonde-Rushere'!D43+'Avg Week Rushere-Lyantonde'!D43</f>
        <v>2.7142857142857144</v>
      </c>
      <c r="E43" s="49">
        <f>'Avg Week Lyantonde-Rushere'!E43+'Avg Week Rushere-Lyantonde'!E43</f>
        <v>1.4285714285714284</v>
      </c>
      <c r="F43" s="49">
        <f>'Avg Week Lyantonde-Rushere'!F43+'Avg Week Rushere-Lyantonde'!F43</f>
        <v>0.14285714285714285</v>
      </c>
      <c r="G43" s="49">
        <f>'Avg Week Lyantonde-Rushere'!G43+'Avg Week Rushere-Lyantonde'!G43</f>
        <v>0</v>
      </c>
      <c r="H43" s="49">
        <f>'Avg Week Lyantonde-Rushere'!H43+'Avg Week Rushere-Lyantonde'!H43</f>
        <v>0.2857142857142857</v>
      </c>
      <c r="I43" s="49">
        <f>'Avg Week Lyantonde-Rushere'!I43+'Avg Week Rushere-Lyantonde'!I43</f>
        <v>1.8571428571428572</v>
      </c>
      <c r="J43" s="49">
        <f>'Avg Week Lyantonde-Rushere'!J43+'Avg Week Rushere-Lyantonde'!J43</f>
        <v>1.7142857142857142</v>
      </c>
      <c r="K43" s="49">
        <f>'Avg Week Lyantonde-Rushere'!K43+'Avg Week Rushere-Lyantonde'!K43</f>
        <v>0.14285714285714285</v>
      </c>
      <c r="L43" s="49">
        <f>'Avg Week Lyantonde-Rushere'!L43+'Avg Week Rushere-Lyantonde'!L43</f>
        <v>0</v>
      </c>
      <c r="M43" s="49">
        <f>'Avg Week Lyantonde-Rushere'!M43+'Avg Week Rushere-Lyantonde'!M43</f>
        <v>11.714285714285715</v>
      </c>
      <c r="N43" s="49">
        <f>'Avg Week Lyantonde-Rushere'!N43+'Avg Week Rushere-Lyantonde'!N43</f>
        <v>0.14285714285714285</v>
      </c>
      <c r="O43" s="15">
        <f t="shared" si="0"/>
        <v>16.428571428571431</v>
      </c>
      <c r="P43" s="15">
        <f t="shared" si="1"/>
        <v>28.142857142857146</v>
      </c>
    </row>
    <row r="44" spans="2:32" ht="23.1" customHeight="1" x14ac:dyDescent="0.25">
      <c r="B44" s="25" t="s">
        <v>71</v>
      </c>
      <c r="C44" s="49">
        <f>'Avg Week Lyantonde-Rushere'!C44+'Avg Week Rushere-Lyantonde'!C44</f>
        <v>7.8571428571428577</v>
      </c>
      <c r="D44" s="49">
        <f>'Avg Week Lyantonde-Rushere'!D44+'Avg Week Rushere-Lyantonde'!D44</f>
        <v>2.4285714285714288</v>
      </c>
      <c r="E44" s="49">
        <f>'Avg Week Lyantonde-Rushere'!E44+'Avg Week Rushere-Lyantonde'!E44</f>
        <v>1.2857142857142856</v>
      </c>
      <c r="F44" s="49">
        <f>'Avg Week Lyantonde-Rushere'!F44+'Avg Week Rushere-Lyantonde'!F44</f>
        <v>0.42857142857142855</v>
      </c>
      <c r="G44" s="49">
        <f>'Avg Week Lyantonde-Rushere'!G44+'Avg Week Rushere-Lyantonde'!G44</f>
        <v>0</v>
      </c>
      <c r="H44" s="49">
        <f>'Avg Week Lyantonde-Rushere'!H44+'Avg Week Rushere-Lyantonde'!H44</f>
        <v>0.14285714285714285</v>
      </c>
      <c r="I44" s="49">
        <f>'Avg Week Lyantonde-Rushere'!I44+'Avg Week Rushere-Lyantonde'!I44</f>
        <v>2</v>
      </c>
      <c r="J44" s="49">
        <f>'Avg Week Lyantonde-Rushere'!J44+'Avg Week Rushere-Lyantonde'!J44</f>
        <v>1.5714285714285714</v>
      </c>
      <c r="K44" s="49">
        <f>'Avg Week Lyantonde-Rushere'!K44+'Avg Week Rushere-Lyantonde'!K44</f>
        <v>1</v>
      </c>
      <c r="L44" s="49">
        <f>'Avg Week Lyantonde-Rushere'!L44+'Avg Week Rushere-Lyantonde'!L44</f>
        <v>0.5714285714285714</v>
      </c>
      <c r="M44" s="49">
        <f>'Avg Week Lyantonde-Rushere'!M44+'Avg Week Rushere-Lyantonde'!M44</f>
        <v>14.285714285714285</v>
      </c>
      <c r="N44" s="49">
        <f>'Avg Week Lyantonde-Rushere'!N44+'Avg Week Rushere-Lyantonde'!N44</f>
        <v>0</v>
      </c>
      <c r="O44" s="15">
        <f t="shared" si="0"/>
        <v>17.285714285714288</v>
      </c>
      <c r="P44" s="15">
        <f t="shared" si="1"/>
        <v>31.571428571428573</v>
      </c>
    </row>
    <row r="45" spans="2:32" ht="23.1" customHeight="1" x14ac:dyDescent="0.25">
      <c r="B45" s="23" t="s">
        <v>72</v>
      </c>
      <c r="C45" s="49">
        <f>'Avg Week Lyantonde-Rushere'!C45+'Avg Week Rushere-Lyantonde'!C45</f>
        <v>7</v>
      </c>
      <c r="D45" s="49">
        <f>'Avg Week Lyantonde-Rushere'!D45+'Avg Week Rushere-Lyantonde'!D45</f>
        <v>1.7142857142857144</v>
      </c>
      <c r="E45" s="49">
        <f>'Avg Week Lyantonde-Rushere'!E45+'Avg Week Rushere-Lyantonde'!E45</f>
        <v>1.7142857142857142</v>
      </c>
      <c r="F45" s="49">
        <f>'Avg Week Lyantonde-Rushere'!F45+'Avg Week Rushere-Lyantonde'!F45</f>
        <v>0.14285714285714285</v>
      </c>
      <c r="G45" s="49">
        <f>'Avg Week Lyantonde-Rushere'!G45+'Avg Week Rushere-Lyantonde'!G45</f>
        <v>0</v>
      </c>
      <c r="H45" s="49">
        <f>'Avg Week Lyantonde-Rushere'!H45+'Avg Week Rushere-Lyantonde'!H45</f>
        <v>0.14285714285714285</v>
      </c>
      <c r="I45" s="49">
        <f>'Avg Week Lyantonde-Rushere'!I45+'Avg Week Rushere-Lyantonde'!I45</f>
        <v>2.1428571428571428</v>
      </c>
      <c r="J45" s="49">
        <f>'Avg Week Lyantonde-Rushere'!J45+'Avg Week Rushere-Lyantonde'!J45</f>
        <v>1</v>
      </c>
      <c r="K45" s="49">
        <f>'Avg Week Lyantonde-Rushere'!K45+'Avg Week Rushere-Lyantonde'!K45</f>
        <v>0.42857142857142855</v>
      </c>
      <c r="L45" s="49">
        <f>'Avg Week Lyantonde-Rushere'!L45+'Avg Week Rushere-Lyantonde'!L45</f>
        <v>0.42857142857142855</v>
      </c>
      <c r="M45" s="49">
        <f>'Avg Week Lyantonde-Rushere'!M45+'Avg Week Rushere-Lyantonde'!M45</f>
        <v>11.285714285714285</v>
      </c>
      <c r="N45" s="49">
        <f>'Avg Week Lyantonde-Rushere'!N45+'Avg Week Rushere-Lyantonde'!N45</f>
        <v>0</v>
      </c>
      <c r="O45" s="15">
        <f t="shared" si="0"/>
        <v>14.714285714285714</v>
      </c>
      <c r="P45" s="15">
        <f t="shared" si="1"/>
        <v>26</v>
      </c>
    </row>
    <row r="46" spans="2:32" ht="23.1" customHeight="1" x14ac:dyDescent="0.25">
      <c r="B46" s="24" t="s">
        <v>73</v>
      </c>
      <c r="C46" s="49">
        <f>'Avg Week Lyantonde-Rushere'!C46+'Avg Week Rushere-Lyantonde'!C46</f>
        <v>7.7142857142857135</v>
      </c>
      <c r="D46" s="49">
        <f>'Avg Week Lyantonde-Rushere'!D46+'Avg Week Rushere-Lyantonde'!D46</f>
        <v>2</v>
      </c>
      <c r="E46" s="49">
        <f>'Avg Week Lyantonde-Rushere'!E46+'Avg Week Rushere-Lyantonde'!E46</f>
        <v>2.1428571428571428</v>
      </c>
      <c r="F46" s="49">
        <f>'Avg Week Lyantonde-Rushere'!F46+'Avg Week Rushere-Lyantonde'!F46</f>
        <v>0.14285714285714285</v>
      </c>
      <c r="G46" s="49">
        <f>'Avg Week Lyantonde-Rushere'!G46+'Avg Week Rushere-Lyantonde'!G46</f>
        <v>0</v>
      </c>
      <c r="H46" s="49">
        <f>'Avg Week Lyantonde-Rushere'!H46+'Avg Week Rushere-Lyantonde'!H46</f>
        <v>0.14285714285714285</v>
      </c>
      <c r="I46" s="49">
        <f>'Avg Week Lyantonde-Rushere'!I46+'Avg Week Rushere-Lyantonde'!I46</f>
        <v>1.5714285714285714</v>
      </c>
      <c r="J46" s="49">
        <f>'Avg Week Lyantonde-Rushere'!J46+'Avg Week Rushere-Lyantonde'!J46</f>
        <v>2.1428571428571428</v>
      </c>
      <c r="K46" s="49">
        <f>'Avg Week Lyantonde-Rushere'!K46+'Avg Week Rushere-Lyantonde'!K46</f>
        <v>0.5714285714285714</v>
      </c>
      <c r="L46" s="49">
        <f>'Avg Week Lyantonde-Rushere'!L46+'Avg Week Rushere-Lyantonde'!L46</f>
        <v>0.14285714285714285</v>
      </c>
      <c r="M46" s="49">
        <f>'Avg Week Lyantonde-Rushere'!M46+'Avg Week Rushere-Lyantonde'!M46</f>
        <v>13.142857142857142</v>
      </c>
      <c r="N46" s="49">
        <f>'Avg Week Lyantonde-Rushere'!N46+'Avg Week Rushere-Lyantonde'!N46</f>
        <v>0</v>
      </c>
      <c r="O46" s="15">
        <f t="shared" si="0"/>
        <v>16.571428571428569</v>
      </c>
      <c r="P46" s="15">
        <f t="shared" si="1"/>
        <v>29.714285714285712</v>
      </c>
      <c r="R46" s="8"/>
      <c r="T46"/>
    </row>
    <row r="47" spans="2:32" ht="23.1" customHeight="1" x14ac:dyDescent="0.25">
      <c r="B47" s="24" t="s">
        <v>74</v>
      </c>
      <c r="C47" s="49">
        <f>'Avg Week Lyantonde-Rushere'!C47+'Avg Week Rushere-Lyantonde'!C47</f>
        <v>8.4285714285714288</v>
      </c>
      <c r="D47" s="49">
        <f>'Avg Week Lyantonde-Rushere'!D47+'Avg Week Rushere-Lyantonde'!D47</f>
        <v>3.2857142857142856</v>
      </c>
      <c r="E47" s="49">
        <f>'Avg Week Lyantonde-Rushere'!E47+'Avg Week Rushere-Lyantonde'!E47</f>
        <v>1.5714285714285714</v>
      </c>
      <c r="F47" s="49">
        <f>'Avg Week Lyantonde-Rushere'!F47+'Avg Week Rushere-Lyantonde'!F47</f>
        <v>0.42857142857142855</v>
      </c>
      <c r="G47" s="49">
        <f>'Avg Week Lyantonde-Rushere'!G47+'Avg Week Rushere-Lyantonde'!G47</f>
        <v>0.14285714285714285</v>
      </c>
      <c r="H47" s="49">
        <f>'Avg Week Lyantonde-Rushere'!H47+'Avg Week Rushere-Lyantonde'!H47</f>
        <v>0</v>
      </c>
      <c r="I47" s="49">
        <f>'Avg Week Lyantonde-Rushere'!I47+'Avg Week Rushere-Lyantonde'!I47</f>
        <v>2.1428571428571428</v>
      </c>
      <c r="J47" s="49">
        <f>'Avg Week Lyantonde-Rushere'!J47+'Avg Week Rushere-Lyantonde'!J47</f>
        <v>2.2857142857142856</v>
      </c>
      <c r="K47" s="49">
        <f>'Avg Week Lyantonde-Rushere'!K47+'Avg Week Rushere-Lyantonde'!K47</f>
        <v>0.5714285714285714</v>
      </c>
      <c r="L47" s="49">
        <f>'Avg Week Lyantonde-Rushere'!L47+'Avg Week Rushere-Lyantonde'!L47</f>
        <v>0.5714285714285714</v>
      </c>
      <c r="M47" s="49">
        <f>'Avg Week Lyantonde-Rushere'!M47+'Avg Week Rushere-Lyantonde'!M47</f>
        <v>17.142857142857142</v>
      </c>
      <c r="N47" s="49">
        <f>'Avg Week Lyantonde-Rushere'!N47+'Avg Week Rushere-Lyantonde'!N47</f>
        <v>0</v>
      </c>
      <c r="O47" s="15">
        <f t="shared" si="0"/>
        <v>19.428571428571431</v>
      </c>
      <c r="P47" s="15">
        <f t="shared" si="1"/>
        <v>36.571428571428569</v>
      </c>
      <c r="R47" s="8"/>
      <c r="T47"/>
    </row>
    <row r="48" spans="2:32" ht="23.1" customHeight="1" x14ac:dyDescent="0.25">
      <c r="B48" s="24" t="s">
        <v>75</v>
      </c>
      <c r="C48" s="49">
        <f>'Avg Week Lyantonde-Rushere'!C48+'Avg Week Rushere-Lyantonde'!C48</f>
        <v>8.4285714285714288</v>
      </c>
      <c r="D48" s="49">
        <f>'Avg Week Lyantonde-Rushere'!D48+'Avg Week Rushere-Lyantonde'!D48</f>
        <v>2.2857142857142856</v>
      </c>
      <c r="E48" s="49">
        <f>'Avg Week Lyantonde-Rushere'!E48+'Avg Week Rushere-Lyantonde'!E48</f>
        <v>1.7142857142857142</v>
      </c>
      <c r="F48" s="49">
        <f>'Avg Week Lyantonde-Rushere'!F48+'Avg Week Rushere-Lyantonde'!F48</f>
        <v>0.14285714285714285</v>
      </c>
      <c r="G48" s="49">
        <f>'Avg Week Lyantonde-Rushere'!G48+'Avg Week Rushere-Lyantonde'!G48</f>
        <v>0.14285714285714285</v>
      </c>
      <c r="H48" s="49">
        <f>'Avg Week Lyantonde-Rushere'!H48+'Avg Week Rushere-Lyantonde'!H48</f>
        <v>0</v>
      </c>
      <c r="I48" s="49">
        <f>'Avg Week Lyantonde-Rushere'!I48+'Avg Week Rushere-Lyantonde'!I48</f>
        <v>2.2857142857142856</v>
      </c>
      <c r="J48" s="49">
        <f>'Avg Week Lyantonde-Rushere'!J48+'Avg Week Rushere-Lyantonde'!J48</f>
        <v>2.2857142857142856</v>
      </c>
      <c r="K48" s="49">
        <f>'Avg Week Lyantonde-Rushere'!K48+'Avg Week Rushere-Lyantonde'!K48</f>
        <v>0.8571428571428571</v>
      </c>
      <c r="L48" s="49">
        <f>'Avg Week Lyantonde-Rushere'!L48+'Avg Week Rushere-Lyantonde'!L48</f>
        <v>0.5714285714285714</v>
      </c>
      <c r="M48" s="49">
        <f>'Avg Week Lyantonde-Rushere'!M48+'Avg Week Rushere-Lyantonde'!M48</f>
        <v>16.142857142857142</v>
      </c>
      <c r="N48" s="49">
        <f>'Avg Week Lyantonde-Rushere'!N48+'Avg Week Rushere-Lyantonde'!N48</f>
        <v>0</v>
      </c>
      <c r="O48" s="15">
        <f t="shared" si="0"/>
        <v>18.714285714285715</v>
      </c>
      <c r="P48" s="15">
        <f t="shared" si="1"/>
        <v>34.857142857142861</v>
      </c>
      <c r="R48" s="8"/>
      <c r="T48"/>
    </row>
    <row r="49" spans="2:20" ht="23.1" customHeight="1" x14ac:dyDescent="0.25">
      <c r="B49" s="23" t="s">
        <v>76</v>
      </c>
      <c r="C49" s="49">
        <f>'Avg Week Lyantonde-Rushere'!C49+'Avg Week Rushere-Lyantonde'!C49</f>
        <v>8.7142857142857153</v>
      </c>
      <c r="D49" s="49">
        <f>'Avg Week Lyantonde-Rushere'!D49+'Avg Week Rushere-Lyantonde'!D49</f>
        <v>3.1428571428571428</v>
      </c>
      <c r="E49" s="49">
        <f>'Avg Week Lyantonde-Rushere'!E49+'Avg Week Rushere-Lyantonde'!E49</f>
        <v>1</v>
      </c>
      <c r="F49" s="49">
        <f>'Avg Week Lyantonde-Rushere'!F49+'Avg Week Rushere-Lyantonde'!F49</f>
        <v>0.2857142857142857</v>
      </c>
      <c r="G49" s="49">
        <f>'Avg Week Lyantonde-Rushere'!G49+'Avg Week Rushere-Lyantonde'!G49</f>
        <v>0</v>
      </c>
      <c r="H49" s="49">
        <f>'Avg Week Lyantonde-Rushere'!H49+'Avg Week Rushere-Lyantonde'!H49</f>
        <v>0</v>
      </c>
      <c r="I49" s="49">
        <f>'Avg Week Lyantonde-Rushere'!I49+'Avg Week Rushere-Lyantonde'!I49</f>
        <v>2</v>
      </c>
      <c r="J49" s="49">
        <f>'Avg Week Lyantonde-Rushere'!J49+'Avg Week Rushere-Lyantonde'!J49</f>
        <v>2.1428571428571428</v>
      </c>
      <c r="K49" s="49">
        <f>'Avg Week Lyantonde-Rushere'!K49+'Avg Week Rushere-Lyantonde'!K49</f>
        <v>0.71428571428571419</v>
      </c>
      <c r="L49" s="49">
        <f>'Avg Week Lyantonde-Rushere'!L49+'Avg Week Rushere-Lyantonde'!L49</f>
        <v>0.14285714285714285</v>
      </c>
      <c r="M49" s="49">
        <f>'Avg Week Lyantonde-Rushere'!M49+'Avg Week Rushere-Lyantonde'!M49</f>
        <v>15.428571428571427</v>
      </c>
      <c r="N49" s="49">
        <f>'Avg Week Lyantonde-Rushere'!N49+'Avg Week Rushere-Lyantonde'!N49</f>
        <v>0</v>
      </c>
      <c r="O49" s="15">
        <f t="shared" si="0"/>
        <v>18.142857142857146</v>
      </c>
      <c r="P49" s="15">
        <f t="shared" si="1"/>
        <v>33.571428571428569</v>
      </c>
      <c r="R49" s="8"/>
      <c r="T49"/>
    </row>
    <row r="50" spans="2:20" ht="23.1" customHeight="1" x14ac:dyDescent="0.25">
      <c r="B50" s="24" t="s">
        <v>77</v>
      </c>
      <c r="C50" s="49">
        <f>'Avg Week Lyantonde-Rushere'!C50+'Avg Week Rushere-Lyantonde'!C50</f>
        <v>9.8571428571428577</v>
      </c>
      <c r="D50" s="49">
        <f>'Avg Week Lyantonde-Rushere'!D50+'Avg Week Rushere-Lyantonde'!D50</f>
        <v>4.5714285714285712</v>
      </c>
      <c r="E50" s="49">
        <f>'Avg Week Lyantonde-Rushere'!E50+'Avg Week Rushere-Lyantonde'!E50</f>
        <v>1.8571428571428572</v>
      </c>
      <c r="F50" s="49">
        <f>'Avg Week Lyantonde-Rushere'!F50+'Avg Week Rushere-Lyantonde'!F50</f>
        <v>0.42857142857142855</v>
      </c>
      <c r="G50" s="49">
        <f>'Avg Week Lyantonde-Rushere'!G50+'Avg Week Rushere-Lyantonde'!G50</f>
        <v>0</v>
      </c>
      <c r="H50" s="49">
        <f>'Avg Week Lyantonde-Rushere'!H50+'Avg Week Rushere-Lyantonde'!H50</f>
        <v>0</v>
      </c>
      <c r="I50" s="49">
        <f>'Avg Week Lyantonde-Rushere'!I50+'Avg Week Rushere-Lyantonde'!I50</f>
        <v>3</v>
      </c>
      <c r="J50" s="49">
        <f>'Avg Week Lyantonde-Rushere'!J50+'Avg Week Rushere-Lyantonde'!J50</f>
        <v>1.2857142857142856</v>
      </c>
      <c r="K50" s="49">
        <f>'Avg Week Lyantonde-Rushere'!K50+'Avg Week Rushere-Lyantonde'!K50</f>
        <v>1.1428571428571428</v>
      </c>
      <c r="L50" s="49">
        <f>'Avg Week Lyantonde-Rushere'!L50+'Avg Week Rushere-Lyantonde'!L50</f>
        <v>0.42857142857142855</v>
      </c>
      <c r="M50" s="49">
        <f>'Avg Week Lyantonde-Rushere'!M50+'Avg Week Rushere-Lyantonde'!M50</f>
        <v>14</v>
      </c>
      <c r="N50" s="49">
        <f>'Avg Week Lyantonde-Rushere'!N50+'Avg Week Rushere-Lyantonde'!N50</f>
        <v>0</v>
      </c>
      <c r="O50" s="15">
        <f t="shared" si="0"/>
        <v>22.571428571428566</v>
      </c>
      <c r="P50" s="15">
        <f t="shared" si="1"/>
        <v>36.571428571428569</v>
      </c>
      <c r="R50" s="8"/>
      <c r="T50"/>
    </row>
    <row r="51" spans="2:20" ht="23.1" customHeight="1" x14ac:dyDescent="0.25">
      <c r="B51" s="24" t="s">
        <v>78</v>
      </c>
      <c r="C51" s="49">
        <f>'Avg Week Lyantonde-Rushere'!C51+'Avg Week Rushere-Lyantonde'!C51</f>
        <v>9</v>
      </c>
      <c r="D51" s="49">
        <f>'Avg Week Lyantonde-Rushere'!D51+'Avg Week Rushere-Lyantonde'!D51</f>
        <v>4.7142857142857135</v>
      </c>
      <c r="E51" s="49">
        <f>'Avg Week Lyantonde-Rushere'!E51+'Avg Week Rushere-Lyantonde'!E51</f>
        <v>2.4285714285714284</v>
      </c>
      <c r="F51" s="49">
        <f>'Avg Week Lyantonde-Rushere'!F51+'Avg Week Rushere-Lyantonde'!F51</f>
        <v>0.5714285714285714</v>
      </c>
      <c r="G51" s="49">
        <f>'Avg Week Lyantonde-Rushere'!G51+'Avg Week Rushere-Lyantonde'!G51</f>
        <v>0</v>
      </c>
      <c r="H51" s="49">
        <f>'Avg Week Lyantonde-Rushere'!H51+'Avg Week Rushere-Lyantonde'!H51</f>
        <v>0</v>
      </c>
      <c r="I51" s="49">
        <f>'Avg Week Lyantonde-Rushere'!I51+'Avg Week Rushere-Lyantonde'!I51</f>
        <v>1.5714285714285714</v>
      </c>
      <c r="J51" s="49">
        <f>'Avg Week Lyantonde-Rushere'!J51+'Avg Week Rushere-Lyantonde'!J51</f>
        <v>1.7142857142857142</v>
      </c>
      <c r="K51" s="49">
        <f>'Avg Week Lyantonde-Rushere'!K51+'Avg Week Rushere-Lyantonde'!K51</f>
        <v>1.5714285714285716</v>
      </c>
      <c r="L51" s="49">
        <f>'Avg Week Lyantonde-Rushere'!L51+'Avg Week Rushere-Lyantonde'!L51</f>
        <v>0.2857142857142857</v>
      </c>
      <c r="M51" s="49">
        <f>'Avg Week Lyantonde-Rushere'!M51+'Avg Week Rushere-Lyantonde'!M51</f>
        <v>16.857142857142858</v>
      </c>
      <c r="N51" s="49">
        <f>'Avg Week Lyantonde-Rushere'!N51+'Avg Week Rushere-Lyantonde'!N51</f>
        <v>0</v>
      </c>
      <c r="O51" s="15">
        <f t="shared" si="0"/>
        <v>21.857142857142861</v>
      </c>
      <c r="P51" s="15">
        <f t="shared" si="1"/>
        <v>38.714285714285722</v>
      </c>
      <c r="R51" s="8"/>
      <c r="T51"/>
    </row>
    <row r="52" spans="2:20" ht="23.1" customHeight="1" x14ac:dyDescent="0.25">
      <c r="B52" s="24" t="s">
        <v>79</v>
      </c>
      <c r="C52" s="49">
        <f>'Avg Week Lyantonde-Rushere'!C52+'Avg Week Rushere-Lyantonde'!C52</f>
        <v>10.142857142857142</v>
      </c>
      <c r="D52" s="49">
        <f>'Avg Week Lyantonde-Rushere'!D52+'Avg Week Rushere-Lyantonde'!D52</f>
        <v>3.2857142857142856</v>
      </c>
      <c r="E52" s="49">
        <f>'Avg Week Lyantonde-Rushere'!E52+'Avg Week Rushere-Lyantonde'!E52</f>
        <v>1.4285714285714284</v>
      </c>
      <c r="F52" s="49">
        <f>'Avg Week Lyantonde-Rushere'!F52+'Avg Week Rushere-Lyantonde'!F52</f>
        <v>0.42857142857142855</v>
      </c>
      <c r="G52" s="49">
        <f>'Avg Week Lyantonde-Rushere'!G52+'Avg Week Rushere-Lyantonde'!G52</f>
        <v>0</v>
      </c>
      <c r="H52" s="49">
        <f>'Avg Week Lyantonde-Rushere'!H52+'Avg Week Rushere-Lyantonde'!H52</f>
        <v>0</v>
      </c>
      <c r="I52" s="49">
        <f>'Avg Week Lyantonde-Rushere'!I52+'Avg Week Rushere-Lyantonde'!I52</f>
        <v>1.8571428571428572</v>
      </c>
      <c r="J52" s="49">
        <f>'Avg Week Lyantonde-Rushere'!J52+'Avg Week Rushere-Lyantonde'!J52</f>
        <v>1.4285714285714284</v>
      </c>
      <c r="K52" s="49">
        <f>'Avg Week Lyantonde-Rushere'!K52+'Avg Week Rushere-Lyantonde'!K52</f>
        <v>0.5714285714285714</v>
      </c>
      <c r="L52" s="49">
        <f>'Avg Week Lyantonde-Rushere'!L52+'Avg Week Rushere-Lyantonde'!L52</f>
        <v>0.5714285714285714</v>
      </c>
      <c r="M52" s="49">
        <f>'Avg Week Lyantonde-Rushere'!M52+'Avg Week Rushere-Lyantonde'!M52</f>
        <v>16.142857142857142</v>
      </c>
      <c r="N52" s="49">
        <f>'Avg Week Lyantonde-Rushere'!N52+'Avg Week Rushere-Lyantonde'!N52</f>
        <v>0</v>
      </c>
      <c r="O52" s="15">
        <f t="shared" si="0"/>
        <v>19.714285714285715</v>
      </c>
      <c r="P52" s="15">
        <f t="shared" si="1"/>
        <v>35.857142857142861</v>
      </c>
      <c r="R52" s="8"/>
      <c r="T52"/>
    </row>
    <row r="53" spans="2:20" ht="23.1" customHeight="1" x14ac:dyDescent="0.25">
      <c r="B53" s="23" t="s">
        <v>80</v>
      </c>
      <c r="C53" s="49">
        <f>'Avg Week Lyantonde-Rushere'!C53+'Avg Week Rushere-Lyantonde'!C53</f>
        <v>13</v>
      </c>
      <c r="D53" s="49">
        <f>'Avg Week Lyantonde-Rushere'!D53+'Avg Week Rushere-Lyantonde'!D53</f>
        <v>2.2857142857142856</v>
      </c>
      <c r="E53" s="49">
        <f>'Avg Week Lyantonde-Rushere'!E53+'Avg Week Rushere-Lyantonde'!E53</f>
        <v>1.5714285714285714</v>
      </c>
      <c r="F53" s="49">
        <f>'Avg Week Lyantonde-Rushere'!F53+'Avg Week Rushere-Lyantonde'!F53</f>
        <v>0.85714285714285721</v>
      </c>
      <c r="G53" s="49">
        <f>'Avg Week Lyantonde-Rushere'!G53+'Avg Week Rushere-Lyantonde'!G53</f>
        <v>0</v>
      </c>
      <c r="H53" s="49">
        <f>'Avg Week Lyantonde-Rushere'!H53+'Avg Week Rushere-Lyantonde'!H53</f>
        <v>0.14285714285714285</v>
      </c>
      <c r="I53" s="49">
        <f>'Avg Week Lyantonde-Rushere'!I53+'Avg Week Rushere-Lyantonde'!I53</f>
        <v>3.1428571428571428</v>
      </c>
      <c r="J53" s="49">
        <f>'Avg Week Lyantonde-Rushere'!J53+'Avg Week Rushere-Lyantonde'!J53</f>
        <v>2.2857142857142856</v>
      </c>
      <c r="K53" s="49">
        <f>'Avg Week Lyantonde-Rushere'!K53+'Avg Week Rushere-Lyantonde'!K53</f>
        <v>1</v>
      </c>
      <c r="L53" s="49">
        <f>'Avg Week Lyantonde-Rushere'!L53+'Avg Week Rushere-Lyantonde'!L53</f>
        <v>0</v>
      </c>
      <c r="M53" s="49">
        <f>'Avg Week Lyantonde-Rushere'!M53+'Avg Week Rushere-Lyantonde'!M53</f>
        <v>14.142857142857142</v>
      </c>
      <c r="N53" s="49">
        <f>'Avg Week Lyantonde-Rushere'!N53+'Avg Week Rushere-Lyantonde'!N53</f>
        <v>0</v>
      </c>
      <c r="O53" s="15">
        <f t="shared" si="0"/>
        <v>24.285714285714285</v>
      </c>
      <c r="P53" s="15">
        <f t="shared" si="1"/>
        <v>38.428571428571431</v>
      </c>
      <c r="R53" s="8"/>
      <c r="T53"/>
    </row>
    <row r="54" spans="2:20" ht="23.1" customHeight="1" x14ac:dyDescent="0.25">
      <c r="B54" s="23" t="s">
        <v>81</v>
      </c>
      <c r="C54" s="49">
        <f>'Avg Week Lyantonde-Rushere'!C54+'Avg Week Rushere-Lyantonde'!C54</f>
        <v>9.571428571428573</v>
      </c>
      <c r="D54" s="49">
        <f>'Avg Week Lyantonde-Rushere'!D54+'Avg Week Rushere-Lyantonde'!D54</f>
        <v>2.5714285714285712</v>
      </c>
      <c r="E54" s="49">
        <f>'Avg Week Lyantonde-Rushere'!E54+'Avg Week Rushere-Lyantonde'!E54</f>
        <v>3.2857142857142856</v>
      </c>
      <c r="F54" s="49">
        <f>'Avg Week Lyantonde-Rushere'!F54+'Avg Week Rushere-Lyantonde'!F54</f>
        <v>0.5714285714285714</v>
      </c>
      <c r="G54" s="49">
        <f>'Avg Week Lyantonde-Rushere'!G54+'Avg Week Rushere-Lyantonde'!G54</f>
        <v>0.14285714285714285</v>
      </c>
      <c r="H54" s="49">
        <f>'Avg Week Lyantonde-Rushere'!H54+'Avg Week Rushere-Lyantonde'!H54</f>
        <v>0.71428571428571419</v>
      </c>
      <c r="I54" s="49">
        <f>'Avg Week Lyantonde-Rushere'!I54+'Avg Week Rushere-Lyantonde'!I54</f>
        <v>1.7142857142857144</v>
      </c>
      <c r="J54" s="49">
        <f>'Avg Week Lyantonde-Rushere'!J54+'Avg Week Rushere-Lyantonde'!J54</f>
        <v>1.2857142857142856</v>
      </c>
      <c r="K54" s="49">
        <f>'Avg Week Lyantonde-Rushere'!K54+'Avg Week Rushere-Lyantonde'!K54</f>
        <v>1.5714285714285714</v>
      </c>
      <c r="L54" s="49">
        <f>'Avg Week Lyantonde-Rushere'!L54+'Avg Week Rushere-Lyantonde'!L54</f>
        <v>0.14285714285714285</v>
      </c>
      <c r="M54" s="49">
        <f>'Avg Week Lyantonde-Rushere'!M54+'Avg Week Rushere-Lyantonde'!M54</f>
        <v>13.571428571428571</v>
      </c>
      <c r="N54" s="49">
        <f>'Avg Week Lyantonde-Rushere'!N54+'Avg Week Rushere-Lyantonde'!N54</f>
        <v>0</v>
      </c>
      <c r="O54" s="15">
        <f t="shared" si="0"/>
        <v>21.571428571428577</v>
      </c>
      <c r="P54" s="15">
        <f t="shared" si="1"/>
        <v>35.142857142857146</v>
      </c>
      <c r="R54" s="8"/>
      <c r="T54"/>
    </row>
    <row r="55" spans="2:20" ht="23.1" customHeight="1" x14ac:dyDescent="0.25">
      <c r="B55" s="23" t="s">
        <v>82</v>
      </c>
      <c r="C55" s="49">
        <f>'Avg Week Lyantonde-Rushere'!C55+'Avg Week Rushere-Lyantonde'!C55</f>
        <v>7.8571428571428577</v>
      </c>
      <c r="D55" s="49">
        <f>'Avg Week Lyantonde-Rushere'!D55+'Avg Week Rushere-Lyantonde'!D55</f>
        <v>3.5714285714285716</v>
      </c>
      <c r="E55" s="49">
        <f>'Avg Week Lyantonde-Rushere'!E55+'Avg Week Rushere-Lyantonde'!E55</f>
        <v>2.1428571428571428</v>
      </c>
      <c r="F55" s="49">
        <f>'Avg Week Lyantonde-Rushere'!F55+'Avg Week Rushere-Lyantonde'!F55</f>
        <v>1.4285714285714284</v>
      </c>
      <c r="G55" s="49">
        <f>'Avg Week Lyantonde-Rushere'!G55+'Avg Week Rushere-Lyantonde'!G55</f>
        <v>0</v>
      </c>
      <c r="H55" s="49">
        <f>'Avg Week Lyantonde-Rushere'!H55+'Avg Week Rushere-Lyantonde'!H55</f>
        <v>0</v>
      </c>
      <c r="I55" s="49">
        <f>'Avg Week Lyantonde-Rushere'!I55+'Avg Week Rushere-Lyantonde'!I55</f>
        <v>2.714285714285714</v>
      </c>
      <c r="J55" s="49">
        <f>'Avg Week Lyantonde-Rushere'!J55+'Avg Week Rushere-Lyantonde'!J55</f>
        <v>1.4285714285714284</v>
      </c>
      <c r="K55" s="49">
        <f>'Avg Week Lyantonde-Rushere'!K55+'Avg Week Rushere-Lyantonde'!K55</f>
        <v>0.42857142857142855</v>
      </c>
      <c r="L55" s="49">
        <f>'Avg Week Lyantonde-Rushere'!L55+'Avg Week Rushere-Lyantonde'!L55</f>
        <v>0.85714285714285721</v>
      </c>
      <c r="M55" s="49">
        <f>'Avg Week Lyantonde-Rushere'!M55+'Avg Week Rushere-Lyantonde'!M55</f>
        <v>15.285714285714285</v>
      </c>
      <c r="N55" s="49">
        <f>'Avg Week Lyantonde-Rushere'!N55+'Avg Week Rushere-Lyantonde'!N55</f>
        <v>0</v>
      </c>
      <c r="O55" s="15">
        <f t="shared" si="0"/>
        <v>20.428571428571427</v>
      </c>
      <c r="P55" s="15">
        <f t="shared" si="1"/>
        <v>35.714285714285708</v>
      </c>
      <c r="R55" s="8"/>
      <c r="T55"/>
    </row>
    <row r="56" spans="2:20" ht="23.1" customHeight="1" x14ac:dyDescent="0.25">
      <c r="B56" s="23" t="s">
        <v>83</v>
      </c>
      <c r="C56" s="49">
        <f>'Avg Week Lyantonde-Rushere'!C56+'Avg Week Rushere-Lyantonde'!C56</f>
        <v>10.142857142857142</v>
      </c>
      <c r="D56" s="49">
        <f>'Avg Week Lyantonde-Rushere'!D56+'Avg Week Rushere-Lyantonde'!D56</f>
        <v>2.4285714285714284</v>
      </c>
      <c r="E56" s="49">
        <f>'Avg Week Lyantonde-Rushere'!E56+'Avg Week Rushere-Lyantonde'!E56</f>
        <v>2</v>
      </c>
      <c r="F56" s="49">
        <f>'Avg Week Lyantonde-Rushere'!F56+'Avg Week Rushere-Lyantonde'!F56</f>
        <v>0.2857142857142857</v>
      </c>
      <c r="G56" s="49">
        <f>'Avg Week Lyantonde-Rushere'!G56+'Avg Week Rushere-Lyantonde'!G56</f>
        <v>0.14285714285714285</v>
      </c>
      <c r="H56" s="49">
        <f>'Avg Week Lyantonde-Rushere'!H56+'Avg Week Rushere-Lyantonde'!H56</f>
        <v>0.14285714285714285</v>
      </c>
      <c r="I56" s="49">
        <f>'Avg Week Lyantonde-Rushere'!I56+'Avg Week Rushere-Lyantonde'!I56</f>
        <v>1.5714285714285714</v>
      </c>
      <c r="J56" s="49">
        <f>'Avg Week Lyantonde-Rushere'!J56+'Avg Week Rushere-Lyantonde'!J56</f>
        <v>1.8571428571428572</v>
      </c>
      <c r="K56" s="49">
        <f>'Avg Week Lyantonde-Rushere'!K56+'Avg Week Rushere-Lyantonde'!K56</f>
        <v>1</v>
      </c>
      <c r="L56" s="49">
        <f>'Avg Week Lyantonde-Rushere'!L56+'Avg Week Rushere-Lyantonde'!L56</f>
        <v>0.42857142857142855</v>
      </c>
      <c r="M56" s="49">
        <f>'Avg Week Lyantonde-Rushere'!M56+'Avg Week Rushere-Lyantonde'!M56</f>
        <v>13.428571428571429</v>
      </c>
      <c r="N56" s="49">
        <f>'Avg Week Lyantonde-Rushere'!N56+'Avg Week Rushere-Lyantonde'!N56</f>
        <v>0</v>
      </c>
      <c r="O56" s="15">
        <f t="shared" si="0"/>
        <v>20</v>
      </c>
      <c r="P56" s="15">
        <f t="shared" si="1"/>
        <v>33.428571428571431</v>
      </c>
      <c r="R56" s="8"/>
      <c r="T56"/>
    </row>
    <row r="57" spans="2:20" ht="23.1" customHeight="1" x14ac:dyDescent="0.25">
      <c r="B57" s="23" t="s">
        <v>84</v>
      </c>
      <c r="C57" s="49">
        <f>'Avg Week Lyantonde-Rushere'!C57+'Avg Week Rushere-Lyantonde'!C57</f>
        <v>10.285714285714285</v>
      </c>
      <c r="D57" s="49">
        <f>'Avg Week Lyantonde-Rushere'!D57+'Avg Week Rushere-Lyantonde'!D57</f>
        <v>4</v>
      </c>
      <c r="E57" s="49">
        <f>'Avg Week Lyantonde-Rushere'!E57+'Avg Week Rushere-Lyantonde'!E57</f>
        <v>2</v>
      </c>
      <c r="F57" s="49">
        <f>'Avg Week Lyantonde-Rushere'!F57+'Avg Week Rushere-Lyantonde'!F57</f>
        <v>0.42857142857142855</v>
      </c>
      <c r="G57" s="49">
        <f>'Avg Week Lyantonde-Rushere'!G57+'Avg Week Rushere-Lyantonde'!G57</f>
        <v>0</v>
      </c>
      <c r="H57" s="49">
        <f>'Avg Week Lyantonde-Rushere'!H57+'Avg Week Rushere-Lyantonde'!H57</f>
        <v>0.2857142857142857</v>
      </c>
      <c r="I57" s="49">
        <f>'Avg Week Lyantonde-Rushere'!I57+'Avg Week Rushere-Lyantonde'!I57</f>
        <v>2.1428571428571428</v>
      </c>
      <c r="J57" s="49">
        <f>'Avg Week Lyantonde-Rushere'!J57+'Avg Week Rushere-Lyantonde'!J57</f>
        <v>1.5714285714285714</v>
      </c>
      <c r="K57" s="49">
        <f>'Avg Week Lyantonde-Rushere'!K57+'Avg Week Rushere-Lyantonde'!K57</f>
        <v>1</v>
      </c>
      <c r="L57" s="49">
        <f>'Avg Week Lyantonde-Rushere'!L57+'Avg Week Rushere-Lyantonde'!L57</f>
        <v>1.7142857142857144</v>
      </c>
      <c r="M57" s="49">
        <f>'Avg Week Lyantonde-Rushere'!M57+'Avg Week Rushere-Lyantonde'!M57</f>
        <v>13.285714285714285</v>
      </c>
      <c r="N57" s="49">
        <f>'Avg Week Lyantonde-Rushere'!N57+'Avg Week Rushere-Lyantonde'!N57</f>
        <v>0</v>
      </c>
      <c r="O57" s="15">
        <f t="shared" si="0"/>
        <v>23.428571428571427</v>
      </c>
      <c r="P57" s="15">
        <f t="shared" si="1"/>
        <v>36.714285714285708</v>
      </c>
      <c r="R57" s="8"/>
      <c r="T57"/>
    </row>
    <row r="58" spans="2:20" ht="23.1" customHeight="1" x14ac:dyDescent="0.25">
      <c r="B58" s="23" t="s">
        <v>99</v>
      </c>
      <c r="C58" s="49">
        <f>'Avg Week Lyantonde-Rushere'!C58+'Avg Week Rushere-Lyantonde'!C58</f>
        <v>11</v>
      </c>
      <c r="D58" s="49">
        <f>'Avg Week Lyantonde-Rushere'!D58+'Avg Week Rushere-Lyantonde'!D58</f>
        <v>5</v>
      </c>
      <c r="E58" s="49">
        <f>'Avg Week Lyantonde-Rushere'!E58+'Avg Week Rushere-Lyantonde'!E58</f>
        <v>1</v>
      </c>
      <c r="F58" s="49">
        <f>'Avg Week Lyantonde-Rushere'!F58+'Avg Week Rushere-Lyantonde'!F58</f>
        <v>0.5</v>
      </c>
      <c r="G58" s="49">
        <f>'Avg Week Lyantonde-Rushere'!G58+'Avg Week Rushere-Lyantonde'!G58</f>
        <v>0.5</v>
      </c>
      <c r="H58" s="49">
        <f>'Avg Week Lyantonde-Rushere'!H58+'Avg Week Rushere-Lyantonde'!H58</f>
        <v>0</v>
      </c>
      <c r="I58" s="49">
        <f>'Avg Week Lyantonde-Rushere'!I58+'Avg Week Rushere-Lyantonde'!I58</f>
        <v>0</v>
      </c>
      <c r="J58" s="49">
        <f>'Avg Week Lyantonde-Rushere'!J58+'Avg Week Rushere-Lyantonde'!J58</f>
        <v>1</v>
      </c>
      <c r="K58" s="49">
        <f>'Avg Week Lyantonde-Rushere'!K58+'Avg Week Rushere-Lyantonde'!K58</f>
        <v>0</v>
      </c>
      <c r="L58" s="49">
        <f>'Avg Week Lyantonde-Rushere'!L58+'Avg Week Rushere-Lyantonde'!L58</f>
        <v>0.5</v>
      </c>
      <c r="M58" s="49">
        <f>'Avg Week Lyantonde-Rushere'!M58+'Avg Week Rushere-Lyantonde'!M58</f>
        <v>8.5</v>
      </c>
      <c r="N58" s="49">
        <f>'Avg Week Lyantonde-Rushere'!N58+'Avg Week Rushere-Lyantonde'!N58</f>
        <v>0</v>
      </c>
      <c r="O58" s="15">
        <f t="shared" si="0"/>
        <v>19.5</v>
      </c>
      <c r="P58" s="15">
        <f t="shared" si="1"/>
        <v>28</v>
      </c>
      <c r="R58" s="8"/>
      <c r="T58"/>
    </row>
    <row r="59" spans="2:20" ht="23.1" customHeight="1" x14ac:dyDescent="0.25">
      <c r="B59" s="23" t="s">
        <v>100</v>
      </c>
      <c r="C59" s="49">
        <f>'Avg Week Lyantonde-Rushere'!C59+'Avg Week Rushere-Lyantonde'!C59</f>
        <v>9</v>
      </c>
      <c r="D59" s="49">
        <f>'Avg Week Lyantonde-Rushere'!D59+'Avg Week Rushere-Lyantonde'!D59</f>
        <v>0.5</v>
      </c>
      <c r="E59" s="49">
        <f>'Avg Week Lyantonde-Rushere'!E59+'Avg Week Rushere-Lyantonde'!E59</f>
        <v>2.5</v>
      </c>
      <c r="F59" s="49">
        <f>'Avg Week Lyantonde-Rushere'!F59+'Avg Week Rushere-Lyantonde'!F59</f>
        <v>0.5</v>
      </c>
      <c r="G59" s="49">
        <f>'Avg Week Lyantonde-Rushere'!G59+'Avg Week Rushere-Lyantonde'!G59</f>
        <v>0</v>
      </c>
      <c r="H59" s="49">
        <f>'Avg Week Lyantonde-Rushere'!H59+'Avg Week Rushere-Lyantonde'!H59</f>
        <v>0.5</v>
      </c>
      <c r="I59" s="49">
        <f>'Avg Week Lyantonde-Rushere'!I59+'Avg Week Rushere-Lyantonde'!I59</f>
        <v>0</v>
      </c>
      <c r="J59" s="49">
        <f>'Avg Week Lyantonde-Rushere'!J59+'Avg Week Rushere-Lyantonde'!J59</f>
        <v>1.5</v>
      </c>
      <c r="K59" s="49">
        <f>'Avg Week Lyantonde-Rushere'!K59+'Avg Week Rushere-Lyantonde'!K59</f>
        <v>1</v>
      </c>
      <c r="L59" s="49">
        <f>'Avg Week Lyantonde-Rushere'!L59+'Avg Week Rushere-Lyantonde'!L59</f>
        <v>0</v>
      </c>
      <c r="M59" s="49">
        <f>'Avg Week Lyantonde-Rushere'!M59+'Avg Week Rushere-Lyantonde'!M59</f>
        <v>6</v>
      </c>
      <c r="N59" s="49">
        <f>'Avg Week Lyantonde-Rushere'!N59+'Avg Week Rushere-Lyantonde'!N59</f>
        <v>0</v>
      </c>
      <c r="O59" s="15">
        <f t="shared" si="0"/>
        <v>15.5</v>
      </c>
      <c r="P59" s="15">
        <f t="shared" si="1"/>
        <v>21.5</v>
      </c>
      <c r="R59" s="8"/>
      <c r="T59"/>
    </row>
    <row r="60" spans="2:20" ht="23.1" customHeight="1" x14ac:dyDescent="0.25">
      <c r="B60" s="23" t="s">
        <v>101</v>
      </c>
      <c r="C60" s="49">
        <f>'Avg Week Lyantonde-Rushere'!C60+'Avg Week Rushere-Lyantonde'!C60</f>
        <v>10</v>
      </c>
      <c r="D60" s="49">
        <f>'Avg Week Lyantonde-Rushere'!D60+'Avg Week Rushere-Lyantonde'!D60</f>
        <v>2</v>
      </c>
      <c r="E60" s="49">
        <f>'Avg Week Lyantonde-Rushere'!E60+'Avg Week Rushere-Lyantonde'!E60</f>
        <v>2</v>
      </c>
      <c r="F60" s="49">
        <f>'Avg Week Lyantonde-Rushere'!F60+'Avg Week Rushere-Lyantonde'!F60</f>
        <v>0.5</v>
      </c>
      <c r="G60" s="49">
        <f>'Avg Week Lyantonde-Rushere'!G60+'Avg Week Rushere-Lyantonde'!G60</f>
        <v>0</v>
      </c>
      <c r="H60" s="49">
        <f>'Avg Week Lyantonde-Rushere'!H60+'Avg Week Rushere-Lyantonde'!H60</f>
        <v>0</v>
      </c>
      <c r="I60" s="49">
        <f>'Avg Week Lyantonde-Rushere'!I60+'Avg Week Rushere-Lyantonde'!I60</f>
        <v>1.5</v>
      </c>
      <c r="J60" s="49">
        <f>'Avg Week Lyantonde-Rushere'!J60+'Avg Week Rushere-Lyantonde'!J60</f>
        <v>1</v>
      </c>
      <c r="K60" s="49">
        <f>'Avg Week Lyantonde-Rushere'!K60+'Avg Week Rushere-Lyantonde'!K60</f>
        <v>0</v>
      </c>
      <c r="L60" s="49">
        <f>'Avg Week Lyantonde-Rushere'!L60+'Avg Week Rushere-Lyantonde'!L60</f>
        <v>0</v>
      </c>
      <c r="M60" s="49">
        <f>'Avg Week Lyantonde-Rushere'!M60+'Avg Week Rushere-Lyantonde'!M60</f>
        <v>6</v>
      </c>
      <c r="N60" s="49">
        <f>'Avg Week Lyantonde-Rushere'!N60+'Avg Week Rushere-Lyantonde'!N60</f>
        <v>0</v>
      </c>
      <c r="O60" s="15">
        <f t="shared" si="0"/>
        <v>17</v>
      </c>
      <c r="P60" s="15">
        <f t="shared" si="1"/>
        <v>23</v>
      </c>
      <c r="R60" s="8"/>
      <c r="T60"/>
    </row>
    <row r="61" spans="2:20" ht="23.1" customHeight="1" x14ac:dyDescent="0.25">
      <c r="B61" s="23" t="s">
        <v>102</v>
      </c>
      <c r="C61" s="49">
        <f>'Avg Week Lyantonde-Rushere'!C61+'Avg Week Rushere-Lyantonde'!C61</f>
        <v>9.5</v>
      </c>
      <c r="D61" s="49">
        <f>'Avg Week Lyantonde-Rushere'!D61+'Avg Week Rushere-Lyantonde'!D61</f>
        <v>4</v>
      </c>
      <c r="E61" s="49">
        <f>'Avg Week Lyantonde-Rushere'!E61+'Avg Week Rushere-Lyantonde'!E61</f>
        <v>0.5</v>
      </c>
      <c r="F61" s="49">
        <f>'Avg Week Lyantonde-Rushere'!F61+'Avg Week Rushere-Lyantonde'!F61</f>
        <v>0.5</v>
      </c>
      <c r="G61" s="49">
        <f>'Avg Week Lyantonde-Rushere'!G61+'Avg Week Rushere-Lyantonde'!G61</f>
        <v>1</v>
      </c>
      <c r="H61" s="49">
        <f>'Avg Week Lyantonde-Rushere'!H61+'Avg Week Rushere-Lyantonde'!H61</f>
        <v>0</v>
      </c>
      <c r="I61" s="49">
        <f>'Avg Week Lyantonde-Rushere'!I61+'Avg Week Rushere-Lyantonde'!I61</f>
        <v>0</v>
      </c>
      <c r="J61" s="49">
        <f>'Avg Week Lyantonde-Rushere'!J61+'Avg Week Rushere-Lyantonde'!J61</f>
        <v>1.5</v>
      </c>
      <c r="K61" s="49">
        <f>'Avg Week Lyantonde-Rushere'!K61+'Avg Week Rushere-Lyantonde'!K61</f>
        <v>1.5</v>
      </c>
      <c r="L61" s="49">
        <f>'Avg Week Lyantonde-Rushere'!L61+'Avg Week Rushere-Lyantonde'!L61</f>
        <v>2</v>
      </c>
      <c r="M61" s="49">
        <f>'Avg Week Lyantonde-Rushere'!M61+'Avg Week Rushere-Lyantonde'!M61</f>
        <v>8.5</v>
      </c>
      <c r="N61" s="49">
        <f>'Avg Week Lyantonde-Rushere'!N61+'Avg Week Rushere-Lyantonde'!N61</f>
        <v>0</v>
      </c>
      <c r="O61" s="15">
        <f t="shared" si="0"/>
        <v>20.5</v>
      </c>
      <c r="P61" s="15">
        <f t="shared" si="1"/>
        <v>29</v>
      </c>
      <c r="R61" s="8"/>
      <c r="T61"/>
    </row>
    <row r="62" spans="2:20" ht="23.1" customHeight="1" x14ac:dyDescent="0.25">
      <c r="B62" s="23" t="s">
        <v>107</v>
      </c>
      <c r="C62" s="49">
        <f>'Avg Week Lyantonde-Rushere'!C62+'Avg Week Rushere-Lyantonde'!C62</f>
        <v>11.5</v>
      </c>
      <c r="D62" s="49">
        <f>'Avg Week Lyantonde-Rushere'!D62+'Avg Week Rushere-Lyantonde'!D62</f>
        <v>3.5</v>
      </c>
      <c r="E62" s="49">
        <f>'Avg Week Lyantonde-Rushere'!E62+'Avg Week Rushere-Lyantonde'!E62</f>
        <v>1.5</v>
      </c>
      <c r="F62" s="49">
        <f>'Avg Week Lyantonde-Rushere'!F62+'Avg Week Rushere-Lyantonde'!F62</f>
        <v>0</v>
      </c>
      <c r="G62" s="49">
        <f>'Avg Week Lyantonde-Rushere'!G62+'Avg Week Rushere-Lyantonde'!G62</f>
        <v>0</v>
      </c>
      <c r="H62" s="49">
        <f>'Avg Week Lyantonde-Rushere'!H62+'Avg Week Rushere-Lyantonde'!H62</f>
        <v>0</v>
      </c>
      <c r="I62" s="49">
        <f>'Avg Week Lyantonde-Rushere'!I62+'Avg Week Rushere-Lyantonde'!I62</f>
        <v>0.5</v>
      </c>
      <c r="J62" s="49">
        <f>'Avg Week Lyantonde-Rushere'!J62+'Avg Week Rushere-Lyantonde'!J62</f>
        <v>0</v>
      </c>
      <c r="K62" s="49">
        <f>'Avg Week Lyantonde-Rushere'!K62+'Avg Week Rushere-Lyantonde'!K62</f>
        <v>0</v>
      </c>
      <c r="L62" s="49">
        <f>'Avg Week Lyantonde-Rushere'!L62+'Avg Week Rushere-Lyantonde'!L62</f>
        <v>1.5</v>
      </c>
      <c r="M62" s="49">
        <f>'Avg Week Lyantonde-Rushere'!M62+'Avg Week Rushere-Lyantonde'!M62</f>
        <v>5</v>
      </c>
      <c r="N62" s="49">
        <f>'Avg Week Lyantonde-Rushere'!N62+'Avg Week Rushere-Lyantonde'!N62</f>
        <v>0</v>
      </c>
      <c r="O62" s="15">
        <f t="shared" si="0"/>
        <v>18.5</v>
      </c>
      <c r="P62" s="15">
        <f t="shared" si="1"/>
        <v>23.5</v>
      </c>
      <c r="R62" s="8"/>
      <c r="T62"/>
    </row>
    <row r="63" spans="2:20" ht="23.1" customHeight="1" x14ac:dyDescent="0.25">
      <c r="B63" s="23" t="s">
        <v>108</v>
      </c>
      <c r="C63" s="49">
        <f>'Avg Week Lyantonde-Rushere'!C63+'Avg Week Rushere-Lyantonde'!C63</f>
        <v>6.5</v>
      </c>
      <c r="D63" s="49">
        <f>'Avg Week Lyantonde-Rushere'!D63+'Avg Week Rushere-Lyantonde'!D63</f>
        <v>0.5</v>
      </c>
      <c r="E63" s="49">
        <f>'Avg Week Lyantonde-Rushere'!E63+'Avg Week Rushere-Lyantonde'!E63</f>
        <v>2</v>
      </c>
      <c r="F63" s="49">
        <f>'Avg Week Lyantonde-Rushere'!F63+'Avg Week Rushere-Lyantonde'!F63</f>
        <v>1</v>
      </c>
      <c r="G63" s="49">
        <f>'Avg Week Lyantonde-Rushere'!G63+'Avg Week Rushere-Lyantonde'!G63</f>
        <v>0</v>
      </c>
      <c r="H63" s="49">
        <f>'Avg Week Lyantonde-Rushere'!H63+'Avg Week Rushere-Lyantonde'!H63</f>
        <v>0</v>
      </c>
      <c r="I63" s="49">
        <f>'Avg Week Lyantonde-Rushere'!I63+'Avg Week Rushere-Lyantonde'!I63</f>
        <v>1</v>
      </c>
      <c r="J63" s="49">
        <f>'Avg Week Lyantonde-Rushere'!J63+'Avg Week Rushere-Lyantonde'!J63</f>
        <v>0</v>
      </c>
      <c r="K63" s="49">
        <f>'Avg Week Lyantonde-Rushere'!K63+'Avg Week Rushere-Lyantonde'!K63</f>
        <v>1.5</v>
      </c>
      <c r="L63" s="49">
        <f>'Avg Week Lyantonde-Rushere'!L63+'Avg Week Rushere-Lyantonde'!L63</f>
        <v>0.5</v>
      </c>
      <c r="M63" s="49">
        <f>'Avg Week Lyantonde-Rushere'!M63+'Avg Week Rushere-Lyantonde'!M63</f>
        <v>6</v>
      </c>
      <c r="N63" s="49">
        <f>'Avg Week Lyantonde-Rushere'!N63+'Avg Week Rushere-Lyantonde'!N63</f>
        <v>0</v>
      </c>
      <c r="O63" s="15">
        <f t="shared" si="0"/>
        <v>13</v>
      </c>
      <c r="P63" s="15">
        <f t="shared" si="1"/>
        <v>19</v>
      </c>
      <c r="R63" s="8"/>
      <c r="T63"/>
    </row>
    <row r="64" spans="2:20" ht="23.1" customHeight="1" x14ac:dyDescent="0.25">
      <c r="B64" s="23" t="s">
        <v>109</v>
      </c>
      <c r="C64" s="49">
        <f>'Avg Week Lyantonde-Rushere'!C64+'Avg Week Rushere-Lyantonde'!C64</f>
        <v>7.5</v>
      </c>
      <c r="D64" s="49">
        <f>'Avg Week Lyantonde-Rushere'!D64+'Avg Week Rushere-Lyantonde'!D64</f>
        <v>3</v>
      </c>
      <c r="E64" s="49">
        <f>'Avg Week Lyantonde-Rushere'!E64+'Avg Week Rushere-Lyantonde'!E64</f>
        <v>1</v>
      </c>
      <c r="F64" s="49">
        <f>'Avg Week Lyantonde-Rushere'!F64+'Avg Week Rushere-Lyantonde'!F64</f>
        <v>1</v>
      </c>
      <c r="G64" s="49">
        <f>'Avg Week Lyantonde-Rushere'!G64+'Avg Week Rushere-Lyantonde'!G64</f>
        <v>0</v>
      </c>
      <c r="H64" s="49">
        <f>'Avg Week Lyantonde-Rushere'!H64+'Avg Week Rushere-Lyantonde'!H64</f>
        <v>0</v>
      </c>
      <c r="I64" s="49">
        <f>'Avg Week Lyantonde-Rushere'!I64+'Avg Week Rushere-Lyantonde'!I64</f>
        <v>0</v>
      </c>
      <c r="J64" s="49">
        <f>'Avg Week Lyantonde-Rushere'!J64+'Avg Week Rushere-Lyantonde'!J64</f>
        <v>1</v>
      </c>
      <c r="K64" s="49">
        <f>'Avg Week Lyantonde-Rushere'!K64+'Avg Week Rushere-Lyantonde'!K64</f>
        <v>0</v>
      </c>
      <c r="L64" s="49">
        <f>'Avg Week Lyantonde-Rushere'!L64+'Avg Week Rushere-Lyantonde'!L64</f>
        <v>1</v>
      </c>
      <c r="M64" s="49">
        <f>'Avg Week Lyantonde-Rushere'!M64+'Avg Week Rushere-Lyantonde'!M64</f>
        <v>4.5</v>
      </c>
      <c r="N64" s="49">
        <f>'Avg Week Lyantonde-Rushere'!N64+'Avg Week Rushere-Lyantonde'!N64</f>
        <v>0</v>
      </c>
      <c r="O64" s="15">
        <f t="shared" si="0"/>
        <v>14.5</v>
      </c>
      <c r="P64" s="15">
        <f t="shared" si="1"/>
        <v>19</v>
      </c>
      <c r="R64" s="8"/>
      <c r="T64"/>
    </row>
    <row r="65" spans="2:20" ht="23.1" customHeight="1" x14ac:dyDescent="0.25">
      <c r="B65" s="23" t="s">
        <v>158</v>
      </c>
      <c r="C65" s="49">
        <f>'Avg Week Lyantonde-Rushere'!C65+'Avg Week Rushere-Lyantonde'!C65</f>
        <v>10.5</v>
      </c>
      <c r="D65" s="49">
        <f>'Avg Week Lyantonde-Rushere'!D65+'Avg Week Rushere-Lyantonde'!D65</f>
        <v>1.5</v>
      </c>
      <c r="E65" s="49">
        <f>'Avg Week Lyantonde-Rushere'!E65+'Avg Week Rushere-Lyantonde'!E65</f>
        <v>2.5</v>
      </c>
      <c r="F65" s="49">
        <f>'Avg Week Lyantonde-Rushere'!F65+'Avg Week Rushere-Lyantonde'!F65</f>
        <v>0</v>
      </c>
      <c r="G65" s="49">
        <f>'Avg Week Lyantonde-Rushere'!G65+'Avg Week Rushere-Lyantonde'!G65</f>
        <v>0</v>
      </c>
      <c r="H65" s="49">
        <f>'Avg Week Lyantonde-Rushere'!H65+'Avg Week Rushere-Lyantonde'!H65</f>
        <v>0</v>
      </c>
      <c r="I65" s="49">
        <f>'Avg Week Lyantonde-Rushere'!I65+'Avg Week Rushere-Lyantonde'!I65</f>
        <v>0.5</v>
      </c>
      <c r="J65" s="49">
        <f>'Avg Week Lyantonde-Rushere'!J65+'Avg Week Rushere-Lyantonde'!J65</f>
        <v>2</v>
      </c>
      <c r="K65" s="49">
        <f>'Avg Week Lyantonde-Rushere'!K65+'Avg Week Rushere-Lyantonde'!K65</f>
        <v>0.5</v>
      </c>
      <c r="L65" s="49">
        <f>'Avg Week Lyantonde-Rushere'!L65+'Avg Week Rushere-Lyantonde'!L65</f>
        <v>0.5</v>
      </c>
      <c r="M65" s="49">
        <f>'Avg Week Lyantonde-Rushere'!M65+'Avg Week Rushere-Lyantonde'!M65</f>
        <v>7</v>
      </c>
      <c r="N65" s="49">
        <f>'Avg Week Lyantonde-Rushere'!N65+'Avg Week Rushere-Lyantonde'!N65</f>
        <v>0</v>
      </c>
      <c r="O65" s="15">
        <f t="shared" si="0"/>
        <v>18</v>
      </c>
      <c r="P65" s="15">
        <f t="shared" si="1"/>
        <v>25</v>
      </c>
      <c r="R65" s="8"/>
      <c r="T65"/>
    </row>
    <row r="66" spans="2:20" ht="23.1" customHeight="1" x14ac:dyDescent="0.25">
      <c r="B66" s="23" t="s">
        <v>103</v>
      </c>
      <c r="C66" s="49">
        <f>'Avg Week Lyantonde-Rushere'!C66+'Avg Week Rushere-Lyantonde'!C66</f>
        <v>9.5</v>
      </c>
      <c r="D66" s="49">
        <f>'Avg Week Lyantonde-Rushere'!D66+'Avg Week Rushere-Lyantonde'!D66</f>
        <v>3</v>
      </c>
      <c r="E66" s="49">
        <f>'Avg Week Lyantonde-Rushere'!E66+'Avg Week Rushere-Lyantonde'!E66</f>
        <v>1</v>
      </c>
      <c r="F66" s="49">
        <f>'Avg Week Lyantonde-Rushere'!F66+'Avg Week Rushere-Lyantonde'!F66</f>
        <v>0.5</v>
      </c>
      <c r="G66" s="49">
        <f>'Avg Week Lyantonde-Rushere'!G66+'Avg Week Rushere-Lyantonde'!G66</f>
        <v>0.5</v>
      </c>
      <c r="H66" s="49">
        <f>'Avg Week Lyantonde-Rushere'!H66+'Avg Week Rushere-Lyantonde'!H66</f>
        <v>0</v>
      </c>
      <c r="I66" s="49">
        <f>'Avg Week Lyantonde-Rushere'!I66+'Avg Week Rushere-Lyantonde'!I66</f>
        <v>3</v>
      </c>
      <c r="J66" s="49">
        <f>'Avg Week Lyantonde-Rushere'!J66+'Avg Week Rushere-Lyantonde'!J66</f>
        <v>2.5</v>
      </c>
      <c r="K66" s="49">
        <f>'Avg Week Lyantonde-Rushere'!K66+'Avg Week Rushere-Lyantonde'!K66</f>
        <v>1</v>
      </c>
      <c r="L66" s="49">
        <f>'Avg Week Lyantonde-Rushere'!L66+'Avg Week Rushere-Lyantonde'!L66</f>
        <v>1</v>
      </c>
      <c r="M66" s="49">
        <f>'Avg Week Lyantonde-Rushere'!M66+'Avg Week Rushere-Lyantonde'!M66</f>
        <v>2.5</v>
      </c>
      <c r="N66" s="49">
        <f>'Avg Week Lyantonde-Rushere'!N66+'Avg Week Rushere-Lyantonde'!N66</f>
        <v>0</v>
      </c>
      <c r="O66" s="15">
        <f t="shared" si="0"/>
        <v>22</v>
      </c>
      <c r="P66" s="15">
        <f t="shared" si="1"/>
        <v>24.5</v>
      </c>
      <c r="R66" s="8"/>
      <c r="T66"/>
    </row>
    <row r="67" spans="2:20" ht="23.1" customHeight="1" x14ac:dyDescent="0.25">
      <c r="B67" s="23" t="s">
        <v>104</v>
      </c>
      <c r="C67" s="49">
        <f>'Avg Week Lyantonde-Rushere'!C67+'Avg Week Rushere-Lyantonde'!C67</f>
        <v>6.5</v>
      </c>
      <c r="D67" s="49">
        <f>'Avg Week Lyantonde-Rushere'!D67+'Avg Week Rushere-Lyantonde'!D67</f>
        <v>4</v>
      </c>
      <c r="E67" s="49">
        <f>'Avg Week Lyantonde-Rushere'!E67+'Avg Week Rushere-Lyantonde'!E67</f>
        <v>3</v>
      </c>
      <c r="F67" s="49">
        <f>'Avg Week Lyantonde-Rushere'!F67+'Avg Week Rushere-Lyantonde'!F67</f>
        <v>1</v>
      </c>
      <c r="G67" s="49">
        <f>'Avg Week Lyantonde-Rushere'!G67+'Avg Week Rushere-Lyantonde'!G67</f>
        <v>0</v>
      </c>
      <c r="H67" s="49">
        <f>'Avg Week Lyantonde-Rushere'!H67+'Avg Week Rushere-Lyantonde'!H67</f>
        <v>1</v>
      </c>
      <c r="I67" s="49">
        <f>'Avg Week Lyantonde-Rushere'!I67+'Avg Week Rushere-Lyantonde'!I67</f>
        <v>3</v>
      </c>
      <c r="J67" s="49">
        <f>'Avg Week Lyantonde-Rushere'!J67+'Avg Week Rushere-Lyantonde'!J67</f>
        <v>1.5</v>
      </c>
      <c r="K67" s="49">
        <f>'Avg Week Lyantonde-Rushere'!K67+'Avg Week Rushere-Lyantonde'!K67</f>
        <v>0</v>
      </c>
      <c r="L67" s="49">
        <f>'Avg Week Lyantonde-Rushere'!L67+'Avg Week Rushere-Lyantonde'!L67</f>
        <v>0</v>
      </c>
      <c r="M67" s="49">
        <f>'Avg Week Lyantonde-Rushere'!M67+'Avg Week Rushere-Lyantonde'!M67</f>
        <v>3.5</v>
      </c>
      <c r="N67" s="49">
        <f>'Avg Week Lyantonde-Rushere'!N67+'Avg Week Rushere-Lyantonde'!N67</f>
        <v>0</v>
      </c>
      <c r="O67" s="15">
        <f t="shared" si="0"/>
        <v>20</v>
      </c>
      <c r="P67" s="15">
        <f t="shared" si="1"/>
        <v>23.5</v>
      </c>
      <c r="R67" s="8"/>
      <c r="T67"/>
    </row>
    <row r="68" spans="2:20" ht="23.1" customHeight="1" x14ac:dyDescent="0.25">
      <c r="B68" s="23" t="s">
        <v>105</v>
      </c>
      <c r="C68" s="49">
        <f>'Avg Week Lyantonde-Rushere'!C68+'Avg Week Rushere-Lyantonde'!C68</f>
        <v>5</v>
      </c>
      <c r="D68" s="49">
        <f>'Avg Week Lyantonde-Rushere'!D68+'Avg Week Rushere-Lyantonde'!D68</f>
        <v>1.5</v>
      </c>
      <c r="E68" s="49">
        <f>'Avg Week Lyantonde-Rushere'!E68+'Avg Week Rushere-Lyantonde'!E68</f>
        <v>0.5</v>
      </c>
      <c r="F68" s="49">
        <f>'Avg Week Lyantonde-Rushere'!F68+'Avg Week Rushere-Lyantonde'!F68</f>
        <v>0</v>
      </c>
      <c r="G68" s="49">
        <f>'Avg Week Lyantonde-Rushere'!G68+'Avg Week Rushere-Lyantonde'!G68</f>
        <v>1</v>
      </c>
      <c r="H68" s="49">
        <f>'Avg Week Lyantonde-Rushere'!H68+'Avg Week Rushere-Lyantonde'!H68</f>
        <v>0.5</v>
      </c>
      <c r="I68" s="49">
        <f>'Avg Week Lyantonde-Rushere'!I68+'Avg Week Rushere-Lyantonde'!I68</f>
        <v>3</v>
      </c>
      <c r="J68" s="49">
        <f>'Avg Week Lyantonde-Rushere'!J68+'Avg Week Rushere-Lyantonde'!J68</f>
        <v>1.5</v>
      </c>
      <c r="K68" s="49">
        <f>'Avg Week Lyantonde-Rushere'!K68+'Avg Week Rushere-Lyantonde'!K68</f>
        <v>0</v>
      </c>
      <c r="L68" s="49">
        <f>'Avg Week Lyantonde-Rushere'!L68+'Avg Week Rushere-Lyantonde'!L68</f>
        <v>1</v>
      </c>
      <c r="M68" s="49">
        <f>'Avg Week Lyantonde-Rushere'!M68+'Avg Week Rushere-Lyantonde'!M68</f>
        <v>2.5</v>
      </c>
      <c r="N68" s="49">
        <f>'Avg Week Lyantonde-Rushere'!N68+'Avg Week Rushere-Lyantonde'!N68</f>
        <v>0</v>
      </c>
      <c r="O68" s="15">
        <f t="shared" si="0"/>
        <v>14</v>
      </c>
      <c r="P68" s="15">
        <f t="shared" si="1"/>
        <v>16.5</v>
      </c>
      <c r="R68" s="8"/>
      <c r="T68"/>
    </row>
    <row r="69" spans="2:20" ht="23.1" customHeight="1" x14ac:dyDescent="0.25">
      <c r="B69" s="23" t="s">
        <v>106</v>
      </c>
      <c r="C69" s="49">
        <f>'Avg Week Lyantonde-Rushere'!C69+'Avg Week Rushere-Lyantonde'!C69</f>
        <v>6.5</v>
      </c>
      <c r="D69" s="49">
        <f>'Avg Week Lyantonde-Rushere'!D69+'Avg Week Rushere-Lyantonde'!D69</f>
        <v>3</v>
      </c>
      <c r="E69" s="49">
        <f>'Avg Week Lyantonde-Rushere'!E69+'Avg Week Rushere-Lyantonde'!E69</f>
        <v>1</v>
      </c>
      <c r="F69" s="49">
        <f>'Avg Week Lyantonde-Rushere'!F69+'Avg Week Rushere-Lyantonde'!F69</f>
        <v>0</v>
      </c>
      <c r="G69" s="49">
        <f>'Avg Week Lyantonde-Rushere'!G69+'Avg Week Rushere-Lyantonde'!G69</f>
        <v>0</v>
      </c>
      <c r="H69" s="49">
        <f>'Avg Week Lyantonde-Rushere'!H69+'Avg Week Rushere-Lyantonde'!H69</f>
        <v>0</v>
      </c>
      <c r="I69" s="49">
        <f>'Avg Week Lyantonde-Rushere'!I69+'Avg Week Rushere-Lyantonde'!I69</f>
        <v>1.5</v>
      </c>
      <c r="J69" s="49">
        <f>'Avg Week Lyantonde-Rushere'!J69+'Avg Week Rushere-Lyantonde'!J69</f>
        <v>0</v>
      </c>
      <c r="K69" s="49">
        <f>'Avg Week Lyantonde-Rushere'!K69+'Avg Week Rushere-Lyantonde'!K69</f>
        <v>0</v>
      </c>
      <c r="L69" s="49">
        <f>'Avg Week Lyantonde-Rushere'!L69+'Avg Week Rushere-Lyantonde'!L69</f>
        <v>0</v>
      </c>
      <c r="M69" s="49">
        <f>'Avg Week Lyantonde-Rushere'!M69+'Avg Week Rushere-Lyantonde'!M69</f>
        <v>1</v>
      </c>
      <c r="N69" s="49">
        <f>'Avg Week Lyantonde-Rushere'!N69+'Avg Week Rushere-Lyantonde'!N69</f>
        <v>1.5</v>
      </c>
      <c r="O69" s="15">
        <f t="shared" si="0"/>
        <v>13.5</v>
      </c>
      <c r="P69" s="15">
        <f t="shared" si="1"/>
        <v>14.5</v>
      </c>
      <c r="R69" s="8"/>
      <c r="T69"/>
    </row>
    <row r="70" spans="2:20" ht="23.1" customHeight="1" x14ac:dyDescent="0.25">
      <c r="B70" s="23" t="s">
        <v>110</v>
      </c>
      <c r="C70" s="49">
        <f>'Avg Week Lyantonde-Rushere'!C70+'Avg Week Rushere-Lyantonde'!C70</f>
        <v>5</v>
      </c>
      <c r="D70" s="49">
        <f>'Avg Week Lyantonde-Rushere'!D70+'Avg Week Rushere-Lyantonde'!D70</f>
        <v>2.5</v>
      </c>
      <c r="E70" s="49">
        <f>'Avg Week Lyantonde-Rushere'!E70+'Avg Week Rushere-Lyantonde'!E70</f>
        <v>2</v>
      </c>
      <c r="F70" s="49">
        <f>'Avg Week Lyantonde-Rushere'!F70+'Avg Week Rushere-Lyantonde'!F70</f>
        <v>0</v>
      </c>
      <c r="G70" s="49">
        <f>'Avg Week Lyantonde-Rushere'!G70+'Avg Week Rushere-Lyantonde'!G70</f>
        <v>0</v>
      </c>
      <c r="H70" s="49">
        <f>'Avg Week Lyantonde-Rushere'!H70+'Avg Week Rushere-Lyantonde'!H70</f>
        <v>0</v>
      </c>
      <c r="I70" s="49">
        <f>'Avg Week Lyantonde-Rushere'!I70+'Avg Week Rushere-Lyantonde'!I70</f>
        <v>3.5</v>
      </c>
      <c r="J70" s="49">
        <f>'Avg Week Lyantonde-Rushere'!J70+'Avg Week Rushere-Lyantonde'!J70</f>
        <v>2</v>
      </c>
      <c r="K70" s="49">
        <f>'Avg Week Lyantonde-Rushere'!K70+'Avg Week Rushere-Lyantonde'!K70</f>
        <v>1</v>
      </c>
      <c r="L70" s="49">
        <f>'Avg Week Lyantonde-Rushere'!L70+'Avg Week Rushere-Lyantonde'!L70</f>
        <v>0.5</v>
      </c>
      <c r="M70" s="49">
        <f>'Avg Week Lyantonde-Rushere'!M70+'Avg Week Rushere-Lyantonde'!M70</f>
        <v>3</v>
      </c>
      <c r="N70" s="49">
        <f>'Avg Week Lyantonde-Rushere'!N70+'Avg Week Rushere-Lyantonde'!N70</f>
        <v>0</v>
      </c>
      <c r="O70" s="15">
        <f t="shared" si="0"/>
        <v>16.5</v>
      </c>
      <c r="P70" s="15">
        <f t="shared" si="1"/>
        <v>19.5</v>
      </c>
      <c r="R70" s="8"/>
      <c r="T70"/>
    </row>
    <row r="71" spans="2:20" ht="23.1" customHeight="1" x14ac:dyDescent="0.25">
      <c r="B71" s="23" t="s">
        <v>111</v>
      </c>
      <c r="C71" s="49">
        <f>'Avg Week Lyantonde-Rushere'!C71+'Avg Week Rushere-Lyantonde'!C71</f>
        <v>5.5</v>
      </c>
      <c r="D71" s="49">
        <f>'Avg Week Lyantonde-Rushere'!D71+'Avg Week Rushere-Lyantonde'!D71</f>
        <v>2</v>
      </c>
      <c r="E71" s="49">
        <f>'Avg Week Lyantonde-Rushere'!E71+'Avg Week Rushere-Lyantonde'!E71</f>
        <v>2.5</v>
      </c>
      <c r="F71" s="49">
        <f>'Avg Week Lyantonde-Rushere'!F71+'Avg Week Rushere-Lyantonde'!F71</f>
        <v>0</v>
      </c>
      <c r="G71" s="49">
        <f>'Avg Week Lyantonde-Rushere'!G71+'Avg Week Rushere-Lyantonde'!G71</f>
        <v>0</v>
      </c>
      <c r="H71" s="49">
        <f>'Avg Week Lyantonde-Rushere'!H71+'Avg Week Rushere-Lyantonde'!H71</f>
        <v>0</v>
      </c>
      <c r="I71" s="49">
        <f>'Avg Week Lyantonde-Rushere'!I71+'Avg Week Rushere-Lyantonde'!I71</f>
        <v>0.5</v>
      </c>
      <c r="J71" s="49">
        <f>'Avg Week Lyantonde-Rushere'!J71+'Avg Week Rushere-Lyantonde'!J71</f>
        <v>2</v>
      </c>
      <c r="K71" s="49">
        <f>'Avg Week Lyantonde-Rushere'!K71+'Avg Week Rushere-Lyantonde'!K71</f>
        <v>1</v>
      </c>
      <c r="L71" s="49">
        <f>'Avg Week Lyantonde-Rushere'!L71+'Avg Week Rushere-Lyantonde'!L71</f>
        <v>1</v>
      </c>
      <c r="M71" s="49">
        <f>'Avg Week Lyantonde-Rushere'!M71+'Avg Week Rushere-Lyantonde'!M71</f>
        <v>2.5</v>
      </c>
      <c r="N71" s="49">
        <f>'Avg Week Lyantonde-Rushere'!N71+'Avg Week Rushere-Lyantonde'!N71</f>
        <v>0</v>
      </c>
      <c r="O71" s="15">
        <f t="shared" si="0"/>
        <v>14.5</v>
      </c>
      <c r="P71" s="15">
        <f t="shared" si="1"/>
        <v>17</v>
      </c>
      <c r="R71" s="8"/>
      <c r="T71"/>
    </row>
    <row r="72" spans="2:20" ht="23.1" customHeight="1" x14ac:dyDescent="0.25">
      <c r="B72" s="23" t="s">
        <v>112</v>
      </c>
      <c r="C72" s="49">
        <f>'Avg Week Lyantonde-Rushere'!C72+'Avg Week Rushere-Lyantonde'!C72</f>
        <v>4</v>
      </c>
      <c r="D72" s="49">
        <f>'Avg Week Lyantonde-Rushere'!D72+'Avg Week Rushere-Lyantonde'!D72</f>
        <v>2.5</v>
      </c>
      <c r="E72" s="49">
        <f>'Avg Week Lyantonde-Rushere'!E72+'Avg Week Rushere-Lyantonde'!E72</f>
        <v>1.5</v>
      </c>
      <c r="F72" s="49">
        <f>'Avg Week Lyantonde-Rushere'!F72+'Avg Week Rushere-Lyantonde'!F72</f>
        <v>0.5</v>
      </c>
      <c r="G72" s="49">
        <f>'Avg Week Lyantonde-Rushere'!G72+'Avg Week Rushere-Lyantonde'!G72</f>
        <v>0</v>
      </c>
      <c r="H72" s="49">
        <f>'Avg Week Lyantonde-Rushere'!H72+'Avg Week Rushere-Lyantonde'!H72</f>
        <v>0</v>
      </c>
      <c r="I72" s="49">
        <f>'Avg Week Lyantonde-Rushere'!I72+'Avg Week Rushere-Lyantonde'!I72</f>
        <v>2</v>
      </c>
      <c r="J72" s="49">
        <f>'Avg Week Lyantonde-Rushere'!J72+'Avg Week Rushere-Lyantonde'!J72</f>
        <v>1.5</v>
      </c>
      <c r="K72" s="49">
        <f>'Avg Week Lyantonde-Rushere'!K72+'Avg Week Rushere-Lyantonde'!K72</f>
        <v>1.5</v>
      </c>
      <c r="L72" s="49">
        <f>'Avg Week Lyantonde-Rushere'!L72+'Avg Week Rushere-Lyantonde'!L72</f>
        <v>3</v>
      </c>
      <c r="M72" s="49">
        <f>'Avg Week Lyantonde-Rushere'!M72+'Avg Week Rushere-Lyantonde'!M72</f>
        <v>2</v>
      </c>
      <c r="N72" s="49">
        <f>'Avg Week Lyantonde-Rushere'!N72+'Avg Week Rushere-Lyantonde'!N72</f>
        <v>0</v>
      </c>
      <c r="O72" s="15">
        <f t="shared" si="0"/>
        <v>16.5</v>
      </c>
      <c r="P72" s="15">
        <f t="shared" si="1"/>
        <v>18.5</v>
      </c>
      <c r="R72" s="8"/>
      <c r="T72"/>
    </row>
    <row r="73" spans="2:20" ht="23.1" customHeight="1" x14ac:dyDescent="0.25">
      <c r="B73" s="23" t="s">
        <v>113</v>
      </c>
      <c r="C73" s="49">
        <f>'Avg Week Lyantonde-Rushere'!C73+'Avg Week Rushere-Lyantonde'!C73</f>
        <v>4</v>
      </c>
      <c r="D73" s="49">
        <f>'Avg Week Lyantonde-Rushere'!D73+'Avg Week Rushere-Lyantonde'!D73</f>
        <v>2.5</v>
      </c>
      <c r="E73" s="49">
        <f>'Avg Week Lyantonde-Rushere'!E73+'Avg Week Rushere-Lyantonde'!E73</f>
        <v>1</v>
      </c>
      <c r="F73" s="49">
        <f>'Avg Week Lyantonde-Rushere'!F73+'Avg Week Rushere-Lyantonde'!F73</f>
        <v>0.5</v>
      </c>
      <c r="G73" s="49">
        <f>'Avg Week Lyantonde-Rushere'!G73+'Avg Week Rushere-Lyantonde'!G73</f>
        <v>0</v>
      </c>
      <c r="H73" s="49">
        <f>'Avg Week Lyantonde-Rushere'!H73+'Avg Week Rushere-Lyantonde'!H73</f>
        <v>0.5</v>
      </c>
      <c r="I73" s="49">
        <f>'Avg Week Lyantonde-Rushere'!I73+'Avg Week Rushere-Lyantonde'!I73</f>
        <v>1.5</v>
      </c>
      <c r="J73" s="49">
        <f>'Avg Week Lyantonde-Rushere'!J73+'Avg Week Rushere-Lyantonde'!J73</f>
        <v>1.5</v>
      </c>
      <c r="K73" s="49">
        <f>'Avg Week Lyantonde-Rushere'!K73+'Avg Week Rushere-Lyantonde'!K73</f>
        <v>1</v>
      </c>
      <c r="L73" s="49">
        <f>'Avg Week Lyantonde-Rushere'!L73+'Avg Week Rushere-Lyantonde'!L73</f>
        <v>0.5</v>
      </c>
      <c r="M73" s="49">
        <f>'Avg Week Lyantonde-Rushere'!M73+'Avg Week Rushere-Lyantonde'!M73</f>
        <v>1</v>
      </c>
      <c r="N73" s="49">
        <f>'Avg Week Lyantonde-Rushere'!N73+'Avg Week Rushere-Lyantonde'!N73</f>
        <v>0</v>
      </c>
      <c r="O73" s="15">
        <f t="shared" si="0"/>
        <v>13</v>
      </c>
      <c r="P73" s="15">
        <f t="shared" si="1"/>
        <v>14</v>
      </c>
      <c r="R73" s="8"/>
      <c r="T73"/>
    </row>
    <row r="74" spans="2:20" ht="23.1" customHeight="1" x14ac:dyDescent="0.25">
      <c r="B74" s="23" t="s">
        <v>114</v>
      </c>
      <c r="C74" s="49">
        <f>'Avg Week Lyantonde-Rushere'!C74+'Avg Week Rushere-Lyantonde'!C74</f>
        <v>5</v>
      </c>
      <c r="D74" s="49">
        <f>'Avg Week Lyantonde-Rushere'!D74+'Avg Week Rushere-Lyantonde'!D74</f>
        <v>5</v>
      </c>
      <c r="E74" s="49">
        <f>'Avg Week Lyantonde-Rushere'!E74+'Avg Week Rushere-Lyantonde'!E74</f>
        <v>0</v>
      </c>
      <c r="F74" s="49">
        <f>'Avg Week Lyantonde-Rushere'!F74+'Avg Week Rushere-Lyantonde'!F74</f>
        <v>1</v>
      </c>
      <c r="G74" s="49">
        <f>'Avg Week Lyantonde-Rushere'!G74+'Avg Week Rushere-Lyantonde'!G74</f>
        <v>0</v>
      </c>
      <c r="H74" s="49">
        <f>'Avg Week Lyantonde-Rushere'!H74+'Avg Week Rushere-Lyantonde'!H74</f>
        <v>0</v>
      </c>
      <c r="I74" s="49">
        <f>'Avg Week Lyantonde-Rushere'!I74+'Avg Week Rushere-Lyantonde'!I74</f>
        <v>1.5</v>
      </c>
      <c r="J74" s="49">
        <f>'Avg Week Lyantonde-Rushere'!J74+'Avg Week Rushere-Lyantonde'!J74</f>
        <v>2.5</v>
      </c>
      <c r="K74" s="49">
        <f>'Avg Week Lyantonde-Rushere'!K74+'Avg Week Rushere-Lyantonde'!K74</f>
        <v>1</v>
      </c>
      <c r="L74" s="49">
        <f>'Avg Week Lyantonde-Rushere'!L74+'Avg Week Rushere-Lyantonde'!L74</f>
        <v>1</v>
      </c>
      <c r="M74" s="49">
        <f>'Avg Week Lyantonde-Rushere'!M74+'Avg Week Rushere-Lyantonde'!M74</f>
        <v>1.5</v>
      </c>
      <c r="N74" s="49">
        <f>'Avg Week Lyantonde-Rushere'!N74+'Avg Week Rushere-Lyantonde'!N74</f>
        <v>0</v>
      </c>
      <c r="O74" s="15">
        <f t="shared" ref="O74:O105" si="35">SUM(C74:L74,N74)</f>
        <v>17</v>
      </c>
      <c r="P74" s="15">
        <f t="shared" ref="P74:P105" si="36">SUM(C74:N74)</f>
        <v>18.5</v>
      </c>
      <c r="R74" s="8"/>
      <c r="T74"/>
    </row>
    <row r="75" spans="2:20" ht="23.1" customHeight="1" x14ac:dyDescent="0.25">
      <c r="B75" s="23" t="s">
        <v>115</v>
      </c>
      <c r="C75" s="49">
        <f>'Avg Week Lyantonde-Rushere'!C75+'Avg Week Rushere-Lyantonde'!C75</f>
        <v>6.5</v>
      </c>
      <c r="D75" s="49">
        <f>'Avg Week Lyantonde-Rushere'!D75+'Avg Week Rushere-Lyantonde'!D75</f>
        <v>2.5</v>
      </c>
      <c r="E75" s="49">
        <f>'Avg Week Lyantonde-Rushere'!E75+'Avg Week Rushere-Lyantonde'!E75</f>
        <v>1</v>
      </c>
      <c r="F75" s="49">
        <f>'Avg Week Lyantonde-Rushere'!F75+'Avg Week Rushere-Lyantonde'!F75</f>
        <v>0</v>
      </c>
      <c r="G75" s="49">
        <f>'Avg Week Lyantonde-Rushere'!G75+'Avg Week Rushere-Lyantonde'!G75</f>
        <v>0</v>
      </c>
      <c r="H75" s="49">
        <f>'Avg Week Lyantonde-Rushere'!H75+'Avg Week Rushere-Lyantonde'!H75</f>
        <v>0</v>
      </c>
      <c r="I75" s="49">
        <f>'Avg Week Lyantonde-Rushere'!I75+'Avg Week Rushere-Lyantonde'!I75</f>
        <v>1</v>
      </c>
      <c r="J75" s="49">
        <f>'Avg Week Lyantonde-Rushere'!J75+'Avg Week Rushere-Lyantonde'!J75</f>
        <v>1.5</v>
      </c>
      <c r="K75" s="49">
        <f>'Avg Week Lyantonde-Rushere'!K75+'Avg Week Rushere-Lyantonde'!K75</f>
        <v>1</v>
      </c>
      <c r="L75" s="49">
        <f>'Avg Week Lyantonde-Rushere'!L75+'Avg Week Rushere-Lyantonde'!L75</f>
        <v>1.5</v>
      </c>
      <c r="M75" s="49">
        <f>'Avg Week Lyantonde-Rushere'!M75+'Avg Week Rushere-Lyantonde'!M75</f>
        <v>3.5</v>
      </c>
      <c r="N75" s="49">
        <f>'Avg Week Lyantonde-Rushere'!N75+'Avg Week Rushere-Lyantonde'!N75</f>
        <v>0</v>
      </c>
      <c r="O75" s="15">
        <f t="shared" si="35"/>
        <v>15</v>
      </c>
      <c r="P75" s="15">
        <f t="shared" si="36"/>
        <v>18.5</v>
      </c>
      <c r="R75" s="8"/>
      <c r="T75"/>
    </row>
    <row r="76" spans="2:20" ht="23.1" customHeight="1" x14ac:dyDescent="0.25">
      <c r="B76" s="23" t="s">
        <v>116</v>
      </c>
      <c r="C76" s="49">
        <f>'Avg Week Lyantonde-Rushere'!C76+'Avg Week Rushere-Lyantonde'!C76</f>
        <v>5.5</v>
      </c>
      <c r="D76" s="49">
        <f>'Avg Week Lyantonde-Rushere'!D76+'Avg Week Rushere-Lyantonde'!D76</f>
        <v>4</v>
      </c>
      <c r="E76" s="49">
        <f>'Avg Week Lyantonde-Rushere'!E76+'Avg Week Rushere-Lyantonde'!E76</f>
        <v>3</v>
      </c>
      <c r="F76" s="49">
        <f>'Avg Week Lyantonde-Rushere'!F76+'Avg Week Rushere-Lyantonde'!F76</f>
        <v>0.5</v>
      </c>
      <c r="G76" s="49">
        <f>'Avg Week Lyantonde-Rushere'!G76+'Avg Week Rushere-Lyantonde'!G76</f>
        <v>0</v>
      </c>
      <c r="H76" s="49">
        <f>'Avg Week Lyantonde-Rushere'!H76+'Avg Week Rushere-Lyantonde'!H76</f>
        <v>0</v>
      </c>
      <c r="I76" s="49">
        <f>'Avg Week Lyantonde-Rushere'!I76+'Avg Week Rushere-Lyantonde'!I76</f>
        <v>1</v>
      </c>
      <c r="J76" s="49">
        <f>'Avg Week Lyantonde-Rushere'!J76+'Avg Week Rushere-Lyantonde'!J76</f>
        <v>0.5</v>
      </c>
      <c r="K76" s="49">
        <f>'Avg Week Lyantonde-Rushere'!K76+'Avg Week Rushere-Lyantonde'!K76</f>
        <v>2</v>
      </c>
      <c r="L76" s="49">
        <f>'Avg Week Lyantonde-Rushere'!L76+'Avg Week Rushere-Lyantonde'!L76</f>
        <v>1</v>
      </c>
      <c r="M76" s="49">
        <f>'Avg Week Lyantonde-Rushere'!M76+'Avg Week Rushere-Lyantonde'!M76</f>
        <v>1.5</v>
      </c>
      <c r="N76" s="49">
        <f>'Avg Week Lyantonde-Rushere'!N76+'Avg Week Rushere-Lyantonde'!N76</f>
        <v>0</v>
      </c>
      <c r="O76" s="15">
        <f t="shared" si="35"/>
        <v>17.5</v>
      </c>
      <c r="P76" s="15">
        <f t="shared" si="36"/>
        <v>19</v>
      </c>
      <c r="R76" s="8"/>
      <c r="T76"/>
    </row>
    <row r="77" spans="2:20" ht="23.1" customHeight="1" x14ac:dyDescent="0.25">
      <c r="B77" s="23" t="s">
        <v>117</v>
      </c>
      <c r="C77" s="49">
        <f>'Avg Week Lyantonde-Rushere'!C77+'Avg Week Rushere-Lyantonde'!C77</f>
        <v>6.5</v>
      </c>
      <c r="D77" s="49">
        <f>'Avg Week Lyantonde-Rushere'!D77+'Avg Week Rushere-Lyantonde'!D77</f>
        <v>0.5</v>
      </c>
      <c r="E77" s="49">
        <f>'Avg Week Lyantonde-Rushere'!E77+'Avg Week Rushere-Lyantonde'!E77</f>
        <v>2</v>
      </c>
      <c r="F77" s="49">
        <f>'Avg Week Lyantonde-Rushere'!F77+'Avg Week Rushere-Lyantonde'!F77</f>
        <v>0</v>
      </c>
      <c r="G77" s="49">
        <f>'Avg Week Lyantonde-Rushere'!G77+'Avg Week Rushere-Lyantonde'!G77</f>
        <v>0</v>
      </c>
      <c r="H77" s="49">
        <f>'Avg Week Lyantonde-Rushere'!H77+'Avg Week Rushere-Lyantonde'!H77</f>
        <v>0</v>
      </c>
      <c r="I77" s="49">
        <f>'Avg Week Lyantonde-Rushere'!I77+'Avg Week Rushere-Lyantonde'!I77</f>
        <v>0</v>
      </c>
      <c r="J77" s="49">
        <f>'Avg Week Lyantonde-Rushere'!J77+'Avg Week Rushere-Lyantonde'!J77</f>
        <v>2</v>
      </c>
      <c r="K77" s="49">
        <f>'Avg Week Lyantonde-Rushere'!K77+'Avg Week Rushere-Lyantonde'!K77</f>
        <v>2.5</v>
      </c>
      <c r="L77" s="49">
        <f>'Avg Week Lyantonde-Rushere'!L77+'Avg Week Rushere-Lyantonde'!L77</f>
        <v>1.5</v>
      </c>
      <c r="M77" s="49">
        <f>'Avg Week Lyantonde-Rushere'!M77+'Avg Week Rushere-Lyantonde'!M77</f>
        <v>2</v>
      </c>
      <c r="N77" s="49">
        <f>'Avg Week Lyantonde-Rushere'!N77+'Avg Week Rushere-Lyantonde'!N77</f>
        <v>0</v>
      </c>
      <c r="O77" s="15">
        <f t="shared" si="35"/>
        <v>15</v>
      </c>
      <c r="P77" s="15">
        <f t="shared" si="36"/>
        <v>17</v>
      </c>
      <c r="R77" s="8"/>
      <c r="T77"/>
    </row>
    <row r="78" spans="2:20" ht="23.1" customHeight="1" x14ac:dyDescent="0.25">
      <c r="B78" s="24" t="s">
        <v>118</v>
      </c>
      <c r="C78" s="49">
        <f>'Avg Week Lyantonde-Rushere'!C78+'Avg Week Rushere-Lyantonde'!C78</f>
        <v>4.5</v>
      </c>
      <c r="D78" s="49">
        <f>'Avg Week Lyantonde-Rushere'!D78+'Avg Week Rushere-Lyantonde'!D78</f>
        <v>1.5</v>
      </c>
      <c r="E78" s="49">
        <f>'Avg Week Lyantonde-Rushere'!E78+'Avg Week Rushere-Lyantonde'!E78</f>
        <v>1.5</v>
      </c>
      <c r="F78" s="49">
        <f>'Avg Week Lyantonde-Rushere'!F78+'Avg Week Rushere-Lyantonde'!F78</f>
        <v>0</v>
      </c>
      <c r="G78" s="49">
        <f>'Avg Week Lyantonde-Rushere'!G78+'Avg Week Rushere-Lyantonde'!G78</f>
        <v>0</v>
      </c>
      <c r="H78" s="49">
        <f>'Avg Week Lyantonde-Rushere'!H78+'Avg Week Rushere-Lyantonde'!H78</f>
        <v>0</v>
      </c>
      <c r="I78" s="49">
        <f>'Avg Week Lyantonde-Rushere'!I78+'Avg Week Rushere-Lyantonde'!I78</f>
        <v>2.5</v>
      </c>
      <c r="J78" s="49">
        <f>'Avg Week Lyantonde-Rushere'!J78+'Avg Week Rushere-Lyantonde'!J78</f>
        <v>1.5</v>
      </c>
      <c r="K78" s="49">
        <f>'Avg Week Lyantonde-Rushere'!K78+'Avg Week Rushere-Lyantonde'!K78</f>
        <v>1.5</v>
      </c>
      <c r="L78" s="49">
        <f>'Avg Week Lyantonde-Rushere'!L78+'Avg Week Rushere-Lyantonde'!L78</f>
        <v>3</v>
      </c>
      <c r="M78" s="49">
        <f>'Avg Week Lyantonde-Rushere'!M78+'Avg Week Rushere-Lyantonde'!M78</f>
        <v>1.5</v>
      </c>
      <c r="N78" s="49">
        <f>'Avg Week Lyantonde-Rushere'!N78+'Avg Week Rushere-Lyantonde'!N78</f>
        <v>0</v>
      </c>
      <c r="O78" s="15">
        <f t="shared" si="35"/>
        <v>16</v>
      </c>
      <c r="P78" s="15">
        <f t="shared" si="36"/>
        <v>17.5</v>
      </c>
      <c r="R78" s="8"/>
      <c r="T78"/>
    </row>
    <row r="79" spans="2:20" ht="23.1" customHeight="1" x14ac:dyDescent="0.25">
      <c r="B79" s="23" t="s">
        <v>119</v>
      </c>
      <c r="C79" s="49">
        <f>'Avg Week Lyantonde-Rushere'!C79+'Avg Week Rushere-Lyantonde'!C79</f>
        <v>1.5</v>
      </c>
      <c r="D79" s="49">
        <f>'Avg Week Lyantonde-Rushere'!D79+'Avg Week Rushere-Lyantonde'!D79</f>
        <v>2.5</v>
      </c>
      <c r="E79" s="49">
        <f>'Avg Week Lyantonde-Rushere'!E79+'Avg Week Rushere-Lyantonde'!E79</f>
        <v>2</v>
      </c>
      <c r="F79" s="49">
        <f>'Avg Week Lyantonde-Rushere'!F79+'Avg Week Rushere-Lyantonde'!F79</f>
        <v>0</v>
      </c>
      <c r="G79" s="49">
        <f>'Avg Week Lyantonde-Rushere'!G79+'Avg Week Rushere-Lyantonde'!G79</f>
        <v>0.5</v>
      </c>
      <c r="H79" s="49">
        <f>'Avg Week Lyantonde-Rushere'!H79+'Avg Week Rushere-Lyantonde'!H79</f>
        <v>0</v>
      </c>
      <c r="I79" s="49">
        <f>'Avg Week Lyantonde-Rushere'!I79+'Avg Week Rushere-Lyantonde'!I79</f>
        <v>1</v>
      </c>
      <c r="J79" s="49">
        <f>'Avg Week Lyantonde-Rushere'!J79+'Avg Week Rushere-Lyantonde'!J79</f>
        <v>2</v>
      </c>
      <c r="K79" s="49">
        <f>'Avg Week Lyantonde-Rushere'!K79+'Avg Week Rushere-Lyantonde'!K79</f>
        <v>1</v>
      </c>
      <c r="L79" s="49">
        <f>'Avg Week Lyantonde-Rushere'!L79+'Avg Week Rushere-Lyantonde'!L79</f>
        <v>0</v>
      </c>
      <c r="M79" s="49">
        <f>'Avg Week Lyantonde-Rushere'!M79+'Avg Week Rushere-Lyantonde'!M79</f>
        <v>1</v>
      </c>
      <c r="N79" s="49">
        <f>'Avg Week Lyantonde-Rushere'!N79+'Avg Week Rushere-Lyantonde'!N79</f>
        <v>0</v>
      </c>
      <c r="O79" s="15">
        <f t="shared" si="35"/>
        <v>10.5</v>
      </c>
      <c r="P79" s="15">
        <f t="shared" si="36"/>
        <v>11.5</v>
      </c>
      <c r="R79" s="8"/>
      <c r="T79"/>
    </row>
    <row r="80" spans="2:20" ht="23.1" customHeight="1" x14ac:dyDescent="0.25">
      <c r="B80" s="25" t="s">
        <v>120</v>
      </c>
      <c r="C80" s="49">
        <f>'Avg Week Lyantonde-Rushere'!C80+'Avg Week Rushere-Lyantonde'!C80</f>
        <v>2.5</v>
      </c>
      <c r="D80" s="49">
        <f>'Avg Week Lyantonde-Rushere'!D80+'Avg Week Rushere-Lyantonde'!D80</f>
        <v>1.5</v>
      </c>
      <c r="E80" s="49">
        <f>'Avg Week Lyantonde-Rushere'!E80+'Avg Week Rushere-Lyantonde'!E80</f>
        <v>2</v>
      </c>
      <c r="F80" s="49">
        <f>'Avg Week Lyantonde-Rushere'!F80+'Avg Week Rushere-Lyantonde'!F80</f>
        <v>0</v>
      </c>
      <c r="G80" s="49">
        <f>'Avg Week Lyantonde-Rushere'!G80+'Avg Week Rushere-Lyantonde'!G80</f>
        <v>0</v>
      </c>
      <c r="H80" s="49">
        <f>'Avg Week Lyantonde-Rushere'!H80+'Avg Week Rushere-Lyantonde'!H80</f>
        <v>0</v>
      </c>
      <c r="I80" s="49">
        <f>'Avg Week Lyantonde-Rushere'!I80+'Avg Week Rushere-Lyantonde'!I80</f>
        <v>1.5</v>
      </c>
      <c r="J80" s="49">
        <f>'Avg Week Lyantonde-Rushere'!J80+'Avg Week Rushere-Lyantonde'!J80</f>
        <v>1</v>
      </c>
      <c r="K80" s="49">
        <f>'Avg Week Lyantonde-Rushere'!K80+'Avg Week Rushere-Lyantonde'!K80</f>
        <v>2.5</v>
      </c>
      <c r="L80" s="49">
        <f>'Avg Week Lyantonde-Rushere'!L80+'Avg Week Rushere-Lyantonde'!L80</f>
        <v>2</v>
      </c>
      <c r="M80" s="49">
        <f>'Avg Week Lyantonde-Rushere'!M80+'Avg Week Rushere-Lyantonde'!M80</f>
        <v>0</v>
      </c>
      <c r="N80" s="49">
        <f>'Avg Week Lyantonde-Rushere'!N80+'Avg Week Rushere-Lyantonde'!N80</f>
        <v>0</v>
      </c>
      <c r="O80" s="15">
        <f t="shared" si="35"/>
        <v>13</v>
      </c>
      <c r="P80" s="15">
        <f t="shared" si="36"/>
        <v>13</v>
      </c>
      <c r="R80" s="8"/>
      <c r="T80"/>
    </row>
    <row r="81" spans="2:20" ht="23.1" customHeight="1" x14ac:dyDescent="0.25">
      <c r="B81" s="23" t="s">
        <v>121</v>
      </c>
      <c r="C81" s="49">
        <f>'Avg Week Lyantonde-Rushere'!C81+'Avg Week Rushere-Lyantonde'!C81</f>
        <v>3</v>
      </c>
      <c r="D81" s="49">
        <f>'Avg Week Lyantonde-Rushere'!D81+'Avg Week Rushere-Lyantonde'!D81</f>
        <v>3.5</v>
      </c>
      <c r="E81" s="49">
        <f>'Avg Week Lyantonde-Rushere'!E81+'Avg Week Rushere-Lyantonde'!E81</f>
        <v>1.5</v>
      </c>
      <c r="F81" s="49">
        <f>'Avg Week Lyantonde-Rushere'!F81+'Avg Week Rushere-Lyantonde'!F81</f>
        <v>0</v>
      </c>
      <c r="G81" s="49">
        <f>'Avg Week Lyantonde-Rushere'!G81+'Avg Week Rushere-Lyantonde'!G81</f>
        <v>0</v>
      </c>
      <c r="H81" s="49">
        <f>'Avg Week Lyantonde-Rushere'!H81+'Avg Week Rushere-Lyantonde'!H81</f>
        <v>0</v>
      </c>
      <c r="I81" s="49">
        <f>'Avg Week Lyantonde-Rushere'!I81+'Avg Week Rushere-Lyantonde'!I81</f>
        <v>2.5</v>
      </c>
      <c r="J81" s="49">
        <f>'Avg Week Lyantonde-Rushere'!J81+'Avg Week Rushere-Lyantonde'!J81</f>
        <v>2</v>
      </c>
      <c r="K81" s="49">
        <f>'Avg Week Lyantonde-Rushere'!K81+'Avg Week Rushere-Lyantonde'!K81</f>
        <v>0.5</v>
      </c>
      <c r="L81" s="49">
        <f>'Avg Week Lyantonde-Rushere'!L81+'Avg Week Rushere-Lyantonde'!L81</f>
        <v>1</v>
      </c>
      <c r="M81" s="49">
        <f>'Avg Week Lyantonde-Rushere'!M81+'Avg Week Rushere-Lyantonde'!M81</f>
        <v>0</v>
      </c>
      <c r="N81" s="49">
        <f>'Avg Week Lyantonde-Rushere'!N81+'Avg Week Rushere-Lyantonde'!N81</f>
        <v>0</v>
      </c>
      <c r="O81" s="15">
        <f t="shared" si="35"/>
        <v>14</v>
      </c>
      <c r="P81" s="15">
        <f t="shared" si="36"/>
        <v>14</v>
      </c>
      <c r="R81" s="8"/>
      <c r="T81"/>
    </row>
    <row r="82" spans="2:20" ht="23.1" customHeight="1" x14ac:dyDescent="0.25">
      <c r="B82" s="24" t="s">
        <v>122</v>
      </c>
      <c r="C82" s="49">
        <f>'Avg Week Lyantonde-Rushere'!C82+'Avg Week Rushere-Lyantonde'!C82</f>
        <v>3</v>
      </c>
      <c r="D82" s="49">
        <f>'Avg Week Lyantonde-Rushere'!D82+'Avg Week Rushere-Lyantonde'!D82</f>
        <v>2</v>
      </c>
      <c r="E82" s="49">
        <f>'Avg Week Lyantonde-Rushere'!E82+'Avg Week Rushere-Lyantonde'!E82</f>
        <v>1.5</v>
      </c>
      <c r="F82" s="49">
        <f>'Avg Week Lyantonde-Rushere'!F82+'Avg Week Rushere-Lyantonde'!F82</f>
        <v>0</v>
      </c>
      <c r="G82" s="49">
        <f>'Avg Week Lyantonde-Rushere'!G82+'Avg Week Rushere-Lyantonde'!G82</f>
        <v>0</v>
      </c>
      <c r="H82" s="49">
        <f>'Avg Week Lyantonde-Rushere'!H82+'Avg Week Rushere-Lyantonde'!H82</f>
        <v>0</v>
      </c>
      <c r="I82" s="49">
        <f>'Avg Week Lyantonde-Rushere'!I82+'Avg Week Rushere-Lyantonde'!I82</f>
        <v>1</v>
      </c>
      <c r="J82" s="49">
        <f>'Avg Week Lyantonde-Rushere'!J82+'Avg Week Rushere-Lyantonde'!J82</f>
        <v>1</v>
      </c>
      <c r="K82" s="49">
        <f>'Avg Week Lyantonde-Rushere'!K82+'Avg Week Rushere-Lyantonde'!K82</f>
        <v>1.5</v>
      </c>
      <c r="L82" s="49">
        <f>'Avg Week Lyantonde-Rushere'!L82+'Avg Week Rushere-Lyantonde'!L82</f>
        <v>2.5</v>
      </c>
      <c r="M82" s="49">
        <f>'Avg Week Lyantonde-Rushere'!M82+'Avg Week Rushere-Lyantonde'!M82</f>
        <v>0</v>
      </c>
      <c r="N82" s="49">
        <f>'Avg Week Lyantonde-Rushere'!N82+'Avg Week Rushere-Lyantonde'!N82</f>
        <v>0</v>
      </c>
      <c r="O82" s="15">
        <f t="shared" si="35"/>
        <v>12.5</v>
      </c>
      <c r="P82" s="15">
        <f t="shared" si="36"/>
        <v>12.5</v>
      </c>
      <c r="R82" s="8"/>
      <c r="T82"/>
    </row>
    <row r="83" spans="2:20" ht="23.1" customHeight="1" x14ac:dyDescent="0.25">
      <c r="B83" s="23" t="s">
        <v>123</v>
      </c>
      <c r="C83" s="49">
        <f>'Avg Week Lyantonde-Rushere'!C83+'Avg Week Rushere-Lyantonde'!C83</f>
        <v>1</v>
      </c>
      <c r="D83" s="49">
        <f>'Avg Week Lyantonde-Rushere'!D83+'Avg Week Rushere-Lyantonde'!D83</f>
        <v>2</v>
      </c>
      <c r="E83" s="49">
        <f>'Avg Week Lyantonde-Rushere'!E83+'Avg Week Rushere-Lyantonde'!E83</f>
        <v>2.5</v>
      </c>
      <c r="F83" s="49">
        <f>'Avg Week Lyantonde-Rushere'!F83+'Avg Week Rushere-Lyantonde'!F83</f>
        <v>0</v>
      </c>
      <c r="G83" s="49">
        <f>'Avg Week Lyantonde-Rushere'!G83+'Avg Week Rushere-Lyantonde'!G83</f>
        <v>0</v>
      </c>
      <c r="H83" s="49">
        <f>'Avg Week Lyantonde-Rushere'!H83+'Avg Week Rushere-Lyantonde'!H83</f>
        <v>0</v>
      </c>
      <c r="I83" s="49">
        <f>'Avg Week Lyantonde-Rushere'!I83+'Avg Week Rushere-Lyantonde'!I83</f>
        <v>0.5</v>
      </c>
      <c r="J83" s="49">
        <f>'Avg Week Lyantonde-Rushere'!J83+'Avg Week Rushere-Lyantonde'!J83</f>
        <v>1</v>
      </c>
      <c r="K83" s="49">
        <f>'Avg Week Lyantonde-Rushere'!K83+'Avg Week Rushere-Lyantonde'!K83</f>
        <v>1</v>
      </c>
      <c r="L83" s="49">
        <f>'Avg Week Lyantonde-Rushere'!L83+'Avg Week Rushere-Lyantonde'!L83</f>
        <v>1.5</v>
      </c>
      <c r="M83" s="49">
        <f>'Avg Week Lyantonde-Rushere'!M83+'Avg Week Rushere-Lyantonde'!M83</f>
        <v>0.5</v>
      </c>
      <c r="N83" s="49">
        <f>'Avg Week Lyantonde-Rushere'!N83+'Avg Week Rushere-Lyantonde'!N83</f>
        <v>0</v>
      </c>
      <c r="O83" s="15">
        <f t="shared" si="35"/>
        <v>9.5</v>
      </c>
      <c r="P83" s="15">
        <f t="shared" si="36"/>
        <v>10</v>
      </c>
      <c r="R83" s="8"/>
      <c r="T83"/>
    </row>
    <row r="84" spans="2:20" ht="23.1" customHeight="1" x14ac:dyDescent="0.25">
      <c r="B84" s="25" t="s">
        <v>124</v>
      </c>
      <c r="C84" s="49">
        <f>'Avg Week Lyantonde-Rushere'!C84+'Avg Week Rushere-Lyantonde'!C84</f>
        <v>2</v>
      </c>
      <c r="D84" s="49">
        <f>'Avg Week Lyantonde-Rushere'!D84+'Avg Week Rushere-Lyantonde'!D84</f>
        <v>0.5</v>
      </c>
      <c r="E84" s="49">
        <f>'Avg Week Lyantonde-Rushere'!E84+'Avg Week Rushere-Lyantonde'!E84</f>
        <v>2</v>
      </c>
      <c r="F84" s="49">
        <f>'Avg Week Lyantonde-Rushere'!F84+'Avg Week Rushere-Lyantonde'!F84</f>
        <v>0</v>
      </c>
      <c r="G84" s="49">
        <f>'Avg Week Lyantonde-Rushere'!G84+'Avg Week Rushere-Lyantonde'!G84</f>
        <v>0</v>
      </c>
      <c r="H84" s="49">
        <f>'Avg Week Lyantonde-Rushere'!H84+'Avg Week Rushere-Lyantonde'!H84</f>
        <v>0</v>
      </c>
      <c r="I84" s="49">
        <f>'Avg Week Lyantonde-Rushere'!I84+'Avg Week Rushere-Lyantonde'!I84</f>
        <v>0</v>
      </c>
      <c r="J84" s="49">
        <f>'Avg Week Lyantonde-Rushere'!J84+'Avg Week Rushere-Lyantonde'!J84</f>
        <v>0.5</v>
      </c>
      <c r="K84" s="49">
        <f>'Avg Week Lyantonde-Rushere'!K84+'Avg Week Rushere-Lyantonde'!K84</f>
        <v>1</v>
      </c>
      <c r="L84" s="49">
        <f>'Avg Week Lyantonde-Rushere'!L84+'Avg Week Rushere-Lyantonde'!L84</f>
        <v>1.5</v>
      </c>
      <c r="M84" s="49">
        <f>'Avg Week Lyantonde-Rushere'!M84+'Avg Week Rushere-Lyantonde'!M84</f>
        <v>1</v>
      </c>
      <c r="N84" s="49">
        <f>'Avg Week Lyantonde-Rushere'!N84+'Avg Week Rushere-Lyantonde'!N84</f>
        <v>0</v>
      </c>
      <c r="O84" s="15">
        <f t="shared" si="35"/>
        <v>7.5</v>
      </c>
      <c r="P84" s="15">
        <f t="shared" si="36"/>
        <v>8.5</v>
      </c>
      <c r="R84" s="8"/>
      <c r="T84"/>
    </row>
    <row r="85" spans="2:20" ht="23.1" customHeight="1" x14ac:dyDescent="0.25">
      <c r="B85" s="23" t="s">
        <v>125</v>
      </c>
      <c r="C85" s="49">
        <f>'Avg Week Lyantonde-Rushere'!C85+'Avg Week Rushere-Lyantonde'!C85</f>
        <v>2</v>
      </c>
      <c r="D85" s="49">
        <f>'Avg Week Lyantonde-Rushere'!D85+'Avg Week Rushere-Lyantonde'!D85</f>
        <v>0.5</v>
      </c>
      <c r="E85" s="49">
        <f>'Avg Week Lyantonde-Rushere'!E85+'Avg Week Rushere-Lyantonde'!E85</f>
        <v>2</v>
      </c>
      <c r="F85" s="49">
        <f>'Avg Week Lyantonde-Rushere'!F85+'Avg Week Rushere-Lyantonde'!F85</f>
        <v>0</v>
      </c>
      <c r="G85" s="49">
        <f>'Avg Week Lyantonde-Rushere'!G85+'Avg Week Rushere-Lyantonde'!G85</f>
        <v>0</v>
      </c>
      <c r="H85" s="49">
        <f>'Avg Week Lyantonde-Rushere'!H85+'Avg Week Rushere-Lyantonde'!H85</f>
        <v>0</v>
      </c>
      <c r="I85" s="49">
        <f>'Avg Week Lyantonde-Rushere'!I85+'Avg Week Rushere-Lyantonde'!I85</f>
        <v>1</v>
      </c>
      <c r="J85" s="49">
        <f>'Avg Week Lyantonde-Rushere'!J85+'Avg Week Rushere-Lyantonde'!J85</f>
        <v>0.5</v>
      </c>
      <c r="K85" s="49">
        <f>'Avg Week Lyantonde-Rushere'!K85+'Avg Week Rushere-Lyantonde'!K85</f>
        <v>0.5</v>
      </c>
      <c r="L85" s="49">
        <f>'Avg Week Lyantonde-Rushere'!L85+'Avg Week Rushere-Lyantonde'!L85</f>
        <v>2</v>
      </c>
      <c r="M85" s="49">
        <f>'Avg Week Lyantonde-Rushere'!M85+'Avg Week Rushere-Lyantonde'!M85</f>
        <v>0.5</v>
      </c>
      <c r="N85" s="49">
        <f>'Avg Week Lyantonde-Rushere'!N85+'Avg Week Rushere-Lyantonde'!N85</f>
        <v>0</v>
      </c>
      <c r="O85" s="15">
        <f t="shared" si="35"/>
        <v>8.5</v>
      </c>
      <c r="P85" s="15">
        <f t="shared" si="36"/>
        <v>9</v>
      </c>
      <c r="R85" s="8"/>
      <c r="T85"/>
    </row>
    <row r="86" spans="2:20" ht="23.1" customHeight="1" x14ac:dyDescent="0.25">
      <c r="B86" s="24" t="s">
        <v>126</v>
      </c>
      <c r="C86" s="49">
        <f>'Avg Week Lyantonde-Rushere'!C86+'Avg Week Rushere-Lyantonde'!C86</f>
        <v>4</v>
      </c>
      <c r="D86" s="49">
        <f>'Avg Week Lyantonde-Rushere'!D86+'Avg Week Rushere-Lyantonde'!D86</f>
        <v>3.5</v>
      </c>
      <c r="E86" s="49">
        <f>'Avg Week Lyantonde-Rushere'!E86+'Avg Week Rushere-Lyantonde'!E86</f>
        <v>1</v>
      </c>
      <c r="F86" s="49">
        <f>'Avg Week Lyantonde-Rushere'!F86+'Avg Week Rushere-Lyantonde'!F86</f>
        <v>0</v>
      </c>
      <c r="G86" s="49">
        <f>'Avg Week Lyantonde-Rushere'!G86+'Avg Week Rushere-Lyantonde'!G86</f>
        <v>0</v>
      </c>
      <c r="H86" s="49">
        <f>'Avg Week Lyantonde-Rushere'!H86+'Avg Week Rushere-Lyantonde'!H86</f>
        <v>0.5</v>
      </c>
      <c r="I86" s="49">
        <f>'Avg Week Lyantonde-Rushere'!I86+'Avg Week Rushere-Lyantonde'!I86</f>
        <v>1.5</v>
      </c>
      <c r="J86" s="49">
        <f>'Avg Week Lyantonde-Rushere'!J86+'Avg Week Rushere-Lyantonde'!J86</f>
        <v>0</v>
      </c>
      <c r="K86" s="49">
        <f>'Avg Week Lyantonde-Rushere'!K86+'Avg Week Rushere-Lyantonde'!K86</f>
        <v>2.5</v>
      </c>
      <c r="L86" s="49">
        <f>'Avg Week Lyantonde-Rushere'!L86+'Avg Week Rushere-Lyantonde'!L86</f>
        <v>1</v>
      </c>
      <c r="M86" s="49">
        <f>'Avg Week Lyantonde-Rushere'!M86+'Avg Week Rushere-Lyantonde'!M86</f>
        <v>0</v>
      </c>
      <c r="N86" s="49">
        <f>'Avg Week Lyantonde-Rushere'!N86+'Avg Week Rushere-Lyantonde'!N86</f>
        <v>0</v>
      </c>
      <c r="O86" s="15">
        <f t="shared" si="35"/>
        <v>14</v>
      </c>
      <c r="P86" s="15">
        <f t="shared" si="36"/>
        <v>14</v>
      </c>
      <c r="R86" s="8"/>
      <c r="T86"/>
    </row>
    <row r="87" spans="2:20" ht="23.1" customHeight="1" x14ac:dyDescent="0.25">
      <c r="B87" s="23" t="s">
        <v>127</v>
      </c>
      <c r="C87" s="49">
        <f>'Avg Week Lyantonde-Rushere'!C87+'Avg Week Rushere-Lyantonde'!C87</f>
        <v>3</v>
      </c>
      <c r="D87" s="49">
        <f>'Avg Week Lyantonde-Rushere'!D87+'Avg Week Rushere-Lyantonde'!D87</f>
        <v>0.5</v>
      </c>
      <c r="E87" s="49">
        <f>'Avg Week Lyantonde-Rushere'!E87+'Avg Week Rushere-Lyantonde'!E87</f>
        <v>0</v>
      </c>
      <c r="F87" s="49">
        <f>'Avg Week Lyantonde-Rushere'!F87+'Avg Week Rushere-Lyantonde'!F87</f>
        <v>0</v>
      </c>
      <c r="G87" s="49">
        <f>'Avg Week Lyantonde-Rushere'!G87+'Avg Week Rushere-Lyantonde'!G87</f>
        <v>0</v>
      </c>
      <c r="H87" s="49">
        <f>'Avg Week Lyantonde-Rushere'!H87+'Avg Week Rushere-Lyantonde'!H87</f>
        <v>0</v>
      </c>
      <c r="I87" s="49">
        <f>'Avg Week Lyantonde-Rushere'!I87+'Avg Week Rushere-Lyantonde'!I87</f>
        <v>0.5</v>
      </c>
      <c r="J87" s="49">
        <f>'Avg Week Lyantonde-Rushere'!J87+'Avg Week Rushere-Lyantonde'!J87</f>
        <v>0</v>
      </c>
      <c r="K87" s="49">
        <f>'Avg Week Lyantonde-Rushere'!K87+'Avg Week Rushere-Lyantonde'!K87</f>
        <v>1.5</v>
      </c>
      <c r="L87" s="49">
        <f>'Avg Week Lyantonde-Rushere'!L87+'Avg Week Rushere-Lyantonde'!L87</f>
        <v>1.5</v>
      </c>
      <c r="M87" s="49">
        <f>'Avg Week Lyantonde-Rushere'!M87+'Avg Week Rushere-Lyantonde'!M87</f>
        <v>0</v>
      </c>
      <c r="N87" s="49">
        <f>'Avg Week Lyantonde-Rushere'!N87+'Avg Week Rushere-Lyantonde'!N87</f>
        <v>0</v>
      </c>
      <c r="O87" s="15">
        <f t="shared" si="35"/>
        <v>7</v>
      </c>
      <c r="P87" s="15">
        <f t="shared" si="36"/>
        <v>7</v>
      </c>
      <c r="R87" s="8"/>
      <c r="T87"/>
    </row>
    <row r="88" spans="2:20" ht="23.1" customHeight="1" x14ac:dyDescent="0.25">
      <c r="B88" s="25" t="s">
        <v>128</v>
      </c>
      <c r="C88" s="49">
        <f>'Avg Week Lyantonde-Rushere'!C88+'Avg Week Rushere-Lyantonde'!C88</f>
        <v>1</v>
      </c>
      <c r="D88" s="49">
        <f>'Avg Week Lyantonde-Rushere'!D88+'Avg Week Rushere-Lyantonde'!D88</f>
        <v>0</v>
      </c>
      <c r="E88" s="49">
        <f>'Avg Week Lyantonde-Rushere'!E88+'Avg Week Rushere-Lyantonde'!E88</f>
        <v>1</v>
      </c>
      <c r="F88" s="49">
        <f>'Avg Week Lyantonde-Rushere'!F88+'Avg Week Rushere-Lyantonde'!F88</f>
        <v>0</v>
      </c>
      <c r="G88" s="49">
        <f>'Avg Week Lyantonde-Rushere'!G88+'Avg Week Rushere-Lyantonde'!G88</f>
        <v>0</v>
      </c>
      <c r="H88" s="49">
        <f>'Avg Week Lyantonde-Rushere'!H88+'Avg Week Rushere-Lyantonde'!H88</f>
        <v>0</v>
      </c>
      <c r="I88" s="49">
        <f>'Avg Week Lyantonde-Rushere'!I88+'Avg Week Rushere-Lyantonde'!I88</f>
        <v>1</v>
      </c>
      <c r="J88" s="49">
        <f>'Avg Week Lyantonde-Rushere'!J88+'Avg Week Rushere-Lyantonde'!J88</f>
        <v>1.5</v>
      </c>
      <c r="K88" s="49">
        <f>'Avg Week Lyantonde-Rushere'!K88+'Avg Week Rushere-Lyantonde'!K88</f>
        <v>1</v>
      </c>
      <c r="L88" s="49">
        <f>'Avg Week Lyantonde-Rushere'!L88+'Avg Week Rushere-Lyantonde'!L88</f>
        <v>2</v>
      </c>
      <c r="M88" s="49">
        <f>'Avg Week Lyantonde-Rushere'!M88+'Avg Week Rushere-Lyantonde'!M88</f>
        <v>0</v>
      </c>
      <c r="N88" s="49">
        <f>'Avg Week Lyantonde-Rushere'!N88+'Avg Week Rushere-Lyantonde'!N88</f>
        <v>0</v>
      </c>
      <c r="O88" s="15">
        <f t="shared" si="35"/>
        <v>7.5</v>
      </c>
      <c r="P88" s="15">
        <f t="shared" si="36"/>
        <v>7.5</v>
      </c>
      <c r="R88" s="8"/>
      <c r="T88"/>
    </row>
    <row r="89" spans="2:20" ht="23.1" customHeight="1" x14ac:dyDescent="0.25">
      <c r="B89" s="23" t="s">
        <v>129</v>
      </c>
      <c r="C89" s="49">
        <f>'Avg Week Lyantonde-Rushere'!C89+'Avg Week Rushere-Lyantonde'!C89</f>
        <v>1.5</v>
      </c>
      <c r="D89" s="49">
        <f>'Avg Week Lyantonde-Rushere'!D89+'Avg Week Rushere-Lyantonde'!D89</f>
        <v>1.5</v>
      </c>
      <c r="E89" s="49">
        <f>'Avg Week Lyantonde-Rushere'!E89+'Avg Week Rushere-Lyantonde'!E89</f>
        <v>4.5</v>
      </c>
      <c r="F89" s="49">
        <f>'Avg Week Lyantonde-Rushere'!F89+'Avg Week Rushere-Lyantonde'!F89</f>
        <v>0</v>
      </c>
      <c r="G89" s="49">
        <f>'Avg Week Lyantonde-Rushere'!G89+'Avg Week Rushere-Lyantonde'!G89</f>
        <v>0</v>
      </c>
      <c r="H89" s="49">
        <f>'Avg Week Lyantonde-Rushere'!H89+'Avg Week Rushere-Lyantonde'!H89</f>
        <v>0</v>
      </c>
      <c r="I89" s="49">
        <f>'Avg Week Lyantonde-Rushere'!I89+'Avg Week Rushere-Lyantonde'!I89</f>
        <v>2.5</v>
      </c>
      <c r="J89" s="49">
        <f>'Avg Week Lyantonde-Rushere'!J89+'Avg Week Rushere-Lyantonde'!J89</f>
        <v>0</v>
      </c>
      <c r="K89" s="49">
        <f>'Avg Week Lyantonde-Rushere'!K89+'Avg Week Rushere-Lyantonde'!K89</f>
        <v>2</v>
      </c>
      <c r="L89" s="49">
        <f>'Avg Week Lyantonde-Rushere'!L89+'Avg Week Rushere-Lyantonde'!L89</f>
        <v>1</v>
      </c>
      <c r="M89" s="49">
        <f>'Avg Week Lyantonde-Rushere'!M89+'Avg Week Rushere-Lyantonde'!M89</f>
        <v>0</v>
      </c>
      <c r="N89" s="49">
        <f>'Avg Week Lyantonde-Rushere'!N89+'Avg Week Rushere-Lyantonde'!N89</f>
        <v>0</v>
      </c>
      <c r="O89" s="15">
        <f t="shared" si="35"/>
        <v>13</v>
      </c>
      <c r="P89" s="15">
        <f t="shared" si="36"/>
        <v>13</v>
      </c>
      <c r="R89" s="8"/>
      <c r="T89"/>
    </row>
    <row r="90" spans="2:20" ht="23.1" customHeight="1" x14ac:dyDescent="0.25">
      <c r="B90" s="24" t="s">
        <v>130</v>
      </c>
      <c r="C90" s="49">
        <f>'Avg Week Lyantonde-Rushere'!C90+'Avg Week Rushere-Lyantonde'!C90</f>
        <v>2</v>
      </c>
      <c r="D90" s="49">
        <f>'Avg Week Lyantonde-Rushere'!D90+'Avg Week Rushere-Lyantonde'!D90</f>
        <v>3</v>
      </c>
      <c r="E90" s="49">
        <f>'Avg Week Lyantonde-Rushere'!E90+'Avg Week Rushere-Lyantonde'!E90</f>
        <v>0</v>
      </c>
      <c r="F90" s="49">
        <f>'Avg Week Lyantonde-Rushere'!F90+'Avg Week Rushere-Lyantonde'!F90</f>
        <v>1</v>
      </c>
      <c r="G90" s="49">
        <f>'Avg Week Lyantonde-Rushere'!G90+'Avg Week Rushere-Lyantonde'!G90</f>
        <v>0</v>
      </c>
      <c r="H90" s="49">
        <f>'Avg Week Lyantonde-Rushere'!H90+'Avg Week Rushere-Lyantonde'!H90</f>
        <v>0</v>
      </c>
      <c r="I90" s="49">
        <f>'Avg Week Lyantonde-Rushere'!I90+'Avg Week Rushere-Lyantonde'!I90</f>
        <v>0.5</v>
      </c>
      <c r="J90" s="49">
        <f>'Avg Week Lyantonde-Rushere'!J90+'Avg Week Rushere-Lyantonde'!J90</f>
        <v>1.5</v>
      </c>
      <c r="K90" s="49">
        <f>'Avg Week Lyantonde-Rushere'!K90+'Avg Week Rushere-Lyantonde'!K90</f>
        <v>1.5</v>
      </c>
      <c r="L90" s="49">
        <f>'Avg Week Lyantonde-Rushere'!L90+'Avg Week Rushere-Lyantonde'!L90</f>
        <v>3</v>
      </c>
      <c r="M90" s="49">
        <f>'Avg Week Lyantonde-Rushere'!M90+'Avg Week Rushere-Lyantonde'!M90</f>
        <v>0</v>
      </c>
      <c r="N90" s="49">
        <f>'Avg Week Lyantonde-Rushere'!N90+'Avg Week Rushere-Lyantonde'!N90</f>
        <v>0</v>
      </c>
      <c r="O90" s="15">
        <f t="shared" si="35"/>
        <v>12.5</v>
      </c>
      <c r="P90" s="15">
        <f t="shared" si="36"/>
        <v>12.5</v>
      </c>
      <c r="R90" s="8"/>
      <c r="T90"/>
    </row>
    <row r="91" spans="2:20" ht="23.1" customHeight="1" x14ac:dyDescent="0.25">
      <c r="B91" s="23" t="s">
        <v>131</v>
      </c>
      <c r="C91" s="49">
        <f>'Avg Week Lyantonde-Rushere'!C91+'Avg Week Rushere-Lyantonde'!C91</f>
        <v>1.5</v>
      </c>
      <c r="D91" s="49">
        <f>'Avg Week Lyantonde-Rushere'!D91+'Avg Week Rushere-Lyantonde'!D91</f>
        <v>0.5</v>
      </c>
      <c r="E91" s="49">
        <f>'Avg Week Lyantonde-Rushere'!E91+'Avg Week Rushere-Lyantonde'!E91</f>
        <v>1.5</v>
      </c>
      <c r="F91" s="49">
        <f>'Avg Week Lyantonde-Rushere'!F91+'Avg Week Rushere-Lyantonde'!F91</f>
        <v>0</v>
      </c>
      <c r="G91" s="49">
        <f>'Avg Week Lyantonde-Rushere'!G91+'Avg Week Rushere-Lyantonde'!G91</f>
        <v>0</v>
      </c>
      <c r="H91" s="49">
        <f>'Avg Week Lyantonde-Rushere'!H91+'Avg Week Rushere-Lyantonde'!H91</f>
        <v>0</v>
      </c>
      <c r="I91" s="49">
        <f>'Avg Week Lyantonde-Rushere'!I91+'Avg Week Rushere-Lyantonde'!I91</f>
        <v>0</v>
      </c>
      <c r="J91" s="49">
        <f>'Avg Week Lyantonde-Rushere'!J91+'Avg Week Rushere-Lyantonde'!J91</f>
        <v>1</v>
      </c>
      <c r="K91" s="49">
        <f>'Avg Week Lyantonde-Rushere'!K91+'Avg Week Rushere-Lyantonde'!K91</f>
        <v>1</v>
      </c>
      <c r="L91" s="49">
        <f>'Avg Week Lyantonde-Rushere'!L91+'Avg Week Rushere-Lyantonde'!L91</f>
        <v>4</v>
      </c>
      <c r="M91" s="49">
        <f>'Avg Week Lyantonde-Rushere'!M91+'Avg Week Rushere-Lyantonde'!M91</f>
        <v>0</v>
      </c>
      <c r="N91" s="49">
        <f>'Avg Week Lyantonde-Rushere'!N91+'Avg Week Rushere-Lyantonde'!N91</f>
        <v>0</v>
      </c>
      <c r="O91" s="15">
        <f t="shared" si="35"/>
        <v>9.5</v>
      </c>
      <c r="P91" s="15">
        <f t="shared" si="36"/>
        <v>9.5</v>
      </c>
      <c r="R91" s="8"/>
      <c r="T91"/>
    </row>
    <row r="92" spans="2:20" ht="23.1" customHeight="1" x14ac:dyDescent="0.25">
      <c r="B92" s="25" t="s">
        <v>132</v>
      </c>
      <c r="C92" s="49">
        <f>'Avg Week Lyantonde-Rushere'!C92+'Avg Week Rushere-Lyantonde'!C92</f>
        <v>3.5</v>
      </c>
      <c r="D92" s="49">
        <f>'Avg Week Lyantonde-Rushere'!D92+'Avg Week Rushere-Lyantonde'!D92</f>
        <v>0.5</v>
      </c>
      <c r="E92" s="49">
        <f>'Avg Week Lyantonde-Rushere'!E92+'Avg Week Rushere-Lyantonde'!E92</f>
        <v>0.5</v>
      </c>
      <c r="F92" s="49">
        <f>'Avg Week Lyantonde-Rushere'!F92+'Avg Week Rushere-Lyantonde'!F92</f>
        <v>0</v>
      </c>
      <c r="G92" s="49">
        <f>'Avg Week Lyantonde-Rushere'!G92+'Avg Week Rushere-Lyantonde'!G92</f>
        <v>0</v>
      </c>
      <c r="H92" s="49">
        <f>'Avg Week Lyantonde-Rushere'!H92+'Avg Week Rushere-Lyantonde'!H92</f>
        <v>0</v>
      </c>
      <c r="I92" s="49">
        <f>'Avg Week Lyantonde-Rushere'!I92+'Avg Week Rushere-Lyantonde'!I92</f>
        <v>0.5</v>
      </c>
      <c r="J92" s="49">
        <f>'Avg Week Lyantonde-Rushere'!J92+'Avg Week Rushere-Lyantonde'!J92</f>
        <v>2</v>
      </c>
      <c r="K92" s="49">
        <f>'Avg Week Lyantonde-Rushere'!K92+'Avg Week Rushere-Lyantonde'!K92</f>
        <v>1.5</v>
      </c>
      <c r="L92" s="49">
        <f>'Avg Week Lyantonde-Rushere'!L92+'Avg Week Rushere-Lyantonde'!L92</f>
        <v>1.5</v>
      </c>
      <c r="M92" s="49">
        <f>'Avg Week Lyantonde-Rushere'!M92+'Avg Week Rushere-Lyantonde'!M92</f>
        <v>0</v>
      </c>
      <c r="N92" s="49">
        <f>'Avg Week Lyantonde-Rushere'!N92+'Avg Week Rushere-Lyantonde'!N92</f>
        <v>0</v>
      </c>
      <c r="O92" s="15">
        <f t="shared" si="35"/>
        <v>10</v>
      </c>
      <c r="P92" s="15">
        <f t="shared" si="36"/>
        <v>10</v>
      </c>
      <c r="R92" s="8"/>
      <c r="T92"/>
    </row>
    <row r="93" spans="2:20" ht="23.1" customHeight="1" x14ac:dyDescent="0.25">
      <c r="B93" s="23" t="s">
        <v>133</v>
      </c>
      <c r="C93" s="49">
        <f>'Avg Week Lyantonde-Rushere'!C93+'Avg Week Rushere-Lyantonde'!C93</f>
        <v>6</v>
      </c>
      <c r="D93" s="49">
        <f>'Avg Week Lyantonde-Rushere'!D93+'Avg Week Rushere-Lyantonde'!D93</f>
        <v>1</v>
      </c>
      <c r="E93" s="49">
        <f>'Avg Week Lyantonde-Rushere'!E93+'Avg Week Rushere-Lyantonde'!E93</f>
        <v>0.5</v>
      </c>
      <c r="F93" s="49">
        <f>'Avg Week Lyantonde-Rushere'!F93+'Avg Week Rushere-Lyantonde'!F93</f>
        <v>0</v>
      </c>
      <c r="G93" s="49">
        <f>'Avg Week Lyantonde-Rushere'!G93+'Avg Week Rushere-Lyantonde'!G93</f>
        <v>2</v>
      </c>
      <c r="H93" s="49">
        <f>'Avg Week Lyantonde-Rushere'!H93+'Avg Week Rushere-Lyantonde'!H93</f>
        <v>1</v>
      </c>
      <c r="I93" s="49">
        <f>'Avg Week Lyantonde-Rushere'!I93+'Avg Week Rushere-Lyantonde'!I93</f>
        <v>0</v>
      </c>
      <c r="J93" s="49">
        <f>'Avg Week Lyantonde-Rushere'!J93+'Avg Week Rushere-Lyantonde'!J93</f>
        <v>3</v>
      </c>
      <c r="K93" s="49">
        <f>'Avg Week Lyantonde-Rushere'!K93+'Avg Week Rushere-Lyantonde'!K93</f>
        <v>3</v>
      </c>
      <c r="L93" s="49">
        <f>'Avg Week Lyantonde-Rushere'!L93+'Avg Week Rushere-Lyantonde'!L93</f>
        <v>2.5</v>
      </c>
      <c r="M93" s="49">
        <f>'Avg Week Lyantonde-Rushere'!M93+'Avg Week Rushere-Lyantonde'!M93</f>
        <v>1</v>
      </c>
      <c r="N93" s="49">
        <f>'Avg Week Lyantonde-Rushere'!N93+'Avg Week Rushere-Lyantonde'!N93</f>
        <v>0</v>
      </c>
      <c r="O93" s="15">
        <f t="shared" si="35"/>
        <v>19</v>
      </c>
      <c r="P93" s="15">
        <f t="shared" si="36"/>
        <v>20</v>
      </c>
      <c r="R93" s="8"/>
      <c r="T93"/>
    </row>
    <row r="94" spans="2:20" ht="23.1" customHeight="1" x14ac:dyDescent="0.25">
      <c r="B94" s="24" t="s">
        <v>134</v>
      </c>
      <c r="C94" s="49">
        <f>'Avg Week Lyantonde-Rushere'!C94+'Avg Week Rushere-Lyantonde'!C94</f>
        <v>2.5</v>
      </c>
      <c r="D94" s="49">
        <f>'Avg Week Lyantonde-Rushere'!D94+'Avg Week Rushere-Lyantonde'!D94</f>
        <v>0</v>
      </c>
      <c r="E94" s="49">
        <f>'Avg Week Lyantonde-Rushere'!E94+'Avg Week Rushere-Lyantonde'!E94</f>
        <v>0</v>
      </c>
      <c r="F94" s="49">
        <f>'Avg Week Lyantonde-Rushere'!F94+'Avg Week Rushere-Lyantonde'!F94</f>
        <v>0</v>
      </c>
      <c r="G94" s="49">
        <f>'Avg Week Lyantonde-Rushere'!G94+'Avg Week Rushere-Lyantonde'!G94</f>
        <v>0</v>
      </c>
      <c r="H94" s="49">
        <f>'Avg Week Lyantonde-Rushere'!H94+'Avg Week Rushere-Lyantonde'!H94</f>
        <v>0</v>
      </c>
      <c r="I94" s="49">
        <f>'Avg Week Lyantonde-Rushere'!I94+'Avg Week Rushere-Lyantonde'!I94</f>
        <v>0</v>
      </c>
      <c r="J94" s="49">
        <f>'Avg Week Lyantonde-Rushere'!J94+'Avg Week Rushere-Lyantonde'!J94</f>
        <v>3</v>
      </c>
      <c r="K94" s="49">
        <f>'Avg Week Lyantonde-Rushere'!K94+'Avg Week Rushere-Lyantonde'!K94</f>
        <v>1</v>
      </c>
      <c r="L94" s="49">
        <f>'Avg Week Lyantonde-Rushere'!L94+'Avg Week Rushere-Lyantonde'!L94</f>
        <v>3</v>
      </c>
      <c r="M94" s="49">
        <f>'Avg Week Lyantonde-Rushere'!M94+'Avg Week Rushere-Lyantonde'!M94</f>
        <v>0</v>
      </c>
      <c r="N94" s="49">
        <f>'Avg Week Lyantonde-Rushere'!N94+'Avg Week Rushere-Lyantonde'!N94</f>
        <v>0</v>
      </c>
      <c r="O94" s="15">
        <f t="shared" si="35"/>
        <v>9.5</v>
      </c>
      <c r="P94" s="15">
        <f t="shared" si="36"/>
        <v>9.5</v>
      </c>
      <c r="R94" s="8"/>
      <c r="T94"/>
    </row>
    <row r="95" spans="2:20" ht="23.1" customHeight="1" x14ac:dyDescent="0.25">
      <c r="B95" s="23" t="s">
        <v>135</v>
      </c>
      <c r="C95" s="49">
        <f>'Avg Week Lyantonde-Rushere'!C95+'Avg Week Rushere-Lyantonde'!C95</f>
        <v>1.5</v>
      </c>
      <c r="D95" s="49">
        <f>'Avg Week Lyantonde-Rushere'!D95+'Avg Week Rushere-Lyantonde'!D95</f>
        <v>0.5</v>
      </c>
      <c r="E95" s="49">
        <f>'Avg Week Lyantonde-Rushere'!E95+'Avg Week Rushere-Lyantonde'!E95</f>
        <v>1</v>
      </c>
      <c r="F95" s="49">
        <f>'Avg Week Lyantonde-Rushere'!F95+'Avg Week Rushere-Lyantonde'!F95</f>
        <v>0</v>
      </c>
      <c r="G95" s="49">
        <f>'Avg Week Lyantonde-Rushere'!G95+'Avg Week Rushere-Lyantonde'!G95</f>
        <v>0.5</v>
      </c>
      <c r="H95" s="49">
        <f>'Avg Week Lyantonde-Rushere'!H95+'Avg Week Rushere-Lyantonde'!H95</f>
        <v>0.5</v>
      </c>
      <c r="I95" s="49">
        <f>'Avg Week Lyantonde-Rushere'!I95+'Avg Week Rushere-Lyantonde'!I95</f>
        <v>1</v>
      </c>
      <c r="J95" s="49">
        <f>'Avg Week Lyantonde-Rushere'!J95+'Avg Week Rushere-Lyantonde'!J95</f>
        <v>0</v>
      </c>
      <c r="K95" s="49">
        <f>'Avg Week Lyantonde-Rushere'!K95+'Avg Week Rushere-Lyantonde'!K95</f>
        <v>1.5</v>
      </c>
      <c r="L95" s="49">
        <f>'Avg Week Lyantonde-Rushere'!L95+'Avg Week Rushere-Lyantonde'!L95</f>
        <v>2</v>
      </c>
      <c r="M95" s="49">
        <f>'Avg Week Lyantonde-Rushere'!M95+'Avg Week Rushere-Lyantonde'!M95</f>
        <v>0</v>
      </c>
      <c r="N95" s="49">
        <f>'Avg Week Lyantonde-Rushere'!N95+'Avg Week Rushere-Lyantonde'!N95</f>
        <v>0</v>
      </c>
      <c r="O95" s="15">
        <f t="shared" si="35"/>
        <v>8.5</v>
      </c>
      <c r="P95" s="15">
        <f t="shared" si="36"/>
        <v>8.5</v>
      </c>
      <c r="R95" s="8"/>
      <c r="T95"/>
    </row>
    <row r="96" spans="2:20" ht="23.1" customHeight="1" x14ac:dyDescent="0.25">
      <c r="B96" s="25" t="s">
        <v>136</v>
      </c>
      <c r="C96" s="49">
        <f>'Avg Week Lyantonde-Rushere'!C96+'Avg Week Rushere-Lyantonde'!C96</f>
        <v>4.5</v>
      </c>
      <c r="D96" s="49">
        <f>'Avg Week Lyantonde-Rushere'!D96+'Avg Week Rushere-Lyantonde'!D96</f>
        <v>1</v>
      </c>
      <c r="E96" s="49">
        <f>'Avg Week Lyantonde-Rushere'!E96+'Avg Week Rushere-Lyantonde'!E96</f>
        <v>2</v>
      </c>
      <c r="F96" s="49">
        <f>'Avg Week Lyantonde-Rushere'!F96+'Avg Week Rushere-Lyantonde'!F96</f>
        <v>1.5</v>
      </c>
      <c r="G96" s="49">
        <f>'Avg Week Lyantonde-Rushere'!G96+'Avg Week Rushere-Lyantonde'!G96</f>
        <v>0</v>
      </c>
      <c r="H96" s="49">
        <f>'Avg Week Lyantonde-Rushere'!H96+'Avg Week Rushere-Lyantonde'!H96</f>
        <v>1.5</v>
      </c>
      <c r="I96" s="49">
        <f>'Avg Week Lyantonde-Rushere'!I96+'Avg Week Rushere-Lyantonde'!I96</f>
        <v>2.5</v>
      </c>
      <c r="J96" s="49">
        <f>'Avg Week Lyantonde-Rushere'!J96+'Avg Week Rushere-Lyantonde'!J96</f>
        <v>0.5</v>
      </c>
      <c r="K96" s="49">
        <f>'Avg Week Lyantonde-Rushere'!K96+'Avg Week Rushere-Lyantonde'!K96</f>
        <v>3</v>
      </c>
      <c r="L96" s="49">
        <f>'Avg Week Lyantonde-Rushere'!L96+'Avg Week Rushere-Lyantonde'!L96</f>
        <v>2</v>
      </c>
      <c r="M96" s="49">
        <f>'Avg Week Lyantonde-Rushere'!M96+'Avg Week Rushere-Lyantonde'!M96</f>
        <v>0</v>
      </c>
      <c r="N96" s="49">
        <f>'Avg Week Lyantonde-Rushere'!N96+'Avg Week Rushere-Lyantonde'!N96</f>
        <v>0</v>
      </c>
      <c r="O96" s="15">
        <f t="shared" si="35"/>
        <v>18.5</v>
      </c>
      <c r="P96" s="15">
        <f t="shared" si="36"/>
        <v>18.5</v>
      </c>
      <c r="R96" s="8"/>
      <c r="T96"/>
    </row>
    <row r="97" spans="2:20" ht="23.1" customHeight="1" x14ac:dyDescent="0.25">
      <c r="B97" s="23" t="s">
        <v>137</v>
      </c>
      <c r="C97" s="49">
        <f>'Avg Week Lyantonde-Rushere'!C97+'Avg Week Rushere-Lyantonde'!C97</f>
        <v>4</v>
      </c>
      <c r="D97" s="49">
        <f>'Avg Week Lyantonde-Rushere'!D97+'Avg Week Rushere-Lyantonde'!D97</f>
        <v>1</v>
      </c>
      <c r="E97" s="49">
        <f>'Avg Week Lyantonde-Rushere'!E97+'Avg Week Rushere-Lyantonde'!E97</f>
        <v>2.5</v>
      </c>
      <c r="F97" s="49">
        <f>'Avg Week Lyantonde-Rushere'!F97+'Avg Week Rushere-Lyantonde'!F97</f>
        <v>2</v>
      </c>
      <c r="G97" s="49">
        <f>'Avg Week Lyantonde-Rushere'!G97+'Avg Week Rushere-Lyantonde'!G97</f>
        <v>1</v>
      </c>
      <c r="H97" s="49">
        <f>'Avg Week Lyantonde-Rushere'!H97+'Avg Week Rushere-Lyantonde'!H97</f>
        <v>0.5</v>
      </c>
      <c r="I97" s="49">
        <f>'Avg Week Lyantonde-Rushere'!I97+'Avg Week Rushere-Lyantonde'!I97</f>
        <v>1.5</v>
      </c>
      <c r="J97" s="49">
        <f>'Avg Week Lyantonde-Rushere'!J97+'Avg Week Rushere-Lyantonde'!J97</f>
        <v>1</v>
      </c>
      <c r="K97" s="49">
        <f>'Avg Week Lyantonde-Rushere'!K97+'Avg Week Rushere-Lyantonde'!K97</f>
        <v>2</v>
      </c>
      <c r="L97" s="49">
        <f>'Avg Week Lyantonde-Rushere'!L97+'Avg Week Rushere-Lyantonde'!L97</f>
        <v>2.5</v>
      </c>
      <c r="M97" s="49">
        <f>'Avg Week Lyantonde-Rushere'!M97+'Avg Week Rushere-Lyantonde'!M97</f>
        <v>1.5</v>
      </c>
      <c r="N97" s="49">
        <f>'Avg Week Lyantonde-Rushere'!N97+'Avg Week Rushere-Lyantonde'!N97</f>
        <v>0</v>
      </c>
      <c r="O97" s="15">
        <f t="shared" si="35"/>
        <v>18</v>
      </c>
      <c r="P97" s="15">
        <f t="shared" si="36"/>
        <v>19.5</v>
      </c>
      <c r="R97" s="8"/>
      <c r="T97"/>
    </row>
    <row r="98" spans="2:20" ht="23.1" customHeight="1" x14ac:dyDescent="0.25">
      <c r="B98" s="24" t="s">
        <v>138</v>
      </c>
      <c r="C98" s="49">
        <f>'Avg Week Lyantonde-Rushere'!C98+'Avg Week Rushere-Lyantonde'!C98</f>
        <v>3</v>
      </c>
      <c r="D98" s="49">
        <f>'Avg Week Lyantonde-Rushere'!D98+'Avg Week Rushere-Lyantonde'!D98</f>
        <v>2.5</v>
      </c>
      <c r="E98" s="49">
        <f>'Avg Week Lyantonde-Rushere'!E98+'Avg Week Rushere-Lyantonde'!E98</f>
        <v>1.5</v>
      </c>
      <c r="F98" s="49">
        <f>'Avg Week Lyantonde-Rushere'!F98+'Avg Week Rushere-Lyantonde'!F98</f>
        <v>2</v>
      </c>
      <c r="G98" s="49">
        <f>'Avg Week Lyantonde-Rushere'!G98+'Avg Week Rushere-Lyantonde'!G98</f>
        <v>0</v>
      </c>
      <c r="H98" s="49">
        <f>'Avg Week Lyantonde-Rushere'!H98+'Avg Week Rushere-Lyantonde'!H98</f>
        <v>0.5</v>
      </c>
      <c r="I98" s="49">
        <f>'Avg Week Lyantonde-Rushere'!I98+'Avg Week Rushere-Lyantonde'!I98</f>
        <v>0</v>
      </c>
      <c r="J98" s="49">
        <f>'Avg Week Lyantonde-Rushere'!J98+'Avg Week Rushere-Lyantonde'!J98</f>
        <v>1</v>
      </c>
      <c r="K98" s="49">
        <f>'Avg Week Lyantonde-Rushere'!K98+'Avg Week Rushere-Lyantonde'!K98</f>
        <v>2</v>
      </c>
      <c r="L98" s="49">
        <f>'Avg Week Lyantonde-Rushere'!L98+'Avg Week Rushere-Lyantonde'!L98</f>
        <v>3</v>
      </c>
      <c r="M98" s="49">
        <f>'Avg Week Lyantonde-Rushere'!M98+'Avg Week Rushere-Lyantonde'!M98</f>
        <v>3</v>
      </c>
      <c r="N98" s="49">
        <f>'Avg Week Lyantonde-Rushere'!N98+'Avg Week Rushere-Lyantonde'!N98</f>
        <v>0</v>
      </c>
      <c r="O98" s="15">
        <f t="shared" si="35"/>
        <v>15.5</v>
      </c>
      <c r="P98" s="15">
        <f t="shared" si="36"/>
        <v>18.5</v>
      </c>
      <c r="R98" s="8"/>
      <c r="T98"/>
    </row>
    <row r="99" spans="2:20" ht="23.1" customHeight="1" x14ac:dyDescent="0.25">
      <c r="B99" s="23" t="s">
        <v>139</v>
      </c>
      <c r="C99" s="49">
        <f>'Avg Week Lyantonde-Rushere'!C99+'Avg Week Rushere-Lyantonde'!C99</f>
        <v>4.5</v>
      </c>
      <c r="D99" s="49">
        <f>'Avg Week Lyantonde-Rushere'!D99+'Avg Week Rushere-Lyantonde'!D99</f>
        <v>1.5</v>
      </c>
      <c r="E99" s="49">
        <f>'Avg Week Lyantonde-Rushere'!E99+'Avg Week Rushere-Lyantonde'!E99</f>
        <v>0.5</v>
      </c>
      <c r="F99" s="49">
        <f>'Avg Week Lyantonde-Rushere'!F99+'Avg Week Rushere-Lyantonde'!F99</f>
        <v>0.5</v>
      </c>
      <c r="G99" s="49">
        <f>'Avg Week Lyantonde-Rushere'!G99+'Avg Week Rushere-Lyantonde'!G99</f>
        <v>0</v>
      </c>
      <c r="H99" s="49">
        <f>'Avg Week Lyantonde-Rushere'!H99+'Avg Week Rushere-Lyantonde'!H99</f>
        <v>2</v>
      </c>
      <c r="I99" s="49">
        <f>'Avg Week Lyantonde-Rushere'!I99+'Avg Week Rushere-Lyantonde'!I99</f>
        <v>2</v>
      </c>
      <c r="J99" s="49">
        <f>'Avg Week Lyantonde-Rushere'!J99+'Avg Week Rushere-Lyantonde'!J99</f>
        <v>1.5</v>
      </c>
      <c r="K99" s="49">
        <f>'Avg Week Lyantonde-Rushere'!K99+'Avg Week Rushere-Lyantonde'!K99</f>
        <v>2</v>
      </c>
      <c r="L99" s="49">
        <f>'Avg Week Lyantonde-Rushere'!L99+'Avg Week Rushere-Lyantonde'!L99</f>
        <v>3.5</v>
      </c>
      <c r="M99" s="49">
        <f>'Avg Week Lyantonde-Rushere'!M99+'Avg Week Rushere-Lyantonde'!M99</f>
        <v>4</v>
      </c>
      <c r="N99" s="49">
        <f>'Avg Week Lyantonde-Rushere'!N99+'Avg Week Rushere-Lyantonde'!N99</f>
        <v>0</v>
      </c>
      <c r="O99" s="15">
        <f t="shared" si="35"/>
        <v>18</v>
      </c>
      <c r="P99" s="15">
        <f t="shared" si="36"/>
        <v>22</v>
      </c>
      <c r="R99" s="8"/>
      <c r="T99"/>
    </row>
    <row r="100" spans="2:20" ht="23.1" customHeight="1" x14ac:dyDescent="0.25">
      <c r="B100" s="25" t="s">
        <v>140</v>
      </c>
      <c r="C100" s="49">
        <f>'Avg Week Lyantonde-Rushere'!C100+'Avg Week Rushere-Lyantonde'!C100</f>
        <v>3.5</v>
      </c>
      <c r="D100" s="49">
        <f>'Avg Week Lyantonde-Rushere'!D100+'Avg Week Rushere-Lyantonde'!D100</f>
        <v>4</v>
      </c>
      <c r="E100" s="49">
        <f>'Avg Week Lyantonde-Rushere'!E100+'Avg Week Rushere-Lyantonde'!E100</f>
        <v>2.5</v>
      </c>
      <c r="F100" s="49">
        <f>'Avg Week Lyantonde-Rushere'!F100+'Avg Week Rushere-Lyantonde'!F100</f>
        <v>0</v>
      </c>
      <c r="G100" s="49">
        <f>'Avg Week Lyantonde-Rushere'!G100+'Avg Week Rushere-Lyantonde'!G100</f>
        <v>0</v>
      </c>
      <c r="H100" s="49">
        <f>'Avg Week Lyantonde-Rushere'!H100+'Avg Week Rushere-Lyantonde'!H100</f>
        <v>0.5</v>
      </c>
      <c r="I100" s="49">
        <f>'Avg Week Lyantonde-Rushere'!I100+'Avg Week Rushere-Lyantonde'!I100</f>
        <v>2</v>
      </c>
      <c r="J100" s="49">
        <f>'Avg Week Lyantonde-Rushere'!J100+'Avg Week Rushere-Lyantonde'!J100</f>
        <v>1.5</v>
      </c>
      <c r="K100" s="49">
        <f>'Avg Week Lyantonde-Rushere'!K100+'Avg Week Rushere-Lyantonde'!K100</f>
        <v>3.5</v>
      </c>
      <c r="L100" s="49">
        <f>'Avg Week Lyantonde-Rushere'!L100+'Avg Week Rushere-Lyantonde'!L100</f>
        <v>2</v>
      </c>
      <c r="M100" s="49">
        <f>'Avg Week Lyantonde-Rushere'!M100+'Avg Week Rushere-Lyantonde'!M100</f>
        <v>4</v>
      </c>
      <c r="N100" s="49">
        <f>'Avg Week Lyantonde-Rushere'!N100+'Avg Week Rushere-Lyantonde'!N100</f>
        <v>0</v>
      </c>
      <c r="O100" s="15">
        <f t="shared" si="35"/>
        <v>19.5</v>
      </c>
      <c r="P100" s="15">
        <f t="shared" si="36"/>
        <v>23.5</v>
      </c>
      <c r="R100" s="8"/>
      <c r="T100"/>
    </row>
    <row r="101" spans="2:20" ht="23.1" customHeight="1" x14ac:dyDescent="0.25">
      <c r="B101" s="23" t="s">
        <v>141</v>
      </c>
      <c r="C101" s="49">
        <f>'Avg Week Lyantonde-Rushere'!C101+'Avg Week Rushere-Lyantonde'!C101</f>
        <v>6</v>
      </c>
      <c r="D101" s="49">
        <f>'Avg Week Lyantonde-Rushere'!D101+'Avg Week Rushere-Lyantonde'!D101</f>
        <v>5.5</v>
      </c>
      <c r="E101" s="49">
        <f>'Avg Week Lyantonde-Rushere'!E101+'Avg Week Rushere-Lyantonde'!E101</f>
        <v>1</v>
      </c>
      <c r="F101" s="49">
        <f>'Avg Week Lyantonde-Rushere'!F101+'Avg Week Rushere-Lyantonde'!F101</f>
        <v>1.5</v>
      </c>
      <c r="G101" s="49">
        <f>'Avg Week Lyantonde-Rushere'!G101+'Avg Week Rushere-Lyantonde'!G101</f>
        <v>0</v>
      </c>
      <c r="H101" s="49">
        <f>'Avg Week Lyantonde-Rushere'!H101+'Avg Week Rushere-Lyantonde'!H101</f>
        <v>0</v>
      </c>
      <c r="I101" s="49">
        <f>'Avg Week Lyantonde-Rushere'!I101+'Avg Week Rushere-Lyantonde'!I101</f>
        <v>0.5</v>
      </c>
      <c r="J101" s="49">
        <f>'Avg Week Lyantonde-Rushere'!J101+'Avg Week Rushere-Lyantonde'!J101</f>
        <v>2.5</v>
      </c>
      <c r="K101" s="49">
        <f>'Avg Week Lyantonde-Rushere'!K101+'Avg Week Rushere-Lyantonde'!K101</f>
        <v>4.5</v>
      </c>
      <c r="L101" s="49">
        <f>'Avg Week Lyantonde-Rushere'!L101+'Avg Week Rushere-Lyantonde'!L101</f>
        <v>3.5</v>
      </c>
      <c r="M101" s="49">
        <f>'Avg Week Lyantonde-Rushere'!M101+'Avg Week Rushere-Lyantonde'!M101</f>
        <v>4.5</v>
      </c>
      <c r="N101" s="49">
        <f>'Avg Week Lyantonde-Rushere'!N101+'Avg Week Rushere-Lyantonde'!N101</f>
        <v>0</v>
      </c>
      <c r="O101" s="15">
        <f t="shared" si="35"/>
        <v>25</v>
      </c>
      <c r="P101" s="15">
        <f t="shared" si="36"/>
        <v>29.5</v>
      </c>
      <c r="R101" s="8"/>
      <c r="T101"/>
    </row>
    <row r="102" spans="2:20" ht="23.1" customHeight="1" x14ac:dyDescent="0.25">
      <c r="B102" s="24" t="s">
        <v>142</v>
      </c>
      <c r="C102" s="49">
        <f>'Avg Week Lyantonde-Rushere'!C102+'Avg Week Rushere-Lyantonde'!C102</f>
        <v>3</v>
      </c>
      <c r="D102" s="49">
        <f>'Avg Week Lyantonde-Rushere'!D102+'Avg Week Rushere-Lyantonde'!D102</f>
        <v>1.5</v>
      </c>
      <c r="E102" s="49">
        <f>'Avg Week Lyantonde-Rushere'!E102+'Avg Week Rushere-Lyantonde'!E102</f>
        <v>0.5</v>
      </c>
      <c r="F102" s="49">
        <f>'Avg Week Lyantonde-Rushere'!F102+'Avg Week Rushere-Lyantonde'!F102</f>
        <v>2</v>
      </c>
      <c r="G102" s="49">
        <f>'Avg Week Lyantonde-Rushere'!G102+'Avg Week Rushere-Lyantonde'!G102</f>
        <v>0</v>
      </c>
      <c r="H102" s="49">
        <f>'Avg Week Lyantonde-Rushere'!H102+'Avg Week Rushere-Lyantonde'!H102</f>
        <v>1.5</v>
      </c>
      <c r="I102" s="49">
        <f>'Avg Week Lyantonde-Rushere'!I102+'Avg Week Rushere-Lyantonde'!I102</f>
        <v>1</v>
      </c>
      <c r="J102" s="49">
        <f>'Avg Week Lyantonde-Rushere'!J102+'Avg Week Rushere-Lyantonde'!J102</f>
        <v>1</v>
      </c>
      <c r="K102" s="49">
        <f>'Avg Week Lyantonde-Rushere'!K102+'Avg Week Rushere-Lyantonde'!K102</f>
        <v>1.5</v>
      </c>
      <c r="L102" s="49">
        <f>'Avg Week Lyantonde-Rushere'!L102+'Avg Week Rushere-Lyantonde'!L102</f>
        <v>1</v>
      </c>
      <c r="M102" s="49">
        <f>'Avg Week Lyantonde-Rushere'!M102+'Avg Week Rushere-Lyantonde'!M102</f>
        <v>4</v>
      </c>
      <c r="N102" s="49">
        <f>'Avg Week Lyantonde-Rushere'!N102+'Avg Week Rushere-Lyantonde'!N102</f>
        <v>0.5</v>
      </c>
      <c r="O102" s="15">
        <f t="shared" si="35"/>
        <v>13.5</v>
      </c>
      <c r="P102" s="15">
        <f t="shared" si="36"/>
        <v>17.5</v>
      </c>
      <c r="R102" s="8"/>
      <c r="T102"/>
    </row>
    <row r="103" spans="2:20" ht="23.1" customHeight="1" x14ac:dyDescent="0.25">
      <c r="B103" s="23" t="s">
        <v>143</v>
      </c>
      <c r="C103" s="49">
        <f>'Avg Week Lyantonde-Rushere'!C103+'Avg Week Rushere-Lyantonde'!C103</f>
        <v>1.5</v>
      </c>
      <c r="D103" s="49">
        <f>'Avg Week Lyantonde-Rushere'!D103+'Avg Week Rushere-Lyantonde'!D103</f>
        <v>1.5</v>
      </c>
      <c r="E103" s="49">
        <f>'Avg Week Lyantonde-Rushere'!E103+'Avg Week Rushere-Lyantonde'!E103</f>
        <v>3</v>
      </c>
      <c r="F103" s="49">
        <f>'Avg Week Lyantonde-Rushere'!F103+'Avg Week Rushere-Lyantonde'!F103</f>
        <v>1</v>
      </c>
      <c r="G103" s="49">
        <f>'Avg Week Lyantonde-Rushere'!G103+'Avg Week Rushere-Lyantonde'!G103</f>
        <v>0</v>
      </c>
      <c r="H103" s="49">
        <f>'Avg Week Lyantonde-Rushere'!H103+'Avg Week Rushere-Lyantonde'!H103</f>
        <v>0.5</v>
      </c>
      <c r="I103" s="49">
        <f>'Avg Week Lyantonde-Rushere'!I103+'Avg Week Rushere-Lyantonde'!I103</f>
        <v>0.5</v>
      </c>
      <c r="J103" s="49">
        <f>'Avg Week Lyantonde-Rushere'!J103+'Avg Week Rushere-Lyantonde'!J103</f>
        <v>1</v>
      </c>
      <c r="K103" s="49">
        <f>'Avg Week Lyantonde-Rushere'!K103+'Avg Week Rushere-Lyantonde'!K103</f>
        <v>1</v>
      </c>
      <c r="L103" s="49">
        <f>'Avg Week Lyantonde-Rushere'!L103+'Avg Week Rushere-Lyantonde'!L103</f>
        <v>1</v>
      </c>
      <c r="M103" s="49">
        <f>'Avg Week Lyantonde-Rushere'!M103+'Avg Week Rushere-Lyantonde'!M103</f>
        <v>2</v>
      </c>
      <c r="N103" s="49">
        <f>'Avg Week Lyantonde-Rushere'!N103+'Avg Week Rushere-Lyantonde'!N103</f>
        <v>0</v>
      </c>
      <c r="O103" s="15">
        <f t="shared" si="35"/>
        <v>11</v>
      </c>
      <c r="P103" s="15">
        <f t="shared" si="36"/>
        <v>13</v>
      </c>
      <c r="R103" s="8"/>
      <c r="T103"/>
    </row>
    <row r="104" spans="2:20" ht="23.1" customHeight="1" x14ac:dyDescent="0.25">
      <c r="B104" s="25" t="s">
        <v>144</v>
      </c>
      <c r="C104" s="49">
        <f>'Avg Week Lyantonde-Rushere'!C104+'Avg Week Rushere-Lyantonde'!C104</f>
        <v>4.5</v>
      </c>
      <c r="D104" s="49">
        <f>'Avg Week Lyantonde-Rushere'!D104+'Avg Week Rushere-Lyantonde'!D104</f>
        <v>2</v>
      </c>
      <c r="E104" s="49">
        <f>'Avg Week Lyantonde-Rushere'!E104+'Avg Week Rushere-Lyantonde'!E104</f>
        <v>1</v>
      </c>
      <c r="F104" s="49">
        <f>'Avg Week Lyantonde-Rushere'!F104+'Avg Week Rushere-Lyantonde'!F104</f>
        <v>1</v>
      </c>
      <c r="G104" s="49">
        <f>'Avg Week Lyantonde-Rushere'!G104+'Avg Week Rushere-Lyantonde'!G104</f>
        <v>0</v>
      </c>
      <c r="H104" s="49">
        <f>'Avg Week Lyantonde-Rushere'!H104+'Avg Week Rushere-Lyantonde'!H104</f>
        <v>0</v>
      </c>
      <c r="I104" s="49">
        <f>'Avg Week Lyantonde-Rushere'!I104+'Avg Week Rushere-Lyantonde'!I104</f>
        <v>0.5</v>
      </c>
      <c r="J104" s="49">
        <f>'Avg Week Lyantonde-Rushere'!J104+'Avg Week Rushere-Lyantonde'!J104</f>
        <v>3</v>
      </c>
      <c r="K104" s="49">
        <f>'Avg Week Lyantonde-Rushere'!K104+'Avg Week Rushere-Lyantonde'!K104</f>
        <v>3.5</v>
      </c>
      <c r="L104" s="49">
        <f>'Avg Week Lyantonde-Rushere'!L104+'Avg Week Rushere-Lyantonde'!L104</f>
        <v>0.5</v>
      </c>
      <c r="M104" s="49">
        <f>'Avg Week Lyantonde-Rushere'!M104+'Avg Week Rushere-Lyantonde'!M104</f>
        <v>4.5</v>
      </c>
      <c r="N104" s="49">
        <f>'Avg Week Lyantonde-Rushere'!N104+'Avg Week Rushere-Lyantonde'!N104</f>
        <v>1.5</v>
      </c>
      <c r="O104" s="15">
        <f t="shared" si="35"/>
        <v>17.5</v>
      </c>
      <c r="P104" s="15">
        <f t="shared" si="36"/>
        <v>22</v>
      </c>
      <c r="R104" s="8"/>
      <c r="T104"/>
    </row>
    <row r="105" spans="2:20" ht="23.1" customHeight="1" x14ac:dyDescent="0.25">
      <c r="B105" s="23" t="s">
        <v>145</v>
      </c>
      <c r="C105" s="49">
        <f>'Avg Week Lyantonde-Rushere'!C105+'Avg Week Rushere-Lyantonde'!C105</f>
        <v>5.5</v>
      </c>
      <c r="D105" s="49">
        <f>'Avg Week Lyantonde-Rushere'!D105+'Avg Week Rushere-Lyantonde'!D105</f>
        <v>4.5</v>
      </c>
      <c r="E105" s="49">
        <f>'Avg Week Lyantonde-Rushere'!E105+'Avg Week Rushere-Lyantonde'!E105</f>
        <v>1.5</v>
      </c>
      <c r="F105" s="49">
        <f>'Avg Week Lyantonde-Rushere'!F105+'Avg Week Rushere-Lyantonde'!F105</f>
        <v>0.5</v>
      </c>
      <c r="G105" s="49">
        <f>'Avg Week Lyantonde-Rushere'!G105+'Avg Week Rushere-Lyantonde'!G105</f>
        <v>0.5</v>
      </c>
      <c r="H105" s="49">
        <f>'Avg Week Lyantonde-Rushere'!H105+'Avg Week Rushere-Lyantonde'!H105</f>
        <v>0.5</v>
      </c>
      <c r="I105" s="49">
        <f>'Avg Week Lyantonde-Rushere'!I105+'Avg Week Rushere-Lyantonde'!I105</f>
        <v>2.5</v>
      </c>
      <c r="J105" s="49">
        <f>'Avg Week Lyantonde-Rushere'!J105+'Avg Week Rushere-Lyantonde'!J105</f>
        <v>2</v>
      </c>
      <c r="K105" s="49">
        <f>'Avg Week Lyantonde-Rushere'!K105+'Avg Week Rushere-Lyantonde'!K105</f>
        <v>2</v>
      </c>
      <c r="L105" s="49">
        <f>'Avg Week Lyantonde-Rushere'!L105+'Avg Week Rushere-Lyantonde'!L105</f>
        <v>2.5</v>
      </c>
      <c r="M105" s="49">
        <f>'Avg Week Lyantonde-Rushere'!M105+'Avg Week Rushere-Lyantonde'!M105</f>
        <v>5.5</v>
      </c>
      <c r="N105" s="49">
        <f>'Avg Week Lyantonde-Rushere'!N105+'Avg Week Rushere-Lyantonde'!N105</f>
        <v>0.5</v>
      </c>
      <c r="O105" s="15">
        <f t="shared" si="35"/>
        <v>22.5</v>
      </c>
      <c r="P105" s="15">
        <f t="shared" si="36"/>
        <v>28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587</v>
      </c>
      <c r="D106" s="16">
        <f t="shared" ref="D106:P106" si="37">SUM(D10:D105)</f>
        <v>225.42857142857142</v>
      </c>
      <c r="E106" s="16">
        <f t="shared" si="37"/>
        <v>140.21428571428572</v>
      </c>
      <c r="F106" s="16">
        <f t="shared" si="37"/>
        <v>40.428571428571431</v>
      </c>
      <c r="G106" s="16">
        <f t="shared" si="37"/>
        <v>9.7857142857142847</v>
      </c>
      <c r="H106" s="16">
        <f t="shared" si="37"/>
        <v>16.571428571428569</v>
      </c>
      <c r="I106" s="16">
        <f t="shared" si="37"/>
        <v>120.07142857142857</v>
      </c>
      <c r="J106" s="16">
        <f t="shared" si="37"/>
        <v>120.64285714285714</v>
      </c>
      <c r="K106" s="16">
        <f t="shared" si="37"/>
        <v>95.214285714285722</v>
      </c>
      <c r="L106" s="16">
        <f t="shared" si="37"/>
        <v>92.214285714285708</v>
      </c>
      <c r="M106" s="16">
        <f t="shared" si="37"/>
        <v>690.64285714285734</v>
      </c>
      <c r="N106" s="16">
        <f t="shared" si="37"/>
        <v>5.2857142857142856</v>
      </c>
      <c r="O106" s="16">
        <f t="shared" si="37"/>
        <v>1452.8571428571429</v>
      </c>
      <c r="P106" s="16">
        <f t="shared" si="37"/>
        <v>2143.5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0.27385117797993935</v>
      </c>
      <c r="D107" s="43">
        <f t="shared" si="38"/>
        <v>0.10516844946516045</v>
      </c>
      <c r="E107" s="43">
        <f t="shared" si="38"/>
        <v>6.5413709220567162E-2</v>
      </c>
      <c r="F107" s="43">
        <f t="shared" si="38"/>
        <v>1.8861008364157422E-2</v>
      </c>
      <c r="G107" s="43">
        <f t="shared" si="38"/>
        <v>4.5652970775434034E-3</v>
      </c>
      <c r="H107" s="43">
        <f t="shared" si="38"/>
        <v>7.7310140291245947E-3</v>
      </c>
      <c r="I107" s="43">
        <f t="shared" si="38"/>
        <v>5.6016528374820886E-2</v>
      </c>
      <c r="J107" s="43">
        <f t="shared" si="38"/>
        <v>5.6283115065480352E-2</v>
      </c>
      <c r="K107" s="43">
        <f t="shared" si="38"/>
        <v>4.4420007331134E-2</v>
      </c>
      <c r="L107" s="43">
        <f t="shared" si="38"/>
        <v>4.3020427205171782E-2</v>
      </c>
      <c r="M107" s="43">
        <f t="shared" si="38"/>
        <v>0.32220333899830061</v>
      </c>
      <c r="N107" s="43">
        <f t="shared" si="38"/>
        <v>2.4659268886000865E-3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0.40403146509341198</v>
      </c>
      <c r="D108" s="44">
        <f t="shared" ref="D108:N108" si="39">D106/$O$106</f>
        <v>0.15516224188790559</v>
      </c>
      <c r="E108" s="44">
        <f t="shared" si="39"/>
        <v>9.6509341199606691E-2</v>
      </c>
      <c r="F108" s="44">
        <f t="shared" si="39"/>
        <v>2.7826941986234022E-2</v>
      </c>
      <c r="G108" s="44">
        <f t="shared" si="39"/>
        <v>6.7354965585054074E-3</v>
      </c>
      <c r="H108" s="44">
        <f t="shared" si="39"/>
        <v>1.1406096361848573E-2</v>
      </c>
      <c r="I108" s="44">
        <f t="shared" si="39"/>
        <v>8.2645034414945917E-2</v>
      </c>
      <c r="J108" s="44">
        <f t="shared" si="39"/>
        <v>8.3038348082595859E-2</v>
      </c>
      <c r="K108" s="44">
        <f t="shared" si="39"/>
        <v>6.5535889872173056E-2</v>
      </c>
      <c r="L108" s="44">
        <f t="shared" si="39"/>
        <v>6.3470993117010807E-2</v>
      </c>
      <c r="M108" s="44"/>
      <c r="N108" s="44">
        <f t="shared" si="39"/>
        <v>3.638151425762045E-3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25.10 Lyantonde-Rushere</vt:lpstr>
      <vt:lpstr>25.10 Rushere-Lyantonde</vt:lpstr>
      <vt:lpstr>26.10 Lyantonde-Rushere-24hr</vt:lpstr>
      <vt:lpstr>26.10 Rushere-Lyantonde-24hr</vt:lpstr>
      <vt:lpstr>27.10 Lyantonde-Rushere</vt:lpstr>
      <vt:lpstr>27.10 Rushere-Lyantonde</vt:lpstr>
      <vt:lpstr>28.10 Lyantonde-Rushere-24h</vt:lpstr>
      <vt:lpstr>28.10 Rushere-Lyantonde-24h</vt:lpstr>
      <vt:lpstr>29.10 Lyantonde-Rushere</vt:lpstr>
      <vt:lpstr>29.10 Rushere-Lyantonde</vt:lpstr>
      <vt:lpstr>30.10 Lyantonde-Rushere</vt:lpstr>
      <vt:lpstr>30.10 Rushere-Lyantonde</vt:lpstr>
      <vt:lpstr>31.10 Lyantonde-Rushere</vt:lpstr>
      <vt:lpstr>31.10 Rushere-Lyantonde</vt:lpstr>
      <vt:lpstr>Avg Week Lyantonde-Rushere</vt:lpstr>
      <vt:lpstr>Avg Week Rushere-Lyantonde</vt:lpstr>
      <vt:lpstr>Avg Week Lyantonde-Rushere-2Dir</vt:lpstr>
      <vt:lpstr>'25.10 Lyantonde-Rushere'!Print_Area</vt:lpstr>
      <vt:lpstr>'25.10 Rushere-Lyantonde'!Print_Area</vt:lpstr>
      <vt:lpstr>'26.10 Lyantonde-Rushere-24hr'!Print_Area</vt:lpstr>
      <vt:lpstr>'26.10 Rushere-Lyantonde-24hr'!Print_Area</vt:lpstr>
      <vt:lpstr>'27.10 Lyantonde-Rushere'!Print_Area</vt:lpstr>
      <vt:lpstr>'27.10 Rushere-Lyantonde'!Print_Area</vt:lpstr>
      <vt:lpstr>'28.10 Lyantonde-Rushere-24h'!Print_Area</vt:lpstr>
      <vt:lpstr>'28.10 Rushere-Lyantonde-24h'!Print_Area</vt:lpstr>
      <vt:lpstr>'29.10 Lyantonde-Rushere'!Print_Area</vt:lpstr>
      <vt:lpstr>'29.10 Rushere-Lyantonde'!Print_Area</vt:lpstr>
      <vt:lpstr>'30.10 Lyantonde-Rushere'!Print_Area</vt:lpstr>
      <vt:lpstr>'30.10 Rushere-Lyantonde'!Print_Area</vt:lpstr>
      <vt:lpstr>'31.10 Lyantonde-Rushere'!Print_Area</vt:lpstr>
      <vt:lpstr>'31.10 Rushere-Lyantonde'!Print_Area</vt:lpstr>
      <vt:lpstr>'Avg Week Lyantonde-Rushere'!Print_Area</vt:lpstr>
      <vt:lpstr>'Avg Week Lyantonde-Rushere-2Dir'!Print_Area</vt:lpstr>
      <vt:lpstr>'Avg Week Rushere-Lyantonde'!Print_Area</vt:lpstr>
      <vt:lpstr>'25.10 Lyantonde-Rushere'!Print_Titles</vt:lpstr>
      <vt:lpstr>'25.10 Rushere-Lyantonde'!Print_Titles</vt:lpstr>
      <vt:lpstr>'26.10 Lyantonde-Rushere-24hr'!Print_Titles</vt:lpstr>
      <vt:lpstr>'26.10 Rushere-Lyantonde-24hr'!Print_Titles</vt:lpstr>
      <vt:lpstr>'27.10 Lyantonde-Rushere'!Print_Titles</vt:lpstr>
      <vt:lpstr>'27.10 Rushere-Lyantonde'!Print_Titles</vt:lpstr>
      <vt:lpstr>'28.10 Lyantonde-Rushere-24h'!Print_Titles</vt:lpstr>
      <vt:lpstr>'28.10 Rushere-Lyantonde-24h'!Print_Titles</vt:lpstr>
      <vt:lpstr>'29.10 Lyantonde-Rushere'!Print_Titles</vt:lpstr>
      <vt:lpstr>'29.10 Rushere-Lyantonde'!Print_Titles</vt:lpstr>
      <vt:lpstr>'30.10 Lyantonde-Rushere'!Print_Titles</vt:lpstr>
      <vt:lpstr>'30.10 Rushere-Lyantonde'!Print_Titles</vt:lpstr>
      <vt:lpstr>'31.10 Lyantonde-Rushere'!Print_Titles</vt:lpstr>
      <vt:lpstr>'31.10 Rushere-Lyantonde'!Print_Titles</vt:lpstr>
      <vt:lpstr>'Avg Week Lyantonde-Rushere'!Print_Titles</vt:lpstr>
      <vt:lpstr>'Avg Week Lyantonde-Rushere-2Dir'!Print_Titles</vt:lpstr>
      <vt:lpstr>'Avg Week Rushere-Lyantonde'!Print_Titles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K-BENZ</cp:lastModifiedBy>
  <cp:lastPrinted>2019-07-25T18:18:41Z</cp:lastPrinted>
  <dcterms:created xsi:type="dcterms:W3CDTF">2010-07-06T07:39:49Z</dcterms:created>
  <dcterms:modified xsi:type="dcterms:W3CDTF">2020-01-15T13:22:09Z</dcterms:modified>
</cp:coreProperties>
</file>